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ocuments\ABET_2020-InProgress\2020_SelfStudyReport\Criterion4-ContinuousImprovement\ExpoAssessment\"/>
    </mc:Choice>
  </mc:AlternateContent>
  <bookViews>
    <workbookView xWindow="28680" yWindow="-120" windowWidth="29040" windowHeight="15840"/>
  </bookViews>
  <sheets>
    <sheet name="Sheet1" sheetId="1" r:id="rId1"/>
    <sheet name="Sheet2" sheetId="2" r:id="rId2"/>
    <sheet name="Sheet3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49" i="1" l="1"/>
  <c r="Q49" i="1"/>
  <c r="R48" i="1"/>
  <c r="Q48" i="1"/>
  <c r="R47" i="1"/>
  <c r="Q47" i="1"/>
  <c r="M50" i="1"/>
  <c r="L50" i="1"/>
  <c r="K50" i="1"/>
  <c r="J50" i="1"/>
  <c r="I50" i="1"/>
  <c r="H50" i="1"/>
  <c r="G50" i="1"/>
  <c r="F50" i="1"/>
  <c r="E50" i="1"/>
  <c r="D50" i="1"/>
  <c r="C50" i="1"/>
  <c r="B50" i="1"/>
  <c r="O49" i="1"/>
  <c r="N49" i="1"/>
  <c r="O48" i="1"/>
  <c r="N48" i="1"/>
  <c r="O47" i="1"/>
  <c r="N47" i="1"/>
  <c r="O51" i="1" l="1"/>
  <c r="N51" i="1"/>
  <c r="Q50" i="1"/>
  <c r="R50" i="1"/>
  <c r="M57" i="1"/>
  <c r="M56" i="1"/>
  <c r="L57" i="1" l="1"/>
  <c r="K57" i="1"/>
  <c r="J57" i="1"/>
  <c r="I57" i="1"/>
  <c r="H57" i="1"/>
  <c r="G57" i="1"/>
  <c r="F57" i="1"/>
  <c r="L56" i="1"/>
  <c r="K56" i="1"/>
  <c r="J56" i="1"/>
  <c r="I56" i="1"/>
  <c r="H56" i="1"/>
  <c r="G56" i="1"/>
  <c r="F56" i="1"/>
  <c r="E57" i="1"/>
  <c r="E56" i="1"/>
  <c r="C65" i="1" l="1"/>
  <c r="C66" i="1"/>
  <c r="D57" i="1"/>
  <c r="C57" i="1"/>
  <c r="B57" i="1"/>
  <c r="D56" i="1"/>
  <c r="C56" i="1"/>
  <c r="B56" i="1"/>
  <c r="B59" i="1" l="1"/>
  <c r="B65" i="1"/>
  <c r="B66" i="1"/>
</calcChain>
</file>

<file path=xl/sharedStrings.xml><?xml version="1.0" encoding="utf-8"?>
<sst xmlns="http://schemas.openxmlformats.org/spreadsheetml/2006/main" count="78" uniqueCount="63">
  <si>
    <t>Unsatisfactory</t>
  </si>
  <si>
    <t>Developing</t>
  </si>
  <si>
    <t>Satisfactory</t>
  </si>
  <si>
    <t>Average</t>
  </si>
  <si>
    <t>Std Dev</t>
  </si>
  <si>
    <t>Average Score</t>
  </si>
  <si>
    <t>Standard dev.</t>
  </si>
  <si>
    <t>Rubric Item (PI)</t>
  </si>
  <si>
    <t>RATINGS</t>
  </si>
  <si>
    <t>Mapped SLO</t>
  </si>
  <si>
    <t>Prelab reports and Final Lab reports: Lab 6</t>
  </si>
  <si>
    <t>RESULTS BY STUDENT OUTCOME ALL ASSESSMENTS</t>
  </si>
  <si>
    <t>Rubric item (PI)</t>
  </si>
  <si>
    <t>RESULTS BY PERFORMANCE INDICATOR: Prelab, Final Lab Reports</t>
  </si>
  <si>
    <t>Assessment rubric for Design Project Technical Quality and Presentation Quality</t>
  </si>
  <si>
    <t>Prepared by</t>
  </si>
  <si>
    <t>Design Team</t>
  </si>
  <si>
    <t>1. Identification of project objective(s)</t>
  </si>
  <si>
    <t>2. Evaluation of design alternatives with realistic constraints</t>
  </si>
  <si>
    <t>(economic, environmental, social, ethical)</t>
  </si>
  <si>
    <t>3. Consideration of factors influencing the design</t>
  </si>
  <si>
    <t>(cost, manufacturability, sustainability, maintainability)</t>
  </si>
  <si>
    <t>4. Overall fulfillment of project objectives</t>
  </si>
  <si>
    <t>5. Project innovation</t>
  </si>
  <si>
    <t>6. Project practicality in view of contemporary engineering</t>
  </si>
  <si>
    <t>standards/practice</t>
  </si>
  <si>
    <t>7. General professionalism and oral communication</t>
  </si>
  <si>
    <t>8. Knowledge of the background material</t>
  </si>
  <si>
    <t>9. Organization &amp; quality of presentation material</t>
  </si>
  <si>
    <t>10. Project description (see Program Book)</t>
  </si>
  <si>
    <t>11. Group dynamics/member participation</t>
  </si>
  <si>
    <t>12. Quality, effectiveness, &amp; use of visual aids</t>
  </si>
  <si>
    <t>Performance Indicators</t>
  </si>
  <si>
    <t>Technical Quality</t>
  </si>
  <si>
    <t>Presentation Quality</t>
  </si>
  <si>
    <t>Nextgen Fuels: Waste Reduction To Biofuel Production</t>
  </si>
  <si>
    <t>Clean Energy Through a Clean Process; Hydrogen Production From Biogas</t>
  </si>
  <si>
    <t>From Fields To Engines - Sugarcane To Bioethanol</t>
  </si>
  <si>
    <t>Work Hard, PLA Hard: Biodegradable Plastics From Renewable Resources</t>
  </si>
  <si>
    <t>The Plastic That Keeps Your Insides Fantastic</t>
  </si>
  <si>
    <t>UFC: Ultimate Fighting Cells</t>
  </si>
  <si>
    <t>Double Power for the Win: Producing Fuel with Captured Carbon Dioxide</t>
  </si>
  <si>
    <t>Welcome to the Flue-Ture</t>
  </si>
  <si>
    <t>Carbon Dioxide to Methanol: A Solution to Pollution</t>
  </si>
  <si>
    <t>Greener Cleaner: A Zero Emission Power Plant</t>
  </si>
  <si>
    <t>Dirty It Maybe, But Coal Is Cheap</t>
  </si>
  <si>
    <t>MTO: A Light Approach To Plastics Via Non-Petroleum Route</t>
  </si>
  <si>
    <t>Hydrogen Fuel: The Way of The Future</t>
  </si>
  <si>
    <t>Catalytic Dehydrogenation Future of Propylene Production</t>
  </si>
  <si>
    <t>BS CHE Engineering Expo Judges Score Assessment</t>
  </si>
  <si>
    <t>Engineering Expo Spring 2019</t>
  </si>
  <si>
    <t>SO2</t>
  </si>
  <si>
    <t>SO3</t>
  </si>
  <si>
    <t>SO2 %</t>
  </si>
  <si>
    <t>SO3%</t>
  </si>
  <si>
    <t>S</t>
  </si>
  <si>
    <t>%=3</t>
  </si>
  <si>
    <t>D</t>
  </si>
  <si>
    <t>%=2</t>
  </si>
  <si>
    <t>U</t>
  </si>
  <si>
    <t>%=1</t>
  </si>
  <si>
    <t>Total</t>
  </si>
  <si>
    <t>% &gt;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</si>
</sst>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4" borderId="0" xfId="0" applyFont="1" applyFill="1"/>
    <xf numFmtId="0" fontId="0" fillId="0" borderId="0" xfId="0" applyFill="1" applyAlignment="1">
      <alignment horizontal="right"/>
    </xf>
    <xf numFmtId="0" fontId="2" fillId="0" borderId="0" xfId="0" applyFont="1" applyFill="1"/>
    <xf numFmtId="0" fontId="1" fillId="0" borderId="0" xfId="0" applyFont="1" applyFill="1"/>
    <xf numFmtId="0" fontId="0" fillId="2" borderId="0" xfId="0" applyFont="1" applyFill="1"/>
    <xf numFmtId="0" fontId="0" fillId="6" borderId="0" xfId="0" applyFill="1"/>
    <xf numFmtId="0" fontId="0" fillId="0" borderId="1" xfId="0" applyBorder="1"/>
    <xf numFmtId="2" fontId="0" fillId="6" borderId="0" xfId="0" applyNumberFormat="1" applyFill="1"/>
    <xf numFmtId="0" fontId="0" fillId="3" borderId="1" xfId="0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3" fillId="0" borderId="0" xfId="0" applyFont="1" applyFill="1" applyBorder="1" applyAlignment="1">
      <alignment vertical="center" wrapTex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0" borderId="0" xfId="0" applyNumberFormat="1"/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0" borderId="5" xfId="0" applyBorder="1"/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4"/>
  <sheetViews>
    <sheetView tabSelected="1" zoomScale="90" zoomScaleNormal="90" workbookViewId="0">
      <selection activeCell="R32" sqref="R32"/>
    </sheetView>
  </sheetViews>
  <sheetFormatPr defaultRowHeight="14.6" x14ac:dyDescent="0.4"/>
  <cols>
    <col min="1" max="1" width="71.69140625" customWidth="1"/>
    <col min="2" max="2" width="11.53515625" customWidth="1"/>
    <col min="7" max="7" width="9.53515625" bestFit="1" customWidth="1"/>
    <col min="13" max="13" width="10.3828125" customWidth="1"/>
  </cols>
  <sheetData>
    <row r="1" spans="1:16" x14ac:dyDescent="0.4">
      <c r="A1" s="1" t="s">
        <v>49</v>
      </c>
      <c r="I1" t="s">
        <v>32</v>
      </c>
    </row>
    <row r="2" spans="1:16" x14ac:dyDescent="0.4">
      <c r="A2" s="1" t="s">
        <v>50</v>
      </c>
      <c r="I2" t="s">
        <v>33</v>
      </c>
      <c r="P2" t="s">
        <v>34</v>
      </c>
    </row>
    <row r="3" spans="1:16" x14ac:dyDescent="0.4">
      <c r="A3" s="1"/>
      <c r="I3" t="s">
        <v>17</v>
      </c>
      <c r="P3" t="s">
        <v>26</v>
      </c>
    </row>
    <row r="4" spans="1:16" x14ac:dyDescent="0.4">
      <c r="A4" s="1"/>
      <c r="I4" t="s">
        <v>18</v>
      </c>
      <c r="P4" t="s">
        <v>27</v>
      </c>
    </row>
    <row r="5" spans="1:16" x14ac:dyDescent="0.4">
      <c r="A5" s="3" t="s">
        <v>14</v>
      </c>
      <c r="B5" s="3"/>
      <c r="C5" s="3"/>
      <c r="D5" s="3"/>
      <c r="I5" t="s">
        <v>19</v>
      </c>
      <c r="P5" t="s">
        <v>28</v>
      </c>
    </row>
    <row r="6" spans="1:16" x14ac:dyDescent="0.4">
      <c r="A6" s="3" t="s">
        <v>15</v>
      </c>
      <c r="B6" s="3"/>
      <c r="C6" s="3"/>
      <c r="D6" s="3"/>
      <c r="E6" s="3"/>
      <c r="F6" s="3"/>
      <c r="G6" s="3"/>
      <c r="I6" t="s">
        <v>20</v>
      </c>
      <c r="P6" t="s">
        <v>29</v>
      </c>
    </row>
    <row r="7" spans="1:16" x14ac:dyDescent="0.4">
      <c r="A7" s="3"/>
      <c r="B7" s="3"/>
      <c r="C7" s="3"/>
      <c r="D7" s="3"/>
      <c r="E7" s="3"/>
      <c r="F7" s="3"/>
      <c r="G7" s="3"/>
      <c r="I7" t="s">
        <v>21</v>
      </c>
      <c r="P7" t="s">
        <v>30</v>
      </c>
    </row>
    <row r="8" spans="1:16" x14ac:dyDescent="0.4">
      <c r="A8" s="3"/>
      <c r="I8" t="s">
        <v>22</v>
      </c>
      <c r="P8" t="s">
        <v>31</v>
      </c>
    </row>
    <row r="9" spans="1:16" x14ac:dyDescent="0.4">
      <c r="I9" t="s">
        <v>23</v>
      </c>
    </row>
    <row r="10" spans="1:16" x14ac:dyDescent="0.4">
      <c r="A10" s="14" t="s">
        <v>8</v>
      </c>
      <c r="B10" s="5"/>
      <c r="C10" s="5"/>
      <c r="I10" t="s">
        <v>24</v>
      </c>
    </row>
    <row r="11" spans="1:16" x14ac:dyDescent="0.4">
      <c r="A11" s="5">
        <v>1</v>
      </c>
      <c r="B11" s="5" t="s">
        <v>0</v>
      </c>
      <c r="C11" s="5"/>
      <c r="I11" t="s">
        <v>25</v>
      </c>
    </row>
    <row r="12" spans="1:16" x14ac:dyDescent="0.4">
      <c r="A12" s="5">
        <v>2</v>
      </c>
      <c r="B12" s="5" t="s">
        <v>1</v>
      </c>
      <c r="C12" s="5"/>
    </row>
    <row r="13" spans="1:16" x14ac:dyDescent="0.4">
      <c r="A13" s="5">
        <v>3</v>
      </c>
      <c r="B13" s="5" t="s">
        <v>2</v>
      </c>
      <c r="C13" s="5"/>
    </row>
    <row r="14" spans="1:16" x14ac:dyDescent="0.4">
      <c r="A14" s="5"/>
      <c r="B14" s="5"/>
      <c r="C14" s="5"/>
    </row>
    <row r="15" spans="1:16" x14ac:dyDescent="0.4">
      <c r="A15" t="s">
        <v>10</v>
      </c>
      <c r="B15" s="4" t="s">
        <v>33</v>
      </c>
      <c r="H15" t="s">
        <v>34</v>
      </c>
    </row>
    <row r="16" spans="1:16" x14ac:dyDescent="0.4">
      <c r="A16" s="24" t="s">
        <v>7</v>
      </c>
      <c r="B16" s="24">
        <v>1</v>
      </c>
      <c r="C16" s="24">
        <v>2</v>
      </c>
      <c r="D16" s="24">
        <v>3</v>
      </c>
      <c r="E16" s="24">
        <v>4</v>
      </c>
      <c r="F16" s="24">
        <v>5</v>
      </c>
      <c r="G16" s="24">
        <v>6</v>
      </c>
      <c r="H16" s="24">
        <v>7</v>
      </c>
      <c r="I16" s="24">
        <v>8</v>
      </c>
      <c r="J16" s="24">
        <v>9</v>
      </c>
      <c r="K16" s="24">
        <v>10</v>
      </c>
      <c r="L16" s="24">
        <v>11</v>
      </c>
      <c r="M16" s="24">
        <v>12</v>
      </c>
    </row>
    <row r="17" spans="1:13" x14ac:dyDescent="0.4">
      <c r="A17" s="24" t="s">
        <v>9</v>
      </c>
      <c r="B17" s="24">
        <v>2</v>
      </c>
      <c r="C17" s="24">
        <v>2</v>
      </c>
      <c r="D17" s="24">
        <v>2</v>
      </c>
      <c r="E17" s="24">
        <v>2</v>
      </c>
      <c r="F17" s="25">
        <v>2</v>
      </c>
      <c r="G17" s="25">
        <v>2</v>
      </c>
      <c r="H17" s="25">
        <v>3</v>
      </c>
      <c r="I17" s="25">
        <v>3</v>
      </c>
      <c r="J17" s="25">
        <v>3</v>
      </c>
      <c r="K17" s="25">
        <v>3</v>
      </c>
      <c r="L17" s="25">
        <v>3</v>
      </c>
      <c r="M17" s="25">
        <v>3</v>
      </c>
    </row>
    <row r="18" spans="1:13" x14ac:dyDescent="0.4">
      <c r="B18" s="2"/>
    </row>
    <row r="19" spans="1:13" x14ac:dyDescent="0.4">
      <c r="A19" t="s">
        <v>16</v>
      </c>
      <c r="B19" s="2"/>
    </row>
    <row r="20" spans="1:13" x14ac:dyDescent="0.4">
      <c r="A20" s="16" t="s">
        <v>35</v>
      </c>
      <c r="B20" s="16">
        <v>3</v>
      </c>
      <c r="C20" s="16">
        <v>3</v>
      </c>
      <c r="D20" s="16">
        <v>3</v>
      </c>
      <c r="E20" s="16">
        <v>3</v>
      </c>
      <c r="F20" s="16">
        <v>3</v>
      </c>
      <c r="G20" s="16">
        <v>3</v>
      </c>
      <c r="H20" s="16">
        <v>3</v>
      </c>
      <c r="I20" s="16">
        <v>3</v>
      </c>
      <c r="J20" s="16">
        <v>3</v>
      </c>
      <c r="K20" s="16">
        <v>3</v>
      </c>
      <c r="L20" s="16">
        <v>3</v>
      </c>
      <c r="M20" s="16">
        <v>3</v>
      </c>
    </row>
    <row r="21" spans="1:13" x14ac:dyDescent="0.4">
      <c r="A21" s="33" t="s">
        <v>36</v>
      </c>
      <c r="B21" s="33">
        <v>3</v>
      </c>
      <c r="C21" s="33">
        <v>3</v>
      </c>
      <c r="D21" s="33">
        <v>3</v>
      </c>
      <c r="E21" s="33">
        <v>3</v>
      </c>
      <c r="F21" s="33">
        <v>3</v>
      </c>
      <c r="G21" s="33">
        <v>3</v>
      </c>
      <c r="H21" s="33">
        <v>3</v>
      </c>
      <c r="I21" s="33">
        <v>3</v>
      </c>
      <c r="J21" s="33">
        <v>3</v>
      </c>
      <c r="K21" s="33">
        <v>3</v>
      </c>
      <c r="L21" s="33">
        <v>3</v>
      </c>
      <c r="M21" s="33">
        <v>3</v>
      </c>
    </row>
    <row r="22" spans="1:13" x14ac:dyDescent="0.4">
      <c r="A22" s="33" t="s">
        <v>37</v>
      </c>
      <c r="B22" s="33">
        <v>3</v>
      </c>
      <c r="C22" s="33">
        <v>3</v>
      </c>
      <c r="D22" s="33">
        <v>3</v>
      </c>
      <c r="E22" s="33">
        <v>3</v>
      </c>
      <c r="F22" s="33">
        <v>3</v>
      </c>
      <c r="G22" s="33">
        <v>3</v>
      </c>
      <c r="H22" s="33">
        <v>3</v>
      </c>
      <c r="I22" s="33">
        <v>3</v>
      </c>
      <c r="J22" s="33">
        <v>3</v>
      </c>
      <c r="K22" s="33">
        <v>3</v>
      </c>
      <c r="L22" s="33">
        <v>3</v>
      </c>
      <c r="M22" s="33">
        <v>3</v>
      </c>
    </row>
    <row r="23" spans="1:13" x14ac:dyDescent="0.4">
      <c r="A23" t="s">
        <v>38</v>
      </c>
      <c r="B23" s="37">
        <v>3</v>
      </c>
      <c r="C23">
        <v>3</v>
      </c>
      <c r="D23" s="37">
        <v>3</v>
      </c>
      <c r="E23" s="37">
        <v>3</v>
      </c>
      <c r="F23" s="37">
        <v>3</v>
      </c>
      <c r="G23" s="37">
        <v>3</v>
      </c>
      <c r="H23" s="37">
        <v>3</v>
      </c>
      <c r="I23" s="37">
        <v>3</v>
      </c>
      <c r="J23" s="37">
        <v>3</v>
      </c>
      <c r="K23" s="37">
        <v>3</v>
      </c>
      <c r="L23" s="37">
        <v>3</v>
      </c>
      <c r="M23">
        <v>3</v>
      </c>
    </row>
    <row r="24" spans="1:13" x14ac:dyDescent="0.4">
      <c r="A24" s="16" t="s">
        <v>38</v>
      </c>
      <c r="B24" s="16">
        <v>3</v>
      </c>
      <c r="C24" s="16">
        <v>3</v>
      </c>
      <c r="D24" s="16">
        <v>3</v>
      </c>
      <c r="E24" s="16">
        <v>3</v>
      </c>
      <c r="F24" s="16">
        <v>3</v>
      </c>
      <c r="G24" s="16">
        <v>3</v>
      </c>
      <c r="H24" s="16">
        <v>3</v>
      </c>
      <c r="I24" s="16">
        <v>3</v>
      </c>
      <c r="J24" s="16">
        <v>3</v>
      </c>
      <c r="K24" s="16">
        <v>3</v>
      </c>
      <c r="L24" s="16">
        <v>3</v>
      </c>
      <c r="M24" s="16">
        <v>3</v>
      </c>
    </row>
    <row r="25" spans="1:13" x14ac:dyDescent="0.4">
      <c r="A25" s="33" t="s">
        <v>39</v>
      </c>
      <c r="B25" s="33">
        <v>3</v>
      </c>
      <c r="C25" s="33">
        <v>3</v>
      </c>
      <c r="D25" s="33">
        <v>3</v>
      </c>
      <c r="E25" s="33">
        <v>3</v>
      </c>
      <c r="F25" s="33">
        <v>3</v>
      </c>
      <c r="G25" s="33">
        <v>3</v>
      </c>
      <c r="H25" s="33">
        <v>3</v>
      </c>
      <c r="I25" s="33">
        <v>3</v>
      </c>
      <c r="J25" s="33">
        <v>3</v>
      </c>
      <c r="K25" s="33">
        <v>3</v>
      </c>
      <c r="L25" s="33">
        <v>3</v>
      </c>
      <c r="M25" s="33">
        <v>3</v>
      </c>
    </row>
    <row r="26" spans="1:13" x14ac:dyDescent="0.4">
      <c r="A26" t="s">
        <v>40</v>
      </c>
      <c r="B26" s="37">
        <v>3</v>
      </c>
      <c r="C26">
        <v>3</v>
      </c>
      <c r="D26" s="37">
        <v>3</v>
      </c>
      <c r="E26">
        <v>3</v>
      </c>
      <c r="F26" s="37">
        <v>3</v>
      </c>
      <c r="G26">
        <v>3</v>
      </c>
      <c r="H26" s="37">
        <v>3</v>
      </c>
      <c r="I26" s="37">
        <v>3</v>
      </c>
      <c r="J26">
        <v>3</v>
      </c>
      <c r="K26">
        <v>3</v>
      </c>
      <c r="L26">
        <v>3</v>
      </c>
      <c r="M26">
        <v>3</v>
      </c>
    </row>
    <row r="27" spans="1:13" x14ac:dyDescent="0.4">
      <c r="A27" s="16" t="s">
        <v>40</v>
      </c>
      <c r="B27" s="16">
        <v>3</v>
      </c>
      <c r="C27" s="16">
        <v>3</v>
      </c>
      <c r="D27" s="16">
        <v>3</v>
      </c>
      <c r="E27" s="16">
        <v>3</v>
      </c>
      <c r="F27" s="16">
        <v>3</v>
      </c>
      <c r="G27" s="16">
        <v>3</v>
      </c>
      <c r="H27" s="16">
        <v>3</v>
      </c>
      <c r="I27" s="16">
        <v>3</v>
      </c>
      <c r="J27" s="16">
        <v>3</v>
      </c>
      <c r="K27" s="16">
        <v>3</v>
      </c>
      <c r="L27" s="16">
        <v>3</v>
      </c>
      <c r="M27" s="16">
        <v>3</v>
      </c>
    </row>
    <row r="28" spans="1:13" x14ac:dyDescent="0.4">
      <c r="A28" t="s">
        <v>41</v>
      </c>
      <c r="B28" s="37">
        <v>3</v>
      </c>
      <c r="C28">
        <v>3</v>
      </c>
      <c r="D28" s="37">
        <v>3</v>
      </c>
      <c r="E28">
        <v>3</v>
      </c>
      <c r="F28" s="37">
        <v>3</v>
      </c>
      <c r="G28">
        <v>3</v>
      </c>
      <c r="H28" s="37">
        <v>3</v>
      </c>
      <c r="I28" s="37">
        <v>3</v>
      </c>
      <c r="J28">
        <v>3</v>
      </c>
      <c r="K28">
        <v>3</v>
      </c>
      <c r="L28">
        <v>3</v>
      </c>
      <c r="M28">
        <v>3</v>
      </c>
    </row>
    <row r="29" spans="1:13" x14ac:dyDescent="0.4">
      <c r="A29" s="16" t="s">
        <v>41</v>
      </c>
      <c r="B29" s="16">
        <v>3</v>
      </c>
      <c r="C29" s="16">
        <v>3</v>
      </c>
      <c r="D29" s="16">
        <v>3</v>
      </c>
      <c r="E29" s="16">
        <v>3</v>
      </c>
      <c r="F29" s="16">
        <v>3</v>
      </c>
      <c r="G29" s="16">
        <v>3</v>
      </c>
      <c r="H29" s="16">
        <v>3</v>
      </c>
      <c r="I29" s="16">
        <v>3</v>
      </c>
      <c r="J29" s="16">
        <v>3</v>
      </c>
      <c r="K29" s="16">
        <v>3</v>
      </c>
      <c r="L29" s="16">
        <v>3</v>
      </c>
      <c r="M29" s="16">
        <v>3</v>
      </c>
    </row>
    <row r="30" spans="1:13" x14ac:dyDescent="0.4">
      <c r="A30" t="s">
        <v>42</v>
      </c>
      <c r="B30" s="37">
        <v>3</v>
      </c>
      <c r="C30" s="37">
        <v>3</v>
      </c>
      <c r="D30" s="37">
        <v>3</v>
      </c>
      <c r="E30">
        <v>3</v>
      </c>
      <c r="F30" s="37">
        <v>3</v>
      </c>
      <c r="G30">
        <v>3</v>
      </c>
      <c r="H30" s="37">
        <v>3</v>
      </c>
      <c r="I30" s="37">
        <v>3</v>
      </c>
      <c r="J30">
        <v>3</v>
      </c>
      <c r="K30">
        <v>3</v>
      </c>
      <c r="L30">
        <v>3</v>
      </c>
      <c r="M30">
        <v>3</v>
      </c>
    </row>
    <row r="31" spans="1:13" x14ac:dyDescent="0.4">
      <c r="A31" s="16" t="s">
        <v>42</v>
      </c>
      <c r="B31" s="16">
        <v>3</v>
      </c>
      <c r="C31" s="16">
        <v>3</v>
      </c>
      <c r="D31" s="16">
        <v>3</v>
      </c>
      <c r="E31" s="16">
        <v>3</v>
      </c>
      <c r="F31" s="16">
        <v>3</v>
      </c>
      <c r="G31" s="16">
        <v>3</v>
      </c>
      <c r="H31" s="16">
        <v>3</v>
      </c>
      <c r="I31" s="16">
        <v>3</v>
      </c>
      <c r="J31" s="16">
        <v>3</v>
      </c>
      <c r="K31" s="16">
        <v>3</v>
      </c>
      <c r="L31" s="16">
        <v>3</v>
      </c>
      <c r="M31" s="16">
        <v>3</v>
      </c>
    </row>
    <row r="32" spans="1:13" x14ac:dyDescent="0.4">
      <c r="A32" t="s">
        <v>43</v>
      </c>
      <c r="B32" s="37">
        <v>3</v>
      </c>
      <c r="C32" s="37">
        <v>3</v>
      </c>
      <c r="D32">
        <v>3</v>
      </c>
      <c r="E32">
        <v>3</v>
      </c>
      <c r="F32" s="37">
        <v>3</v>
      </c>
      <c r="G32">
        <v>3</v>
      </c>
      <c r="H32">
        <v>3</v>
      </c>
      <c r="I32">
        <v>3</v>
      </c>
      <c r="J32">
        <v>3</v>
      </c>
      <c r="K32">
        <v>3</v>
      </c>
      <c r="L32" s="37">
        <v>3</v>
      </c>
      <c r="M32" s="37">
        <v>3</v>
      </c>
    </row>
    <row r="33" spans="1:20" x14ac:dyDescent="0.4">
      <c r="A33" s="16" t="s">
        <v>43</v>
      </c>
      <c r="B33" s="16">
        <v>3</v>
      </c>
      <c r="C33" s="16">
        <v>3</v>
      </c>
      <c r="D33" s="16">
        <v>3</v>
      </c>
      <c r="E33" s="16">
        <v>3</v>
      </c>
      <c r="F33" s="16">
        <v>3</v>
      </c>
      <c r="G33" s="16">
        <v>3</v>
      </c>
      <c r="H33" s="16">
        <v>3</v>
      </c>
      <c r="I33" s="16">
        <v>3</v>
      </c>
      <c r="J33" s="16">
        <v>3</v>
      </c>
      <c r="K33" s="16">
        <v>3</v>
      </c>
      <c r="L33" s="16">
        <v>3</v>
      </c>
      <c r="M33" s="16">
        <v>3</v>
      </c>
    </row>
    <row r="34" spans="1:20" x14ac:dyDescent="0.4">
      <c r="A34" t="s">
        <v>44</v>
      </c>
      <c r="B34">
        <v>3</v>
      </c>
      <c r="C34" s="37">
        <v>3</v>
      </c>
      <c r="D34">
        <v>3</v>
      </c>
      <c r="E34" s="37">
        <v>3</v>
      </c>
      <c r="F34" s="37">
        <v>3</v>
      </c>
      <c r="G34" s="37">
        <v>3</v>
      </c>
      <c r="H34">
        <v>3</v>
      </c>
      <c r="I34">
        <v>3</v>
      </c>
      <c r="J34">
        <v>3</v>
      </c>
      <c r="K34" s="37">
        <v>3</v>
      </c>
      <c r="L34">
        <v>3</v>
      </c>
      <c r="M34" s="37">
        <v>3</v>
      </c>
    </row>
    <row r="35" spans="1:20" x14ac:dyDescent="0.4">
      <c r="A35" t="s">
        <v>44</v>
      </c>
      <c r="B35" s="37">
        <v>3</v>
      </c>
      <c r="C35">
        <v>3</v>
      </c>
      <c r="D35" s="37">
        <v>3</v>
      </c>
      <c r="E35">
        <v>3</v>
      </c>
      <c r="F35" s="37">
        <v>3</v>
      </c>
      <c r="G35">
        <v>3</v>
      </c>
      <c r="H35" s="37">
        <v>3</v>
      </c>
      <c r="I35" s="37">
        <v>3</v>
      </c>
      <c r="J35" s="37">
        <v>3</v>
      </c>
      <c r="K35">
        <v>3</v>
      </c>
      <c r="L35" s="37">
        <v>3</v>
      </c>
      <c r="M35">
        <v>3</v>
      </c>
    </row>
    <row r="36" spans="1:20" x14ac:dyDescent="0.4">
      <c r="A36" s="16" t="s">
        <v>44</v>
      </c>
      <c r="B36" s="16">
        <v>3</v>
      </c>
      <c r="C36" s="16">
        <v>3</v>
      </c>
      <c r="D36" s="16">
        <v>3</v>
      </c>
      <c r="E36" s="16">
        <v>3</v>
      </c>
      <c r="F36" s="16">
        <v>2</v>
      </c>
      <c r="G36" s="16">
        <v>3</v>
      </c>
      <c r="H36" s="16">
        <v>3</v>
      </c>
      <c r="I36" s="16">
        <v>3</v>
      </c>
      <c r="J36" s="16">
        <v>3</v>
      </c>
      <c r="K36" s="16">
        <v>3</v>
      </c>
      <c r="L36" s="16">
        <v>3</v>
      </c>
      <c r="M36" s="16">
        <v>3</v>
      </c>
    </row>
    <row r="37" spans="1:20" x14ac:dyDescent="0.4">
      <c r="A37" t="s">
        <v>45</v>
      </c>
      <c r="B37" s="37">
        <v>3</v>
      </c>
      <c r="C37" s="37">
        <v>2</v>
      </c>
      <c r="D37" s="37">
        <v>3</v>
      </c>
      <c r="E37">
        <v>3</v>
      </c>
      <c r="F37" s="37">
        <v>2</v>
      </c>
      <c r="G37" s="37">
        <v>3</v>
      </c>
      <c r="H37" s="37">
        <v>3</v>
      </c>
      <c r="I37" s="37">
        <v>3</v>
      </c>
      <c r="J37" s="37">
        <v>3</v>
      </c>
      <c r="K37">
        <v>3</v>
      </c>
      <c r="L37" s="37">
        <v>3</v>
      </c>
      <c r="M37">
        <v>3</v>
      </c>
    </row>
    <row r="38" spans="1:20" x14ac:dyDescent="0.4">
      <c r="A38" s="16" t="s">
        <v>45</v>
      </c>
      <c r="B38" s="16">
        <v>3</v>
      </c>
      <c r="C38" s="16">
        <v>2</v>
      </c>
      <c r="D38" s="16">
        <v>3</v>
      </c>
      <c r="E38" s="16">
        <v>3</v>
      </c>
      <c r="F38" s="16">
        <v>2</v>
      </c>
      <c r="G38" s="16">
        <v>3</v>
      </c>
      <c r="H38" s="16">
        <v>3</v>
      </c>
      <c r="I38" s="16">
        <v>3</v>
      </c>
      <c r="J38" s="16">
        <v>3</v>
      </c>
      <c r="K38" s="16">
        <v>3</v>
      </c>
      <c r="L38" s="16">
        <v>3</v>
      </c>
      <c r="M38" s="16">
        <v>3</v>
      </c>
    </row>
    <row r="39" spans="1:20" x14ac:dyDescent="0.4">
      <c r="A39" t="s">
        <v>46</v>
      </c>
      <c r="B39" s="37">
        <v>3</v>
      </c>
      <c r="C39">
        <v>2</v>
      </c>
      <c r="D39" s="37">
        <v>3</v>
      </c>
      <c r="E39">
        <v>3</v>
      </c>
      <c r="F39">
        <v>2</v>
      </c>
      <c r="G39" s="37">
        <v>3</v>
      </c>
      <c r="H39" s="37">
        <v>3</v>
      </c>
      <c r="I39" s="37">
        <v>3</v>
      </c>
      <c r="J39">
        <v>3</v>
      </c>
      <c r="K39">
        <v>3</v>
      </c>
      <c r="L39">
        <v>3</v>
      </c>
      <c r="M39" s="37">
        <v>2</v>
      </c>
    </row>
    <row r="40" spans="1:20" x14ac:dyDescent="0.4">
      <c r="A40" s="16" t="s">
        <v>46</v>
      </c>
      <c r="B40" s="16">
        <v>3</v>
      </c>
      <c r="C40" s="16">
        <v>2</v>
      </c>
      <c r="D40" s="16">
        <v>3</v>
      </c>
      <c r="E40" s="16">
        <v>3</v>
      </c>
      <c r="F40" s="16">
        <v>2</v>
      </c>
      <c r="G40" s="16">
        <v>3</v>
      </c>
      <c r="H40" s="16">
        <v>3</v>
      </c>
      <c r="I40" s="16">
        <v>3</v>
      </c>
      <c r="J40" s="16">
        <v>3</v>
      </c>
      <c r="K40" s="16">
        <v>3</v>
      </c>
      <c r="L40" s="16">
        <v>2</v>
      </c>
      <c r="M40" s="16">
        <v>2</v>
      </c>
    </row>
    <row r="41" spans="1:20" x14ac:dyDescent="0.4">
      <c r="A41" t="s">
        <v>47</v>
      </c>
      <c r="B41" s="37">
        <v>3</v>
      </c>
      <c r="C41" s="37">
        <v>2</v>
      </c>
      <c r="D41">
        <v>3</v>
      </c>
      <c r="E41">
        <v>3</v>
      </c>
      <c r="F41" s="37">
        <v>2</v>
      </c>
      <c r="G41">
        <v>3</v>
      </c>
      <c r="H41">
        <v>3</v>
      </c>
      <c r="I41">
        <v>3</v>
      </c>
      <c r="J41" s="37">
        <v>2</v>
      </c>
      <c r="K41">
        <v>3</v>
      </c>
      <c r="L41">
        <v>2</v>
      </c>
      <c r="M41">
        <v>2</v>
      </c>
    </row>
    <row r="42" spans="1:20" x14ac:dyDescent="0.4">
      <c r="A42" s="16" t="s">
        <v>47</v>
      </c>
      <c r="B42" s="16">
        <v>3</v>
      </c>
      <c r="C42" s="16">
        <v>2</v>
      </c>
      <c r="D42" s="16">
        <v>2</v>
      </c>
      <c r="E42" s="16">
        <v>3</v>
      </c>
      <c r="F42" s="16">
        <v>2</v>
      </c>
      <c r="G42" s="16">
        <v>2</v>
      </c>
      <c r="H42" s="16">
        <v>2</v>
      </c>
      <c r="I42" s="16">
        <v>2</v>
      </c>
      <c r="J42" s="16">
        <v>2</v>
      </c>
      <c r="K42" s="16">
        <v>2</v>
      </c>
      <c r="L42" s="16">
        <v>2</v>
      </c>
      <c r="M42" s="16">
        <v>2</v>
      </c>
    </row>
    <row r="43" spans="1:20" x14ac:dyDescent="0.4">
      <c r="A43" t="s">
        <v>48</v>
      </c>
      <c r="B43">
        <v>3</v>
      </c>
      <c r="C43" s="37">
        <v>2</v>
      </c>
      <c r="D43" s="37">
        <v>2</v>
      </c>
      <c r="E43" s="37">
        <v>2</v>
      </c>
      <c r="F43">
        <v>2</v>
      </c>
      <c r="G43" s="37">
        <v>2</v>
      </c>
      <c r="H43" s="37">
        <v>2</v>
      </c>
      <c r="I43">
        <v>2</v>
      </c>
      <c r="J43">
        <v>2</v>
      </c>
      <c r="K43">
        <v>2</v>
      </c>
      <c r="L43" s="37">
        <v>2</v>
      </c>
      <c r="M43" s="37">
        <v>2</v>
      </c>
    </row>
    <row r="44" spans="1:20" x14ac:dyDescent="0.4">
      <c r="A44" t="s">
        <v>48</v>
      </c>
      <c r="B44" s="37">
        <v>2</v>
      </c>
      <c r="C44">
        <v>2</v>
      </c>
      <c r="D44" s="37">
        <v>2</v>
      </c>
      <c r="E44">
        <v>2</v>
      </c>
      <c r="F44">
        <v>2</v>
      </c>
      <c r="G44" s="37">
        <v>2</v>
      </c>
      <c r="H44">
        <v>2</v>
      </c>
      <c r="I44" s="37">
        <v>2</v>
      </c>
      <c r="J44" s="37">
        <v>2</v>
      </c>
      <c r="K44" s="37">
        <v>2</v>
      </c>
      <c r="L44" s="37">
        <v>2</v>
      </c>
      <c r="M44">
        <v>2</v>
      </c>
    </row>
    <row r="46" spans="1:20" x14ac:dyDescent="0.4">
      <c r="A46" s="23"/>
      <c r="B46" s="4"/>
      <c r="C46" s="4"/>
      <c r="D46" s="4"/>
      <c r="E46" s="4"/>
      <c r="F46" s="4"/>
      <c r="G46" s="4"/>
      <c r="N46" s="16" t="s">
        <v>51</v>
      </c>
      <c r="O46" s="16" t="s">
        <v>52</v>
      </c>
      <c r="P46" s="16"/>
      <c r="Q46" s="16" t="s">
        <v>53</v>
      </c>
      <c r="R46" s="16" t="s">
        <v>54</v>
      </c>
      <c r="S46" s="16"/>
      <c r="T46" s="16"/>
    </row>
    <row r="47" spans="1:20" x14ac:dyDescent="0.4">
      <c r="A47" s="2" t="s">
        <v>55</v>
      </c>
      <c r="B47" s="34">
        <v>24</v>
      </c>
      <c r="C47" s="34">
        <v>17</v>
      </c>
      <c r="D47" s="34">
        <v>22</v>
      </c>
      <c r="E47" s="34">
        <v>23</v>
      </c>
      <c r="F47" s="34">
        <v>16</v>
      </c>
      <c r="G47" s="34">
        <v>22</v>
      </c>
      <c r="H47" s="34">
        <v>22</v>
      </c>
      <c r="I47" s="35">
        <v>22</v>
      </c>
      <c r="J47" s="34">
        <v>21</v>
      </c>
      <c r="K47" s="34">
        <v>22</v>
      </c>
      <c r="L47" s="34">
        <v>20</v>
      </c>
      <c r="M47" s="34">
        <v>19</v>
      </c>
      <c r="N47" s="29">
        <f>AVERAGE(B47:G47)</f>
        <v>20.666666666666668</v>
      </c>
      <c r="O47">
        <f>AVERAGE(H47:M47)</f>
        <v>21</v>
      </c>
      <c r="P47" s="36"/>
      <c r="Q47" s="36">
        <f>N47/$N$51*100</f>
        <v>82.666666666666671</v>
      </c>
      <c r="R47" s="36">
        <f t="shared" ref="R47" si="0">O47/$N$51*100</f>
        <v>84</v>
      </c>
      <c r="S47" s="36"/>
      <c r="T47" t="s">
        <v>56</v>
      </c>
    </row>
    <row r="48" spans="1:20" x14ac:dyDescent="0.4">
      <c r="A48" s="2" t="s">
        <v>57</v>
      </c>
      <c r="B48" s="34">
        <v>1</v>
      </c>
      <c r="C48" s="34">
        <v>8</v>
      </c>
      <c r="D48" s="34">
        <v>3</v>
      </c>
      <c r="E48" s="34">
        <v>2</v>
      </c>
      <c r="F48" s="34">
        <v>9</v>
      </c>
      <c r="G48" s="34">
        <v>3</v>
      </c>
      <c r="H48" s="34">
        <v>3</v>
      </c>
      <c r="I48" s="35">
        <v>3</v>
      </c>
      <c r="J48" s="34">
        <v>4</v>
      </c>
      <c r="K48" s="34">
        <v>3</v>
      </c>
      <c r="L48" s="34">
        <v>5</v>
      </c>
      <c r="M48" s="34">
        <v>6</v>
      </c>
      <c r="N48" s="29">
        <f t="shared" ref="N48:N49" si="1">AVERAGE(B48:G48)</f>
        <v>4.333333333333333</v>
      </c>
      <c r="O48">
        <f t="shared" ref="O48:O49" si="2">AVERAGE(H48:M48)</f>
        <v>4</v>
      </c>
      <c r="P48" s="36"/>
      <c r="Q48" s="36">
        <f t="shared" ref="Q48:Q49" si="3">N48/$N$51*100</f>
        <v>17.333333333333332</v>
      </c>
      <c r="R48" s="36">
        <f t="shared" ref="R48:R49" si="4">O48/$N$51*100</f>
        <v>16</v>
      </c>
      <c r="S48" s="36"/>
      <c r="T48" t="s">
        <v>58</v>
      </c>
    </row>
    <row r="49" spans="1:20" x14ac:dyDescent="0.4">
      <c r="A49" s="2" t="s">
        <v>59</v>
      </c>
      <c r="B49" s="34">
        <v>0</v>
      </c>
      <c r="C49" s="34">
        <v>0</v>
      </c>
      <c r="D49" s="34">
        <v>0</v>
      </c>
      <c r="E49" s="34">
        <v>0</v>
      </c>
      <c r="F49" s="34">
        <v>0</v>
      </c>
      <c r="G49" s="34">
        <v>0</v>
      </c>
      <c r="H49" s="34">
        <v>0</v>
      </c>
      <c r="I49" s="35">
        <v>0</v>
      </c>
      <c r="J49" s="34">
        <v>0</v>
      </c>
      <c r="K49" s="34">
        <v>0</v>
      </c>
      <c r="L49" s="34">
        <v>0</v>
      </c>
      <c r="M49" s="34">
        <v>0</v>
      </c>
      <c r="N49" s="29">
        <f t="shared" si="1"/>
        <v>0</v>
      </c>
      <c r="O49">
        <f t="shared" si="2"/>
        <v>0</v>
      </c>
      <c r="P49" s="36"/>
      <c r="Q49" s="36">
        <f t="shared" si="3"/>
        <v>0</v>
      </c>
      <c r="R49" s="36">
        <f t="shared" si="4"/>
        <v>0</v>
      </c>
      <c r="S49" s="36"/>
      <c r="T49" t="s">
        <v>60</v>
      </c>
    </row>
    <row r="50" spans="1:20" x14ac:dyDescent="0.4">
      <c r="A50" s="2" t="s">
        <v>61</v>
      </c>
      <c r="B50">
        <f>SUM(B47:B49)</f>
        <v>25</v>
      </c>
      <c r="C50">
        <f t="shared" ref="C50:M50" si="5">SUM(C47:C49)</f>
        <v>25</v>
      </c>
      <c r="D50">
        <f t="shared" si="5"/>
        <v>25</v>
      </c>
      <c r="E50">
        <f t="shared" si="5"/>
        <v>25</v>
      </c>
      <c r="F50">
        <f t="shared" si="5"/>
        <v>25</v>
      </c>
      <c r="G50">
        <f t="shared" si="5"/>
        <v>25</v>
      </c>
      <c r="H50">
        <f t="shared" si="5"/>
        <v>25</v>
      </c>
      <c r="I50">
        <f t="shared" si="5"/>
        <v>25</v>
      </c>
      <c r="J50">
        <f t="shared" si="5"/>
        <v>25</v>
      </c>
      <c r="K50">
        <f t="shared" si="5"/>
        <v>25</v>
      </c>
      <c r="L50">
        <f t="shared" si="5"/>
        <v>25</v>
      </c>
      <c r="M50">
        <f t="shared" si="5"/>
        <v>25</v>
      </c>
      <c r="Q50" s="36">
        <f>Q47+Q48</f>
        <v>100</v>
      </c>
      <c r="R50" s="36">
        <f>R47+R48</f>
        <v>100</v>
      </c>
      <c r="S50" s="36"/>
      <c r="T50" t="s">
        <v>62</v>
      </c>
    </row>
    <row r="51" spans="1:20" x14ac:dyDescent="0.4">
      <c r="A51" s="23"/>
      <c r="B51" s="4"/>
      <c r="C51" s="4"/>
      <c r="D51" s="4"/>
      <c r="E51" s="4"/>
      <c r="F51" s="4"/>
      <c r="G51" s="4"/>
      <c r="N51">
        <f t="shared" ref="N51:O51" si="6">SUM(N47:N49)</f>
        <v>25</v>
      </c>
      <c r="O51">
        <f t="shared" si="6"/>
        <v>25</v>
      </c>
      <c r="P51" s="36"/>
    </row>
    <row r="52" spans="1:20" x14ac:dyDescent="0.4">
      <c r="A52" s="4"/>
      <c r="B52" s="4"/>
      <c r="C52" s="4"/>
      <c r="D52" s="4"/>
      <c r="E52" s="4"/>
      <c r="F52" s="4"/>
      <c r="G52" s="4"/>
    </row>
    <row r="53" spans="1:20" x14ac:dyDescent="0.4">
      <c r="A53" s="19" t="s">
        <v>13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spans="1:20" x14ac:dyDescent="0.4">
      <c r="A54" s="20" t="s">
        <v>12</v>
      </c>
      <c r="B54" s="26">
        <v>1</v>
      </c>
      <c r="C54" s="26">
        <v>2</v>
      </c>
      <c r="D54" s="26">
        <v>3</v>
      </c>
      <c r="E54" s="26">
        <v>4</v>
      </c>
      <c r="F54" s="26">
        <v>5</v>
      </c>
      <c r="G54" s="26">
        <v>6</v>
      </c>
      <c r="H54" s="26">
        <v>7</v>
      </c>
      <c r="I54" s="26">
        <v>8</v>
      </c>
      <c r="J54" s="26">
        <v>9</v>
      </c>
      <c r="K54" s="26">
        <v>10</v>
      </c>
      <c r="L54" s="26">
        <v>11</v>
      </c>
      <c r="M54" s="26">
        <v>12</v>
      </c>
    </row>
    <row r="55" spans="1:20" x14ac:dyDescent="0.4">
      <c r="A55" s="21" t="s">
        <v>9</v>
      </c>
      <c r="B55" s="26">
        <v>2</v>
      </c>
      <c r="C55" s="26">
        <v>2</v>
      </c>
      <c r="D55" s="26">
        <v>2</v>
      </c>
      <c r="E55" s="26">
        <v>2</v>
      </c>
      <c r="F55" s="26">
        <v>2</v>
      </c>
      <c r="G55" s="26">
        <v>2</v>
      </c>
      <c r="H55" s="26">
        <v>3</v>
      </c>
      <c r="I55" s="26">
        <v>3</v>
      </c>
      <c r="J55" s="26">
        <v>3</v>
      </c>
      <c r="K55" s="26">
        <v>3</v>
      </c>
      <c r="L55" s="26">
        <v>3</v>
      </c>
      <c r="M55" s="26">
        <v>3</v>
      </c>
    </row>
    <row r="56" spans="1:20" x14ac:dyDescent="0.4">
      <c r="A56" s="22" t="s">
        <v>3</v>
      </c>
      <c r="B56" s="27">
        <f t="shared" ref="B56:M56" si="7">AVERAGE(B20:B44)</f>
        <v>2.96</v>
      </c>
      <c r="C56" s="27">
        <f t="shared" si="7"/>
        <v>2.68</v>
      </c>
      <c r="D56" s="27">
        <f t="shared" si="7"/>
        <v>2.88</v>
      </c>
      <c r="E56" s="27">
        <f t="shared" si="7"/>
        <v>2.92</v>
      </c>
      <c r="F56" s="27">
        <f t="shared" si="7"/>
        <v>2.64</v>
      </c>
      <c r="G56" s="27">
        <f t="shared" si="7"/>
        <v>2.88</v>
      </c>
      <c r="H56" s="27">
        <f t="shared" si="7"/>
        <v>2.88</v>
      </c>
      <c r="I56" s="27">
        <f t="shared" si="7"/>
        <v>2.88</v>
      </c>
      <c r="J56" s="27">
        <f t="shared" si="7"/>
        <v>2.84</v>
      </c>
      <c r="K56" s="27">
        <f t="shared" si="7"/>
        <v>2.88</v>
      </c>
      <c r="L56" s="27">
        <f t="shared" si="7"/>
        <v>2.8</v>
      </c>
      <c r="M56" s="27">
        <f t="shared" si="7"/>
        <v>2.76</v>
      </c>
    </row>
    <row r="57" spans="1:20" x14ac:dyDescent="0.4">
      <c r="A57" s="21" t="s">
        <v>4</v>
      </c>
      <c r="B57" s="28">
        <f t="shared" ref="B57:M57" si="8">STDEV(B20:B44)</f>
        <v>0.2</v>
      </c>
      <c r="C57" s="28">
        <f t="shared" si="8"/>
        <v>0.47609522856952324</v>
      </c>
      <c r="D57" s="28">
        <f t="shared" si="8"/>
        <v>0.33166247903553914</v>
      </c>
      <c r="E57" s="28">
        <f t="shared" si="8"/>
        <v>0.27688746209726917</v>
      </c>
      <c r="F57" s="28">
        <f t="shared" si="8"/>
        <v>0.48989794855663527</v>
      </c>
      <c r="G57" s="28">
        <f t="shared" si="8"/>
        <v>0.33166247903553914</v>
      </c>
      <c r="H57" s="28">
        <f t="shared" si="8"/>
        <v>0.33166247903553914</v>
      </c>
      <c r="I57" s="28">
        <f t="shared" si="8"/>
        <v>0.33166247903553914</v>
      </c>
      <c r="J57" s="28">
        <f t="shared" si="8"/>
        <v>0.37416573867739489</v>
      </c>
      <c r="K57" s="28">
        <f t="shared" si="8"/>
        <v>0.33166247903553914</v>
      </c>
      <c r="L57" s="28">
        <f t="shared" si="8"/>
        <v>0.40824829046386302</v>
      </c>
      <c r="M57" s="28">
        <f t="shared" si="8"/>
        <v>0.43588989435406744</v>
      </c>
    </row>
    <row r="58" spans="1:20" x14ac:dyDescent="0.4">
      <c r="A58" s="22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1:20" x14ac:dyDescent="0.4">
      <c r="A59" s="22" t="s">
        <v>3</v>
      </c>
      <c r="B59" s="9">
        <f>AVERAGE(B56:M56)</f>
        <v>2.8333333333333335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1:20" x14ac:dyDescent="0.4">
      <c r="A60" s="21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1:20" x14ac:dyDescent="0.4">
      <c r="A61" s="22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3" spans="1:20" x14ac:dyDescent="0.4">
      <c r="B63" s="7"/>
      <c r="C63" s="7"/>
      <c r="D63" s="7"/>
      <c r="E63" s="7"/>
      <c r="F63" s="7"/>
      <c r="G63" s="15"/>
      <c r="H63" s="15"/>
      <c r="I63" s="15"/>
    </row>
    <row r="64" spans="1:20" x14ac:dyDescent="0.4">
      <c r="A64" s="10" t="s">
        <v>11</v>
      </c>
      <c r="B64" s="30">
        <v>2</v>
      </c>
      <c r="C64" s="30">
        <v>3</v>
      </c>
      <c r="D64" s="30"/>
      <c r="E64" s="30"/>
      <c r="F64" s="30"/>
      <c r="G64" s="25"/>
      <c r="H64" s="25"/>
      <c r="I64" s="15"/>
    </row>
    <row r="65" spans="1:9" x14ac:dyDescent="0.4">
      <c r="A65" s="7" t="s">
        <v>5</v>
      </c>
      <c r="B65" s="31">
        <f>AVERAGE(B56:G56)</f>
        <v>2.8266666666666667</v>
      </c>
      <c r="C65" s="31">
        <f>AVERAGE(H56:M56)</f>
        <v>2.84</v>
      </c>
      <c r="D65" s="31"/>
      <c r="E65" s="31"/>
      <c r="F65" s="31"/>
      <c r="G65" s="31"/>
      <c r="H65" s="31"/>
      <c r="I65" s="8"/>
    </row>
    <row r="66" spans="1:9" x14ac:dyDescent="0.4">
      <c r="A66" s="7" t="s">
        <v>6</v>
      </c>
      <c r="B66" s="31">
        <f>STDEV(B56:G56)</f>
        <v>0.13306639946532947</v>
      </c>
      <c r="C66" s="31">
        <f>STDEV(H56:M56)</f>
        <v>5.0596442562694112E-2</v>
      </c>
      <c r="D66" s="31"/>
      <c r="E66" s="31"/>
      <c r="F66" s="31"/>
      <c r="G66" s="32"/>
      <c r="H66" s="32"/>
      <c r="I66" s="17"/>
    </row>
    <row r="68" spans="1:9" x14ac:dyDescent="0.4">
      <c r="B68" s="29"/>
    </row>
    <row r="111" spans="1:13" x14ac:dyDescent="0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1:13" x14ac:dyDescent="0.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13" x14ac:dyDescent="0.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1:13" x14ac:dyDescent="0.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spans="1:13" x14ac:dyDescent="0.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1:13" x14ac:dyDescent="0.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spans="1:13" x14ac:dyDescent="0.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 x14ac:dyDescent="0.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spans="1:13" x14ac:dyDescent="0.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 x14ac:dyDescent="0.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1:13" x14ac:dyDescent="0.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 x14ac:dyDescent="0.4">
      <c r="A122" s="4"/>
      <c r="B122" s="4"/>
      <c r="C122" s="4"/>
      <c r="D122" s="4"/>
      <c r="E122" s="4"/>
      <c r="F122" s="4"/>
      <c r="G122" s="4"/>
      <c r="H122" s="11"/>
      <c r="I122" s="11"/>
      <c r="J122" s="11"/>
      <c r="K122" s="11"/>
      <c r="L122" s="11"/>
      <c r="M122" s="4"/>
    </row>
    <row r="123" spans="1:13" x14ac:dyDescent="0.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spans="1:13" x14ac:dyDescent="0.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spans="1:13" x14ac:dyDescent="0.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1:13" x14ac:dyDescent="0.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 x14ac:dyDescent="0.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1:13" x14ac:dyDescent="0.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spans="1:13" x14ac:dyDescent="0.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1:13" x14ac:dyDescent="0.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1:13" x14ac:dyDescent="0.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1:13" x14ac:dyDescent="0.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spans="1:13" x14ac:dyDescent="0.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 x14ac:dyDescent="0.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spans="1:13" x14ac:dyDescent="0.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1:13" x14ac:dyDescent="0.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spans="1:13" x14ac:dyDescent="0.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 x14ac:dyDescent="0.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spans="1:13" x14ac:dyDescent="0.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3" x14ac:dyDescent="0.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3" x14ac:dyDescent="0.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13" x14ac:dyDescent="0.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spans="1:13" x14ac:dyDescent="0.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3" x14ac:dyDescent="0.4">
      <c r="A144" s="4"/>
      <c r="B144" s="12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1:13" x14ac:dyDescent="0.4">
      <c r="A145" s="4"/>
      <c r="B145" s="12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3" x14ac:dyDescent="0.4">
      <c r="A146" s="4"/>
      <c r="B146" s="12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1:13" x14ac:dyDescent="0.4">
      <c r="A147" s="4"/>
      <c r="B147" s="12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3" x14ac:dyDescent="0.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spans="1:13" x14ac:dyDescent="0.4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spans="1:13" x14ac:dyDescent="0.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3" x14ac:dyDescent="0.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3" x14ac:dyDescent="0.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spans="1:13" x14ac:dyDescent="0.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 x14ac:dyDescent="0.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 x14ac:dyDescent="0.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 x14ac:dyDescent="0.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 x14ac:dyDescent="0.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 x14ac:dyDescent="0.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 x14ac:dyDescent="0.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 x14ac:dyDescent="0.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1:13" x14ac:dyDescent="0.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1:13" x14ac:dyDescent="0.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1:13" x14ac:dyDescent="0.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1:13" x14ac:dyDescent="0.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1:13" x14ac:dyDescent="0.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1:13" x14ac:dyDescent="0.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13" x14ac:dyDescent="0.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 x14ac:dyDescent="0.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1:13" x14ac:dyDescent="0.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13" x14ac:dyDescent="0.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1:13" x14ac:dyDescent="0.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1:13" x14ac:dyDescent="0.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1:13" x14ac:dyDescent="0.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1:13" x14ac:dyDescent="0.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1:13" x14ac:dyDescent="0.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 x14ac:dyDescent="0.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1:13" x14ac:dyDescent="0.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3" x14ac:dyDescent="0.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1:13" x14ac:dyDescent="0.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 x14ac:dyDescent="0.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1:13" x14ac:dyDescent="0.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 x14ac:dyDescent="0.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1:13" x14ac:dyDescent="0.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1:13" x14ac:dyDescent="0.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1:13" x14ac:dyDescent="0.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1:13" x14ac:dyDescent="0.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1:13" x14ac:dyDescent="0.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1:13" x14ac:dyDescent="0.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1:13" x14ac:dyDescent="0.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1:13" x14ac:dyDescent="0.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1:13" x14ac:dyDescent="0.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1:13" x14ac:dyDescent="0.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3" x14ac:dyDescent="0.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1:13" x14ac:dyDescent="0.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1:13" x14ac:dyDescent="0.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3" x14ac:dyDescent="0.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1:13" x14ac:dyDescent="0.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3" x14ac:dyDescent="0.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3" x14ac:dyDescent="0.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1:13" x14ac:dyDescent="0.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spans="1:13" x14ac:dyDescent="0.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spans="1:13" x14ac:dyDescent="0.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spans="1:13" x14ac:dyDescent="0.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spans="1:13" x14ac:dyDescent="0.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spans="1:13" x14ac:dyDescent="0.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spans="1:13" x14ac:dyDescent="0.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spans="1:13" x14ac:dyDescent="0.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spans="1:13" x14ac:dyDescent="0.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spans="1:13" x14ac:dyDescent="0.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spans="1:13" x14ac:dyDescent="0.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spans="1:13" x14ac:dyDescent="0.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spans="1:13" x14ac:dyDescent="0.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spans="1:13" x14ac:dyDescent="0.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spans="1:13" x14ac:dyDescent="0.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spans="1:13" x14ac:dyDescent="0.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spans="1:13" x14ac:dyDescent="0.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spans="1:13" x14ac:dyDescent="0.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spans="1:13" x14ac:dyDescent="0.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spans="1:13" x14ac:dyDescent="0.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spans="1:13" x14ac:dyDescent="0.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spans="1:13" x14ac:dyDescent="0.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spans="1:13" x14ac:dyDescent="0.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spans="1:13" x14ac:dyDescent="0.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spans="1:13" x14ac:dyDescent="0.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</sheetData>
  <sortState ref="M20:M44">
    <sortCondition descending="1" ref="M20:M44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Alan</cp:lastModifiedBy>
  <dcterms:created xsi:type="dcterms:W3CDTF">2013-01-15T05:38:26Z</dcterms:created>
  <dcterms:modified xsi:type="dcterms:W3CDTF">2020-06-06T21:15:11Z</dcterms:modified>
</cp:coreProperties>
</file>