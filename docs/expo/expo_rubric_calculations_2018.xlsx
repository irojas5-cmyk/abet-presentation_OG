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ocuments\ABET_2020-InProgress\2020_SelfStudyReport\Criterion4-ContinuousImprovement\ExpoAssessment\"/>
    </mc:Choice>
  </mc:AlternateContent>
  <bookViews>
    <workbookView xWindow="28680" yWindow="-120" windowWidth="29040" windowHeight="15840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88" i="1" l="1"/>
  <c r="Q88" i="1"/>
  <c r="R87" i="1"/>
  <c r="Q87" i="1"/>
  <c r="R86" i="1"/>
  <c r="Q86" i="1"/>
  <c r="M89" i="1"/>
  <c r="L89" i="1"/>
  <c r="K89" i="1"/>
  <c r="J89" i="1"/>
  <c r="I89" i="1"/>
  <c r="H89" i="1"/>
  <c r="G89" i="1"/>
  <c r="F89" i="1"/>
  <c r="E89" i="1"/>
  <c r="D89" i="1"/>
  <c r="C89" i="1"/>
  <c r="B89" i="1"/>
  <c r="O88" i="1"/>
  <c r="N88" i="1"/>
  <c r="O87" i="1"/>
  <c r="N87" i="1"/>
  <c r="O86" i="1"/>
  <c r="N86" i="1"/>
  <c r="O90" i="1" l="1"/>
  <c r="N90" i="1"/>
  <c r="Q89" i="1"/>
  <c r="R89" i="1"/>
  <c r="M96" i="1"/>
  <c r="L96" i="1"/>
  <c r="K96" i="1"/>
  <c r="J96" i="1"/>
  <c r="I96" i="1"/>
  <c r="H96" i="1"/>
  <c r="G96" i="1"/>
  <c r="F96" i="1"/>
  <c r="E96" i="1"/>
  <c r="D96" i="1"/>
  <c r="C96" i="1"/>
  <c r="M95" i="1"/>
  <c r="L95" i="1"/>
  <c r="K95" i="1"/>
  <c r="J95" i="1"/>
  <c r="I95" i="1"/>
  <c r="H95" i="1"/>
  <c r="G95" i="1"/>
  <c r="F95" i="1"/>
  <c r="E95" i="1"/>
  <c r="D95" i="1"/>
  <c r="C95" i="1"/>
  <c r="B96" i="1"/>
  <c r="B95" i="1"/>
  <c r="C104" i="1" l="1"/>
  <c r="C105" i="1"/>
  <c r="B98" i="1" l="1"/>
  <c r="B104" i="1"/>
  <c r="B105" i="1"/>
</calcChain>
</file>

<file path=xl/sharedStrings.xml><?xml version="1.0" encoding="utf-8"?>
<sst xmlns="http://schemas.openxmlformats.org/spreadsheetml/2006/main" count="118" uniqueCount="79">
  <si>
    <t>Unsatisfactory</t>
  </si>
  <si>
    <t>Developing</t>
  </si>
  <si>
    <t>Satisfactory</t>
  </si>
  <si>
    <t>Average</t>
  </si>
  <si>
    <t>Std Dev</t>
  </si>
  <si>
    <t>Average Score</t>
  </si>
  <si>
    <t>Standard dev.</t>
  </si>
  <si>
    <t>Rubric Item (PI)</t>
  </si>
  <si>
    <t>RATINGS</t>
  </si>
  <si>
    <t>Mapped SLO</t>
  </si>
  <si>
    <t>Prelab reports and Final Lab reports: Lab 6</t>
  </si>
  <si>
    <t>RESULTS BY STUDENT OUTCOME ALL ASSESSMENTS</t>
  </si>
  <si>
    <t>Rubric item (PI)</t>
  </si>
  <si>
    <t>RESULTS BY PERFORMANCE INDICATOR: Prelab, Final Lab Reports</t>
  </si>
  <si>
    <t>Assessment rubric for Design Project Technical Quality and Presentation Quality</t>
  </si>
  <si>
    <t>Prepared by</t>
  </si>
  <si>
    <t>Design Team</t>
  </si>
  <si>
    <t>1. Identification of project objective(s)</t>
  </si>
  <si>
    <t>2. Evaluation of design alternatives with realistic constraints</t>
  </si>
  <si>
    <t>(economic, environmental, social, ethical)</t>
  </si>
  <si>
    <t>3. Consideration of factors influencing the design</t>
  </si>
  <si>
    <t>(cost, manufacturability, sustainability, maintainability)</t>
  </si>
  <si>
    <t>4. Overall fulfillment of project objectives</t>
  </si>
  <si>
    <t>5. Project innovation</t>
  </si>
  <si>
    <t>6. Project practicality in view of contemporary engineering</t>
  </si>
  <si>
    <t>standards/practice</t>
  </si>
  <si>
    <t>7. General professionalism and oral communication</t>
  </si>
  <si>
    <t>8. Knowledge of the background material</t>
  </si>
  <si>
    <t>9. Organization &amp; quality of presentation material</t>
  </si>
  <si>
    <t>10. Project description (see Program Book)</t>
  </si>
  <si>
    <t>11. Group dynamics/member participation</t>
  </si>
  <si>
    <t>12. Quality, effectiveness, &amp; use of visual aids</t>
  </si>
  <si>
    <t>Performance Indicators</t>
  </si>
  <si>
    <t>Technical Quality</t>
  </si>
  <si>
    <t>Presentation Quality</t>
  </si>
  <si>
    <t>BS CHE Engineering Expo Judges Score Assessment</t>
  </si>
  <si>
    <t>Engineering Expo Spring 2018</t>
  </si>
  <si>
    <t>2-CHE-43</t>
  </si>
  <si>
    <t>A Greener Way to Ethanol</t>
  </si>
  <si>
    <t>2-CHE-36</t>
  </si>
  <si>
    <t>2-CHE-37</t>
  </si>
  <si>
    <t>Biohar: Burning Through the Grapevine</t>
  </si>
  <si>
    <t>CO2: Greener On the Other Side</t>
  </si>
  <si>
    <t>2-CHE-39</t>
  </si>
  <si>
    <t>2-CHE-40</t>
  </si>
  <si>
    <t>CO2 Later: Rise of the NanoFibers</t>
  </si>
  <si>
    <t>Green Methanol Solution</t>
  </si>
  <si>
    <t>Frackin' the Bakken: Ethane Crackin'</t>
  </si>
  <si>
    <t>2-CHE-44</t>
  </si>
  <si>
    <t>Fuel From The Wasteland Fruit</t>
  </si>
  <si>
    <t>2-CHE-45</t>
  </si>
  <si>
    <t>Greasin' Methanol to FAME</t>
  </si>
  <si>
    <t>Let's Go Burn Some Green</t>
  </si>
  <si>
    <t>2-CHE-48</t>
  </si>
  <si>
    <t>Methanol, from Thin Air</t>
  </si>
  <si>
    <t>2-CHE-53</t>
  </si>
  <si>
    <t>Soy per Critical Methanol Solution: Biodiesel from Saka-Dan Method</t>
  </si>
  <si>
    <t>The More Alcohol, The Better The Planet</t>
  </si>
  <si>
    <t>Lost Your Nerve? Stem Cell Scale Up Has Your Back</t>
  </si>
  <si>
    <t>4-CHE-86</t>
  </si>
  <si>
    <t>Nylon 66: A Tale of Two Monomers</t>
  </si>
  <si>
    <t>Get Your Kicks on Route 6,6</t>
  </si>
  <si>
    <t>5-CHE-115</t>
  </si>
  <si>
    <t>5-CHE-116</t>
  </si>
  <si>
    <t>Reduce Friction: Lube It Up</t>
  </si>
  <si>
    <t>Road To Nylon-6,6</t>
  </si>
  <si>
    <t>5-CHE-128</t>
  </si>
  <si>
    <t>S</t>
  </si>
  <si>
    <t>%=3</t>
  </si>
  <si>
    <t>D</t>
  </si>
  <si>
    <t>%=2</t>
  </si>
  <si>
    <t>U</t>
  </si>
  <si>
    <t>%=1</t>
  </si>
  <si>
    <t>Total</t>
  </si>
  <si>
    <t>% &gt; 2</t>
  </si>
  <si>
    <t>SO2</t>
  </si>
  <si>
    <t>SO3</t>
  </si>
  <si>
    <t>SO2 %</t>
  </si>
  <si>
    <t>SO3%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</si>
</sst>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Fon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4" borderId="0" xfId="0" applyFont="1" applyFill="1"/>
    <xf numFmtId="0" fontId="0" fillId="0" borderId="0" xfId="0" applyFill="1" applyAlignment="1">
      <alignment horizontal="right"/>
    </xf>
    <xf numFmtId="0" fontId="2" fillId="0" borderId="0" xfId="0" applyFont="1" applyFill="1"/>
    <xf numFmtId="0" fontId="1" fillId="0" borderId="0" xfId="0" applyFont="1" applyFill="1"/>
    <xf numFmtId="0" fontId="0" fillId="2" borderId="0" xfId="0" applyFont="1" applyFill="1"/>
    <xf numFmtId="0" fontId="0" fillId="6" borderId="0" xfId="0" applyFill="1"/>
    <xf numFmtId="2" fontId="0" fillId="6" borderId="0" xfId="0" applyNumberFormat="1" applyFill="1"/>
    <xf numFmtId="0" fontId="0" fillId="3" borderId="1" xfId="0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3" fillId="0" borderId="0" xfId="0" applyFont="1" applyFill="1" applyBorder="1" applyAlignment="1">
      <alignment vertical="center" wrapText="1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3" borderId="1" xfId="0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3"/>
  <sheetViews>
    <sheetView tabSelected="1" topLeftCell="A63" zoomScale="90" zoomScaleNormal="90" workbookViewId="0">
      <selection activeCell="R89" sqref="R89"/>
    </sheetView>
  </sheetViews>
  <sheetFormatPr defaultRowHeight="14.6" x14ac:dyDescent="0.4"/>
  <cols>
    <col min="1" max="1" width="71.69140625" customWidth="1"/>
    <col min="2" max="2" width="11.53515625" customWidth="1"/>
    <col min="7" max="7" width="9.53515625" bestFit="1" customWidth="1"/>
    <col min="13" max="13" width="10.3828125" customWidth="1"/>
  </cols>
  <sheetData>
    <row r="1" spans="1:16" x14ac:dyDescent="0.4">
      <c r="A1" s="1" t="s">
        <v>35</v>
      </c>
      <c r="I1" t="s">
        <v>32</v>
      </c>
    </row>
    <row r="2" spans="1:16" x14ac:dyDescent="0.4">
      <c r="A2" s="1" t="s">
        <v>36</v>
      </c>
      <c r="I2" t="s">
        <v>33</v>
      </c>
      <c r="P2" t="s">
        <v>34</v>
      </c>
    </row>
    <row r="3" spans="1:16" x14ac:dyDescent="0.4">
      <c r="A3" s="1"/>
      <c r="I3" t="s">
        <v>17</v>
      </c>
      <c r="P3" t="s">
        <v>26</v>
      </c>
    </row>
    <row r="4" spans="1:16" x14ac:dyDescent="0.4">
      <c r="A4" s="1"/>
      <c r="I4" t="s">
        <v>18</v>
      </c>
      <c r="P4" t="s">
        <v>27</v>
      </c>
    </row>
    <row r="5" spans="1:16" x14ac:dyDescent="0.4">
      <c r="A5" s="3" t="s">
        <v>14</v>
      </c>
      <c r="B5" s="3"/>
      <c r="C5" s="3"/>
      <c r="D5" s="3"/>
      <c r="I5" t="s">
        <v>19</v>
      </c>
      <c r="P5" t="s">
        <v>28</v>
      </c>
    </row>
    <row r="6" spans="1:16" x14ac:dyDescent="0.4">
      <c r="A6" s="3" t="s">
        <v>15</v>
      </c>
      <c r="B6" s="3"/>
      <c r="C6" s="3"/>
      <c r="D6" s="3"/>
      <c r="E6" s="3"/>
      <c r="F6" s="3"/>
      <c r="G6" s="3"/>
      <c r="I6" t="s">
        <v>20</v>
      </c>
      <c r="P6" t="s">
        <v>29</v>
      </c>
    </row>
    <row r="7" spans="1:16" x14ac:dyDescent="0.4">
      <c r="A7" s="3"/>
      <c r="B7" s="3"/>
      <c r="C7" s="3"/>
      <c r="D7" s="3"/>
      <c r="E7" s="3"/>
      <c r="F7" s="3"/>
      <c r="G7" s="3"/>
      <c r="I7" t="s">
        <v>21</v>
      </c>
      <c r="P7" t="s">
        <v>30</v>
      </c>
    </row>
    <row r="8" spans="1:16" x14ac:dyDescent="0.4">
      <c r="A8" s="3"/>
      <c r="I8" t="s">
        <v>22</v>
      </c>
      <c r="P8" t="s">
        <v>31</v>
      </c>
    </row>
    <row r="9" spans="1:16" x14ac:dyDescent="0.4">
      <c r="I9" t="s">
        <v>23</v>
      </c>
    </row>
    <row r="10" spans="1:16" x14ac:dyDescent="0.4">
      <c r="A10" s="14" t="s">
        <v>8</v>
      </c>
      <c r="B10" s="5"/>
      <c r="C10" s="5"/>
      <c r="I10" t="s">
        <v>24</v>
      </c>
    </row>
    <row r="11" spans="1:16" x14ac:dyDescent="0.4">
      <c r="A11" s="5">
        <v>1</v>
      </c>
      <c r="B11" s="5" t="s">
        <v>0</v>
      </c>
      <c r="C11" s="5"/>
      <c r="I11" t="s">
        <v>25</v>
      </c>
    </row>
    <row r="12" spans="1:16" x14ac:dyDescent="0.4">
      <c r="A12" s="5">
        <v>2</v>
      </c>
      <c r="B12" s="5" t="s">
        <v>1</v>
      </c>
      <c r="C12" s="5"/>
    </row>
    <row r="13" spans="1:16" x14ac:dyDescent="0.4">
      <c r="A13" s="5">
        <v>3</v>
      </c>
      <c r="B13" s="5" t="s">
        <v>2</v>
      </c>
      <c r="C13" s="5"/>
    </row>
    <row r="14" spans="1:16" x14ac:dyDescent="0.4">
      <c r="A14" s="5"/>
      <c r="B14" s="5"/>
      <c r="C14" s="5"/>
    </row>
    <row r="15" spans="1:16" x14ac:dyDescent="0.4">
      <c r="A15" t="s">
        <v>10</v>
      </c>
      <c r="B15" s="4" t="s">
        <v>33</v>
      </c>
      <c r="H15" t="s">
        <v>34</v>
      </c>
    </row>
    <row r="16" spans="1:16" x14ac:dyDescent="0.4">
      <c r="A16" s="23" t="s">
        <v>7</v>
      </c>
      <c r="B16" s="23">
        <v>1</v>
      </c>
      <c r="C16" s="23">
        <v>2</v>
      </c>
      <c r="D16" s="23">
        <v>3</v>
      </c>
      <c r="E16" s="23">
        <v>4</v>
      </c>
      <c r="F16" s="23">
        <v>5</v>
      </c>
      <c r="G16" s="23">
        <v>6</v>
      </c>
      <c r="H16" s="23">
        <v>7</v>
      </c>
      <c r="I16" s="23">
        <v>8</v>
      </c>
      <c r="J16" s="23">
        <v>9</v>
      </c>
      <c r="K16" s="23">
        <v>10</v>
      </c>
      <c r="L16" s="23">
        <v>11</v>
      </c>
      <c r="M16" s="23">
        <v>12</v>
      </c>
    </row>
    <row r="17" spans="1:13" x14ac:dyDescent="0.4">
      <c r="A17" s="23" t="s">
        <v>9</v>
      </c>
      <c r="B17" s="23">
        <v>2</v>
      </c>
      <c r="C17" s="23">
        <v>2</v>
      </c>
      <c r="D17" s="23">
        <v>2</v>
      </c>
      <c r="E17" s="23">
        <v>2</v>
      </c>
      <c r="F17" s="24">
        <v>2</v>
      </c>
      <c r="G17" s="24">
        <v>2</v>
      </c>
      <c r="H17" s="24">
        <v>3</v>
      </c>
      <c r="I17" s="24">
        <v>3</v>
      </c>
      <c r="J17" s="24">
        <v>3</v>
      </c>
      <c r="K17" s="24">
        <v>3</v>
      </c>
      <c r="L17" s="24">
        <v>3</v>
      </c>
      <c r="M17" s="24">
        <v>3</v>
      </c>
    </row>
    <row r="18" spans="1:13" x14ac:dyDescent="0.4">
      <c r="B18" s="2"/>
    </row>
    <row r="19" spans="1:13" x14ac:dyDescent="0.4">
      <c r="A19" t="s">
        <v>16</v>
      </c>
      <c r="B19" s="2"/>
    </row>
    <row r="20" spans="1:13" x14ac:dyDescent="0.4">
      <c r="A20" s="32" t="s">
        <v>37</v>
      </c>
      <c r="B20" s="32">
        <v>3</v>
      </c>
      <c r="C20" s="32">
        <v>3</v>
      </c>
      <c r="D20" s="32">
        <v>3</v>
      </c>
      <c r="E20" s="33">
        <v>3</v>
      </c>
      <c r="F20" s="33">
        <v>3</v>
      </c>
      <c r="G20" s="33">
        <v>3</v>
      </c>
      <c r="H20" s="33">
        <v>3</v>
      </c>
      <c r="I20" s="33">
        <v>3</v>
      </c>
      <c r="J20" s="33">
        <v>3</v>
      </c>
      <c r="K20" s="33">
        <v>3</v>
      </c>
      <c r="L20" s="33">
        <v>3</v>
      </c>
      <c r="M20" s="33">
        <v>3</v>
      </c>
    </row>
    <row r="21" spans="1:13" x14ac:dyDescent="0.4">
      <c r="A21" s="33" t="s">
        <v>38</v>
      </c>
      <c r="B21" s="32">
        <v>3</v>
      </c>
      <c r="C21" s="33">
        <v>3</v>
      </c>
      <c r="D21" s="33">
        <v>3</v>
      </c>
      <c r="E21" s="33">
        <v>3</v>
      </c>
      <c r="F21" s="33">
        <v>3</v>
      </c>
      <c r="G21" s="33">
        <v>3</v>
      </c>
      <c r="H21" s="33">
        <v>3</v>
      </c>
      <c r="I21" s="33">
        <v>3</v>
      </c>
      <c r="J21" s="33">
        <v>3</v>
      </c>
      <c r="K21" s="33">
        <v>3</v>
      </c>
      <c r="L21" s="33">
        <v>3</v>
      </c>
      <c r="M21" s="33">
        <v>3</v>
      </c>
    </row>
    <row r="22" spans="1:13" x14ac:dyDescent="0.4">
      <c r="A22" s="33" t="s">
        <v>38</v>
      </c>
      <c r="B22" s="32">
        <v>3</v>
      </c>
      <c r="C22" s="33">
        <v>3</v>
      </c>
      <c r="D22" s="33">
        <v>3</v>
      </c>
      <c r="E22" s="33">
        <v>3</v>
      </c>
      <c r="F22" s="33">
        <v>3</v>
      </c>
      <c r="G22" s="33">
        <v>3</v>
      </c>
      <c r="H22" s="33">
        <v>3</v>
      </c>
      <c r="I22" s="33">
        <v>3</v>
      </c>
      <c r="J22" s="33">
        <v>3</v>
      </c>
      <c r="K22" s="33">
        <v>3</v>
      </c>
      <c r="L22" s="33">
        <v>3</v>
      </c>
      <c r="M22" s="33">
        <v>3</v>
      </c>
    </row>
    <row r="23" spans="1:13" x14ac:dyDescent="0.4">
      <c r="A23" s="33" t="s">
        <v>38</v>
      </c>
      <c r="B23" s="33">
        <v>3</v>
      </c>
      <c r="C23" s="33">
        <v>3</v>
      </c>
      <c r="D23" s="33">
        <v>3</v>
      </c>
      <c r="E23" s="33">
        <v>3</v>
      </c>
      <c r="F23" s="33">
        <v>3</v>
      </c>
      <c r="G23" s="33">
        <v>3</v>
      </c>
      <c r="H23" s="33">
        <v>3</v>
      </c>
      <c r="I23" s="33">
        <v>3</v>
      </c>
      <c r="J23" s="33">
        <v>3</v>
      </c>
      <c r="K23" s="33">
        <v>3</v>
      </c>
      <c r="L23" s="33">
        <v>3</v>
      </c>
      <c r="M23" s="33">
        <v>3</v>
      </c>
    </row>
    <row r="24" spans="1:13" x14ac:dyDescent="0.4">
      <c r="A24" s="33" t="s">
        <v>39</v>
      </c>
      <c r="B24" s="32">
        <v>3</v>
      </c>
      <c r="C24" s="33">
        <v>3</v>
      </c>
      <c r="D24" s="33">
        <v>3</v>
      </c>
      <c r="E24" s="33">
        <v>3</v>
      </c>
      <c r="F24" s="33">
        <v>3</v>
      </c>
      <c r="G24" s="33">
        <v>3</v>
      </c>
      <c r="H24" s="33">
        <v>3</v>
      </c>
      <c r="I24" s="33">
        <v>3</v>
      </c>
      <c r="J24" s="33">
        <v>3</v>
      </c>
      <c r="K24" s="33">
        <v>3</v>
      </c>
      <c r="L24" s="33">
        <v>3</v>
      </c>
      <c r="M24" s="33">
        <v>3</v>
      </c>
    </row>
    <row r="25" spans="1:13" x14ac:dyDescent="0.4">
      <c r="A25" s="33" t="s">
        <v>40</v>
      </c>
      <c r="B25" s="33">
        <v>3</v>
      </c>
      <c r="C25" s="33">
        <v>3</v>
      </c>
      <c r="D25" s="33">
        <v>3</v>
      </c>
      <c r="E25" s="33">
        <v>3</v>
      </c>
      <c r="F25" s="33">
        <v>3</v>
      </c>
      <c r="G25" s="33">
        <v>3</v>
      </c>
      <c r="H25" s="33">
        <v>3</v>
      </c>
      <c r="I25" s="33">
        <v>3</v>
      </c>
      <c r="J25" s="33">
        <v>3</v>
      </c>
      <c r="K25" s="33">
        <v>3</v>
      </c>
      <c r="L25" s="33">
        <v>3</v>
      </c>
      <c r="M25" s="33">
        <v>3</v>
      </c>
    </row>
    <row r="26" spans="1:13" x14ac:dyDescent="0.4">
      <c r="A26" s="33" t="s">
        <v>41</v>
      </c>
      <c r="B26" s="33">
        <v>3</v>
      </c>
      <c r="C26" s="33">
        <v>3</v>
      </c>
      <c r="D26" s="33">
        <v>3</v>
      </c>
      <c r="E26" s="33">
        <v>3</v>
      </c>
      <c r="F26" s="33">
        <v>3</v>
      </c>
      <c r="G26" s="33">
        <v>3</v>
      </c>
      <c r="H26" s="33">
        <v>3</v>
      </c>
      <c r="I26" s="33">
        <v>3</v>
      </c>
      <c r="J26" s="33">
        <v>3</v>
      </c>
      <c r="K26" s="33">
        <v>3</v>
      </c>
      <c r="L26" s="33">
        <v>3</v>
      </c>
      <c r="M26" s="33">
        <v>3</v>
      </c>
    </row>
    <row r="27" spans="1:13" x14ac:dyDescent="0.4">
      <c r="A27" s="33" t="s">
        <v>41</v>
      </c>
      <c r="B27" s="33">
        <v>3</v>
      </c>
      <c r="C27" s="33">
        <v>3</v>
      </c>
      <c r="D27" s="33">
        <v>3</v>
      </c>
      <c r="E27" s="33">
        <v>3</v>
      </c>
      <c r="F27" s="33">
        <v>3</v>
      </c>
      <c r="G27" s="33">
        <v>3</v>
      </c>
      <c r="H27" s="33">
        <v>3</v>
      </c>
      <c r="I27" s="33">
        <v>3</v>
      </c>
      <c r="J27" s="33">
        <v>3</v>
      </c>
      <c r="K27" s="33">
        <v>3</v>
      </c>
      <c r="L27" s="33">
        <v>3</v>
      </c>
      <c r="M27" s="33">
        <v>3</v>
      </c>
    </row>
    <row r="28" spans="1:13" x14ac:dyDescent="0.4">
      <c r="A28" s="33" t="s">
        <v>41</v>
      </c>
      <c r="B28" s="33">
        <v>3</v>
      </c>
      <c r="C28" s="33">
        <v>3</v>
      </c>
      <c r="D28" s="33">
        <v>3</v>
      </c>
      <c r="E28" s="33">
        <v>3</v>
      </c>
      <c r="F28" s="33">
        <v>3</v>
      </c>
      <c r="G28" s="33">
        <v>3</v>
      </c>
      <c r="H28" s="33">
        <v>3</v>
      </c>
      <c r="I28" s="33">
        <v>3</v>
      </c>
      <c r="J28" s="33">
        <v>3</v>
      </c>
      <c r="K28" s="33">
        <v>3</v>
      </c>
      <c r="L28" s="33">
        <v>3</v>
      </c>
      <c r="M28" s="33">
        <v>3</v>
      </c>
    </row>
    <row r="29" spans="1:13" x14ac:dyDescent="0.4">
      <c r="A29" s="33" t="s">
        <v>42</v>
      </c>
      <c r="B29" s="33">
        <v>3</v>
      </c>
      <c r="C29" s="33">
        <v>3</v>
      </c>
      <c r="D29" s="33">
        <v>3</v>
      </c>
      <c r="E29" s="33">
        <v>3</v>
      </c>
      <c r="F29" s="33">
        <v>3</v>
      </c>
      <c r="G29" s="33">
        <v>3</v>
      </c>
      <c r="H29" s="33">
        <v>3</v>
      </c>
      <c r="I29" s="33">
        <v>3</v>
      </c>
      <c r="J29" s="33">
        <v>3</v>
      </c>
      <c r="K29" s="33">
        <v>3</v>
      </c>
      <c r="L29" s="33">
        <v>3</v>
      </c>
      <c r="M29" s="33">
        <v>3</v>
      </c>
    </row>
    <row r="30" spans="1:13" x14ac:dyDescent="0.4">
      <c r="A30" s="33" t="s">
        <v>42</v>
      </c>
      <c r="B30" s="33">
        <v>3</v>
      </c>
      <c r="C30" s="33">
        <v>3</v>
      </c>
      <c r="D30" s="33">
        <v>3</v>
      </c>
      <c r="E30" s="33">
        <v>3</v>
      </c>
      <c r="F30" s="33">
        <v>3</v>
      </c>
      <c r="G30" s="33">
        <v>3</v>
      </c>
      <c r="H30" s="33">
        <v>3</v>
      </c>
      <c r="I30" s="33">
        <v>3</v>
      </c>
      <c r="J30" s="33">
        <v>3</v>
      </c>
      <c r="K30" s="33">
        <v>3</v>
      </c>
      <c r="L30" s="33">
        <v>3</v>
      </c>
      <c r="M30" s="33">
        <v>3</v>
      </c>
    </row>
    <row r="31" spans="1:13" x14ac:dyDescent="0.4">
      <c r="A31" s="33" t="s">
        <v>43</v>
      </c>
      <c r="B31" s="33">
        <v>3</v>
      </c>
      <c r="C31" s="33">
        <v>3</v>
      </c>
      <c r="D31" s="33">
        <v>3</v>
      </c>
      <c r="E31" s="33">
        <v>3</v>
      </c>
      <c r="F31" s="33">
        <v>3</v>
      </c>
      <c r="G31" s="33">
        <v>3</v>
      </c>
      <c r="H31" s="33">
        <v>3</v>
      </c>
      <c r="I31" s="33">
        <v>3</v>
      </c>
      <c r="J31" s="33">
        <v>3</v>
      </c>
      <c r="K31" s="33">
        <v>3</v>
      </c>
      <c r="L31" s="33">
        <v>3</v>
      </c>
      <c r="M31" s="33">
        <v>3</v>
      </c>
    </row>
    <row r="32" spans="1:13" x14ac:dyDescent="0.4">
      <c r="A32" s="33" t="s">
        <v>44</v>
      </c>
      <c r="B32" s="33">
        <v>3</v>
      </c>
      <c r="C32" s="33">
        <v>3</v>
      </c>
      <c r="D32" s="33">
        <v>3</v>
      </c>
      <c r="E32" s="33">
        <v>3</v>
      </c>
      <c r="F32" s="33">
        <v>3</v>
      </c>
      <c r="G32" s="33">
        <v>3</v>
      </c>
      <c r="H32" s="33">
        <v>3</v>
      </c>
      <c r="I32" s="33">
        <v>3</v>
      </c>
      <c r="J32" s="33">
        <v>3</v>
      </c>
      <c r="K32" s="33">
        <v>3</v>
      </c>
      <c r="L32" s="33">
        <v>3</v>
      </c>
      <c r="M32" s="33">
        <v>3</v>
      </c>
    </row>
    <row r="33" spans="1:13" x14ac:dyDescent="0.4">
      <c r="A33" s="33" t="s">
        <v>44</v>
      </c>
      <c r="B33" s="33">
        <v>3</v>
      </c>
      <c r="C33" s="33">
        <v>3</v>
      </c>
      <c r="D33" s="33">
        <v>3</v>
      </c>
      <c r="E33" s="33">
        <v>3</v>
      </c>
      <c r="F33" s="33">
        <v>3</v>
      </c>
      <c r="G33" s="33">
        <v>3</v>
      </c>
      <c r="H33" s="33">
        <v>3</v>
      </c>
      <c r="I33" s="33">
        <v>3</v>
      </c>
      <c r="J33" s="33">
        <v>3</v>
      </c>
      <c r="K33" s="33">
        <v>3</v>
      </c>
      <c r="L33" s="33">
        <v>3</v>
      </c>
      <c r="M33" s="33">
        <v>3</v>
      </c>
    </row>
    <row r="34" spans="1:13" x14ac:dyDescent="0.4">
      <c r="A34" s="33" t="s">
        <v>45</v>
      </c>
      <c r="B34" s="33">
        <v>3</v>
      </c>
      <c r="C34" s="33">
        <v>3</v>
      </c>
      <c r="D34" s="33">
        <v>3</v>
      </c>
      <c r="E34" s="33">
        <v>3</v>
      </c>
      <c r="F34" s="33">
        <v>3</v>
      </c>
      <c r="G34" s="33">
        <v>3</v>
      </c>
      <c r="H34" s="33">
        <v>3</v>
      </c>
      <c r="I34" s="33">
        <v>3</v>
      </c>
      <c r="J34" s="33">
        <v>3</v>
      </c>
      <c r="K34" s="33">
        <v>3</v>
      </c>
      <c r="L34" s="33">
        <v>3</v>
      </c>
      <c r="M34" s="33">
        <v>3</v>
      </c>
    </row>
    <row r="35" spans="1:13" x14ac:dyDescent="0.4">
      <c r="A35" s="33" t="s">
        <v>45</v>
      </c>
      <c r="B35" s="33">
        <v>3</v>
      </c>
      <c r="C35" s="33">
        <v>3</v>
      </c>
      <c r="D35" s="33">
        <v>3</v>
      </c>
      <c r="E35" s="33">
        <v>3</v>
      </c>
      <c r="F35" s="33">
        <v>3</v>
      </c>
      <c r="G35" s="33">
        <v>3</v>
      </c>
      <c r="H35" s="33">
        <v>3</v>
      </c>
      <c r="I35" s="33">
        <v>3</v>
      </c>
      <c r="J35" s="33">
        <v>3</v>
      </c>
      <c r="K35" s="33">
        <v>3</v>
      </c>
      <c r="L35" s="33">
        <v>3</v>
      </c>
      <c r="M35" s="33">
        <v>3</v>
      </c>
    </row>
    <row r="36" spans="1:13" x14ac:dyDescent="0.4">
      <c r="A36" s="33" t="s">
        <v>45</v>
      </c>
      <c r="B36" s="33">
        <v>3</v>
      </c>
      <c r="C36" s="33">
        <v>3</v>
      </c>
      <c r="D36" s="33">
        <v>3</v>
      </c>
      <c r="E36" s="33">
        <v>3</v>
      </c>
      <c r="F36" s="33">
        <v>3</v>
      </c>
      <c r="G36" s="33">
        <v>3</v>
      </c>
      <c r="H36" s="33">
        <v>3</v>
      </c>
      <c r="I36" s="33">
        <v>3</v>
      </c>
      <c r="J36" s="33">
        <v>3</v>
      </c>
      <c r="K36" s="33">
        <v>3</v>
      </c>
      <c r="L36" s="33">
        <v>3</v>
      </c>
      <c r="M36" s="33">
        <v>3</v>
      </c>
    </row>
    <row r="37" spans="1:13" x14ac:dyDescent="0.4">
      <c r="A37" s="33" t="s">
        <v>46</v>
      </c>
      <c r="B37" s="33">
        <v>3</v>
      </c>
      <c r="C37" s="33">
        <v>3</v>
      </c>
      <c r="D37" s="33">
        <v>3</v>
      </c>
      <c r="E37" s="33">
        <v>3</v>
      </c>
      <c r="F37" s="33">
        <v>3</v>
      </c>
      <c r="G37" s="33">
        <v>3</v>
      </c>
      <c r="H37" s="33">
        <v>3</v>
      </c>
      <c r="I37" s="33">
        <v>3</v>
      </c>
      <c r="J37" s="33">
        <v>3</v>
      </c>
      <c r="K37" s="33">
        <v>3</v>
      </c>
      <c r="L37" s="33">
        <v>3</v>
      </c>
      <c r="M37" s="33">
        <v>3</v>
      </c>
    </row>
    <row r="38" spans="1:13" x14ac:dyDescent="0.4">
      <c r="A38" s="33" t="s">
        <v>46</v>
      </c>
      <c r="B38" s="33">
        <v>3</v>
      </c>
      <c r="C38" s="33">
        <v>3</v>
      </c>
      <c r="D38" s="33">
        <v>3</v>
      </c>
      <c r="E38" s="33">
        <v>3</v>
      </c>
      <c r="F38" s="33">
        <v>3</v>
      </c>
      <c r="G38" s="33">
        <v>3</v>
      </c>
      <c r="H38" s="33">
        <v>3</v>
      </c>
      <c r="I38" s="33">
        <v>3</v>
      </c>
      <c r="J38" s="33">
        <v>3</v>
      </c>
      <c r="K38" s="33">
        <v>3</v>
      </c>
      <c r="L38" s="33">
        <v>3</v>
      </c>
      <c r="M38" s="33">
        <v>3</v>
      </c>
    </row>
    <row r="39" spans="1:13" x14ac:dyDescent="0.4">
      <c r="A39" s="33" t="s">
        <v>47</v>
      </c>
      <c r="B39" s="33">
        <v>3</v>
      </c>
      <c r="C39" s="33">
        <v>3</v>
      </c>
      <c r="D39" s="33">
        <v>3</v>
      </c>
      <c r="E39" s="33">
        <v>3</v>
      </c>
      <c r="F39" s="33">
        <v>3</v>
      </c>
      <c r="G39" s="33">
        <v>3</v>
      </c>
      <c r="H39" s="33">
        <v>3</v>
      </c>
      <c r="I39" s="33">
        <v>3</v>
      </c>
      <c r="J39" s="33">
        <v>3</v>
      </c>
      <c r="K39" s="33">
        <v>3</v>
      </c>
      <c r="L39" s="33">
        <v>3</v>
      </c>
      <c r="M39" s="33">
        <v>3</v>
      </c>
    </row>
    <row r="40" spans="1:13" x14ac:dyDescent="0.4">
      <c r="A40" s="33" t="s">
        <v>47</v>
      </c>
      <c r="B40" s="33">
        <v>3</v>
      </c>
      <c r="C40" s="33">
        <v>3</v>
      </c>
      <c r="D40" s="33">
        <v>3</v>
      </c>
      <c r="E40" s="33">
        <v>3</v>
      </c>
      <c r="F40" s="33">
        <v>3</v>
      </c>
      <c r="G40" s="33">
        <v>3</v>
      </c>
      <c r="H40" s="33">
        <v>3</v>
      </c>
      <c r="I40" s="33">
        <v>3</v>
      </c>
      <c r="J40" s="33">
        <v>3</v>
      </c>
      <c r="K40" s="33">
        <v>3</v>
      </c>
      <c r="L40" s="33">
        <v>3</v>
      </c>
      <c r="M40" s="33">
        <v>3</v>
      </c>
    </row>
    <row r="41" spans="1:13" x14ac:dyDescent="0.4">
      <c r="A41" s="33" t="s">
        <v>47</v>
      </c>
      <c r="B41" s="33">
        <v>3</v>
      </c>
      <c r="C41" s="33">
        <v>3</v>
      </c>
      <c r="D41" s="33">
        <v>3</v>
      </c>
      <c r="E41" s="33">
        <v>3</v>
      </c>
      <c r="F41" s="33">
        <v>3</v>
      </c>
      <c r="G41" s="33">
        <v>3</v>
      </c>
      <c r="H41" s="33">
        <v>3</v>
      </c>
      <c r="I41" s="33">
        <v>3</v>
      </c>
      <c r="J41" s="33">
        <v>3</v>
      </c>
      <c r="K41" s="33">
        <v>3</v>
      </c>
      <c r="L41" s="33">
        <v>3</v>
      </c>
      <c r="M41" s="33">
        <v>3</v>
      </c>
    </row>
    <row r="42" spans="1:13" x14ac:dyDescent="0.4">
      <c r="A42" s="33" t="s">
        <v>48</v>
      </c>
      <c r="B42" s="33">
        <v>3</v>
      </c>
      <c r="C42" s="33">
        <v>3</v>
      </c>
      <c r="D42" s="33">
        <v>3</v>
      </c>
      <c r="E42" s="33">
        <v>3</v>
      </c>
      <c r="F42" s="33">
        <v>3</v>
      </c>
      <c r="G42" s="33">
        <v>3</v>
      </c>
      <c r="H42" s="33">
        <v>3</v>
      </c>
      <c r="I42" s="33">
        <v>3</v>
      </c>
      <c r="J42" s="33">
        <v>3</v>
      </c>
      <c r="K42" s="33">
        <v>3</v>
      </c>
      <c r="L42" s="33">
        <v>3</v>
      </c>
      <c r="M42" s="33">
        <v>3</v>
      </c>
    </row>
    <row r="43" spans="1:13" x14ac:dyDescent="0.4">
      <c r="A43" s="33" t="s">
        <v>49</v>
      </c>
      <c r="B43" s="33">
        <v>3</v>
      </c>
      <c r="C43" s="33">
        <v>3</v>
      </c>
      <c r="D43" s="33">
        <v>3</v>
      </c>
      <c r="E43" s="33">
        <v>3</v>
      </c>
      <c r="F43" s="33">
        <v>3</v>
      </c>
      <c r="G43" s="33">
        <v>3</v>
      </c>
      <c r="H43" s="33">
        <v>3</v>
      </c>
      <c r="I43" s="33">
        <v>3</v>
      </c>
      <c r="J43" s="33">
        <v>3</v>
      </c>
      <c r="K43" s="33">
        <v>3</v>
      </c>
      <c r="L43" s="33">
        <v>3</v>
      </c>
      <c r="M43" s="33">
        <v>3</v>
      </c>
    </row>
    <row r="44" spans="1:13" x14ac:dyDescent="0.4">
      <c r="A44" s="33" t="s">
        <v>49</v>
      </c>
      <c r="B44" s="33">
        <v>3</v>
      </c>
      <c r="C44" s="33">
        <v>3</v>
      </c>
      <c r="D44" s="33">
        <v>3</v>
      </c>
      <c r="E44" s="33">
        <v>3</v>
      </c>
      <c r="F44" s="33">
        <v>3</v>
      </c>
      <c r="G44" s="33">
        <v>3</v>
      </c>
      <c r="H44" s="33">
        <v>3</v>
      </c>
      <c r="I44" s="33">
        <v>3</v>
      </c>
      <c r="J44" s="33">
        <v>3</v>
      </c>
      <c r="K44" s="33">
        <v>3</v>
      </c>
      <c r="L44" s="33">
        <v>3</v>
      </c>
      <c r="M44" s="33">
        <v>3</v>
      </c>
    </row>
    <row r="45" spans="1:13" x14ac:dyDescent="0.4">
      <c r="A45" s="33" t="s">
        <v>50</v>
      </c>
      <c r="B45" s="33">
        <v>3</v>
      </c>
      <c r="C45" s="33">
        <v>3</v>
      </c>
      <c r="D45" s="33">
        <v>3</v>
      </c>
      <c r="E45" s="33">
        <v>3</v>
      </c>
      <c r="F45" s="33">
        <v>3</v>
      </c>
      <c r="G45" s="33">
        <v>3</v>
      </c>
      <c r="H45" s="33">
        <v>3</v>
      </c>
      <c r="I45" s="33">
        <v>3</v>
      </c>
      <c r="J45" s="33">
        <v>3</v>
      </c>
      <c r="K45" s="33">
        <v>3</v>
      </c>
      <c r="L45" s="33">
        <v>3</v>
      </c>
      <c r="M45" s="33">
        <v>3</v>
      </c>
    </row>
    <row r="46" spans="1:13" x14ac:dyDescent="0.4">
      <c r="A46" s="33" t="s">
        <v>51</v>
      </c>
      <c r="B46" s="33">
        <v>3</v>
      </c>
      <c r="C46" s="33">
        <v>3</v>
      </c>
      <c r="D46" s="33">
        <v>3</v>
      </c>
      <c r="E46" s="33">
        <v>3</v>
      </c>
      <c r="F46" s="33">
        <v>3</v>
      </c>
      <c r="G46" s="33">
        <v>3</v>
      </c>
      <c r="H46" s="33">
        <v>3</v>
      </c>
      <c r="I46" s="33">
        <v>3</v>
      </c>
      <c r="J46" s="33">
        <v>3</v>
      </c>
      <c r="K46" s="33">
        <v>3</v>
      </c>
      <c r="L46" s="33">
        <v>3</v>
      </c>
      <c r="M46" s="33">
        <v>3</v>
      </c>
    </row>
    <row r="47" spans="1:13" x14ac:dyDescent="0.4">
      <c r="A47" s="33" t="s">
        <v>51</v>
      </c>
      <c r="B47" s="33">
        <v>3</v>
      </c>
      <c r="C47" s="33">
        <v>3</v>
      </c>
      <c r="D47" s="33">
        <v>3</v>
      </c>
      <c r="E47" s="33">
        <v>3</v>
      </c>
      <c r="F47" s="33">
        <v>3</v>
      </c>
      <c r="G47" s="33">
        <v>3</v>
      </c>
      <c r="H47" s="33">
        <v>3</v>
      </c>
      <c r="I47" s="33">
        <v>3</v>
      </c>
      <c r="J47" s="33">
        <v>3</v>
      </c>
      <c r="K47" s="33">
        <v>3</v>
      </c>
      <c r="L47" s="33">
        <v>3</v>
      </c>
      <c r="M47" s="33">
        <v>3</v>
      </c>
    </row>
    <row r="48" spans="1:13" x14ac:dyDescent="0.4">
      <c r="A48" s="33" t="s">
        <v>52</v>
      </c>
      <c r="B48" s="33">
        <v>3</v>
      </c>
      <c r="C48" s="33">
        <v>3</v>
      </c>
      <c r="D48" s="33">
        <v>3</v>
      </c>
      <c r="E48" s="33">
        <v>3</v>
      </c>
      <c r="F48" s="33">
        <v>3</v>
      </c>
      <c r="G48" s="33">
        <v>3</v>
      </c>
      <c r="H48" s="33">
        <v>3</v>
      </c>
      <c r="I48" s="33">
        <v>3</v>
      </c>
      <c r="J48" s="33">
        <v>3</v>
      </c>
      <c r="K48" s="33">
        <v>3</v>
      </c>
      <c r="L48" s="33">
        <v>3</v>
      </c>
      <c r="M48" s="33">
        <v>3</v>
      </c>
    </row>
    <row r="49" spans="1:13" x14ac:dyDescent="0.4">
      <c r="A49" s="22" t="s">
        <v>52</v>
      </c>
      <c r="B49" s="33">
        <v>3</v>
      </c>
      <c r="C49" s="33">
        <v>3</v>
      </c>
      <c r="D49" s="33">
        <v>3</v>
      </c>
      <c r="E49" s="33">
        <v>3</v>
      </c>
      <c r="F49" s="33">
        <v>3</v>
      </c>
      <c r="G49" s="33">
        <v>3</v>
      </c>
      <c r="H49" s="33">
        <v>3</v>
      </c>
      <c r="I49" s="33">
        <v>3</v>
      </c>
      <c r="J49" s="33">
        <v>3</v>
      </c>
      <c r="K49" s="33">
        <v>3</v>
      </c>
      <c r="L49" s="33">
        <v>3</v>
      </c>
      <c r="M49" s="33">
        <v>3</v>
      </c>
    </row>
    <row r="50" spans="1:13" x14ac:dyDescent="0.4">
      <c r="A50" s="22" t="s">
        <v>52</v>
      </c>
      <c r="B50" s="33">
        <v>3</v>
      </c>
      <c r="C50" s="33">
        <v>3</v>
      </c>
      <c r="D50" s="33">
        <v>3</v>
      </c>
      <c r="E50" s="33">
        <v>3</v>
      </c>
      <c r="F50" s="33">
        <v>3</v>
      </c>
      <c r="G50" s="33">
        <v>3</v>
      </c>
      <c r="H50" s="33">
        <v>3</v>
      </c>
      <c r="I50" s="33">
        <v>3</v>
      </c>
      <c r="J50" s="33">
        <v>3</v>
      </c>
      <c r="K50" s="33">
        <v>3</v>
      </c>
      <c r="L50" s="33">
        <v>3</v>
      </c>
      <c r="M50" s="33">
        <v>3</v>
      </c>
    </row>
    <row r="51" spans="1:13" x14ac:dyDescent="0.4">
      <c r="A51" s="22" t="s">
        <v>53</v>
      </c>
      <c r="B51" s="33">
        <v>3</v>
      </c>
      <c r="C51" s="33">
        <v>3</v>
      </c>
      <c r="D51" s="33">
        <v>3</v>
      </c>
      <c r="E51" s="33">
        <v>3</v>
      </c>
      <c r="F51" s="33">
        <v>3</v>
      </c>
      <c r="G51" s="33">
        <v>3</v>
      </c>
      <c r="H51" s="33">
        <v>3</v>
      </c>
      <c r="I51" s="33">
        <v>3</v>
      </c>
      <c r="J51" s="33">
        <v>3</v>
      </c>
      <c r="K51" s="33">
        <v>3</v>
      </c>
      <c r="L51" s="33">
        <v>3</v>
      </c>
      <c r="M51" s="33">
        <v>3</v>
      </c>
    </row>
    <row r="52" spans="1:13" x14ac:dyDescent="0.4">
      <c r="A52" s="22" t="s">
        <v>55</v>
      </c>
      <c r="B52" s="33">
        <v>3</v>
      </c>
      <c r="C52" s="33">
        <v>3</v>
      </c>
      <c r="D52" s="33">
        <v>3</v>
      </c>
      <c r="E52" s="33">
        <v>3</v>
      </c>
      <c r="F52" s="33">
        <v>3</v>
      </c>
      <c r="G52" s="33">
        <v>3</v>
      </c>
      <c r="H52" s="33">
        <v>3</v>
      </c>
      <c r="I52" s="33">
        <v>3</v>
      </c>
      <c r="J52" s="33">
        <v>3</v>
      </c>
      <c r="K52" s="33">
        <v>3</v>
      </c>
      <c r="L52" s="33">
        <v>3</v>
      </c>
      <c r="M52" s="33">
        <v>3</v>
      </c>
    </row>
    <row r="53" spans="1:13" x14ac:dyDescent="0.4">
      <c r="A53" s="22" t="s">
        <v>56</v>
      </c>
      <c r="B53" s="33">
        <v>3</v>
      </c>
      <c r="C53" s="33">
        <v>3</v>
      </c>
      <c r="D53" s="33">
        <v>3</v>
      </c>
      <c r="E53" s="33">
        <v>3</v>
      </c>
      <c r="F53" s="33">
        <v>3</v>
      </c>
      <c r="G53" s="33">
        <v>3</v>
      </c>
      <c r="H53" s="33">
        <v>3</v>
      </c>
      <c r="I53" s="33">
        <v>3</v>
      </c>
      <c r="J53" s="33">
        <v>3</v>
      </c>
      <c r="K53" s="33">
        <v>3</v>
      </c>
      <c r="L53" s="33">
        <v>3</v>
      </c>
      <c r="M53" s="33">
        <v>3</v>
      </c>
    </row>
    <row r="54" spans="1:13" x14ac:dyDescent="0.4">
      <c r="A54" s="22" t="s">
        <v>56</v>
      </c>
      <c r="B54" s="33">
        <v>3</v>
      </c>
      <c r="C54" s="33">
        <v>3</v>
      </c>
      <c r="D54" s="33">
        <v>3</v>
      </c>
      <c r="E54" s="33">
        <v>3</v>
      </c>
      <c r="F54" s="33">
        <v>3</v>
      </c>
      <c r="G54" s="33">
        <v>3</v>
      </c>
      <c r="H54" s="33">
        <v>3</v>
      </c>
      <c r="I54" s="33">
        <v>3</v>
      </c>
      <c r="J54" s="33">
        <v>3</v>
      </c>
      <c r="K54" s="33">
        <v>3</v>
      </c>
      <c r="L54" s="33">
        <v>3</v>
      </c>
      <c r="M54" s="33">
        <v>3</v>
      </c>
    </row>
    <row r="55" spans="1:13" x14ac:dyDescent="0.4">
      <c r="A55" s="22" t="s">
        <v>57</v>
      </c>
      <c r="B55" s="33">
        <v>3</v>
      </c>
      <c r="C55" s="33">
        <v>3</v>
      </c>
      <c r="D55" s="33">
        <v>3</v>
      </c>
      <c r="E55" s="33">
        <v>3</v>
      </c>
      <c r="F55" s="33">
        <v>3</v>
      </c>
      <c r="G55" s="33">
        <v>3</v>
      </c>
      <c r="H55" s="33">
        <v>3</v>
      </c>
      <c r="I55" s="33">
        <v>3</v>
      </c>
      <c r="J55" s="33">
        <v>3</v>
      </c>
      <c r="K55" s="33">
        <v>3</v>
      </c>
      <c r="L55" s="33">
        <v>3</v>
      </c>
      <c r="M55" s="33">
        <v>3</v>
      </c>
    </row>
    <row r="56" spans="1:13" x14ac:dyDescent="0.4">
      <c r="A56" s="22" t="s">
        <v>57</v>
      </c>
      <c r="B56" s="33">
        <v>3</v>
      </c>
      <c r="C56" s="33">
        <v>3</v>
      </c>
      <c r="D56" s="33">
        <v>3</v>
      </c>
      <c r="E56" s="33">
        <v>3</v>
      </c>
      <c r="F56" s="33">
        <v>3</v>
      </c>
      <c r="G56" s="33">
        <v>3</v>
      </c>
      <c r="H56" s="33">
        <v>3</v>
      </c>
      <c r="I56" s="33">
        <v>3</v>
      </c>
      <c r="J56" s="33">
        <v>3</v>
      </c>
      <c r="K56" s="33">
        <v>3</v>
      </c>
      <c r="L56" s="33">
        <v>3</v>
      </c>
      <c r="M56" s="33">
        <v>3</v>
      </c>
    </row>
    <row r="57" spans="1:13" x14ac:dyDescent="0.4">
      <c r="A57" s="22" t="s">
        <v>58</v>
      </c>
      <c r="B57" s="33">
        <v>3</v>
      </c>
      <c r="C57" s="33">
        <v>3</v>
      </c>
      <c r="D57" s="33">
        <v>3</v>
      </c>
      <c r="E57" s="33">
        <v>3</v>
      </c>
      <c r="F57" s="33">
        <v>3</v>
      </c>
      <c r="G57" s="33">
        <v>2</v>
      </c>
      <c r="H57" s="33">
        <v>3</v>
      </c>
      <c r="I57" s="33">
        <v>3</v>
      </c>
      <c r="J57" s="33">
        <v>3</v>
      </c>
      <c r="K57" s="33">
        <v>3</v>
      </c>
      <c r="L57" s="33">
        <v>3</v>
      </c>
      <c r="M57" s="33">
        <v>3</v>
      </c>
    </row>
    <row r="58" spans="1:13" x14ac:dyDescent="0.4">
      <c r="A58" s="22" t="s">
        <v>58</v>
      </c>
      <c r="B58" s="33">
        <v>3</v>
      </c>
      <c r="C58" s="33">
        <v>3</v>
      </c>
      <c r="D58" s="33">
        <v>3</v>
      </c>
      <c r="E58" s="33">
        <v>3</v>
      </c>
      <c r="F58" s="33">
        <v>3</v>
      </c>
      <c r="G58" s="33">
        <v>2</v>
      </c>
      <c r="H58" s="33">
        <v>3</v>
      </c>
      <c r="I58" s="33">
        <v>3</v>
      </c>
      <c r="J58" s="33">
        <v>3</v>
      </c>
      <c r="K58" s="33">
        <v>3</v>
      </c>
      <c r="L58" s="33">
        <v>3</v>
      </c>
      <c r="M58" s="33">
        <v>3</v>
      </c>
    </row>
    <row r="59" spans="1:13" x14ac:dyDescent="0.4">
      <c r="A59" s="22" t="s">
        <v>58</v>
      </c>
      <c r="B59" s="33">
        <v>3</v>
      </c>
      <c r="C59" s="33">
        <v>3</v>
      </c>
      <c r="D59" s="33">
        <v>3</v>
      </c>
      <c r="E59" s="33">
        <v>3</v>
      </c>
      <c r="F59" s="33">
        <v>3</v>
      </c>
      <c r="G59" s="33">
        <v>2</v>
      </c>
      <c r="H59" s="33">
        <v>3</v>
      </c>
      <c r="I59" s="33">
        <v>3</v>
      </c>
      <c r="J59" s="33">
        <v>3</v>
      </c>
      <c r="K59" s="33">
        <v>3</v>
      </c>
      <c r="L59" s="33">
        <v>3</v>
      </c>
      <c r="M59" s="33">
        <v>3</v>
      </c>
    </row>
    <row r="60" spans="1:13" x14ac:dyDescent="0.4">
      <c r="A60" s="22" t="s">
        <v>59</v>
      </c>
      <c r="B60" s="33">
        <v>3</v>
      </c>
      <c r="C60" s="33">
        <v>3</v>
      </c>
      <c r="D60" s="33">
        <v>3</v>
      </c>
      <c r="E60" s="33">
        <v>3</v>
      </c>
      <c r="F60" s="33">
        <v>2</v>
      </c>
      <c r="G60" s="33">
        <v>2</v>
      </c>
      <c r="H60" s="33">
        <v>3</v>
      </c>
      <c r="I60" s="33">
        <v>3</v>
      </c>
      <c r="J60" s="33">
        <v>3</v>
      </c>
      <c r="K60" s="33">
        <v>3</v>
      </c>
      <c r="L60" s="33">
        <v>3</v>
      </c>
      <c r="M60" s="33">
        <v>3</v>
      </c>
    </row>
    <row r="61" spans="1:13" x14ac:dyDescent="0.4">
      <c r="A61" s="22" t="s">
        <v>60</v>
      </c>
      <c r="B61" s="33">
        <v>3</v>
      </c>
      <c r="C61" s="33">
        <v>2</v>
      </c>
      <c r="D61" s="33">
        <v>3</v>
      </c>
      <c r="E61" s="33">
        <v>3</v>
      </c>
      <c r="F61" s="33">
        <v>2</v>
      </c>
      <c r="G61" s="33">
        <v>2</v>
      </c>
      <c r="H61" s="33">
        <v>3</v>
      </c>
      <c r="I61" s="33">
        <v>3</v>
      </c>
      <c r="J61" s="33">
        <v>3</v>
      </c>
      <c r="K61" s="33">
        <v>3</v>
      </c>
      <c r="L61" s="33">
        <v>3</v>
      </c>
      <c r="M61" s="33">
        <v>3</v>
      </c>
    </row>
    <row r="62" spans="1:13" x14ac:dyDescent="0.4">
      <c r="A62" s="22" t="s">
        <v>60</v>
      </c>
      <c r="B62" s="33">
        <v>3</v>
      </c>
      <c r="C62" s="33">
        <v>2</v>
      </c>
      <c r="D62" s="33">
        <v>3</v>
      </c>
      <c r="E62" s="33">
        <v>3</v>
      </c>
      <c r="F62" s="33">
        <v>2</v>
      </c>
      <c r="G62" s="33">
        <v>2</v>
      </c>
      <c r="H62" s="33">
        <v>3</v>
      </c>
      <c r="I62" s="33">
        <v>3</v>
      </c>
      <c r="J62" s="33">
        <v>3</v>
      </c>
      <c r="K62" s="33">
        <v>3</v>
      </c>
      <c r="L62" s="33">
        <v>3</v>
      </c>
      <c r="M62" s="33">
        <v>3</v>
      </c>
    </row>
    <row r="63" spans="1:13" x14ac:dyDescent="0.4">
      <c r="A63" s="22" t="s">
        <v>60</v>
      </c>
      <c r="B63" s="33">
        <v>3</v>
      </c>
      <c r="C63" s="33">
        <v>2</v>
      </c>
      <c r="D63" s="33">
        <v>3</v>
      </c>
      <c r="E63" s="33">
        <v>3</v>
      </c>
      <c r="F63" s="33">
        <v>2</v>
      </c>
      <c r="G63" s="33">
        <v>2</v>
      </c>
      <c r="H63" s="33">
        <v>3</v>
      </c>
      <c r="I63" s="33">
        <v>3</v>
      </c>
      <c r="J63" s="33">
        <v>3</v>
      </c>
      <c r="K63" s="33">
        <v>3</v>
      </c>
      <c r="L63" s="33">
        <v>3</v>
      </c>
      <c r="M63" s="33">
        <v>3</v>
      </c>
    </row>
    <row r="64" spans="1:13" x14ac:dyDescent="0.4">
      <c r="A64" s="22" t="s">
        <v>61</v>
      </c>
      <c r="B64" s="33">
        <v>3</v>
      </c>
      <c r="C64" s="33">
        <v>2</v>
      </c>
      <c r="D64" s="33">
        <v>3</v>
      </c>
      <c r="E64" s="33">
        <v>3</v>
      </c>
      <c r="F64" s="33">
        <v>2</v>
      </c>
      <c r="G64" s="33">
        <v>2</v>
      </c>
      <c r="H64" s="33">
        <v>3</v>
      </c>
      <c r="I64" s="33">
        <v>3</v>
      </c>
      <c r="J64" s="33">
        <v>3</v>
      </c>
      <c r="K64" s="33">
        <v>3</v>
      </c>
      <c r="L64" s="33">
        <v>3</v>
      </c>
      <c r="M64" s="33">
        <v>3</v>
      </c>
    </row>
    <row r="65" spans="1:13" x14ac:dyDescent="0.4">
      <c r="A65" s="22" t="s">
        <v>61</v>
      </c>
      <c r="B65" s="33">
        <v>3</v>
      </c>
      <c r="C65" s="33">
        <v>2</v>
      </c>
      <c r="D65" s="33">
        <v>3</v>
      </c>
      <c r="E65" s="33">
        <v>3</v>
      </c>
      <c r="F65" s="33">
        <v>2</v>
      </c>
      <c r="G65" s="33">
        <v>2</v>
      </c>
      <c r="H65" s="33">
        <v>3</v>
      </c>
      <c r="I65" s="33">
        <v>3</v>
      </c>
      <c r="J65" s="33">
        <v>3</v>
      </c>
      <c r="K65" s="33">
        <v>3</v>
      </c>
      <c r="L65" s="33">
        <v>3</v>
      </c>
      <c r="M65" s="33">
        <v>3</v>
      </c>
    </row>
    <row r="66" spans="1:13" x14ac:dyDescent="0.4">
      <c r="A66" s="22" t="s">
        <v>61</v>
      </c>
      <c r="B66" s="33">
        <v>3</v>
      </c>
      <c r="C66" s="33">
        <v>2</v>
      </c>
      <c r="D66" s="33">
        <v>3</v>
      </c>
      <c r="E66" s="33">
        <v>3</v>
      </c>
      <c r="F66" s="33">
        <v>2</v>
      </c>
      <c r="G66" s="33">
        <v>2</v>
      </c>
      <c r="H66" s="33">
        <v>3</v>
      </c>
      <c r="I66" s="33">
        <v>3</v>
      </c>
      <c r="J66" s="33">
        <v>3</v>
      </c>
      <c r="K66" s="33">
        <v>3</v>
      </c>
      <c r="L66" s="33">
        <v>3</v>
      </c>
      <c r="M66" s="33">
        <v>3</v>
      </c>
    </row>
    <row r="67" spans="1:13" x14ac:dyDescent="0.4">
      <c r="A67" s="22" t="s">
        <v>61</v>
      </c>
      <c r="B67" s="33">
        <v>3</v>
      </c>
      <c r="C67" s="33">
        <v>2</v>
      </c>
      <c r="D67" s="33">
        <v>3</v>
      </c>
      <c r="E67" s="33">
        <v>3</v>
      </c>
      <c r="F67" s="33">
        <v>2</v>
      </c>
      <c r="G67" s="33">
        <v>2</v>
      </c>
      <c r="H67" s="33">
        <v>3</v>
      </c>
      <c r="I67" s="33">
        <v>3</v>
      </c>
      <c r="J67" s="33">
        <v>3</v>
      </c>
      <c r="K67" s="33">
        <v>3</v>
      </c>
      <c r="L67" s="33">
        <v>3</v>
      </c>
      <c r="M67" s="33">
        <v>3</v>
      </c>
    </row>
    <row r="68" spans="1:13" x14ac:dyDescent="0.4">
      <c r="A68" s="22" t="s">
        <v>61</v>
      </c>
      <c r="B68" s="33">
        <v>3</v>
      </c>
      <c r="C68" s="33">
        <v>2</v>
      </c>
      <c r="D68" s="33">
        <v>3</v>
      </c>
      <c r="E68" s="33">
        <v>3</v>
      </c>
      <c r="F68" s="33">
        <v>2</v>
      </c>
      <c r="G68" s="33">
        <v>2</v>
      </c>
      <c r="H68" s="33">
        <v>3</v>
      </c>
      <c r="I68" s="33">
        <v>3</v>
      </c>
      <c r="J68" s="33">
        <v>3</v>
      </c>
      <c r="K68" s="33">
        <v>3</v>
      </c>
      <c r="L68" s="33">
        <v>3</v>
      </c>
      <c r="M68" s="33">
        <v>3</v>
      </c>
    </row>
    <row r="69" spans="1:13" x14ac:dyDescent="0.4">
      <c r="A69" s="22" t="s">
        <v>61</v>
      </c>
      <c r="B69" s="33">
        <v>3</v>
      </c>
      <c r="C69" s="33">
        <v>2</v>
      </c>
      <c r="D69" s="33">
        <v>2</v>
      </c>
      <c r="E69" s="33">
        <v>3</v>
      </c>
      <c r="F69" s="33">
        <v>2</v>
      </c>
      <c r="G69" s="33">
        <v>2</v>
      </c>
      <c r="H69" s="33">
        <v>3</v>
      </c>
      <c r="I69" s="33">
        <v>3</v>
      </c>
      <c r="J69" s="33">
        <v>3</v>
      </c>
      <c r="K69" s="33">
        <v>3</v>
      </c>
      <c r="L69" s="33">
        <v>3</v>
      </c>
      <c r="M69" s="33">
        <v>3</v>
      </c>
    </row>
    <row r="70" spans="1:13" x14ac:dyDescent="0.4">
      <c r="A70" s="22" t="s">
        <v>61</v>
      </c>
      <c r="B70" s="33">
        <v>3</v>
      </c>
      <c r="C70" s="33">
        <v>2</v>
      </c>
      <c r="D70" s="33">
        <v>2</v>
      </c>
      <c r="E70" s="33">
        <v>3</v>
      </c>
      <c r="F70" s="33">
        <v>2</v>
      </c>
      <c r="G70" s="33">
        <v>2</v>
      </c>
      <c r="H70" s="33">
        <v>3</v>
      </c>
      <c r="I70" s="33">
        <v>3</v>
      </c>
      <c r="J70" s="33">
        <v>3</v>
      </c>
      <c r="K70" s="33">
        <v>3</v>
      </c>
      <c r="L70" s="33">
        <v>3</v>
      </c>
      <c r="M70" s="33">
        <v>2</v>
      </c>
    </row>
    <row r="71" spans="1:13" x14ac:dyDescent="0.4">
      <c r="A71" s="22" t="s">
        <v>61</v>
      </c>
      <c r="B71" s="33">
        <v>3</v>
      </c>
      <c r="C71" s="33">
        <v>2</v>
      </c>
      <c r="D71" s="33">
        <v>2</v>
      </c>
      <c r="E71" s="33">
        <v>3</v>
      </c>
      <c r="F71" s="33">
        <v>2</v>
      </c>
      <c r="G71" s="33">
        <v>2</v>
      </c>
      <c r="H71" s="33">
        <v>3</v>
      </c>
      <c r="I71" s="33">
        <v>3</v>
      </c>
      <c r="J71" s="33">
        <v>3</v>
      </c>
      <c r="K71" s="33">
        <v>2</v>
      </c>
      <c r="L71" s="33">
        <v>3</v>
      </c>
      <c r="M71" s="33">
        <v>2</v>
      </c>
    </row>
    <row r="72" spans="1:13" x14ac:dyDescent="0.4">
      <c r="A72" s="22" t="s">
        <v>62</v>
      </c>
      <c r="B72" s="33">
        <v>3</v>
      </c>
      <c r="C72" s="33">
        <v>2</v>
      </c>
      <c r="D72" s="33">
        <v>2</v>
      </c>
      <c r="E72" s="33">
        <v>3</v>
      </c>
      <c r="F72" s="33">
        <v>2</v>
      </c>
      <c r="G72" s="33">
        <v>2</v>
      </c>
      <c r="H72" s="33">
        <v>3</v>
      </c>
      <c r="I72" s="33">
        <v>3</v>
      </c>
      <c r="J72" s="33">
        <v>3</v>
      </c>
      <c r="K72" s="33">
        <v>2</v>
      </c>
      <c r="L72" s="33">
        <v>2</v>
      </c>
      <c r="M72" s="33">
        <v>2</v>
      </c>
    </row>
    <row r="73" spans="1:13" x14ac:dyDescent="0.4">
      <c r="A73" s="22" t="s">
        <v>63</v>
      </c>
      <c r="B73" s="33">
        <v>3</v>
      </c>
      <c r="C73" s="33">
        <v>2</v>
      </c>
      <c r="D73" s="33">
        <v>2</v>
      </c>
      <c r="E73" s="33">
        <v>3</v>
      </c>
      <c r="F73" s="33">
        <v>2</v>
      </c>
      <c r="G73" s="33">
        <v>2</v>
      </c>
      <c r="H73" s="33">
        <v>3</v>
      </c>
      <c r="I73" s="33">
        <v>3</v>
      </c>
      <c r="J73" s="33">
        <v>3</v>
      </c>
      <c r="K73" s="33">
        <v>2</v>
      </c>
      <c r="L73" s="33">
        <v>2</v>
      </c>
      <c r="M73" s="33">
        <v>2</v>
      </c>
    </row>
    <row r="74" spans="1:13" x14ac:dyDescent="0.4">
      <c r="A74" s="22" t="s">
        <v>66</v>
      </c>
      <c r="B74" s="33">
        <v>3</v>
      </c>
      <c r="C74" s="33">
        <v>2</v>
      </c>
      <c r="D74" s="33">
        <v>2</v>
      </c>
      <c r="E74" s="33">
        <v>3</v>
      </c>
      <c r="F74" s="33">
        <v>2</v>
      </c>
      <c r="G74" s="33">
        <v>2</v>
      </c>
      <c r="H74" s="33">
        <v>3</v>
      </c>
      <c r="I74" s="33">
        <v>2</v>
      </c>
      <c r="J74" s="33">
        <v>3</v>
      </c>
      <c r="K74" s="33">
        <v>2</v>
      </c>
      <c r="L74" s="33">
        <v>2</v>
      </c>
      <c r="M74" s="33">
        <v>2</v>
      </c>
    </row>
    <row r="75" spans="1:13" x14ac:dyDescent="0.4">
      <c r="A75" s="22" t="s">
        <v>65</v>
      </c>
      <c r="B75" s="33">
        <v>3</v>
      </c>
      <c r="C75" s="33">
        <v>2</v>
      </c>
      <c r="D75" s="33">
        <v>2</v>
      </c>
      <c r="E75" s="33">
        <v>2</v>
      </c>
      <c r="F75" s="33">
        <v>2</v>
      </c>
      <c r="G75" s="33">
        <v>2</v>
      </c>
      <c r="H75" s="33">
        <v>3</v>
      </c>
      <c r="I75" s="33">
        <v>2</v>
      </c>
      <c r="J75" s="33">
        <v>3</v>
      </c>
      <c r="K75" s="33">
        <v>2</v>
      </c>
      <c r="L75" s="33">
        <v>2</v>
      </c>
      <c r="M75" s="33">
        <v>2</v>
      </c>
    </row>
    <row r="76" spans="1:13" x14ac:dyDescent="0.4">
      <c r="A76" s="22" t="s">
        <v>65</v>
      </c>
      <c r="B76" s="33">
        <v>3</v>
      </c>
      <c r="C76" s="33">
        <v>2</v>
      </c>
      <c r="D76" s="33">
        <v>2</v>
      </c>
      <c r="E76" s="33">
        <v>2</v>
      </c>
      <c r="F76" s="33">
        <v>2</v>
      </c>
      <c r="G76" s="33">
        <v>2</v>
      </c>
      <c r="H76" s="33">
        <v>3</v>
      </c>
      <c r="I76" s="33">
        <v>2</v>
      </c>
      <c r="J76" s="33">
        <v>3</v>
      </c>
      <c r="K76" s="33">
        <v>2</v>
      </c>
      <c r="L76" s="33">
        <v>2</v>
      </c>
      <c r="M76" s="33">
        <v>2</v>
      </c>
    </row>
    <row r="77" spans="1:13" x14ac:dyDescent="0.4">
      <c r="A77" s="22" t="s">
        <v>65</v>
      </c>
      <c r="B77" s="33">
        <v>3</v>
      </c>
      <c r="C77" s="33">
        <v>2</v>
      </c>
      <c r="D77" s="33">
        <v>2</v>
      </c>
      <c r="E77" s="33">
        <v>2</v>
      </c>
      <c r="F77" s="33">
        <v>2</v>
      </c>
      <c r="G77" s="33">
        <v>2</v>
      </c>
      <c r="H77" s="33">
        <v>2</v>
      </c>
      <c r="I77" s="33">
        <v>2</v>
      </c>
      <c r="J77" s="33">
        <v>3</v>
      </c>
      <c r="K77" s="33">
        <v>2</v>
      </c>
      <c r="L77" s="33">
        <v>2</v>
      </c>
      <c r="M77" s="33">
        <v>2</v>
      </c>
    </row>
    <row r="78" spans="1:13" x14ac:dyDescent="0.4">
      <c r="A78" s="22" t="s">
        <v>64</v>
      </c>
      <c r="B78" s="33">
        <v>3</v>
      </c>
      <c r="C78" s="33">
        <v>2</v>
      </c>
      <c r="D78" s="33">
        <v>2</v>
      </c>
      <c r="E78" s="33">
        <v>2</v>
      </c>
      <c r="F78" s="33">
        <v>2</v>
      </c>
      <c r="G78" s="33">
        <v>2</v>
      </c>
      <c r="H78" s="33">
        <v>2</v>
      </c>
      <c r="I78" s="33">
        <v>2</v>
      </c>
      <c r="J78" s="33">
        <v>3</v>
      </c>
      <c r="K78" s="33">
        <v>2</v>
      </c>
      <c r="L78" s="33">
        <v>2</v>
      </c>
      <c r="M78" s="33">
        <v>2</v>
      </c>
    </row>
    <row r="79" spans="1:13" x14ac:dyDescent="0.4">
      <c r="A79" s="22" t="s">
        <v>64</v>
      </c>
      <c r="B79" s="33">
        <v>3</v>
      </c>
      <c r="C79" s="33">
        <v>2</v>
      </c>
      <c r="D79" s="33">
        <v>2</v>
      </c>
      <c r="E79" s="33">
        <v>2</v>
      </c>
      <c r="F79" s="33">
        <v>2</v>
      </c>
      <c r="G79" s="33">
        <v>2</v>
      </c>
      <c r="H79" s="33">
        <v>2</v>
      </c>
      <c r="I79" s="33">
        <v>2</v>
      </c>
      <c r="J79" s="33">
        <v>2</v>
      </c>
      <c r="K79" s="33">
        <v>2</v>
      </c>
      <c r="L79" s="33">
        <v>2</v>
      </c>
      <c r="M79" s="33">
        <v>2</v>
      </c>
    </row>
    <row r="80" spans="1:13" x14ac:dyDescent="0.4">
      <c r="A80" s="22" t="s">
        <v>64</v>
      </c>
      <c r="B80" s="33">
        <v>3</v>
      </c>
      <c r="C80" s="33">
        <v>2</v>
      </c>
      <c r="D80" s="33">
        <v>2</v>
      </c>
      <c r="E80" s="33">
        <v>2</v>
      </c>
      <c r="F80" s="33">
        <v>2</v>
      </c>
      <c r="G80" s="33">
        <v>2</v>
      </c>
      <c r="H80" s="33">
        <v>2</v>
      </c>
      <c r="I80" s="33">
        <v>2</v>
      </c>
      <c r="J80" s="33">
        <v>2</v>
      </c>
      <c r="K80" s="33">
        <v>2</v>
      </c>
      <c r="L80" s="33">
        <v>2</v>
      </c>
      <c r="M80" s="33">
        <v>2</v>
      </c>
    </row>
    <row r="81" spans="1:20" x14ac:dyDescent="0.4">
      <c r="A81" s="22" t="s">
        <v>64</v>
      </c>
      <c r="B81" s="33">
        <v>3</v>
      </c>
      <c r="C81" s="33">
        <v>2</v>
      </c>
      <c r="D81" s="33">
        <v>2</v>
      </c>
      <c r="E81" s="33">
        <v>2</v>
      </c>
      <c r="F81" s="33">
        <v>2</v>
      </c>
      <c r="G81" s="33">
        <v>2</v>
      </c>
      <c r="H81" s="33">
        <v>2</v>
      </c>
      <c r="I81" s="33">
        <v>2</v>
      </c>
      <c r="J81" s="33">
        <v>2</v>
      </c>
      <c r="K81" s="33">
        <v>2</v>
      </c>
      <c r="L81" s="33">
        <v>2</v>
      </c>
      <c r="M81" s="33">
        <v>2</v>
      </c>
    </row>
    <row r="82" spans="1:20" x14ac:dyDescent="0.4">
      <c r="A82" s="22" t="s">
        <v>54</v>
      </c>
      <c r="B82" s="33">
        <v>2</v>
      </c>
      <c r="C82" s="33">
        <v>2</v>
      </c>
      <c r="D82" s="33">
        <v>2</v>
      </c>
      <c r="E82" s="33">
        <v>2</v>
      </c>
      <c r="F82" s="33">
        <v>2</v>
      </c>
      <c r="G82" s="33">
        <v>2</v>
      </c>
      <c r="H82" s="33">
        <v>2</v>
      </c>
      <c r="I82" s="33">
        <v>2</v>
      </c>
      <c r="J82" s="33">
        <v>2</v>
      </c>
      <c r="K82" s="33">
        <v>2</v>
      </c>
      <c r="L82" s="33">
        <v>2</v>
      </c>
      <c r="M82" s="33">
        <v>2</v>
      </c>
    </row>
    <row r="83" spans="1:20" x14ac:dyDescent="0.4">
      <c r="A83" s="22" t="s">
        <v>54</v>
      </c>
      <c r="B83" s="33">
        <v>2</v>
      </c>
      <c r="C83" s="33">
        <v>2</v>
      </c>
      <c r="D83" s="33">
        <v>2</v>
      </c>
      <c r="E83" s="33">
        <v>2</v>
      </c>
      <c r="F83" s="33">
        <v>2</v>
      </c>
      <c r="G83" s="33">
        <v>2</v>
      </c>
      <c r="H83" s="33">
        <v>2</v>
      </c>
      <c r="I83" s="33">
        <v>2</v>
      </c>
      <c r="J83" s="33">
        <v>2</v>
      </c>
      <c r="K83" s="33">
        <v>1</v>
      </c>
      <c r="L83" s="33">
        <v>2</v>
      </c>
      <c r="M83" s="33">
        <v>2</v>
      </c>
      <c r="N83" s="33"/>
    </row>
    <row r="84" spans="1:20" x14ac:dyDescent="0.4">
      <c r="A84" s="22" t="s">
        <v>54</v>
      </c>
      <c r="B84" s="33">
        <v>2</v>
      </c>
      <c r="C84" s="33">
        <v>2</v>
      </c>
      <c r="D84" s="33">
        <v>2</v>
      </c>
      <c r="E84" s="33">
        <v>2</v>
      </c>
      <c r="F84" s="33">
        <v>2</v>
      </c>
      <c r="G84" s="33">
        <v>2</v>
      </c>
      <c r="H84" s="33">
        <v>2</v>
      </c>
      <c r="I84" s="33">
        <v>2</v>
      </c>
      <c r="J84" s="33">
        <v>2</v>
      </c>
      <c r="K84" s="33">
        <v>1</v>
      </c>
      <c r="L84" s="33">
        <v>1</v>
      </c>
      <c r="M84" s="33">
        <v>2</v>
      </c>
    </row>
    <row r="85" spans="1:20" x14ac:dyDescent="0.4">
      <c r="A85" s="22"/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7" t="s">
        <v>75</v>
      </c>
      <c r="O85" s="37" t="s">
        <v>76</v>
      </c>
      <c r="P85" s="37"/>
      <c r="Q85" s="37" t="s">
        <v>77</v>
      </c>
      <c r="R85" s="37" t="s">
        <v>78</v>
      </c>
      <c r="S85" s="37"/>
    </row>
    <row r="86" spans="1:20" x14ac:dyDescent="0.4">
      <c r="A86" s="2" t="s">
        <v>67</v>
      </c>
      <c r="B86" s="34">
        <v>62</v>
      </c>
      <c r="C86" s="34">
        <v>41</v>
      </c>
      <c r="D86" s="34">
        <v>49</v>
      </c>
      <c r="E86" s="34">
        <v>55</v>
      </c>
      <c r="F86" s="34">
        <v>40</v>
      </c>
      <c r="G86" s="34">
        <v>37</v>
      </c>
      <c r="H86" s="34">
        <v>57</v>
      </c>
      <c r="I86" s="35">
        <v>54</v>
      </c>
      <c r="J86" s="34">
        <v>59</v>
      </c>
      <c r="K86" s="34">
        <v>51</v>
      </c>
      <c r="L86" s="34">
        <v>52</v>
      </c>
      <c r="M86" s="34">
        <v>50</v>
      </c>
      <c r="N86" s="28">
        <f>AVERAGE(B86:G86)</f>
        <v>47.333333333333336</v>
      </c>
      <c r="O86">
        <f>AVERAGE(H86:M86)</f>
        <v>53.833333333333336</v>
      </c>
      <c r="P86" s="36"/>
      <c r="Q86" s="36">
        <f>N86/$N$90*100</f>
        <v>72.820512820512832</v>
      </c>
      <c r="R86" s="36">
        <f>O86/$N$90*100</f>
        <v>82.820512820512832</v>
      </c>
      <c r="S86" s="36"/>
      <c r="T86" t="s">
        <v>68</v>
      </c>
    </row>
    <row r="87" spans="1:20" x14ac:dyDescent="0.4">
      <c r="A87" s="2" t="s">
        <v>69</v>
      </c>
      <c r="B87" s="34">
        <v>3</v>
      </c>
      <c r="C87" s="34">
        <v>24</v>
      </c>
      <c r="D87" s="34">
        <v>16</v>
      </c>
      <c r="E87" s="34">
        <v>10</v>
      </c>
      <c r="F87" s="34">
        <v>25</v>
      </c>
      <c r="G87" s="34">
        <v>28</v>
      </c>
      <c r="H87" s="34">
        <v>8</v>
      </c>
      <c r="I87" s="35">
        <v>11</v>
      </c>
      <c r="J87" s="34">
        <v>6</v>
      </c>
      <c r="K87" s="34">
        <v>12</v>
      </c>
      <c r="L87" s="34">
        <v>12</v>
      </c>
      <c r="M87" s="34">
        <v>15</v>
      </c>
      <c r="N87" s="28">
        <f t="shared" ref="N87:N88" si="0">AVERAGE(B87:G87)</f>
        <v>17.666666666666668</v>
      </c>
      <c r="O87">
        <f t="shared" ref="O87:O88" si="1">AVERAGE(H87:M87)</f>
        <v>10.666666666666666</v>
      </c>
      <c r="P87" s="36"/>
      <c r="Q87" s="36">
        <f t="shared" ref="Q87:Q88" si="2">N87/$N$90*100</f>
        <v>27.179487179487182</v>
      </c>
      <c r="R87" s="36">
        <f t="shared" ref="R87:R88" si="3">O87/$N$90*100</f>
        <v>16.410256410256409</v>
      </c>
      <c r="S87" s="36"/>
      <c r="T87" t="s">
        <v>70</v>
      </c>
    </row>
    <row r="88" spans="1:20" x14ac:dyDescent="0.4">
      <c r="A88" s="2" t="s">
        <v>71</v>
      </c>
      <c r="B88" s="34">
        <v>0</v>
      </c>
      <c r="C88" s="34">
        <v>0</v>
      </c>
      <c r="D88" s="34">
        <v>0</v>
      </c>
      <c r="E88" s="34">
        <v>0</v>
      </c>
      <c r="F88" s="34">
        <v>0</v>
      </c>
      <c r="G88" s="34">
        <v>0</v>
      </c>
      <c r="H88" s="34">
        <v>0</v>
      </c>
      <c r="I88" s="35">
        <v>0</v>
      </c>
      <c r="J88" s="34">
        <v>0</v>
      </c>
      <c r="K88" s="34">
        <v>2</v>
      </c>
      <c r="L88" s="34">
        <v>1</v>
      </c>
      <c r="M88" s="34">
        <v>0</v>
      </c>
      <c r="N88" s="28">
        <f t="shared" si="0"/>
        <v>0</v>
      </c>
      <c r="O88">
        <f t="shared" si="1"/>
        <v>0.5</v>
      </c>
      <c r="P88" s="36"/>
      <c r="Q88" s="36">
        <f t="shared" si="2"/>
        <v>0</v>
      </c>
      <c r="R88" s="36">
        <f t="shared" si="3"/>
        <v>0.76923076923076927</v>
      </c>
      <c r="S88" s="36"/>
      <c r="T88" t="s">
        <v>72</v>
      </c>
    </row>
    <row r="89" spans="1:20" x14ac:dyDescent="0.4">
      <c r="A89" s="2" t="s">
        <v>73</v>
      </c>
      <c r="B89">
        <f>SUM(B86:B88)</f>
        <v>65</v>
      </c>
      <c r="C89">
        <f t="shared" ref="C89:M89" si="4">SUM(C86:C88)</f>
        <v>65</v>
      </c>
      <c r="D89">
        <f t="shared" si="4"/>
        <v>65</v>
      </c>
      <c r="E89">
        <f t="shared" si="4"/>
        <v>65</v>
      </c>
      <c r="F89">
        <f t="shared" si="4"/>
        <v>65</v>
      </c>
      <c r="G89">
        <f t="shared" si="4"/>
        <v>65</v>
      </c>
      <c r="H89">
        <f t="shared" si="4"/>
        <v>65</v>
      </c>
      <c r="I89">
        <f t="shared" si="4"/>
        <v>65</v>
      </c>
      <c r="J89">
        <f t="shared" si="4"/>
        <v>65</v>
      </c>
      <c r="K89">
        <f t="shared" si="4"/>
        <v>65</v>
      </c>
      <c r="L89">
        <f t="shared" si="4"/>
        <v>65</v>
      </c>
      <c r="M89">
        <f t="shared" si="4"/>
        <v>65</v>
      </c>
      <c r="Q89" s="36">
        <f>Q86+Q87</f>
        <v>100.00000000000001</v>
      </c>
      <c r="R89" s="36">
        <f>R86+R87</f>
        <v>99.230769230769241</v>
      </c>
      <c r="S89" s="36"/>
      <c r="T89" t="s">
        <v>74</v>
      </c>
    </row>
    <row r="90" spans="1:20" x14ac:dyDescent="0.4">
      <c r="A90" s="22"/>
      <c r="B90" s="4"/>
      <c r="C90" s="4"/>
      <c r="D90" s="4"/>
      <c r="E90" s="4"/>
      <c r="F90" s="4"/>
      <c r="G90" s="4"/>
      <c r="N90">
        <f t="shared" ref="N90:O90" si="5">SUM(N86:N88)</f>
        <v>65</v>
      </c>
      <c r="O90">
        <f t="shared" si="5"/>
        <v>65</v>
      </c>
      <c r="P90" s="36"/>
    </row>
    <row r="91" spans="1:20" x14ac:dyDescent="0.4">
      <c r="A91" s="4"/>
      <c r="B91" s="4"/>
      <c r="C91" s="4"/>
      <c r="D91" s="4"/>
      <c r="E91" s="4"/>
      <c r="F91" s="4"/>
      <c r="G91" s="4"/>
    </row>
    <row r="92" spans="1:20" x14ac:dyDescent="0.4">
      <c r="A92" s="18" t="s">
        <v>13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20" x14ac:dyDescent="0.4">
      <c r="A93" s="19" t="s">
        <v>12</v>
      </c>
      <c r="B93" s="25">
        <v>1</v>
      </c>
      <c r="C93" s="25">
        <v>2</v>
      </c>
      <c r="D93" s="25">
        <v>3</v>
      </c>
      <c r="E93" s="25">
        <v>4</v>
      </c>
      <c r="F93" s="25">
        <v>5</v>
      </c>
      <c r="G93" s="25">
        <v>6</v>
      </c>
      <c r="H93" s="25">
        <v>7</v>
      </c>
      <c r="I93" s="25">
        <v>8</v>
      </c>
      <c r="J93" s="25">
        <v>9</v>
      </c>
      <c r="K93" s="25">
        <v>10</v>
      </c>
      <c r="L93" s="25">
        <v>11</v>
      </c>
      <c r="M93" s="25">
        <v>12</v>
      </c>
    </row>
    <row r="94" spans="1:20" x14ac:dyDescent="0.4">
      <c r="A94" s="20" t="s">
        <v>9</v>
      </c>
      <c r="B94" s="25">
        <v>2</v>
      </c>
      <c r="C94" s="25">
        <v>2</v>
      </c>
      <c r="D94" s="25">
        <v>2</v>
      </c>
      <c r="E94" s="25">
        <v>2</v>
      </c>
      <c r="F94" s="25">
        <v>2</v>
      </c>
      <c r="G94" s="25">
        <v>2</v>
      </c>
      <c r="H94" s="25">
        <v>3</v>
      </c>
      <c r="I94" s="25">
        <v>3</v>
      </c>
      <c r="J94" s="25">
        <v>3</v>
      </c>
      <c r="K94" s="25">
        <v>3</v>
      </c>
      <c r="L94" s="25">
        <v>3</v>
      </c>
      <c r="M94" s="25">
        <v>3</v>
      </c>
    </row>
    <row r="95" spans="1:20" x14ac:dyDescent="0.4">
      <c r="A95" s="21" t="s">
        <v>3</v>
      </c>
      <c r="B95" s="26">
        <f>AVERAGE(B26:B84)</f>
        <v>2.9491525423728815</v>
      </c>
      <c r="C95" s="26">
        <f t="shared" ref="C95:M95" si="6">AVERAGE(C26:C84)</f>
        <v>2.593220338983051</v>
      </c>
      <c r="D95" s="26">
        <f t="shared" si="6"/>
        <v>2.7288135593220337</v>
      </c>
      <c r="E95" s="26">
        <f t="shared" si="6"/>
        <v>2.8305084745762712</v>
      </c>
      <c r="F95" s="26">
        <f t="shared" si="6"/>
        <v>2.5762711864406778</v>
      </c>
      <c r="G95" s="26">
        <f t="shared" si="6"/>
        <v>2.5254237288135593</v>
      </c>
      <c r="H95" s="26">
        <f t="shared" si="6"/>
        <v>2.8644067796610169</v>
      </c>
      <c r="I95" s="26">
        <f t="shared" si="6"/>
        <v>2.8135593220338984</v>
      </c>
      <c r="J95" s="26">
        <f t="shared" si="6"/>
        <v>2.8983050847457625</v>
      </c>
      <c r="K95" s="26">
        <f t="shared" si="6"/>
        <v>2.7288135593220337</v>
      </c>
      <c r="L95" s="26">
        <f t="shared" si="6"/>
        <v>2.7627118644067798</v>
      </c>
      <c r="M95" s="26">
        <f t="shared" si="6"/>
        <v>2.7457627118644066</v>
      </c>
    </row>
    <row r="96" spans="1:20" x14ac:dyDescent="0.4">
      <c r="A96" s="20" t="s">
        <v>4</v>
      </c>
      <c r="B96" s="27">
        <f>STDEV(B20:B84)</f>
        <v>0.21145103088313014</v>
      </c>
      <c r="C96" s="27">
        <f t="shared" ref="C96:M96" si="7">STDEV(C20:C84)</f>
        <v>0.48635219906818672</v>
      </c>
      <c r="D96" s="27">
        <f t="shared" si="7"/>
        <v>0.43412157106222987</v>
      </c>
      <c r="E96" s="27">
        <f t="shared" si="7"/>
        <v>0.36360904617671208</v>
      </c>
      <c r="F96" s="27">
        <f t="shared" si="7"/>
        <v>0.49029033784545967</v>
      </c>
      <c r="G96" s="27">
        <f t="shared" si="7"/>
        <v>0.49903753519997002</v>
      </c>
      <c r="H96" s="27">
        <f t="shared" si="7"/>
        <v>0.33108214179472845</v>
      </c>
      <c r="I96" s="27">
        <f t="shared" si="7"/>
        <v>0.37787360524183483</v>
      </c>
      <c r="J96" s="27">
        <f t="shared" si="7"/>
        <v>0.2917124506190194</v>
      </c>
      <c r="K96" s="27">
        <f t="shared" si="7"/>
        <v>0.50096061567905581</v>
      </c>
      <c r="L96" s="27">
        <f t="shared" si="7"/>
        <v>0.45042714769939801</v>
      </c>
      <c r="M96" s="27">
        <f t="shared" si="7"/>
        <v>0.42460388780422359</v>
      </c>
    </row>
    <row r="97" spans="1:13" x14ac:dyDescent="0.4">
      <c r="A97" s="21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x14ac:dyDescent="0.4">
      <c r="A98" s="21" t="s">
        <v>3</v>
      </c>
      <c r="B98" s="9">
        <f>AVERAGE(B95:M95)</f>
        <v>2.7514124293785311</v>
      </c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x14ac:dyDescent="0.4">
      <c r="A99" s="20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x14ac:dyDescent="0.4">
      <c r="A100" s="21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2" spans="1:13" x14ac:dyDescent="0.4">
      <c r="B102" s="7"/>
      <c r="C102" s="7"/>
      <c r="D102" s="7"/>
      <c r="E102" s="7"/>
      <c r="F102" s="7"/>
      <c r="G102" s="15"/>
      <c r="H102" s="15"/>
      <c r="I102" s="15"/>
    </row>
    <row r="103" spans="1:13" x14ac:dyDescent="0.4">
      <c r="A103" s="10" t="s">
        <v>11</v>
      </c>
      <c r="B103" s="29">
        <v>2</v>
      </c>
      <c r="C103" s="29">
        <v>3</v>
      </c>
      <c r="D103" s="29"/>
      <c r="E103" s="29"/>
      <c r="F103" s="29"/>
      <c r="G103" s="24"/>
      <c r="H103" s="24"/>
      <c r="I103" s="15"/>
    </row>
    <row r="104" spans="1:13" x14ac:dyDescent="0.4">
      <c r="A104" s="7" t="s">
        <v>5</v>
      </c>
      <c r="B104" s="30">
        <f>AVERAGE(B95:G95)</f>
        <v>2.7005649717514122</v>
      </c>
      <c r="C104" s="30">
        <f>AVERAGE(H95:M95)</f>
        <v>2.8022598870056501</v>
      </c>
      <c r="D104" s="30"/>
      <c r="E104" s="30"/>
      <c r="F104" s="30"/>
      <c r="G104" s="30"/>
      <c r="H104" s="30"/>
      <c r="I104" s="8"/>
    </row>
    <row r="105" spans="1:13" x14ac:dyDescent="0.4">
      <c r="A105" s="7" t="s">
        <v>6</v>
      </c>
      <c r="B105" s="30">
        <f>STDEV(B95:G95)</f>
        <v>0.16560516122541258</v>
      </c>
      <c r="C105" s="30">
        <f>STDEV(H95:M95)</f>
        <v>6.8359247287024499E-2</v>
      </c>
      <c r="D105" s="30"/>
      <c r="E105" s="30"/>
      <c r="F105" s="30"/>
      <c r="G105" s="31"/>
      <c r="H105" s="31"/>
      <c r="I105" s="16"/>
    </row>
    <row r="107" spans="1:13" x14ac:dyDescent="0.4">
      <c r="B107" s="28"/>
    </row>
    <row r="150" spans="1:13" x14ac:dyDescent="0.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x14ac:dyDescent="0.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x14ac:dyDescent="0.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x14ac:dyDescent="0.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x14ac:dyDescent="0.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x14ac:dyDescent="0.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x14ac:dyDescent="0.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x14ac:dyDescent="0.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x14ac:dyDescent="0.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x14ac:dyDescent="0.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x14ac:dyDescent="0.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x14ac:dyDescent="0.4">
      <c r="A161" s="4"/>
      <c r="B161" s="4"/>
      <c r="C161" s="4"/>
      <c r="D161" s="4"/>
      <c r="E161" s="4"/>
      <c r="F161" s="4"/>
      <c r="G161" s="4"/>
      <c r="H161" s="11"/>
      <c r="I161" s="11"/>
      <c r="J161" s="11"/>
      <c r="K161" s="11"/>
      <c r="L161" s="11"/>
      <c r="M161" s="4"/>
    </row>
    <row r="162" spans="1:13" x14ac:dyDescent="0.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x14ac:dyDescent="0.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x14ac:dyDescent="0.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x14ac:dyDescent="0.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x14ac:dyDescent="0.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x14ac:dyDescent="0.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x14ac:dyDescent="0.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x14ac:dyDescent="0.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x14ac:dyDescent="0.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x14ac:dyDescent="0.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x14ac:dyDescent="0.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x14ac:dyDescent="0.4">
      <c r="A183" s="4"/>
      <c r="B183" s="12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x14ac:dyDescent="0.4">
      <c r="A184" s="4"/>
      <c r="B184" s="12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x14ac:dyDescent="0.4">
      <c r="A185" s="4"/>
      <c r="B185" s="12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x14ac:dyDescent="0.4">
      <c r="A186" s="4"/>
      <c r="B186" s="12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x14ac:dyDescent="0.4">
      <c r="A188" s="13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x14ac:dyDescent="0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x14ac:dyDescent="0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x14ac:dyDescent="0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x14ac:dyDescent="0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x14ac:dyDescent="0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x14ac:dyDescent="0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</sheetData>
  <sortState ref="M20:M84">
    <sortCondition descending="1" ref="M20:M84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Alan</cp:lastModifiedBy>
  <dcterms:created xsi:type="dcterms:W3CDTF">2013-01-15T05:38:26Z</dcterms:created>
  <dcterms:modified xsi:type="dcterms:W3CDTF">2020-06-06T21:06:22Z</dcterms:modified>
</cp:coreProperties>
</file>