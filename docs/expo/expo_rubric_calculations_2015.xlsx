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4-ContinuousImprovement\ExpoAssessment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1" i="1" l="1"/>
  <c r="Q31" i="1"/>
  <c r="R30" i="1"/>
  <c r="Q30" i="1"/>
  <c r="R29" i="1"/>
  <c r="Q29" i="1"/>
  <c r="O31" i="1"/>
  <c r="N31" i="1"/>
  <c r="O30" i="1"/>
  <c r="N30" i="1"/>
  <c r="O29" i="1"/>
  <c r="M32" i="1"/>
  <c r="L32" i="1"/>
  <c r="K32" i="1"/>
  <c r="N29" i="1"/>
  <c r="J32" i="1"/>
  <c r="I32" i="1"/>
  <c r="H32" i="1"/>
  <c r="G32" i="1"/>
  <c r="F32" i="1"/>
  <c r="E32" i="1"/>
  <c r="D32" i="1"/>
  <c r="C32" i="1"/>
  <c r="B32" i="1"/>
  <c r="N33" i="1" l="1"/>
  <c r="O33" i="1"/>
  <c r="R32" i="1"/>
  <c r="Q32" i="1"/>
  <c r="M36" i="1" l="1"/>
  <c r="L36" i="1"/>
  <c r="K36" i="1"/>
  <c r="J36" i="1"/>
  <c r="I36" i="1"/>
  <c r="H36" i="1"/>
  <c r="G36" i="1"/>
  <c r="F36" i="1"/>
  <c r="E36" i="1"/>
  <c r="D36" i="1"/>
  <c r="C36" i="1"/>
  <c r="B36" i="1"/>
  <c r="M37" i="1" l="1"/>
  <c r="L37" i="1"/>
  <c r="K37" i="1"/>
  <c r="J37" i="1"/>
  <c r="I37" i="1"/>
  <c r="H37" i="1"/>
  <c r="G37" i="1"/>
  <c r="F37" i="1"/>
  <c r="E37" i="1"/>
  <c r="D37" i="1"/>
  <c r="C37" i="1"/>
  <c r="B37" i="1"/>
  <c r="C45" i="1" l="1"/>
  <c r="C46" i="1"/>
  <c r="B39" i="1" l="1"/>
  <c r="B45" i="1"/>
  <c r="B46" i="1"/>
</calcChain>
</file>

<file path=xl/sharedStrings.xml><?xml version="1.0" encoding="utf-8"?>
<sst xmlns="http://schemas.openxmlformats.org/spreadsheetml/2006/main" count="58" uniqueCount="51">
  <si>
    <t>Unsatisfactory</t>
  </si>
  <si>
    <t>Developing</t>
  </si>
  <si>
    <t>Satisfactory</t>
  </si>
  <si>
    <t>Average</t>
  </si>
  <si>
    <t>Std Dev</t>
  </si>
  <si>
    <t>Average Score</t>
  </si>
  <si>
    <t>Standard dev.</t>
  </si>
  <si>
    <t>Rubric Item (PI)</t>
  </si>
  <si>
    <t>RATINGS</t>
  </si>
  <si>
    <t>Mapped SLO</t>
  </si>
  <si>
    <t>RESULTS BY STUDENT OUTCOME ALL ASSESSMENTS</t>
  </si>
  <si>
    <t>Rubric item (PI)</t>
  </si>
  <si>
    <t>Assessment rubric for Design Project Technical Quality and Presentation Quality</t>
  </si>
  <si>
    <t>Prepared by</t>
  </si>
  <si>
    <t>Design Team</t>
  </si>
  <si>
    <t>1. Identification of project objective(s)</t>
  </si>
  <si>
    <t>2. Evaluation of design alternatives with realistic constraints</t>
  </si>
  <si>
    <t>(economic, environmental, social, ethical)</t>
  </si>
  <si>
    <t>3. Consideration of factors influencing the design</t>
  </si>
  <si>
    <t>(cost, manufacturability, sustainability, maintainability)</t>
  </si>
  <si>
    <t>4. Overall fulfillment of project objectives</t>
  </si>
  <si>
    <t>5. Project innovation</t>
  </si>
  <si>
    <t>6. Project practicality in view of contemporary engineering</t>
  </si>
  <si>
    <t>standards/practice</t>
  </si>
  <si>
    <t>7. General professionalism and oral communication</t>
  </si>
  <si>
    <t>8. Knowledge of the background material</t>
  </si>
  <si>
    <t>9. Organization &amp; quality of presentation material</t>
  </si>
  <si>
    <t>10. Project description (see Program Book)</t>
  </si>
  <si>
    <t>11. Group dynamics/member participation</t>
  </si>
  <si>
    <t>12. Quality, effectiveness, &amp; use of visual aids</t>
  </si>
  <si>
    <t>Performance Indicators</t>
  </si>
  <si>
    <t>Technical Quality</t>
  </si>
  <si>
    <t>Presentation Quality</t>
  </si>
  <si>
    <t>BS CHE Engineering Expo Judges Score Assessment</t>
  </si>
  <si>
    <t>Engineering Expo Spring 2015</t>
  </si>
  <si>
    <t>Bringing Home the Bakken: Recovering Shale Gas</t>
  </si>
  <si>
    <t>Fractionation and Transportation of Shale Gas</t>
  </si>
  <si>
    <t>Utilization of Bakken Shale Gas for Polyethylene Production</t>
  </si>
  <si>
    <t>Hybrid Renewable Energy and Combine Cycle Natural Gas Processing Plant Design</t>
  </si>
  <si>
    <t>SO2</t>
  </si>
  <si>
    <t>S</t>
  </si>
  <si>
    <t>%=3</t>
  </si>
  <si>
    <t>D</t>
  </si>
  <si>
    <t>%=2</t>
  </si>
  <si>
    <t>U</t>
  </si>
  <si>
    <t>%=1</t>
  </si>
  <si>
    <t>Total</t>
  </si>
  <si>
    <t>% &gt; 2</t>
  </si>
  <si>
    <t>SO3</t>
  </si>
  <si>
    <t>SO2 %</t>
  </si>
  <si>
    <t>SO3%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</si>
</sst>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4"/>
  <sheetViews>
    <sheetView tabSelected="1" topLeftCell="A6" zoomScale="90" zoomScaleNormal="90" workbookViewId="0">
      <selection activeCell="R29" sqref="R29"/>
    </sheetView>
  </sheetViews>
  <sheetFormatPr defaultRowHeight="14.6" x14ac:dyDescent="0.4"/>
  <cols>
    <col min="1" max="1" width="71.69140625" customWidth="1"/>
    <col min="2" max="2" width="11.53515625" customWidth="1"/>
    <col min="7" max="7" width="9.53515625" bestFit="1" customWidth="1"/>
    <col min="13" max="13" width="10.3828125" customWidth="1"/>
  </cols>
  <sheetData>
    <row r="1" spans="1:16" x14ac:dyDescent="0.4">
      <c r="A1" s="1" t="s">
        <v>33</v>
      </c>
      <c r="I1" t="s">
        <v>30</v>
      </c>
    </row>
    <row r="2" spans="1:16" x14ac:dyDescent="0.4">
      <c r="A2" s="1" t="s">
        <v>34</v>
      </c>
      <c r="I2" t="s">
        <v>31</v>
      </c>
      <c r="P2" t="s">
        <v>32</v>
      </c>
    </row>
    <row r="3" spans="1:16" x14ac:dyDescent="0.4">
      <c r="A3" s="1"/>
      <c r="I3" t="s">
        <v>15</v>
      </c>
      <c r="P3" t="s">
        <v>24</v>
      </c>
    </row>
    <row r="4" spans="1:16" x14ac:dyDescent="0.4">
      <c r="A4" s="1"/>
      <c r="I4" t="s">
        <v>16</v>
      </c>
      <c r="P4" t="s">
        <v>25</v>
      </c>
    </row>
    <row r="5" spans="1:16" x14ac:dyDescent="0.4">
      <c r="A5" s="3" t="s">
        <v>12</v>
      </c>
      <c r="B5" s="3"/>
      <c r="C5" s="3"/>
      <c r="D5" s="3"/>
      <c r="I5" t="s">
        <v>17</v>
      </c>
      <c r="P5" t="s">
        <v>26</v>
      </c>
    </row>
    <row r="6" spans="1:16" x14ac:dyDescent="0.4">
      <c r="A6" s="3" t="s">
        <v>13</v>
      </c>
      <c r="B6" s="3"/>
      <c r="C6" s="3"/>
      <c r="D6" s="3"/>
      <c r="E6" s="3"/>
      <c r="F6" s="3"/>
      <c r="G6" s="3"/>
      <c r="I6" t="s">
        <v>18</v>
      </c>
      <c r="P6" t="s">
        <v>27</v>
      </c>
    </row>
    <row r="7" spans="1:16" x14ac:dyDescent="0.4">
      <c r="A7" s="3"/>
      <c r="B7" s="3"/>
      <c r="C7" s="3"/>
      <c r="D7" s="3"/>
      <c r="E7" s="3"/>
      <c r="F7" s="3"/>
      <c r="G7" s="3"/>
      <c r="I7" t="s">
        <v>19</v>
      </c>
      <c r="P7" t="s">
        <v>28</v>
      </c>
    </row>
    <row r="8" spans="1:16" x14ac:dyDescent="0.4">
      <c r="A8" s="3"/>
      <c r="I8" t="s">
        <v>20</v>
      </c>
      <c r="P8" t="s">
        <v>29</v>
      </c>
    </row>
    <row r="9" spans="1:16" x14ac:dyDescent="0.4">
      <c r="I9" t="s">
        <v>21</v>
      </c>
    </row>
    <row r="10" spans="1:16" x14ac:dyDescent="0.4">
      <c r="A10" s="14" t="s">
        <v>8</v>
      </c>
      <c r="B10" s="5"/>
      <c r="C10" s="5"/>
      <c r="I10" t="s">
        <v>22</v>
      </c>
    </row>
    <row r="11" spans="1:16" x14ac:dyDescent="0.4">
      <c r="A11" s="5">
        <v>1</v>
      </c>
      <c r="B11" s="5" t="s">
        <v>0</v>
      </c>
      <c r="C11" s="5"/>
      <c r="I11" t="s">
        <v>23</v>
      </c>
    </row>
    <row r="12" spans="1:16" x14ac:dyDescent="0.4">
      <c r="A12" s="5">
        <v>2</v>
      </c>
      <c r="B12" s="5" t="s">
        <v>1</v>
      </c>
      <c r="C12" s="5"/>
    </row>
    <row r="13" spans="1:16" x14ac:dyDescent="0.4">
      <c r="A13" s="5">
        <v>3</v>
      </c>
      <c r="B13" s="5" t="s">
        <v>2</v>
      </c>
      <c r="C13" s="5"/>
    </row>
    <row r="14" spans="1:16" x14ac:dyDescent="0.4">
      <c r="A14" s="5"/>
      <c r="B14" s="5"/>
      <c r="C14" s="5"/>
    </row>
    <row r="15" spans="1:16" x14ac:dyDescent="0.4">
      <c r="B15" s="4" t="s">
        <v>31</v>
      </c>
      <c r="H15" t="s">
        <v>32</v>
      </c>
    </row>
    <row r="16" spans="1:16" x14ac:dyDescent="0.4">
      <c r="A16" s="21" t="s">
        <v>7</v>
      </c>
      <c r="B16" s="21">
        <v>1</v>
      </c>
      <c r="C16" s="21">
        <v>2</v>
      </c>
      <c r="D16" s="21">
        <v>3</v>
      </c>
      <c r="E16" s="21">
        <v>4</v>
      </c>
      <c r="F16" s="21">
        <v>5</v>
      </c>
      <c r="G16" s="21">
        <v>6</v>
      </c>
      <c r="H16" s="21">
        <v>7</v>
      </c>
      <c r="I16" s="21">
        <v>8</v>
      </c>
      <c r="J16" s="21">
        <v>9</v>
      </c>
      <c r="K16" s="21">
        <v>10</v>
      </c>
      <c r="L16" s="21">
        <v>11</v>
      </c>
      <c r="M16" s="21">
        <v>12</v>
      </c>
    </row>
    <row r="17" spans="1:20" x14ac:dyDescent="0.4">
      <c r="A17" s="21" t="s">
        <v>9</v>
      </c>
      <c r="B17" s="21">
        <v>2</v>
      </c>
      <c r="C17" s="21">
        <v>2</v>
      </c>
      <c r="D17" s="21">
        <v>2</v>
      </c>
      <c r="E17" s="21">
        <v>2</v>
      </c>
      <c r="F17" s="22">
        <v>2</v>
      </c>
      <c r="G17" s="22">
        <v>2</v>
      </c>
      <c r="H17" s="22">
        <v>3</v>
      </c>
      <c r="I17" s="22">
        <v>3</v>
      </c>
      <c r="J17" s="22">
        <v>3</v>
      </c>
      <c r="K17" s="22">
        <v>3</v>
      </c>
      <c r="L17" s="22">
        <v>3</v>
      </c>
      <c r="M17" s="22">
        <v>3</v>
      </c>
    </row>
    <row r="18" spans="1:20" x14ac:dyDescent="0.4">
      <c r="B18" s="2"/>
    </row>
    <row r="19" spans="1:20" x14ac:dyDescent="0.4">
      <c r="A19" t="s">
        <v>14</v>
      </c>
      <c r="B19" s="2"/>
    </row>
    <row r="20" spans="1:20" x14ac:dyDescent="0.4">
      <c r="A20" s="30" t="s">
        <v>35</v>
      </c>
      <c r="B20" s="30">
        <v>3</v>
      </c>
      <c r="C20" s="30">
        <v>3</v>
      </c>
      <c r="D20" s="30">
        <v>3</v>
      </c>
      <c r="E20" s="31">
        <v>3</v>
      </c>
      <c r="F20" s="31">
        <v>3</v>
      </c>
      <c r="G20" s="31">
        <v>3</v>
      </c>
      <c r="H20" s="31">
        <v>3</v>
      </c>
      <c r="I20" s="31">
        <v>3</v>
      </c>
      <c r="J20" s="31">
        <v>3</v>
      </c>
      <c r="K20" s="31">
        <v>3</v>
      </c>
      <c r="L20" s="31">
        <v>3</v>
      </c>
      <c r="M20" s="31">
        <v>3</v>
      </c>
    </row>
    <row r="21" spans="1:20" x14ac:dyDescent="0.4">
      <c r="A21" s="31" t="s">
        <v>36</v>
      </c>
      <c r="B21" s="30">
        <v>3</v>
      </c>
      <c r="C21" s="31">
        <v>3</v>
      </c>
      <c r="D21" s="31">
        <v>3</v>
      </c>
      <c r="E21" s="31">
        <v>3</v>
      </c>
      <c r="F21" s="31">
        <v>3</v>
      </c>
      <c r="G21" s="31">
        <v>3</v>
      </c>
      <c r="H21" s="31">
        <v>3</v>
      </c>
      <c r="I21" s="31">
        <v>3</v>
      </c>
      <c r="J21" s="31">
        <v>3</v>
      </c>
      <c r="K21" s="31">
        <v>3</v>
      </c>
      <c r="L21" s="31">
        <v>3</v>
      </c>
      <c r="M21" s="31">
        <v>3</v>
      </c>
    </row>
    <row r="22" spans="1:20" x14ac:dyDescent="0.4">
      <c r="A22" s="31" t="s">
        <v>36</v>
      </c>
      <c r="B22" s="30">
        <v>3</v>
      </c>
      <c r="C22" s="31">
        <v>3</v>
      </c>
      <c r="D22" s="31">
        <v>3</v>
      </c>
      <c r="E22" s="31">
        <v>3</v>
      </c>
      <c r="F22" s="31">
        <v>3</v>
      </c>
      <c r="G22" s="31">
        <v>3</v>
      </c>
      <c r="H22" s="31">
        <v>3</v>
      </c>
      <c r="I22" s="31">
        <v>3</v>
      </c>
      <c r="J22" s="31">
        <v>3</v>
      </c>
      <c r="K22" s="31">
        <v>3</v>
      </c>
      <c r="L22" s="31">
        <v>3</v>
      </c>
      <c r="M22" s="31">
        <v>3</v>
      </c>
    </row>
    <row r="23" spans="1:20" x14ac:dyDescent="0.4">
      <c r="A23" s="31" t="s">
        <v>37</v>
      </c>
      <c r="B23" s="31">
        <v>3</v>
      </c>
      <c r="C23" s="31">
        <v>3</v>
      </c>
      <c r="D23" s="31">
        <v>3</v>
      </c>
      <c r="E23" s="31">
        <v>3</v>
      </c>
      <c r="F23" s="31">
        <v>3</v>
      </c>
      <c r="G23" s="31">
        <v>3</v>
      </c>
      <c r="H23" s="31">
        <v>3</v>
      </c>
      <c r="I23" s="31">
        <v>3</v>
      </c>
      <c r="J23" s="31">
        <v>2</v>
      </c>
      <c r="K23" s="31">
        <v>3</v>
      </c>
      <c r="L23" s="31">
        <v>3</v>
      </c>
      <c r="M23" s="31">
        <v>2</v>
      </c>
    </row>
    <row r="24" spans="1:20" x14ac:dyDescent="0.4">
      <c r="A24" s="31" t="s">
        <v>37</v>
      </c>
      <c r="B24" s="31">
        <v>3</v>
      </c>
      <c r="C24" s="31">
        <v>3</v>
      </c>
      <c r="D24" s="31">
        <v>2</v>
      </c>
      <c r="E24" s="31">
        <v>3</v>
      </c>
      <c r="F24" s="31">
        <v>3</v>
      </c>
      <c r="G24" s="31">
        <v>3</v>
      </c>
      <c r="H24" s="31">
        <v>3</v>
      </c>
      <c r="I24" s="31">
        <v>3</v>
      </c>
      <c r="J24" s="31">
        <v>2</v>
      </c>
      <c r="K24" s="31">
        <v>3</v>
      </c>
      <c r="L24" s="31">
        <v>3</v>
      </c>
      <c r="M24" s="31">
        <v>2</v>
      </c>
    </row>
    <row r="25" spans="1:20" x14ac:dyDescent="0.4">
      <c r="A25" s="31" t="s">
        <v>38</v>
      </c>
      <c r="B25" s="30">
        <v>2</v>
      </c>
      <c r="C25" s="31">
        <v>3</v>
      </c>
      <c r="D25" s="31">
        <v>2</v>
      </c>
      <c r="E25" s="31">
        <v>3</v>
      </c>
      <c r="F25" s="31">
        <v>2</v>
      </c>
      <c r="G25" s="31">
        <v>2</v>
      </c>
      <c r="H25" s="31">
        <v>3</v>
      </c>
      <c r="I25" s="31">
        <v>3</v>
      </c>
      <c r="J25" s="31">
        <v>3</v>
      </c>
      <c r="K25" s="31">
        <v>3</v>
      </c>
      <c r="L25" s="31">
        <v>3</v>
      </c>
      <c r="M25" s="31">
        <v>3</v>
      </c>
    </row>
    <row r="26" spans="1:20" x14ac:dyDescent="0.4">
      <c r="A26" s="31" t="s">
        <v>38</v>
      </c>
      <c r="B26" s="31">
        <v>2</v>
      </c>
      <c r="C26" s="31">
        <v>2</v>
      </c>
      <c r="D26" s="31">
        <v>2</v>
      </c>
      <c r="E26" s="31">
        <v>2</v>
      </c>
      <c r="F26" s="31">
        <v>2</v>
      </c>
      <c r="G26" s="31">
        <v>2</v>
      </c>
      <c r="H26" s="31">
        <v>3</v>
      </c>
      <c r="I26" s="31">
        <v>3</v>
      </c>
      <c r="J26" s="31">
        <v>3</v>
      </c>
      <c r="K26" s="31">
        <v>3</v>
      </c>
      <c r="L26" s="31">
        <v>3</v>
      </c>
      <c r="M26" s="31">
        <v>3</v>
      </c>
    </row>
    <row r="27" spans="1:20" x14ac:dyDescent="0.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</row>
    <row r="28" spans="1:20" x14ac:dyDescent="0.4">
      <c r="A28" s="32"/>
      <c r="B28" s="4"/>
      <c r="C28" s="4"/>
      <c r="D28" s="4"/>
      <c r="E28" s="4"/>
      <c r="F28" s="4"/>
      <c r="G28" s="4"/>
      <c r="N28" s="33" t="s">
        <v>39</v>
      </c>
      <c r="O28" s="33" t="s">
        <v>48</v>
      </c>
      <c r="P28" s="33"/>
      <c r="Q28" s="33" t="s">
        <v>49</v>
      </c>
      <c r="R28" s="33" t="s">
        <v>50</v>
      </c>
      <c r="S28" s="33"/>
      <c r="T28" s="33"/>
    </row>
    <row r="29" spans="1:20" x14ac:dyDescent="0.4">
      <c r="A29" s="2" t="s">
        <v>40</v>
      </c>
      <c r="B29" s="34">
        <v>5</v>
      </c>
      <c r="C29" s="34">
        <v>6</v>
      </c>
      <c r="D29" s="34">
        <v>5</v>
      </c>
      <c r="E29" s="34">
        <v>6</v>
      </c>
      <c r="F29" s="34">
        <v>5</v>
      </c>
      <c r="G29" s="34">
        <v>5</v>
      </c>
      <c r="H29" s="34">
        <v>7</v>
      </c>
      <c r="I29" s="35">
        <v>7</v>
      </c>
      <c r="J29" s="34">
        <v>5</v>
      </c>
      <c r="K29" s="34">
        <v>7</v>
      </c>
      <c r="L29" s="34">
        <v>7</v>
      </c>
      <c r="M29" s="34">
        <v>6</v>
      </c>
      <c r="N29" s="26">
        <f>AVERAGE(B29:G29)</f>
        <v>5.333333333333333</v>
      </c>
      <c r="O29">
        <f>AVERAGE(H29:M29)</f>
        <v>6.5</v>
      </c>
      <c r="P29" s="36"/>
      <c r="Q29" s="36">
        <f>N29/$N$33*100</f>
        <v>76.19047619047619</v>
      </c>
      <c r="R29" s="36">
        <f>O29/$N$33*100</f>
        <v>92.857142857142861</v>
      </c>
      <c r="S29" s="36"/>
      <c r="T29" t="s">
        <v>41</v>
      </c>
    </row>
    <row r="30" spans="1:20" x14ac:dyDescent="0.4">
      <c r="A30" s="2" t="s">
        <v>42</v>
      </c>
      <c r="B30" s="34">
        <v>2</v>
      </c>
      <c r="C30" s="34">
        <v>1</v>
      </c>
      <c r="D30" s="34">
        <v>2</v>
      </c>
      <c r="E30" s="34">
        <v>1</v>
      </c>
      <c r="F30" s="34">
        <v>2</v>
      </c>
      <c r="G30" s="34">
        <v>2</v>
      </c>
      <c r="H30" s="34">
        <v>0</v>
      </c>
      <c r="I30" s="35">
        <v>0</v>
      </c>
      <c r="J30" s="34">
        <v>2</v>
      </c>
      <c r="K30" s="34">
        <v>0</v>
      </c>
      <c r="L30" s="34">
        <v>0</v>
      </c>
      <c r="M30" s="34">
        <v>1</v>
      </c>
      <c r="N30" s="26">
        <f t="shared" ref="N30:N31" si="0">AVERAGE(B30:G30)</f>
        <v>1.6666666666666667</v>
      </c>
      <c r="O30">
        <f t="shared" ref="O30:O31" si="1">AVERAGE(H30:M30)</f>
        <v>0.5</v>
      </c>
      <c r="P30" s="36"/>
      <c r="Q30" s="36">
        <f t="shared" ref="Q30:Q31" si="2">N30/$N$33*100</f>
        <v>23.80952380952381</v>
      </c>
      <c r="R30" s="36">
        <f t="shared" ref="R30:R31" si="3">O30/$N$33*100</f>
        <v>7.1428571428571423</v>
      </c>
      <c r="S30" s="36"/>
      <c r="T30" t="s">
        <v>43</v>
      </c>
    </row>
    <row r="31" spans="1:20" x14ac:dyDescent="0.4">
      <c r="A31" s="2" t="s">
        <v>44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5">
        <v>0</v>
      </c>
      <c r="J31" s="34">
        <v>0</v>
      </c>
      <c r="K31" s="34">
        <v>0</v>
      </c>
      <c r="L31" s="34">
        <v>0</v>
      </c>
      <c r="M31" s="34">
        <v>0</v>
      </c>
      <c r="N31" s="26">
        <f t="shared" si="0"/>
        <v>0</v>
      </c>
      <c r="O31">
        <f t="shared" si="1"/>
        <v>0</v>
      </c>
      <c r="P31" s="36"/>
      <c r="Q31" s="36">
        <f t="shared" si="2"/>
        <v>0</v>
      </c>
      <c r="R31" s="36">
        <f t="shared" si="3"/>
        <v>0</v>
      </c>
      <c r="S31" s="36"/>
      <c r="T31" t="s">
        <v>45</v>
      </c>
    </row>
    <row r="32" spans="1:20" x14ac:dyDescent="0.4">
      <c r="A32" s="2" t="s">
        <v>46</v>
      </c>
      <c r="B32">
        <f>SUM(B29:B31)</f>
        <v>7</v>
      </c>
      <c r="C32">
        <f t="shared" ref="C32:M32" si="4">SUM(C29:C31)</f>
        <v>7</v>
      </c>
      <c r="D32">
        <f t="shared" si="4"/>
        <v>7</v>
      </c>
      <c r="E32">
        <f t="shared" si="4"/>
        <v>7</v>
      </c>
      <c r="F32">
        <f t="shared" si="4"/>
        <v>7</v>
      </c>
      <c r="G32">
        <f t="shared" si="4"/>
        <v>7</v>
      </c>
      <c r="H32">
        <f t="shared" si="4"/>
        <v>7</v>
      </c>
      <c r="I32">
        <f t="shared" si="4"/>
        <v>7</v>
      </c>
      <c r="J32">
        <f t="shared" si="4"/>
        <v>7</v>
      </c>
      <c r="K32">
        <f t="shared" si="4"/>
        <v>7</v>
      </c>
      <c r="L32">
        <f t="shared" si="4"/>
        <v>7</v>
      </c>
      <c r="M32">
        <f t="shared" si="4"/>
        <v>7</v>
      </c>
      <c r="Q32" s="36">
        <f>Q29+Q30</f>
        <v>100</v>
      </c>
      <c r="R32" s="36">
        <f>R29+R30</f>
        <v>100</v>
      </c>
      <c r="S32" s="36"/>
      <c r="T32" t="s">
        <v>47</v>
      </c>
    </row>
    <row r="33" spans="1:16" x14ac:dyDescent="0.4">
      <c r="A33" s="32"/>
      <c r="B33" s="4"/>
      <c r="C33" s="4"/>
      <c r="D33" s="4"/>
      <c r="E33" s="4"/>
      <c r="F33" s="4"/>
      <c r="G33" s="4"/>
      <c r="N33">
        <f t="shared" ref="N33:O33" si="5">SUM(N29:N31)</f>
        <v>7</v>
      </c>
      <c r="O33">
        <f t="shared" si="5"/>
        <v>7</v>
      </c>
      <c r="P33" s="36"/>
    </row>
    <row r="34" spans="1:16" x14ac:dyDescent="0.4">
      <c r="A34" s="18" t="s">
        <v>11</v>
      </c>
      <c r="B34" s="23">
        <v>1</v>
      </c>
      <c r="C34" s="23">
        <v>2</v>
      </c>
      <c r="D34" s="23">
        <v>3</v>
      </c>
      <c r="E34" s="23">
        <v>4</v>
      </c>
      <c r="F34" s="23">
        <v>5</v>
      </c>
      <c r="G34" s="23">
        <v>6</v>
      </c>
      <c r="H34" s="23">
        <v>7</v>
      </c>
      <c r="I34" s="23">
        <v>8</v>
      </c>
      <c r="J34" s="23">
        <v>9</v>
      </c>
      <c r="K34" s="23">
        <v>10</v>
      </c>
      <c r="L34" s="23">
        <v>11</v>
      </c>
      <c r="M34" s="23">
        <v>12</v>
      </c>
    </row>
    <row r="35" spans="1:16" x14ac:dyDescent="0.4">
      <c r="A35" s="19" t="s">
        <v>9</v>
      </c>
      <c r="B35" s="23">
        <v>2</v>
      </c>
      <c r="C35" s="23">
        <v>2</v>
      </c>
      <c r="D35" s="23">
        <v>2</v>
      </c>
      <c r="E35" s="23">
        <v>2</v>
      </c>
      <c r="F35" s="23">
        <v>2</v>
      </c>
      <c r="G35" s="23">
        <v>2</v>
      </c>
      <c r="H35" s="23">
        <v>3</v>
      </c>
      <c r="I35" s="23">
        <v>3</v>
      </c>
      <c r="J35" s="23">
        <v>3</v>
      </c>
      <c r="K35" s="23">
        <v>3</v>
      </c>
      <c r="L35" s="23">
        <v>3</v>
      </c>
      <c r="M35" s="23">
        <v>3</v>
      </c>
    </row>
    <row r="36" spans="1:16" x14ac:dyDescent="0.4">
      <c r="A36" s="20" t="s">
        <v>3</v>
      </c>
      <c r="B36" s="24">
        <f>AVERAGE(B20:B26)</f>
        <v>2.7142857142857144</v>
      </c>
      <c r="C36" s="24">
        <f t="shared" ref="C36:M36" si="6">AVERAGE(C20:C26)</f>
        <v>2.8571428571428572</v>
      </c>
      <c r="D36" s="24">
        <f t="shared" si="6"/>
        <v>2.5714285714285716</v>
      </c>
      <c r="E36" s="24">
        <f t="shared" si="6"/>
        <v>2.8571428571428572</v>
      </c>
      <c r="F36" s="24">
        <f t="shared" si="6"/>
        <v>2.7142857142857144</v>
      </c>
      <c r="G36" s="24">
        <f t="shared" si="6"/>
        <v>2.7142857142857144</v>
      </c>
      <c r="H36" s="24">
        <f t="shared" si="6"/>
        <v>3</v>
      </c>
      <c r="I36" s="24">
        <f t="shared" si="6"/>
        <v>3</v>
      </c>
      <c r="J36" s="24">
        <f t="shared" si="6"/>
        <v>2.7142857142857144</v>
      </c>
      <c r="K36" s="24">
        <f t="shared" si="6"/>
        <v>3</v>
      </c>
      <c r="L36" s="24">
        <f t="shared" si="6"/>
        <v>3</v>
      </c>
      <c r="M36" s="24">
        <f t="shared" si="6"/>
        <v>2.7142857142857144</v>
      </c>
    </row>
    <row r="37" spans="1:16" x14ac:dyDescent="0.4">
      <c r="A37" s="19" t="s">
        <v>4</v>
      </c>
      <c r="B37" s="25">
        <f t="shared" ref="B37:M37" si="7">STDEV(B20:B26)</f>
        <v>0.48795003647426693</v>
      </c>
      <c r="C37" s="25">
        <f t="shared" si="7"/>
        <v>0.37796447300922653</v>
      </c>
      <c r="D37" s="25">
        <f t="shared" si="7"/>
        <v>0.5345224838248489</v>
      </c>
      <c r="E37" s="25">
        <f t="shared" si="7"/>
        <v>0.37796447300922653</v>
      </c>
      <c r="F37" s="25">
        <f t="shared" si="7"/>
        <v>0.48795003647426693</v>
      </c>
      <c r="G37" s="25">
        <f t="shared" si="7"/>
        <v>0.48795003647426693</v>
      </c>
      <c r="H37" s="25">
        <f t="shared" si="7"/>
        <v>0</v>
      </c>
      <c r="I37" s="25">
        <f t="shared" si="7"/>
        <v>0</v>
      </c>
      <c r="J37" s="25">
        <f t="shared" si="7"/>
        <v>0.48795003647426693</v>
      </c>
      <c r="K37" s="25">
        <f t="shared" si="7"/>
        <v>0</v>
      </c>
      <c r="L37" s="25">
        <f t="shared" si="7"/>
        <v>0</v>
      </c>
      <c r="M37" s="25">
        <f t="shared" si="7"/>
        <v>0.48795003647426693</v>
      </c>
    </row>
    <row r="38" spans="1:16" x14ac:dyDescent="0.4">
      <c r="A38" s="2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6" x14ac:dyDescent="0.4">
      <c r="A39" s="20" t="s">
        <v>3</v>
      </c>
      <c r="B39" s="9">
        <f>AVERAGE(B36:M36)</f>
        <v>2.8214285714285716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6" x14ac:dyDescent="0.4">
      <c r="A40" s="19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6" x14ac:dyDescent="0.4">
      <c r="A41" s="2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3" spans="1:16" x14ac:dyDescent="0.4">
      <c r="B43" s="7"/>
      <c r="C43" s="7"/>
      <c r="D43" s="7"/>
      <c r="E43" s="7"/>
      <c r="F43" s="7"/>
      <c r="G43" s="15"/>
      <c r="H43" s="15"/>
      <c r="I43" s="15"/>
    </row>
    <row r="44" spans="1:16" x14ac:dyDescent="0.4">
      <c r="A44" s="10" t="s">
        <v>10</v>
      </c>
      <c r="B44" s="27">
        <v>2</v>
      </c>
      <c r="C44" s="27">
        <v>3</v>
      </c>
      <c r="D44" s="27"/>
      <c r="E44" s="27"/>
      <c r="F44" s="27"/>
      <c r="G44" s="22"/>
      <c r="H44" s="22"/>
      <c r="I44" s="15"/>
    </row>
    <row r="45" spans="1:16" x14ac:dyDescent="0.4">
      <c r="A45" s="7" t="s">
        <v>5</v>
      </c>
      <c r="B45" s="28">
        <f>AVERAGE(B36:G36)</f>
        <v>2.7380952380952386</v>
      </c>
      <c r="C45" s="28">
        <f>AVERAGE(H36:M36)</f>
        <v>2.9047619047619051</v>
      </c>
      <c r="D45" s="28"/>
      <c r="E45" s="28"/>
      <c r="F45" s="28"/>
      <c r="G45" s="28"/>
      <c r="H45" s="28"/>
      <c r="I45" s="8"/>
    </row>
    <row r="46" spans="1:16" x14ac:dyDescent="0.4">
      <c r="A46" s="7" t="s">
        <v>6</v>
      </c>
      <c r="B46" s="28">
        <f>STDEV(B36:G36)</f>
        <v>0.10753895038701153</v>
      </c>
      <c r="C46" s="28">
        <f>STDEV(H36:M36)</f>
        <v>0.14754222271266343</v>
      </c>
      <c r="D46" s="28"/>
      <c r="E46" s="28"/>
      <c r="F46" s="28"/>
      <c r="G46" s="29"/>
      <c r="H46" s="29"/>
      <c r="I46" s="16"/>
    </row>
    <row r="48" spans="1:16" x14ac:dyDescent="0.4">
      <c r="B48" s="26"/>
    </row>
    <row r="91" spans="1:13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4">
      <c r="A102" s="4"/>
      <c r="B102" s="4"/>
      <c r="C102" s="4"/>
      <c r="D102" s="4"/>
      <c r="E102" s="4"/>
      <c r="F102" s="4"/>
      <c r="G102" s="4"/>
      <c r="H102" s="11"/>
      <c r="I102" s="11"/>
      <c r="J102" s="11"/>
      <c r="K102" s="11"/>
      <c r="L102" s="11"/>
      <c r="M102" s="4"/>
    </row>
    <row r="103" spans="1:13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4">
      <c r="A124" s="4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4">
      <c r="A125" s="4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4">
      <c r="A126" s="4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4">
      <c r="A127" s="4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4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</sheetData>
  <sortState ref="G20:G26">
    <sortCondition descending="1" ref="G20:G26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2020-06-06T20:52:02Z</dcterms:modified>
</cp:coreProperties>
</file>