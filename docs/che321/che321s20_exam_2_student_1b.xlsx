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cuments\ChE 321\Exams\"/>
    </mc:Choice>
  </mc:AlternateContent>
  <xr:revisionPtr revIDLastSave="0" documentId="13_ncr:1_{D32ED1D2-6D81-4A19-89F4-ACAF7D9DD5EE}" xr6:coauthVersionLast="45" xr6:coauthVersionMax="45" xr10:uidLastSave="{00000000-0000-0000-0000-000000000000}"/>
  <bookViews>
    <workbookView xWindow="0" yWindow="2196" windowWidth="23040" windowHeight="10008" xr2:uid="{6F10E0A8-4792-434B-B45C-9852CD0C6CE1}"/>
  </bookViews>
  <sheets>
    <sheet name="Sheet1" sheetId="1" r:id="rId1"/>
    <sheet name="Sheet2" sheetId="2" r:id="rId2"/>
  </sheets>
  <definedNames>
    <definedName name="solver_adj" localSheetId="0" hidden="1">Sheet1!$B$33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Sheet1!$F$33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3</definedName>
  </definedNames>
  <calcPr calcId="191029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62" i="1" l="1"/>
  <c r="G62" i="1" s="1"/>
  <c r="F56" i="1"/>
  <c r="G56" i="1"/>
  <c r="F57" i="1"/>
  <c r="G57" i="1" s="1"/>
  <c r="F48" i="1" l="1"/>
  <c r="G48" i="1" s="1"/>
  <c r="F30" i="1" l="1"/>
  <c r="F29" i="1"/>
  <c r="B23" i="1" l="1"/>
  <c r="F13" i="1"/>
  <c r="F12" i="1"/>
  <c r="B6" i="1"/>
  <c r="B14" i="1" s="1"/>
  <c r="B15" i="1" s="1"/>
  <c r="F14" i="1" s="1"/>
  <c r="F16" i="1" s="1"/>
  <c r="F39" i="1" l="1"/>
  <c r="G39" i="1" s="1"/>
  <c r="F47" i="1"/>
  <c r="G47" i="1" s="1"/>
  <c r="F58" i="1"/>
  <c r="G58" i="1" s="1"/>
  <c r="F40" i="1"/>
  <c r="G40" i="1" s="1"/>
  <c r="F49" i="1"/>
  <c r="G49" i="1" s="1"/>
  <c r="F59" i="1"/>
  <c r="G59" i="1" s="1"/>
  <c r="F41" i="1"/>
  <c r="G41" i="1" s="1"/>
  <c r="F50" i="1"/>
  <c r="G50" i="1" s="1"/>
  <c r="F60" i="1"/>
  <c r="G60" i="1" s="1"/>
  <c r="F42" i="1"/>
  <c r="G42" i="1" s="1"/>
  <c r="F51" i="1"/>
  <c r="G51" i="1" s="1"/>
  <c r="F37" i="1"/>
  <c r="G37" i="1" s="1"/>
  <c r="F46" i="1"/>
  <c r="G46" i="1" s="1"/>
  <c r="F43" i="1"/>
  <c r="G43" i="1" s="1"/>
  <c r="F52" i="1"/>
  <c r="G52" i="1" s="1"/>
  <c r="F44" i="1"/>
  <c r="G44" i="1" s="1"/>
  <c r="F53" i="1"/>
  <c r="G53" i="1" s="1"/>
  <c r="F45" i="1"/>
  <c r="G45" i="1" s="1"/>
  <c r="F54" i="1"/>
  <c r="G54" i="1" s="1"/>
  <c r="F38" i="1"/>
  <c r="G38" i="1" s="1"/>
  <c r="F55" i="1"/>
  <c r="G55" i="1" s="1"/>
  <c r="B31" i="1"/>
  <c r="F34" i="1" s="1"/>
  <c r="B32" i="1" l="1"/>
  <c r="F31" i="1" s="1"/>
  <c r="F33" i="1" s="1"/>
</calcChain>
</file>

<file path=xl/sharedStrings.xml><?xml version="1.0" encoding="utf-8"?>
<sst xmlns="http://schemas.openxmlformats.org/spreadsheetml/2006/main" count="83" uniqueCount="38">
  <si>
    <t>Ta</t>
  </si>
  <si>
    <t>UA</t>
  </si>
  <si>
    <t>Fao = Fio</t>
  </si>
  <si>
    <t>k(350)</t>
  </si>
  <si>
    <t>E</t>
  </si>
  <si>
    <t>Variables</t>
  </si>
  <si>
    <t>Values</t>
  </si>
  <si>
    <t>Units</t>
  </si>
  <si>
    <t>mol/min</t>
  </si>
  <si>
    <t>1/min</t>
  </si>
  <si>
    <t>cal/mol/k</t>
  </si>
  <si>
    <t>Cp_I</t>
  </si>
  <si>
    <t>Cp_B</t>
  </si>
  <si>
    <t>Cp_A</t>
  </si>
  <si>
    <t>cal/mol/C</t>
  </si>
  <si>
    <t>k</t>
  </si>
  <si>
    <t>cal/min / C</t>
  </si>
  <si>
    <t>R</t>
  </si>
  <si>
    <t>T1</t>
  </si>
  <si>
    <t>delHrx</t>
  </si>
  <si>
    <t>cal/mol</t>
  </si>
  <si>
    <t>T</t>
  </si>
  <si>
    <t>tau</t>
  </si>
  <si>
    <t>min</t>
  </si>
  <si>
    <t>k(T)</t>
  </si>
  <si>
    <t>x</t>
  </si>
  <si>
    <t>Eqn</t>
  </si>
  <si>
    <t>UA(Ta-T)</t>
  </si>
  <si>
    <t>cpa THING</t>
  </si>
  <si>
    <t>Fao(cp)</t>
  </si>
  <si>
    <t>equalto</t>
  </si>
  <si>
    <t>Placeholders</t>
  </si>
  <si>
    <t>TF</t>
  </si>
  <si>
    <t>Trxr</t>
  </si>
  <si>
    <t>x(T)</t>
  </si>
  <si>
    <t>No soln</t>
  </si>
  <si>
    <t>Part A</t>
  </si>
  <si>
    <t>Part B,C,D,E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</si>
</sst>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0" fillId="8" borderId="0" xfId="0" applyFill="1"/>
    <xf numFmtId="0" fontId="0" fillId="0" borderId="0" xfId="0" quotePrefix="1"/>
    <xf numFmtId="0" fontId="1" fillId="6" borderId="0" xfId="0" quotePrefix="1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Trxr</a:t>
            </a:r>
            <a:r>
              <a:rPr lang="en-US" baseline="0"/>
              <a:t> Vs TFeed</a:t>
            </a:r>
            <a:endParaRPr lang="en-US"/>
          </a:p>
        </c:rich>
      </c:tx>
      <c:layout>
        <c:manualLayout>
          <c:xMode val="edge"/>
          <c:yMode val="edge"/>
          <c:x val="0.43830770224202709"/>
          <c:y val="3.56397496971376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Sheet1!$C$36</c:f>
              <c:strCache>
                <c:ptCount val="1"/>
                <c:pt idx="0">
                  <c:v>Trxr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Sheet1!$B$37:$B$65</c:f>
              <c:numCache>
                <c:formatCode>General</c:formatCode>
                <c:ptCount val="29"/>
                <c:pt idx="0">
                  <c:v>310</c:v>
                </c:pt>
                <c:pt idx="1">
                  <c:v>320</c:v>
                </c:pt>
                <c:pt idx="2">
                  <c:v>330</c:v>
                </c:pt>
                <c:pt idx="3">
                  <c:v>340</c:v>
                </c:pt>
                <c:pt idx="4">
                  <c:v>350</c:v>
                </c:pt>
                <c:pt idx="5">
                  <c:v>357</c:v>
                </c:pt>
                <c:pt idx="6">
                  <c:v>360</c:v>
                </c:pt>
                <c:pt idx="7">
                  <c:v>362</c:v>
                </c:pt>
                <c:pt idx="8">
                  <c:v>363</c:v>
                </c:pt>
                <c:pt idx="9">
                  <c:v>364</c:v>
                </c:pt>
                <c:pt idx="10">
                  <c:v>365</c:v>
                </c:pt>
                <c:pt idx="11">
                  <c:v>366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395</c:v>
                </c:pt>
                <c:pt idx="16">
                  <c:v>400</c:v>
                </c:pt>
                <c:pt idx="17">
                  <c:v>402</c:v>
                </c:pt>
                <c:pt idx="18">
                  <c:v>404</c:v>
                </c:pt>
                <c:pt idx="19">
                  <c:v>405</c:v>
                </c:pt>
                <c:pt idx="20">
                  <c:v>406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5">
                  <c:v>368</c:v>
                </c:pt>
              </c:numCache>
            </c:numRef>
          </c:xVal>
          <c:yVal>
            <c:numRef>
              <c:f>Sheet1!$C$37:$C$65</c:f>
              <c:numCache>
                <c:formatCode>General</c:formatCode>
                <c:ptCount val="29"/>
                <c:pt idx="0">
                  <c:v>303.33807543288515</c:v>
                </c:pt>
                <c:pt idx="1">
                  <c:v>306.67643158000988</c:v>
                </c:pt>
                <c:pt idx="2">
                  <c:v>310.01981631403527</c:v>
                </c:pt>
                <c:pt idx="3">
                  <c:v>313.37301642283876</c:v>
                </c:pt>
                <c:pt idx="4">
                  <c:v>316.74524289984487</c:v>
                </c:pt>
                <c:pt idx="5">
                  <c:v>319.12612574240666</c:v>
                </c:pt>
                <c:pt idx="6">
                  <c:v>320.15436353481766</c:v>
                </c:pt>
                <c:pt idx="7">
                  <c:v>320.84326439969419</c:v>
                </c:pt>
                <c:pt idx="8">
                  <c:v>321.18888611149436</c:v>
                </c:pt>
                <c:pt idx="9">
                  <c:v>365.4826576330305</c:v>
                </c:pt>
                <c:pt idx="10">
                  <c:v>366.6893699245324</c:v>
                </c:pt>
                <c:pt idx="11">
                  <c:v>367.5997414176166</c:v>
                </c:pt>
                <c:pt idx="12">
                  <c:v>323.63604428578714</c:v>
                </c:pt>
                <c:pt idx="13">
                  <c:v>327.26660337076913</c:v>
                </c:pt>
                <c:pt idx="14">
                  <c:v>331.2381146175378</c:v>
                </c:pt>
                <c:pt idx="15">
                  <c:v>333.51925094513768</c:v>
                </c:pt>
                <c:pt idx="16">
                  <c:v>336.32694285126996</c:v>
                </c:pt>
                <c:pt idx="17">
                  <c:v>337.84858850125079</c:v>
                </c:pt>
                <c:pt idx="18">
                  <c:v>383.85565899968941</c:v>
                </c:pt>
                <c:pt idx="19">
                  <c:v>384.57336051458105</c:v>
                </c:pt>
                <c:pt idx="20">
                  <c:v>384.92653757724355</c:v>
                </c:pt>
                <c:pt idx="21">
                  <c:v>386.32977481673117</c:v>
                </c:pt>
                <c:pt idx="22">
                  <c:v>389.78726417635869</c:v>
                </c:pt>
                <c:pt idx="23">
                  <c:v>393.19719103300997</c:v>
                </c:pt>
                <c:pt idx="25">
                  <c:v>369.06362127388456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93-4E41-A291-768F25037981}"/>
            </c:ext>
          </c:extLst>
        </c:ser>
        <c:ser>
          <c:idx val="1"/>
          <c:order val="1"/>
          <c:tx>
            <c:strRef>
              <c:f>Sheet1!$D$36</c:f>
              <c:strCache>
                <c:ptCount val="1"/>
                <c:pt idx="0">
                  <c:v>Trxr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Sheet1!$B$37:$B$65</c:f>
              <c:numCache>
                <c:formatCode>General</c:formatCode>
                <c:ptCount val="29"/>
                <c:pt idx="0">
                  <c:v>310</c:v>
                </c:pt>
                <c:pt idx="1">
                  <c:v>320</c:v>
                </c:pt>
                <c:pt idx="2">
                  <c:v>330</c:v>
                </c:pt>
                <c:pt idx="3">
                  <c:v>340</c:v>
                </c:pt>
                <c:pt idx="4">
                  <c:v>350</c:v>
                </c:pt>
                <c:pt idx="5">
                  <c:v>357</c:v>
                </c:pt>
                <c:pt idx="6">
                  <c:v>360</c:v>
                </c:pt>
                <c:pt idx="7">
                  <c:v>362</c:v>
                </c:pt>
                <c:pt idx="8">
                  <c:v>363</c:v>
                </c:pt>
                <c:pt idx="9">
                  <c:v>364</c:v>
                </c:pt>
                <c:pt idx="10">
                  <c:v>365</c:v>
                </c:pt>
                <c:pt idx="11">
                  <c:v>366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395</c:v>
                </c:pt>
                <c:pt idx="16">
                  <c:v>400</c:v>
                </c:pt>
                <c:pt idx="17">
                  <c:v>402</c:v>
                </c:pt>
                <c:pt idx="18">
                  <c:v>404</c:v>
                </c:pt>
                <c:pt idx="19">
                  <c:v>405</c:v>
                </c:pt>
                <c:pt idx="20">
                  <c:v>406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5">
                  <c:v>368</c:v>
                </c:pt>
              </c:numCache>
            </c:numRef>
          </c:xVal>
          <c:yVal>
            <c:numRef>
              <c:f>Sheet1!$D$37:$D$65</c:f>
              <c:numCache>
                <c:formatCode>General</c:formatCode>
                <c:ptCount val="29"/>
                <c:pt idx="10">
                  <c:v>321.88275922070881</c:v>
                </c:pt>
                <c:pt idx="11">
                  <c:v>322.23113931832233</c:v>
                </c:pt>
                <c:pt idx="12">
                  <c:v>372.52232566643943</c:v>
                </c:pt>
                <c:pt idx="13">
                  <c:v>375.85565899968941</c:v>
                </c:pt>
                <c:pt idx="14">
                  <c:v>379.18899233302278</c:v>
                </c:pt>
                <c:pt idx="16">
                  <c:v>345.99256251068846</c:v>
                </c:pt>
                <c:pt idx="18">
                  <c:v>340.74113151065814</c:v>
                </c:pt>
                <c:pt idx="1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93-4E41-A291-768F25037981}"/>
            </c:ext>
          </c:extLst>
        </c:ser>
        <c:ser>
          <c:idx val="2"/>
          <c:order val="2"/>
          <c:tx>
            <c:strRef>
              <c:f>Sheet1!$E$36</c:f>
              <c:strCache>
                <c:ptCount val="1"/>
                <c:pt idx="0">
                  <c:v>Trxr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Sheet1!$B$37:$B$65</c:f>
              <c:numCache>
                <c:formatCode>General</c:formatCode>
                <c:ptCount val="29"/>
                <c:pt idx="0">
                  <c:v>310</c:v>
                </c:pt>
                <c:pt idx="1">
                  <c:v>320</c:v>
                </c:pt>
                <c:pt idx="2">
                  <c:v>330</c:v>
                </c:pt>
                <c:pt idx="3">
                  <c:v>340</c:v>
                </c:pt>
                <c:pt idx="4">
                  <c:v>350</c:v>
                </c:pt>
                <c:pt idx="5">
                  <c:v>357</c:v>
                </c:pt>
                <c:pt idx="6">
                  <c:v>360</c:v>
                </c:pt>
                <c:pt idx="7">
                  <c:v>362</c:v>
                </c:pt>
                <c:pt idx="8">
                  <c:v>363</c:v>
                </c:pt>
                <c:pt idx="9">
                  <c:v>364</c:v>
                </c:pt>
                <c:pt idx="10">
                  <c:v>365</c:v>
                </c:pt>
                <c:pt idx="11">
                  <c:v>366</c:v>
                </c:pt>
                <c:pt idx="12">
                  <c:v>370</c:v>
                </c:pt>
                <c:pt idx="13">
                  <c:v>380</c:v>
                </c:pt>
                <c:pt idx="14">
                  <c:v>390</c:v>
                </c:pt>
                <c:pt idx="15">
                  <c:v>395</c:v>
                </c:pt>
                <c:pt idx="16">
                  <c:v>400</c:v>
                </c:pt>
                <c:pt idx="17">
                  <c:v>402</c:v>
                </c:pt>
                <c:pt idx="18">
                  <c:v>404</c:v>
                </c:pt>
                <c:pt idx="19">
                  <c:v>405</c:v>
                </c:pt>
                <c:pt idx="20">
                  <c:v>406</c:v>
                </c:pt>
                <c:pt idx="21">
                  <c:v>410</c:v>
                </c:pt>
                <c:pt idx="22">
                  <c:v>420</c:v>
                </c:pt>
                <c:pt idx="23">
                  <c:v>430</c:v>
                </c:pt>
                <c:pt idx="25">
                  <c:v>368</c:v>
                </c:pt>
              </c:numCache>
            </c:numRef>
          </c:xVal>
          <c:yVal>
            <c:numRef>
              <c:f>Sheet1!$E$37:$E$65</c:f>
              <c:numCache>
                <c:formatCode>General</c:formatCode>
                <c:ptCount val="29"/>
                <c:pt idx="11">
                  <c:v>359.38306781686862</c:v>
                </c:pt>
                <c:pt idx="12">
                  <c:v>357.16544097429062</c:v>
                </c:pt>
                <c:pt idx="13">
                  <c:v>353.4129545903765</c:v>
                </c:pt>
                <c:pt idx="14">
                  <c:v>350.12403652160452</c:v>
                </c:pt>
                <c:pt idx="15">
                  <c:v>380.97054775626583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93-4E41-A291-768F25037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522144"/>
        <c:axId val="700522800"/>
      </c:scatterChart>
      <c:valAx>
        <c:axId val="700522144"/>
        <c:scaling>
          <c:orientation val="minMax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522800"/>
        <c:crosses val="autoZero"/>
        <c:crossBetween val="midCat"/>
      </c:valAx>
      <c:valAx>
        <c:axId val="700522800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0522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108359</xdr:colOff>
      <xdr:row>34</xdr:row>
      <xdr:rowOff>83558</xdr:rowOff>
    </xdr:from>
    <xdr:to>
      <xdr:col>19</xdr:col>
      <xdr:colOff>121260</xdr:colOff>
      <xdr:row>59</xdr:row>
      <xdr:rowOff>97844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22D17C-017B-4DB1-B606-E8C7A8B75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675A-15C5-42F2-B1E6-B4F148A75B93}">
  <dimension ref="A1:O110"/>
  <sheetViews>
    <sheetView tabSelected="1" topLeftCell="A23" zoomScale="52" workbookViewId="0">
      <selection activeCell="E64" sqref="E64"/>
    </sheetView>
  </sheetViews>
  <sheetFormatPr defaultRowHeight="14.4" x14ac:dyDescent="0.3"/>
  <cols>
    <col min="2" max="3" width="15.44140625" bestFit="1" customWidth="1"/>
    <col min="4" max="4" width="15.21875" bestFit="1" customWidth="1"/>
    <col min="5" max="5" width="10.88671875" customWidth="1"/>
    <col min="6" max="6" width="15.21875" bestFit="1" customWidth="1"/>
    <col min="7" max="7" width="12" bestFit="1" customWidth="1"/>
    <col min="10" max="11" width="9" bestFit="1" customWidth="1"/>
  </cols>
  <sheetData>
    <row r="1" spans="1:9" x14ac:dyDescent="0.3">
      <c r="A1" t="s">
        <v>5</v>
      </c>
      <c r="B1" t="s">
        <v>6</v>
      </c>
      <c r="C1" t="s">
        <v>7</v>
      </c>
    </row>
    <row r="2" spans="1:9" x14ac:dyDescent="0.3">
      <c r="A2" s="2" t="s">
        <v>2</v>
      </c>
      <c r="B2">
        <v>80</v>
      </c>
      <c r="C2" t="s">
        <v>8</v>
      </c>
    </row>
    <row r="3" spans="1:9" x14ac:dyDescent="0.3">
      <c r="A3" s="2" t="s">
        <v>22</v>
      </c>
      <c r="B3">
        <v>100</v>
      </c>
      <c r="C3" t="s">
        <v>23</v>
      </c>
    </row>
    <row r="4" spans="1:9" x14ac:dyDescent="0.3">
      <c r="A4" s="2" t="s">
        <v>1</v>
      </c>
      <c r="B4">
        <v>8000</v>
      </c>
      <c r="C4" t="s">
        <v>16</v>
      </c>
    </row>
    <row r="5" spans="1:9" x14ac:dyDescent="0.3">
      <c r="A5" s="2" t="s">
        <v>0</v>
      </c>
      <c r="B5">
        <v>300</v>
      </c>
      <c r="C5" t="s">
        <v>15</v>
      </c>
    </row>
    <row r="6" spans="1:9" x14ac:dyDescent="0.3">
      <c r="A6" s="2" t="s">
        <v>3</v>
      </c>
      <c r="B6">
        <f>6.6*10^-3</f>
        <v>6.6E-3</v>
      </c>
      <c r="C6" t="s">
        <v>9</v>
      </c>
    </row>
    <row r="7" spans="1:9" x14ac:dyDescent="0.3">
      <c r="A7" s="2" t="s">
        <v>4</v>
      </c>
      <c r="B7">
        <v>40000</v>
      </c>
      <c r="C7" t="s">
        <v>10</v>
      </c>
    </row>
    <row r="8" spans="1:9" x14ac:dyDescent="0.3">
      <c r="A8" s="2" t="s">
        <v>13</v>
      </c>
      <c r="B8">
        <v>20</v>
      </c>
      <c r="C8" t="s">
        <v>14</v>
      </c>
      <c r="I8" t="s">
        <v>36</v>
      </c>
    </row>
    <row r="9" spans="1:9" x14ac:dyDescent="0.3">
      <c r="A9" s="2" t="s">
        <v>12</v>
      </c>
      <c r="B9">
        <v>20</v>
      </c>
      <c r="C9" t="s">
        <v>14</v>
      </c>
    </row>
    <row r="10" spans="1:9" x14ac:dyDescent="0.3">
      <c r="A10" s="2" t="s">
        <v>11</v>
      </c>
      <c r="B10">
        <v>30</v>
      </c>
      <c r="C10" t="s">
        <v>14</v>
      </c>
    </row>
    <row r="11" spans="1:9" x14ac:dyDescent="0.3">
      <c r="A11" s="2" t="s">
        <v>19</v>
      </c>
      <c r="B11">
        <v>-7500</v>
      </c>
      <c r="C11" t="s">
        <v>20</v>
      </c>
      <c r="E11" s="4" t="s">
        <v>31</v>
      </c>
    </row>
    <row r="12" spans="1:9" x14ac:dyDescent="0.3">
      <c r="A12" s="2" t="s">
        <v>17</v>
      </c>
      <c r="B12">
        <v>1.9870000000000001</v>
      </c>
      <c r="C12" t="s">
        <v>10</v>
      </c>
      <c r="E12" t="s">
        <v>27</v>
      </c>
      <c r="F12">
        <f>B4*(B5-B16)</f>
        <v>-799539.99805205199</v>
      </c>
    </row>
    <row r="13" spans="1:9" x14ac:dyDescent="0.3">
      <c r="A13" s="2" t="s">
        <v>18</v>
      </c>
      <c r="B13">
        <v>450</v>
      </c>
      <c r="C13" t="s">
        <v>15</v>
      </c>
      <c r="E13" t="s">
        <v>28</v>
      </c>
      <c r="F13">
        <f>-B2*(B8+B10)*(B16-B13)</f>
        <v>200230.00097397403</v>
      </c>
    </row>
    <row r="14" spans="1:9" x14ac:dyDescent="0.3">
      <c r="A14" s="2" t="s">
        <v>24</v>
      </c>
      <c r="B14">
        <f>B6*EXP(B7/B12*((1/350)-(1/B16)))</f>
        <v>8.6856153508566276</v>
      </c>
      <c r="E14" t="s">
        <v>29</v>
      </c>
      <c r="F14">
        <f>-B2*B15*B11</f>
        <v>599309.9970780781</v>
      </c>
    </row>
    <row r="15" spans="1:9" x14ac:dyDescent="0.3">
      <c r="A15" s="2" t="s">
        <v>25</v>
      </c>
      <c r="B15">
        <f>((B14)*B3)/(1+(B14)*B3)</f>
        <v>0.99884999513013017</v>
      </c>
    </row>
    <row r="16" spans="1:9" x14ac:dyDescent="0.3">
      <c r="A16" s="2" t="s">
        <v>21</v>
      </c>
      <c r="B16" s="1">
        <v>399.94249975650649</v>
      </c>
      <c r="C16" t="s">
        <v>15</v>
      </c>
      <c r="E16" s="3" t="s">
        <v>26</v>
      </c>
      <c r="F16" s="3">
        <f>F14+F13+F12</f>
        <v>0</v>
      </c>
      <c r="G16" s="3">
        <v>0</v>
      </c>
      <c r="H16" s="3" t="s">
        <v>30</v>
      </c>
    </row>
    <row r="17" spans="1:15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3">
      <c r="A18" t="s">
        <v>5</v>
      </c>
      <c r="B18" t="s">
        <v>6</v>
      </c>
      <c r="C18" t="s">
        <v>7</v>
      </c>
    </row>
    <row r="19" spans="1:15" x14ac:dyDescent="0.3">
      <c r="A19" s="2" t="s">
        <v>2</v>
      </c>
      <c r="B19">
        <v>80</v>
      </c>
      <c r="C19" t="s">
        <v>8</v>
      </c>
    </row>
    <row r="20" spans="1:15" x14ac:dyDescent="0.3">
      <c r="A20" s="2" t="s">
        <v>22</v>
      </c>
      <c r="B20">
        <v>100</v>
      </c>
      <c r="C20" t="s">
        <v>23</v>
      </c>
    </row>
    <row r="21" spans="1:15" x14ac:dyDescent="0.3">
      <c r="A21" s="2" t="s">
        <v>1</v>
      </c>
      <c r="B21">
        <v>8000</v>
      </c>
      <c r="C21" t="s">
        <v>16</v>
      </c>
    </row>
    <row r="22" spans="1:15" x14ac:dyDescent="0.3">
      <c r="A22" s="2" t="s">
        <v>0</v>
      </c>
      <c r="B22">
        <v>300</v>
      </c>
      <c r="C22" t="s">
        <v>15</v>
      </c>
    </row>
    <row r="23" spans="1:15" x14ac:dyDescent="0.3">
      <c r="A23" s="2" t="s">
        <v>3</v>
      </c>
      <c r="B23">
        <f>6.6*10^-3</f>
        <v>6.6E-3</v>
      </c>
      <c r="C23" t="s">
        <v>9</v>
      </c>
    </row>
    <row r="24" spans="1:15" x14ac:dyDescent="0.3">
      <c r="A24" s="2" t="s">
        <v>4</v>
      </c>
      <c r="B24">
        <v>40000</v>
      </c>
      <c r="C24" t="s">
        <v>10</v>
      </c>
    </row>
    <row r="25" spans="1:15" x14ac:dyDescent="0.3">
      <c r="A25" s="2" t="s">
        <v>13</v>
      </c>
      <c r="B25">
        <v>20</v>
      </c>
      <c r="C25" t="s">
        <v>14</v>
      </c>
    </row>
    <row r="26" spans="1:15" x14ac:dyDescent="0.3">
      <c r="A26" s="2" t="s">
        <v>12</v>
      </c>
      <c r="B26">
        <v>20</v>
      </c>
      <c r="C26" t="s">
        <v>14</v>
      </c>
      <c r="I26" t="s">
        <v>37</v>
      </c>
    </row>
    <row r="27" spans="1:15" x14ac:dyDescent="0.3">
      <c r="A27" s="2" t="s">
        <v>11</v>
      </c>
      <c r="B27">
        <v>30</v>
      </c>
      <c r="C27" t="s">
        <v>14</v>
      </c>
    </row>
    <row r="28" spans="1:15" x14ac:dyDescent="0.3">
      <c r="A28" s="2" t="s">
        <v>19</v>
      </c>
      <c r="B28">
        <v>-7500</v>
      </c>
      <c r="C28" t="s">
        <v>20</v>
      </c>
      <c r="E28" s="4" t="s">
        <v>31</v>
      </c>
    </row>
    <row r="29" spans="1:15" x14ac:dyDescent="0.3">
      <c r="A29" s="2" t="s">
        <v>17</v>
      </c>
      <c r="B29">
        <v>1.9870000000000001</v>
      </c>
      <c r="C29" t="s">
        <v>10</v>
      </c>
      <c r="E29" t="s">
        <v>27</v>
      </c>
      <c r="F29">
        <f>B21*(B22-B33)</f>
        <v>-552508.97019107651</v>
      </c>
    </row>
    <row r="30" spans="1:15" x14ac:dyDescent="0.3">
      <c r="A30" s="2" t="s">
        <v>18</v>
      </c>
      <c r="B30" s="7">
        <v>368</v>
      </c>
      <c r="C30" t="s">
        <v>15</v>
      </c>
      <c r="E30" t="s">
        <v>28</v>
      </c>
      <c r="F30">
        <f>-B19*(B25+B27)*(B33-B30)</f>
        <v>-4254.4850955382572</v>
      </c>
    </row>
    <row r="31" spans="1:15" x14ac:dyDescent="0.3">
      <c r="A31" s="2" t="s">
        <v>24</v>
      </c>
      <c r="B31">
        <f>B23*EXP(B24/B29*((1/350)-(1/B33)))</f>
        <v>0.12877149619130304</v>
      </c>
      <c r="E31" t="s">
        <v>29</v>
      </c>
      <c r="F31">
        <f>-B19*B32*B28</f>
        <v>556763.45528674906</v>
      </c>
    </row>
    <row r="32" spans="1:15" x14ac:dyDescent="0.3">
      <c r="A32" s="2" t="s">
        <v>25</v>
      </c>
      <c r="B32">
        <f>((B31)*B20)/(1+(B31)*B20)</f>
        <v>0.92793909214458181</v>
      </c>
    </row>
    <row r="33" spans="1:8" x14ac:dyDescent="0.3">
      <c r="A33" s="2" t="s">
        <v>21</v>
      </c>
      <c r="B33" s="1">
        <v>369.06362127388456</v>
      </c>
      <c r="C33" t="s">
        <v>15</v>
      </c>
      <c r="E33" s="3" t="s">
        <v>26</v>
      </c>
      <c r="F33" s="3">
        <f>F31+F30+F29</f>
        <v>1.3422686606645584E-7</v>
      </c>
      <c r="G33" s="3">
        <v>0</v>
      </c>
      <c r="H33" s="3" t="s">
        <v>30</v>
      </c>
    </row>
    <row r="34" spans="1:8" x14ac:dyDescent="0.3">
      <c r="F34">
        <f>B21*(B22-B33)-B19*(B25+B27)*(B33-B30)-B19*((B31)*B20)/(1+(B31)*B20)*B28</f>
        <v>1.3422686606645584E-7</v>
      </c>
      <c r="G34">
        <v>0</v>
      </c>
    </row>
    <row r="35" spans="1:8" x14ac:dyDescent="0.3">
      <c r="G35" s="8"/>
    </row>
    <row r="36" spans="1:8" x14ac:dyDescent="0.3">
      <c r="B36" s="2" t="s">
        <v>32</v>
      </c>
      <c r="C36" s="5" t="s">
        <v>33</v>
      </c>
      <c r="D36" s="5" t="s">
        <v>33</v>
      </c>
      <c r="E36" s="5" t="s">
        <v>33</v>
      </c>
      <c r="F36" s="5" t="s">
        <v>24</v>
      </c>
      <c r="G36" s="9" t="s">
        <v>34</v>
      </c>
    </row>
    <row r="37" spans="1:8" x14ac:dyDescent="0.3">
      <c r="B37">
        <v>310</v>
      </c>
      <c r="C37" s="10">
        <v>303.33807543288515</v>
      </c>
      <c r="D37" s="10"/>
      <c r="E37" s="10"/>
      <c r="F37">
        <f>$B$23*EXP($B$24/$B$29*((1/350)-(1/C37)))</f>
        <v>9.4850986913170369E-7</v>
      </c>
      <c r="G37">
        <f>((F37)*$B$20)/(1+(F37)*$B$20)</f>
        <v>9.484199105671782E-5</v>
      </c>
    </row>
    <row r="38" spans="1:8" x14ac:dyDescent="0.3">
      <c r="B38">
        <v>320</v>
      </c>
      <c r="C38" s="10">
        <v>306.67643158000988</v>
      </c>
      <c r="D38" s="10"/>
      <c r="E38" s="10"/>
      <c r="F38">
        <f t="shared" ref="F38:F52" si="0">$B$23*EXP($B$24/$B$29*((1/350)-(1/C38)))</f>
        <v>1.953364152909343E-6</v>
      </c>
      <c r="G38">
        <f t="shared" ref="G38:G52" si="1">((F38)*$B$20)/(1+(F38)*$B$20)</f>
        <v>1.9529826642765779E-4</v>
      </c>
    </row>
    <row r="39" spans="1:8" x14ac:dyDescent="0.3">
      <c r="B39">
        <v>330</v>
      </c>
      <c r="C39" s="10">
        <v>310.01981631403527</v>
      </c>
      <c r="D39" s="10"/>
      <c r="E39" s="10"/>
      <c r="F39">
        <f t="shared" si="0"/>
        <v>3.9648341749116694E-6</v>
      </c>
      <c r="G39">
        <f t="shared" si="1"/>
        <v>3.9632628069295625E-4</v>
      </c>
    </row>
    <row r="40" spans="1:8" x14ac:dyDescent="0.3">
      <c r="B40">
        <v>340</v>
      </c>
      <c r="C40" s="10">
        <v>313.37301642283876</v>
      </c>
      <c r="D40" s="10"/>
      <c r="E40" s="10"/>
      <c r="F40">
        <f t="shared" si="0"/>
        <v>7.9429218910300041E-6</v>
      </c>
      <c r="G40">
        <f t="shared" si="1"/>
        <v>7.9366178974261828E-4</v>
      </c>
    </row>
    <row r="41" spans="1:8" x14ac:dyDescent="0.3">
      <c r="B41">
        <v>350</v>
      </c>
      <c r="C41" s="10">
        <v>316.74524289984487</v>
      </c>
      <c r="D41" s="10"/>
      <c r="E41" s="10"/>
      <c r="F41">
        <f t="shared" si="0"/>
        <v>1.5739982405440319E-5</v>
      </c>
      <c r="G41">
        <f t="shared" si="1"/>
        <v>1.5715246634887289E-3</v>
      </c>
    </row>
    <row r="42" spans="1:8" x14ac:dyDescent="0.3">
      <c r="B42">
        <v>357</v>
      </c>
      <c r="C42" s="10">
        <v>319.12612574240666</v>
      </c>
      <c r="D42" s="10"/>
      <c r="E42" s="10"/>
      <c r="F42">
        <f t="shared" si="0"/>
        <v>2.5288940209956202E-5</v>
      </c>
      <c r="G42">
        <f t="shared" si="1"/>
        <v>2.5225148482779375E-3</v>
      </c>
    </row>
    <row r="43" spans="1:8" x14ac:dyDescent="0.3">
      <c r="B43">
        <v>360</v>
      </c>
      <c r="C43" s="10">
        <v>320.15436353481766</v>
      </c>
      <c r="D43" s="10"/>
      <c r="E43" s="10"/>
      <c r="F43">
        <f t="shared" si="0"/>
        <v>3.0968314532934405E-5</v>
      </c>
      <c r="G43">
        <f t="shared" si="1"/>
        <v>3.0872706962963188E-3</v>
      </c>
    </row>
    <row r="44" spans="1:8" x14ac:dyDescent="0.3">
      <c r="B44">
        <v>362</v>
      </c>
      <c r="C44" s="10">
        <v>320.84326439969419</v>
      </c>
      <c r="D44" s="10"/>
      <c r="E44" s="10"/>
      <c r="F44">
        <f t="shared" si="0"/>
        <v>3.5444735804988751E-5</v>
      </c>
      <c r="G44">
        <f t="shared" si="1"/>
        <v>3.5319546605171522E-3</v>
      </c>
    </row>
    <row r="45" spans="1:8" x14ac:dyDescent="0.3">
      <c r="B45">
        <v>363</v>
      </c>
      <c r="C45" s="10">
        <v>321.18888611149436</v>
      </c>
      <c r="D45" s="10"/>
      <c r="E45" s="10"/>
      <c r="F45">
        <f t="shared" si="0"/>
        <v>3.7920475320989934E-5</v>
      </c>
      <c r="G45">
        <f t="shared" si="1"/>
        <v>3.7777222298403718E-3</v>
      </c>
    </row>
    <row r="46" spans="1:8" x14ac:dyDescent="0.3">
      <c r="B46" s="1">
        <v>364</v>
      </c>
      <c r="C46" s="1">
        <v>365.4826576330305</v>
      </c>
      <c r="D46" s="10"/>
      <c r="E46" s="10"/>
      <c r="F46">
        <f t="shared" si="0"/>
        <v>7.5460214446411281E-2</v>
      </c>
      <c r="G46">
        <f t="shared" si="1"/>
        <v>0.88298648599494689</v>
      </c>
    </row>
    <row r="47" spans="1:8" x14ac:dyDescent="0.3">
      <c r="B47">
        <v>365</v>
      </c>
      <c r="C47" s="10">
        <v>366.6893699245324</v>
      </c>
      <c r="D47" s="10">
        <v>321.88275922070881</v>
      </c>
      <c r="E47" s="10"/>
      <c r="F47">
        <f t="shared" si="0"/>
        <v>9.0456136313551053E-2</v>
      </c>
      <c r="G47">
        <f t="shared" si="1"/>
        <v>0.90045406515748061</v>
      </c>
    </row>
    <row r="48" spans="1:8" x14ac:dyDescent="0.3">
      <c r="B48">
        <v>366</v>
      </c>
      <c r="C48" s="10">
        <v>367.5997414176166</v>
      </c>
      <c r="D48" s="10">
        <v>322.23113931832233</v>
      </c>
      <c r="E48" s="10">
        <v>359.38306781686862</v>
      </c>
      <c r="F48">
        <f t="shared" ref="F48" si="2">$B$23*EXP($B$24/$B$29*((1/350)-(1/C48)))</f>
        <v>0.10362968576634142</v>
      </c>
      <c r="G48">
        <f t="shared" si="1"/>
        <v>0.91199482835354162</v>
      </c>
    </row>
    <row r="49" spans="2:7" x14ac:dyDescent="0.3">
      <c r="B49">
        <v>370</v>
      </c>
      <c r="C49" s="10">
        <v>323.63604428578714</v>
      </c>
      <c r="D49" s="10">
        <v>372.52232566643943</v>
      </c>
      <c r="E49" s="10">
        <v>357.16544097429062</v>
      </c>
      <c r="F49">
        <f t="shared" si="0"/>
        <v>6.0910958775940793E-5</v>
      </c>
      <c r="G49">
        <f t="shared" si="1"/>
        <v>6.0542190489032525E-3</v>
      </c>
    </row>
    <row r="50" spans="2:7" x14ac:dyDescent="0.3">
      <c r="B50">
        <v>380</v>
      </c>
      <c r="C50" s="10">
        <v>327.26660337076913</v>
      </c>
      <c r="D50" s="10">
        <v>375.85565899968941</v>
      </c>
      <c r="E50" s="10">
        <v>353.4129545903765</v>
      </c>
      <c r="F50">
        <f t="shared" si="0"/>
        <v>1.2144452133607832E-4</v>
      </c>
      <c r="G50">
        <f t="shared" si="1"/>
        <v>1.1998734081886474E-2</v>
      </c>
    </row>
    <row r="51" spans="2:7" x14ac:dyDescent="0.3">
      <c r="B51">
        <v>390</v>
      </c>
      <c r="C51" s="10">
        <v>331.2381146175378</v>
      </c>
      <c r="D51" s="10">
        <v>379.18899233302278</v>
      </c>
      <c r="E51" s="10">
        <v>350.12403652160452</v>
      </c>
      <c r="F51">
        <f t="shared" si="0"/>
        <v>2.5391032519719972E-4</v>
      </c>
      <c r="G51">
        <f t="shared" si="1"/>
        <v>2.4762292349413208E-2</v>
      </c>
    </row>
    <row r="52" spans="2:7" x14ac:dyDescent="0.3">
      <c r="B52">
        <v>395</v>
      </c>
      <c r="C52" s="10">
        <v>333.51925094513768</v>
      </c>
      <c r="D52" s="10"/>
      <c r="E52" s="10">
        <v>380.97054775626583</v>
      </c>
      <c r="F52">
        <f t="shared" si="0"/>
        <v>3.8477335713654455E-4</v>
      </c>
      <c r="G52">
        <f t="shared" si="1"/>
        <v>3.7051685569249669E-2</v>
      </c>
    </row>
    <row r="53" spans="2:7" x14ac:dyDescent="0.3">
      <c r="B53">
        <v>400</v>
      </c>
      <c r="C53" s="10">
        <v>336.32694285126996</v>
      </c>
      <c r="D53" s="10">
        <v>345.99256251068846</v>
      </c>
      <c r="E53" s="10"/>
      <c r="F53">
        <f t="shared" ref="F53:F58" si="3">$B$23*EXP($B$24/$B$29*((1/350)-(1/C53)))</f>
        <v>6.3685160404567157E-4</v>
      </c>
      <c r="G53">
        <f t="shared" ref="G53:G58" si="4">((F53)*$B$20)/(1+(F53)*$B$20)</f>
        <v>5.9872190357854425E-2</v>
      </c>
    </row>
    <row r="54" spans="2:7" x14ac:dyDescent="0.3">
      <c r="B54">
        <v>402</v>
      </c>
      <c r="C54" s="10">
        <v>337.84858850125079</v>
      </c>
      <c r="D54" s="10"/>
      <c r="E54" s="10"/>
      <c r="F54">
        <f t="shared" si="3"/>
        <v>8.3390483113090857E-4</v>
      </c>
      <c r="G54">
        <f t="shared" si="4"/>
        <v>7.6971770024664363E-2</v>
      </c>
    </row>
    <row r="55" spans="2:7" x14ac:dyDescent="0.3">
      <c r="B55" s="1">
        <v>404</v>
      </c>
      <c r="C55" s="1">
        <v>383.85565899968941</v>
      </c>
      <c r="D55" s="10">
        <v>340.74113151065814</v>
      </c>
      <c r="E55" s="10"/>
      <c r="F55">
        <f t="shared" si="3"/>
        <v>1.0536151498309021</v>
      </c>
      <c r="G55" s="1">
        <f t="shared" si="4"/>
        <v>0.99059810308118512</v>
      </c>
    </row>
    <row r="56" spans="2:7" x14ac:dyDescent="0.3">
      <c r="B56">
        <v>405</v>
      </c>
      <c r="C56" s="10">
        <v>384.57336051458105</v>
      </c>
      <c r="D56" s="10" t="s">
        <v>35</v>
      </c>
      <c r="E56" s="10"/>
      <c r="F56">
        <f t="shared" ref="F56:F57" si="5">$B$23*EXP($B$24/$B$29*((1/350)-(1/C56)))</f>
        <v>1.1619496603059876</v>
      </c>
      <c r="G56">
        <f t="shared" si="4"/>
        <v>0.9914672102917893</v>
      </c>
    </row>
    <row r="57" spans="2:7" x14ac:dyDescent="0.3">
      <c r="B57">
        <v>406</v>
      </c>
      <c r="C57" s="10">
        <v>384.92653757724355</v>
      </c>
      <c r="D57" s="10"/>
      <c r="E57" s="10"/>
      <c r="F57">
        <f t="shared" si="5"/>
        <v>1.2191180341973618</v>
      </c>
      <c r="G57">
        <f t="shared" si="4"/>
        <v>0.99186408487893496</v>
      </c>
    </row>
    <row r="58" spans="2:7" x14ac:dyDescent="0.3">
      <c r="B58">
        <v>410</v>
      </c>
      <c r="C58" s="10">
        <v>386.32977481673117</v>
      </c>
      <c r="D58" s="10"/>
      <c r="E58" s="10"/>
      <c r="F58">
        <f>$B$23*EXP($B$24/$B$29*((1/350)-(1/C58)))</f>
        <v>1.4741558206754124</v>
      </c>
      <c r="G58">
        <f>((F58)*$B$20)/(1+(F58)*$B$20)</f>
        <v>0.9932621630015579</v>
      </c>
    </row>
    <row r="59" spans="2:7" x14ac:dyDescent="0.3">
      <c r="B59">
        <v>420</v>
      </c>
      <c r="C59" s="10">
        <v>389.78726417635869</v>
      </c>
      <c r="D59" s="10"/>
      <c r="E59" s="10"/>
      <c r="F59">
        <f>$B$23*EXP($B$24/$B$29*((1/350)-(1/C59)))</f>
        <v>2.3403328754144948</v>
      </c>
      <c r="G59">
        <f>((F59)*$B$20)/(1+(F59)*$B$20)</f>
        <v>0.99574528352787628</v>
      </c>
    </row>
    <row r="60" spans="2:7" x14ac:dyDescent="0.3">
      <c r="B60">
        <v>430</v>
      </c>
      <c r="C60" s="10">
        <v>393.19719103300997</v>
      </c>
      <c r="D60" s="10"/>
      <c r="E60" s="10"/>
      <c r="F60">
        <f>$B$23*EXP($B$24/$B$29*((1/350)-(1/C60)))</f>
        <v>3.6626278217126029</v>
      </c>
      <c r="G60">
        <f>((F60)*$B$20)/(1+(F60)*$B$20)</f>
        <v>0.99727715399287675</v>
      </c>
    </row>
    <row r="61" spans="2:7" x14ac:dyDescent="0.3">
      <c r="C61" s="10"/>
      <c r="D61" s="10"/>
      <c r="E61" s="10"/>
    </row>
    <row r="62" spans="2:7" x14ac:dyDescent="0.3">
      <c r="B62" s="1">
        <v>368</v>
      </c>
      <c r="C62" s="10">
        <v>369.06362127388456</v>
      </c>
      <c r="D62" s="10"/>
      <c r="E62" s="10"/>
      <c r="F62">
        <f t="shared" ref="F61:F62" si="6">$B$23*EXP($B$24/$B$29*((1/350)-(1/C62)))</f>
        <v>0.12877149619130304</v>
      </c>
      <c r="G62" s="1">
        <f t="shared" ref="G61:G62" si="7">((F62)*$B$20)/(1+(F62)*$B$20)</f>
        <v>0.92793909214458181</v>
      </c>
    </row>
    <row r="63" spans="2:7" x14ac:dyDescent="0.3">
      <c r="C63" s="10"/>
      <c r="D63" s="10"/>
      <c r="E63" s="10"/>
    </row>
    <row r="64" spans="2:7" x14ac:dyDescent="0.3">
      <c r="C64" s="10"/>
      <c r="D64" s="10"/>
      <c r="E64" s="10"/>
    </row>
    <row r="65" spans="1:15" x14ac:dyDescent="0.3">
      <c r="C65" s="1"/>
    </row>
    <row r="69" spans="1:15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</row>
    <row r="71" spans="1:15" x14ac:dyDescent="0.3">
      <c r="A71" s="2"/>
    </row>
    <row r="72" spans="1:15" x14ac:dyDescent="0.3">
      <c r="A72" s="2"/>
    </row>
    <row r="73" spans="1:15" x14ac:dyDescent="0.3">
      <c r="A73" s="2"/>
    </row>
    <row r="74" spans="1:15" x14ac:dyDescent="0.3">
      <c r="A74" s="2"/>
    </row>
    <row r="75" spans="1:15" x14ac:dyDescent="0.3">
      <c r="A75" s="2"/>
    </row>
    <row r="76" spans="1:15" x14ac:dyDescent="0.3">
      <c r="A76" s="2"/>
    </row>
    <row r="77" spans="1:15" x14ac:dyDescent="0.3">
      <c r="A77" s="2"/>
    </row>
    <row r="78" spans="1:15" x14ac:dyDescent="0.3">
      <c r="A78" s="2"/>
    </row>
    <row r="79" spans="1:15" x14ac:dyDescent="0.3">
      <c r="A79" s="2"/>
    </row>
    <row r="80" spans="1:15" x14ac:dyDescent="0.3">
      <c r="A80" s="2"/>
      <c r="E80" s="4"/>
    </row>
    <row r="81" spans="1:8" x14ac:dyDescent="0.3">
      <c r="A81" s="2"/>
    </row>
    <row r="82" spans="1:8" x14ac:dyDescent="0.3">
      <c r="A82" s="2"/>
      <c r="B82" s="7"/>
    </row>
    <row r="83" spans="1:8" x14ac:dyDescent="0.3">
      <c r="A83" s="2"/>
    </row>
    <row r="84" spans="1:8" x14ac:dyDescent="0.3">
      <c r="A84" s="2"/>
    </row>
    <row r="85" spans="1:8" x14ac:dyDescent="0.3">
      <c r="A85" s="2"/>
      <c r="B85" s="1"/>
      <c r="E85" s="3"/>
      <c r="F85" s="3"/>
      <c r="G85" s="3"/>
      <c r="H85" s="3"/>
    </row>
    <row r="87" spans="1:8" x14ac:dyDescent="0.3">
      <c r="G87" s="8"/>
    </row>
    <row r="88" spans="1:8" x14ac:dyDescent="0.3">
      <c r="B88" s="2"/>
      <c r="C88" s="5"/>
      <c r="D88" s="5"/>
      <c r="E88" s="5"/>
      <c r="F88" s="5"/>
      <c r="G88" s="9"/>
    </row>
    <row r="89" spans="1:8" x14ac:dyDescent="0.3">
      <c r="C89" s="1"/>
    </row>
    <row r="90" spans="1:8" x14ac:dyDescent="0.3">
      <c r="C90" s="1"/>
    </row>
    <row r="91" spans="1:8" x14ac:dyDescent="0.3">
      <c r="C91" s="1"/>
    </row>
    <row r="92" spans="1:8" x14ac:dyDescent="0.3">
      <c r="C92" s="1"/>
    </row>
    <row r="93" spans="1:8" x14ac:dyDescent="0.3">
      <c r="C93" s="1"/>
    </row>
    <row r="94" spans="1:8" x14ac:dyDescent="0.3">
      <c r="C94" s="1"/>
    </row>
    <row r="95" spans="1:8" x14ac:dyDescent="0.3">
      <c r="C95" s="1"/>
      <c r="D95" s="1"/>
      <c r="E95" s="1"/>
    </row>
    <row r="96" spans="1:8" x14ac:dyDescent="0.3">
      <c r="C96" s="1"/>
    </row>
    <row r="97" spans="3:5" x14ac:dyDescent="0.3">
      <c r="C97" s="1"/>
    </row>
    <row r="98" spans="3:5" x14ac:dyDescent="0.3">
      <c r="C98" s="1"/>
    </row>
    <row r="99" spans="3:5" x14ac:dyDescent="0.3">
      <c r="C99" s="1"/>
      <c r="D99" s="1"/>
    </row>
    <row r="100" spans="3:5" x14ac:dyDescent="0.3">
      <c r="C100" s="1"/>
      <c r="D100" s="1"/>
      <c r="E100" s="1"/>
    </row>
    <row r="101" spans="3:5" x14ac:dyDescent="0.3">
      <c r="C101" s="1"/>
      <c r="D101" s="1"/>
      <c r="E101" s="1"/>
    </row>
    <row r="102" spans="3:5" x14ac:dyDescent="0.3">
      <c r="C102" s="1"/>
      <c r="D102" s="1"/>
      <c r="E102" s="1"/>
    </row>
    <row r="103" spans="3:5" x14ac:dyDescent="0.3">
      <c r="C103" s="1"/>
      <c r="D103" s="1"/>
      <c r="E103" s="1"/>
    </row>
    <row r="104" spans="3:5" x14ac:dyDescent="0.3">
      <c r="C104" s="1"/>
      <c r="E104" s="1"/>
    </row>
    <row r="105" spans="3:5" x14ac:dyDescent="0.3">
      <c r="C105" s="1"/>
      <c r="D105" s="1"/>
    </row>
    <row r="106" spans="3:5" x14ac:dyDescent="0.3">
      <c r="C106" s="1"/>
      <c r="D106" s="1"/>
    </row>
    <row r="107" spans="3:5" x14ac:dyDescent="0.3">
      <c r="C107" s="1"/>
      <c r="D107" s="1"/>
    </row>
    <row r="108" spans="3:5" x14ac:dyDescent="0.3">
      <c r="C108" s="1"/>
    </row>
    <row r="109" spans="3:5" x14ac:dyDescent="0.3">
      <c r="C109" s="1"/>
    </row>
    <row r="110" spans="3:5" x14ac:dyDescent="0.3">
      <c r="C11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30FF-4085-43E6-A088-5D2898D2C11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2020-04-21T03:16:02Z</dcterms:created>
  <dcterms:modified xsi:type="dcterms:W3CDTF">2020-04-22T18:36:50Z</dcterms:modified>
</cp:coreProperties>
</file>