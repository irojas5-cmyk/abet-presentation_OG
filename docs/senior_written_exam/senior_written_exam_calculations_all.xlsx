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4-ContinuousImprovement\AssessmentMethod2-SeniorWrittenExam\SeniorWrittenExamAssessment\"/>
    </mc:Choice>
  </mc:AlternateContent>
  <bookViews>
    <workbookView xWindow="0" yWindow="0" windowWidth="28800" windowHeight="12566"/>
  </bookViews>
  <sheets>
    <sheet name="Fall 19" sheetId="9" r:id="rId1"/>
    <sheet name="Fall 18" sheetId="8" r:id="rId2"/>
    <sheet name="Fall 17" sheetId="7" r:id="rId3"/>
    <sheet name="Fall 16" sheetId="6" r:id="rId4"/>
    <sheet name="Spring 16 " sheetId="4" r:id="rId5"/>
    <sheet name="Spring 15" sheetId="1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8" i="9" l="1"/>
  <c r="I88" i="9"/>
  <c r="J87" i="9"/>
  <c r="I87" i="9"/>
  <c r="E88" i="9"/>
  <c r="E87" i="9"/>
  <c r="D88" i="9"/>
  <c r="D87" i="9"/>
  <c r="C88" i="9"/>
  <c r="B88" i="9"/>
  <c r="C87" i="9"/>
  <c r="B87" i="9"/>
  <c r="H88" i="9"/>
  <c r="G88" i="9"/>
  <c r="F88" i="9"/>
  <c r="F96" i="9"/>
  <c r="H87" i="9"/>
  <c r="G87" i="9"/>
  <c r="F87" i="9"/>
  <c r="E96" i="9" s="1"/>
  <c r="J87" i="8"/>
  <c r="I87" i="8"/>
  <c r="H87" i="8"/>
  <c r="G87" i="8"/>
  <c r="F87" i="8"/>
  <c r="E87" i="8"/>
  <c r="D87" i="8"/>
  <c r="C87" i="8"/>
  <c r="B87" i="8"/>
  <c r="J86" i="8"/>
  <c r="I86" i="8"/>
  <c r="F95" i="8" s="1"/>
  <c r="H86" i="8"/>
  <c r="G86" i="8"/>
  <c r="C95" i="8" s="1"/>
  <c r="F86" i="8"/>
  <c r="E95" i="8" s="1"/>
  <c r="E86" i="8"/>
  <c r="D86" i="8"/>
  <c r="C86" i="8"/>
  <c r="B86" i="8"/>
  <c r="J90" i="7"/>
  <c r="I90" i="7"/>
  <c r="H90" i="7"/>
  <c r="G90" i="7"/>
  <c r="F90" i="7"/>
  <c r="E90" i="7"/>
  <c r="D90" i="7"/>
  <c r="C90" i="7"/>
  <c r="B90" i="7"/>
  <c r="J89" i="7"/>
  <c r="I89" i="7"/>
  <c r="F98" i="7" s="1"/>
  <c r="H89" i="7"/>
  <c r="G89" i="7"/>
  <c r="F89" i="7"/>
  <c r="E98" i="7" s="1"/>
  <c r="E89" i="7"/>
  <c r="D89" i="7"/>
  <c r="C89" i="7"/>
  <c r="B89" i="7"/>
  <c r="J92" i="6"/>
  <c r="I92" i="6"/>
  <c r="H92" i="6"/>
  <c r="G92" i="6"/>
  <c r="F92" i="6"/>
  <c r="E92" i="6"/>
  <c r="D92" i="6"/>
  <c r="C92" i="6"/>
  <c r="B92" i="6"/>
  <c r="J91" i="6"/>
  <c r="I91" i="6"/>
  <c r="F100" i="6" s="1"/>
  <c r="H91" i="6"/>
  <c r="G91" i="6"/>
  <c r="F91" i="6"/>
  <c r="E100" i="6" s="1"/>
  <c r="E91" i="6"/>
  <c r="D91" i="6"/>
  <c r="C91" i="6"/>
  <c r="B91" i="6"/>
  <c r="J82" i="4"/>
  <c r="I82" i="4"/>
  <c r="H82" i="4"/>
  <c r="G82" i="4"/>
  <c r="F82" i="4"/>
  <c r="E82" i="4"/>
  <c r="D82" i="4"/>
  <c r="C82" i="4"/>
  <c r="B82" i="4"/>
  <c r="J81" i="4"/>
  <c r="I81" i="4"/>
  <c r="F90" i="4" s="1"/>
  <c r="H81" i="4"/>
  <c r="G81" i="4"/>
  <c r="F81" i="4"/>
  <c r="E90" i="4" s="1"/>
  <c r="E81" i="4"/>
  <c r="D81" i="4"/>
  <c r="C81" i="4"/>
  <c r="B81" i="4"/>
  <c r="G90" i="4" s="1"/>
  <c r="D97" i="9" l="1"/>
  <c r="B90" i="9"/>
  <c r="B97" i="9"/>
  <c r="D96" i="9"/>
  <c r="B96" i="9"/>
  <c r="C96" i="9"/>
  <c r="G96" i="9"/>
  <c r="B96" i="8"/>
  <c r="B89" i="8"/>
  <c r="D96" i="8"/>
  <c r="B95" i="8"/>
  <c r="G95" i="8"/>
  <c r="D95" i="8"/>
  <c r="B99" i="7"/>
  <c r="B92" i="7"/>
  <c r="D99" i="7"/>
  <c r="B98" i="7"/>
  <c r="C98" i="7"/>
  <c r="G98" i="7"/>
  <c r="D98" i="7"/>
  <c r="B101" i="6"/>
  <c r="B94" i="6"/>
  <c r="D101" i="6"/>
  <c r="C100" i="6"/>
  <c r="G100" i="6"/>
  <c r="D100" i="6"/>
  <c r="B100" i="6"/>
  <c r="D91" i="4"/>
  <c r="B90" i="4"/>
  <c r="D90" i="4"/>
  <c r="B91" i="4"/>
  <c r="C90" i="4"/>
  <c r="B84" i="4"/>
  <c r="J71" i="1"/>
  <c r="I71" i="1"/>
  <c r="H71" i="1"/>
  <c r="G71" i="1"/>
  <c r="F71" i="1"/>
  <c r="J70" i="1"/>
  <c r="I70" i="1"/>
  <c r="F79" i="1" s="1"/>
  <c r="H70" i="1"/>
  <c r="G70" i="1"/>
  <c r="F70" i="1"/>
  <c r="E79" i="1" s="1"/>
  <c r="E71" i="1"/>
  <c r="E70" i="1"/>
  <c r="C79" i="1" l="1"/>
  <c r="B80" i="1"/>
  <c r="B79" i="1"/>
  <c r="D71" i="1"/>
  <c r="C71" i="1"/>
  <c r="B71" i="1"/>
  <c r="D70" i="1"/>
  <c r="C70" i="1"/>
  <c r="B70" i="1"/>
  <c r="B73" i="1" l="1"/>
  <c r="G79" i="1"/>
  <c r="D80" i="1"/>
  <c r="D7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<sst xmlns="http://schemas.openxmlformats.org/spreadsheetml/2006/main" count="804" uniqueCount="358">
  <si>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</si>
  <si>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</si>
  <si>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</si>
  <si>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</si>
  <si>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</si>
  <si>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</si>
  <si>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</si>
  <si>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</si>
  <si>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</si>
  <si>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</si>
  <si>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Mapped SLO</t>
  </si>
  <si>
    <t>Assessment of student learning outcomes (SLO)</t>
  </si>
  <si>
    <t>RESULTS BY STUDENT OUTCOME ALL ASSESSMENTS</t>
  </si>
  <si>
    <t>Rubric item (PI)</t>
  </si>
  <si>
    <t>BSChE Senior Written Examination</t>
  </si>
  <si>
    <t>Assessment rubric for 5 question Senior Written Examination covering SLO's 1, 2, 4, 5, 6, 7</t>
  </si>
  <si>
    <t>1,2</t>
  </si>
  <si>
    <t>1,6</t>
  </si>
  <si>
    <t>N/A</t>
  </si>
  <si>
    <t>TotalAverage</t>
  </si>
  <si>
    <t>Question</t>
  </si>
  <si>
    <t>#</t>
  </si>
  <si>
    <t>Performance Indicator (PI)</t>
  </si>
  <si>
    <t>1 Background research on</t>
  </si>
  <si>
    <t>career options and plans</t>
  </si>
  <si>
    <t>2a</t>
  </si>
  <si>
    <t>2. Ethical and societal</t>
  </si>
  <si>
    <t>ramifications of technology</t>
  </si>
  <si>
    <t>2c</t>
  </si>
  <si>
    <t>3. Approach to ethical</t>
  </si>
  <si>
    <t>dilemmas</t>
  </si>
  <si>
    <t>2d</t>
  </si>
  <si>
    <t>4. AIChE Code of Ethics</t>
  </si>
  <si>
    <t>5. Multidisciplinary teamwork</t>
  </si>
  <si>
    <t>6. Description of</t>
  </si>
  <si>
    <t>numerical method</t>
  </si>
  <si>
    <t>and formulation of</t>
  </si>
  <si>
    <t>algorithm</t>
  </si>
  <si>
    <t>7.Proficiency with</t>
  </si>
  <si>
    <t>Excel or MATLAB</t>
  </si>
  <si>
    <t>8.Identification</t>
  </si>
  <si>
    <t>of system,</t>
  </si>
  <si>
    <t>surroundings</t>
  </si>
  <si>
    <t>and applicable</t>
  </si>
  <si>
    <t>flow streams</t>
  </si>
  <si>
    <t>9.Effective problem</t>
  </si>
  <si>
    <t>solving skills</t>
  </si>
  <si>
    <t>Exam</t>
  </si>
  <si>
    <t>Question 1</t>
  </si>
  <si>
    <t>Question 2</t>
  </si>
  <si>
    <t>Question 3</t>
  </si>
  <si>
    <t>Question 4</t>
  </si>
  <si>
    <t>Question 5</t>
  </si>
  <si>
    <t>Prepared by: A. Zdunek</t>
  </si>
  <si>
    <t xml:space="preserve">RESULTS BY PERFORMANCE INDICATOR: </t>
  </si>
  <si>
    <t>J Borosho</t>
  </si>
  <si>
    <t>S Goldstein</t>
  </si>
  <si>
    <t>T Tran</t>
  </si>
  <si>
    <t>E Lazeano</t>
  </si>
  <si>
    <t>S Bouabid</t>
  </si>
  <si>
    <t>M Alkolaghasi</t>
  </si>
  <si>
    <t>H Castaneda</t>
  </si>
  <si>
    <t>D Lamas</t>
  </si>
  <si>
    <t>D Krepp</t>
  </si>
  <si>
    <t>A Tucker</t>
  </si>
  <si>
    <t>Z Siddiqui</t>
  </si>
  <si>
    <t>J Lee</t>
  </si>
  <si>
    <t>B Trinh</t>
  </si>
  <si>
    <t>J Kuntz</t>
  </si>
  <si>
    <t>A Estrada</t>
  </si>
  <si>
    <t>A Crocker</t>
  </si>
  <si>
    <t>J Gomero</t>
  </si>
  <si>
    <t>A Burshan</t>
  </si>
  <si>
    <t>W Hansen</t>
  </si>
  <si>
    <t>A George</t>
  </si>
  <si>
    <t>T Raymond</t>
  </si>
  <si>
    <t>P Jaroenwatt</t>
  </si>
  <si>
    <t>K Wisniewski</t>
  </si>
  <si>
    <t>R Murphy</t>
  </si>
  <si>
    <t>N Stanfa</t>
  </si>
  <si>
    <t>R Rafiq</t>
  </si>
  <si>
    <t>I Patel</t>
  </si>
  <si>
    <t>J Shabu</t>
  </si>
  <si>
    <t>V Karankevich</t>
  </si>
  <si>
    <t>K Baroni</t>
  </si>
  <si>
    <t>S Xiao</t>
  </si>
  <si>
    <t>A Lee</t>
  </si>
  <si>
    <t>E Dushinae</t>
  </si>
  <si>
    <t>A Ristau</t>
  </si>
  <si>
    <t>K Patel</t>
  </si>
  <si>
    <t>J Siler</t>
  </si>
  <si>
    <t>R Haro</t>
  </si>
  <si>
    <t>M Brusilovsky</t>
  </si>
  <si>
    <t>A Ivanov</t>
  </si>
  <si>
    <t>Muna Saber</t>
  </si>
  <si>
    <t>D Castro</t>
  </si>
  <si>
    <t>N Ahmed</t>
  </si>
  <si>
    <t>M Biagioli</t>
  </si>
  <si>
    <t>Maaz Baig</t>
  </si>
  <si>
    <t>C Quintero</t>
  </si>
  <si>
    <t>L Edano</t>
  </si>
  <si>
    <t>R Chiu</t>
  </si>
  <si>
    <t>C Catalano</t>
  </si>
  <si>
    <t>M Otry</t>
  </si>
  <si>
    <t>Shiju Jacob</t>
  </si>
  <si>
    <t>T Al-Zoubi</t>
  </si>
  <si>
    <t>J Nguyen</t>
  </si>
  <si>
    <t>M Omori</t>
  </si>
  <si>
    <t>A Dahshan</t>
  </si>
  <si>
    <t>A Rasmussen</t>
  </si>
  <si>
    <t>P Zieva</t>
  </si>
  <si>
    <t>E Wojcik</t>
  </si>
  <si>
    <t>N West</t>
  </si>
  <si>
    <t>J Tijerina</t>
  </si>
  <si>
    <t>L Thaw</t>
  </si>
  <si>
    <t>A Talia</t>
  </si>
  <si>
    <t>R Swiatowiel</t>
  </si>
  <si>
    <t>C Stepul</t>
  </si>
  <si>
    <t>P Susfal</t>
  </si>
  <si>
    <t>J Spataro</t>
  </si>
  <si>
    <t>R Somodji</t>
  </si>
  <si>
    <t>B Smith</t>
  </si>
  <si>
    <t>M Sharma</t>
  </si>
  <si>
    <t>R Shah</t>
  </si>
  <si>
    <t>C Shaffer</t>
  </si>
  <si>
    <t>B Seger</t>
  </si>
  <si>
    <t>A Schinkowski</t>
  </si>
  <si>
    <t>I Saadi</t>
  </si>
  <si>
    <t>C Roth</t>
  </si>
  <si>
    <t>I Puka</t>
  </si>
  <si>
    <t>A Palmas</t>
  </si>
  <si>
    <t>V Pena</t>
  </si>
  <si>
    <t>N Patel</t>
  </si>
  <si>
    <t>M Nofal</t>
  </si>
  <si>
    <t>C Moreno</t>
  </si>
  <si>
    <t>Z Mao</t>
  </si>
  <si>
    <t>M Maamari</t>
  </si>
  <si>
    <t>D Kus</t>
  </si>
  <si>
    <t>J Kunzli</t>
  </si>
  <si>
    <t>A Kottke</t>
  </si>
  <si>
    <t>N Kowaleski</t>
  </si>
  <si>
    <t>K Khan</t>
  </si>
  <si>
    <t>F Kelmendi</t>
  </si>
  <si>
    <t>Sara Kadineh</t>
  </si>
  <si>
    <t>K Jensen</t>
  </si>
  <si>
    <t>A Khalili</t>
  </si>
  <si>
    <t>M Isufi</t>
  </si>
  <si>
    <t>E Hernandez</t>
  </si>
  <si>
    <t>J Guidarelli</t>
  </si>
  <si>
    <t>M Guevara</t>
  </si>
  <si>
    <t>T Briniolik</t>
  </si>
  <si>
    <t>D Bernatek</t>
  </si>
  <si>
    <t>R Granata</t>
  </si>
  <si>
    <t>K Gassman</t>
  </si>
  <si>
    <t>E Garcia</t>
  </si>
  <si>
    <t>S Gao</t>
  </si>
  <si>
    <t>M El-Khatib</t>
  </si>
  <si>
    <t>Y El-Hakim</t>
  </si>
  <si>
    <t>O Ekhomii</t>
  </si>
  <si>
    <t>N Danciu</t>
  </si>
  <si>
    <t>A Ansari</t>
  </si>
  <si>
    <t>A Alshamrani</t>
  </si>
  <si>
    <t>O Beule</t>
  </si>
  <si>
    <t>P Beauboeuf</t>
  </si>
  <si>
    <t>J Colmenares</t>
  </si>
  <si>
    <t>S Daik</t>
  </si>
  <si>
    <t>P Ciupinski</t>
  </si>
  <si>
    <t>A Cash</t>
  </si>
  <si>
    <t>S Recendez</t>
  </si>
  <si>
    <t>T Bowers</t>
  </si>
  <si>
    <t>L Borden</t>
  </si>
  <si>
    <t>C Bongiovanni</t>
  </si>
  <si>
    <t>J Birman</t>
  </si>
  <si>
    <t>S Bnalerao</t>
  </si>
  <si>
    <t>A Salam</t>
  </si>
  <si>
    <t>L Pereira</t>
  </si>
  <si>
    <t>M Powers</t>
  </si>
  <si>
    <t>D Reyes</t>
  </si>
  <si>
    <t>J Rodriguez</t>
  </si>
  <si>
    <t>Carolina Rojas</t>
  </si>
  <si>
    <t>A Salgado</t>
  </si>
  <si>
    <t>N Sanchez</t>
  </si>
  <si>
    <t>K Shah</t>
  </si>
  <si>
    <t>D Schwartz</t>
  </si>
  <si>
    <t>M Sovereign</t>
  </si>
  <si>
    <t>C Stewart</t>
  </si>
  <si>
    <t>A Torres</t>
  </si>
  <si>
    <t>N Tran</t>
  </si>
  <si>
    <t>N Vazlev</t>
  </si>
  <si>
    <t>V Villanueva</t>
  </si>
  <si>
    <t>S Villarino</t>
  </si>
  <si>
    <t>K Wu</t>
  </si>
  <si>
    <t>J Yang</t>
  </si>
  <si>
    <t>P Yan</t>
  </si>
  <si>
    <t>E Yolo</t>
  </si>
  <si>
    <t>W Jaban</t>
  </si>
  <si>
    <t>A Hernandez</t>
  </si>
  <si>
    <t>A Joseph</t>
  </si>
  <si>
    <t>K Joy</t>
  </si>
  <si>
    <t>A Judeh</t>
  </si>
  <si>
    <t>R Khoury</t>
  </si>
  <si>
    <t>E Lazaro</t>
  </si>
  <si>
    <t>N Majapit</t>
  </si>
  <si>
    <t>C Mecinski</t>
  </si>
  <si>
    <t>M Medrano</t>
  </si>
  <si>
    <t>J Mei</t>
  </si>
  <si>
    <t>N Mirza</t>
  </si>
  <si>
    <t>A Murphy</t>
  </si>
  <si>
    <t>D Osabuohien</t>
  </si>
  <si>
    <t>T Oswald</t>
  </si>
  <si>
    <t>A Ourth</t>
  </si>
  <si>
    <t>A Owoseni</t>
  </si>
  <si>
    <t>H Pavk</t>
  </si>
  <si>
    <t>X Patlan</t>
  </si>
  <si>
    <t>M Young</t>
  </si>
  <si>
    <t>F Albreiki</t>
  </si>
  <si>
    <t>E Ampo</t>
  </si>
  <si>
    <t>L Arnold</t>
  </si>
  <si>
    <t>R Basse</t>
  </si>
  <si>
    <t>N Best</t>
  </si>
  <si>
    <t>F Brej</t>
  </si>
  <si>
    <t>B Chambers</t>
  </si>
  <si>
    <t>F Chowdhury</t>
  </si>
  <si>
    <t>C Ciszek</t>
  </si>
  <si>
    <t>R Cleope</t>
  </si>
  <si>
    <t>V Cole</t>
  </si>
  <si>
    <t>C Czartoryski</t>
  </si>
  <si>
    <t>R Davenport</t>
  </si>
  <si>
    <t>D David</t>
  </si>
  <si>
    <t>T Erasga</t>
  </si>
  <si>
    <t>D Galanos</t>
  </si>
  <si>
    <t>M Genz</t>
  </si>
  <si>
    <t>A Gozdowiak</t>
  </si>
  <si>
    <t>M Grant</t>
  </si>
  <si>
    <t>Z Hassan</t>
  </si>
  <si>
    <t>A Hassoun</t>
  </si>
  <si>
    <t>M Garcia</t>
  </si>
  <si>
    <t>K Gandhi</t>
  </si>
  <si>
    <t>C Foster</t>
  </si>
  <si>
    <t>R Fisher</t>
  </si>
  <si>
    <t>S Epari</t>
  </si>
  <si>
    <t>E Dwar</t>
  </si>
  <si>
    <t>P Durosinmi</t>
  </si>
  <si>
    <t>M Donnelly</t>
  </si>
  <si>
    <t>T Chung</t>
  </si>
  <si>
    <t>S Chan</t>
  </si>
  <si>
    <t>C Burken</t>
  </si>
  <si>
    <t>E Buhle</t>
  </si>
  <si>
    <t>M Bilaluddin</t>
  </si>
  <si>
    <t>O Al Muskati</t>
  </si>
  <si>
    <t>R Albadri</t>
  </si>
  <si>
    <t>J Agoncillo</t>
  </si>
  <si>
    <t>E Adupong</t>
  </si>
  <si>
    <t>E Joseph</t>
  </si>
  <si>
    <t>I Jose</t>
  </si>
  <si>
    <t>E Johnson</t>
  </si>
  <si>
    <t>E John</t>
  </si>
  <si>
    <t>E Ivanov</t>
  </si>
  <si>
    <t>S Harris</t>
  </si>
  <si>
    <t>S Gonzalez</t>
  </si>
  <si>
    <t>A Kubinski</t>
  </si>
  <si>
    <t>C Kozlowski</t>
  </si>
  <si>
    <t>J Kostenski</t>
  </si>
  <si>
    <t>N Korkess</t>
  </si>
  <si>
    <t>G Kokoszka</t>
  </si>
  <si>
    <t>A Khan</t>
  </si>
  <si>
    <t>Y Khalid</t>
  </si>
  <si>
    <t>V Patel</t>
  </si>
  <si>
    <t>H Patel</t>
  </si>
  <si>
    <t>D Panek</t>
  </si>
  <si>
    <t>M Mirza</t>
  </si>
  <si>
    <t>K Milla</t>
  </si>
  <si>
    <t>R Mejia</t>
  </si>
  <si>
    <t>B Mehmood</t>
  </si>
  <si>
    <t>M McKinney</t>
  </si>
  <si>
    <t>A Ly</t>
  </si>
  <si>
    <t>J Lomahan</t>
  </si>
  <si>
    <t>E Li</t>
  </si>
  <si>
    <t>T Le</t>
  </si>
  <si>
    <t>C Lawrence</t>
  </si>
  <si>
    <t>D Wesolowski</t>
  </si>
  <si>
    <t>A Wahdan</t>
  </si>
  <si>
    <t>M Wagener</t>
  </si>
  <si>
    <t>R Trelka</t>
  </si>
  <si>
    <t>M Topalis</t>
  </si>
  <si>
    <t>M Tariq</t>
  </si>
  <si>
    <t>K Stanczyk</t>
  </si>
  <si>
    <t>S Skariah</t>
  </si>
  <si>
    <t>M Shakro</t>
  </si>
  <si>
    <t>D Schulz</t>
  </si>
  <si>
    <t>S Sarefian</t>
  </si>
  <si>
    <t>F Saeed</t>
  </si>
  <si>
    <t>M Ryan</t>
  </si>
  <si>
    <t>R Ravi</t>
  </si>
  <si>
    <t>A Rackovic</t>
  </si>
  <si>
    <t>G Pecoraro</t>
  </si>
  <si>
    <t>J Villegas</t>
  </si>
  <si>
    <t>E Elizondo</t>
  </si>
  <si>
    <t>C Tristano</t>
  </si>
  <si>
    <t>Y Teweldeberhan</t>
  </si>
  <si>
    <t>M Stacy</t>
  </si>
  <si>
    <t>M St. Peter</t>
  </si>
  <si>
    <t>Y Sorunke</t>
  </si>
  <si>
    <t>E Sobie</t>
  </si>
  <si>
    <t>K Shehadeh</t>
  </si>
  <si>
    <t>A Serban</t>
  </si>
  <si>
    <t>E Sargado</t>
  </si>
  <si>
    <t>W Rawson</t>
  </si>
  <si>
    <t>J Rawal</t>
  </si>
  <si>
    <t>J Proctor</t>
  </si>
  <si>
    <t>M Odeesh</t>
  </si>
  <si>
    <t>T Mitchell</t>
  </si>
  <si>
    <t>A Miranda</t>
  </si>
  <si>
    <t>T Mazur</t>
  </si>
  <si>
    <t>S Masoud</t>
  </si>
  <si>
    <t>M Markovic</t>
  </si>
  <si>
    <t>A Maret</t>
  </si>
  <si>
    <t>Y Li</t>
  </si>
  <si>
    <t>M Jimjimo</t>
  </si>
  <si>
    <t>S Hernandez</t>
  </si>
  <si>
    <t>A Guzik</t>
  </si>
  <si>
    <t>J Fell</t>
  </si>
  <si>
    <t>C Fabbri</t>
  </si>
  <si>
    <t>L Daniel</t>
  </si>
  <si>
    <t>D Colindres</t>
  </si>
  <si>
    <t>J Chiu</t>
  </si>
  <si>
    <t xml:space="preserve">K Chavez </t>
  </si>
  <si>
    <t>E Caruso</t>
  </si>
  <si>
    <t>D Awimrin</t>
  </si>
  <si>
    <t>E Asani</t>
  </si>
  <si>
    <t>E Almonte</t>
  </si>
  <si>
    <t>Z Ahmed</t>
  </si>
  <si>
    <t>C Sanchez</t>
  </si>
  <si>
    <t>-</t>
  </si>
  <si>
    <t>O Zandan</t>
  </si>
  <si>
    <t>E Yspango</t>
  </si>
  <si>
    <t>M Smith</t>
  </si>
  <si>
    <t>J Castillo</t>
  </si>
  <si>
    <t>C Slykas</t>
  </si>
  <si>
    <t>H Usman</t>
  </si>
  <si>
    <t>O Taktouri</t>
  </si>
  <si>
    <t>A Nordvall</t>
  </si>
  <si>
    <t>P Starakicz</t>
  </si>
  <si>
    <t>A Hadzic</t>
  </si>
  <si>
    <t>M Simon</t>
  </si>
  <si>
    <t>T Hannoun</t>
  </si>
  <si>
    <t>G Garmoos</t>
  </si>
  <si>
    <t>M Djonlich</t>
  </si>
  <si>
    <t>J Finlon</t>
  </si>
  <si>
    <t>F Ibrahim</t>
  </si>
  <si>
    <t>K Krupa</t>
  </si>
  <si>
    <t>A Abusubaih</t>
  </si>
  <si>
    <t>I Lim</t>
  </si>
  <si>
    <t>A Alghamdi</t>
  </si>
  <si>
    <t>A Vashist</t>
  </si>
  <si>
    <t>A Mabdraman</t>
  </si>
  <si>
    <t>M Murtaza</t>
  </si>
  <si>
    <t>V Palma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</si>
</sst>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0" borderId="0" xfId="0" applyNumberFormat="1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5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/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4" xfId="0" applyFill="1" applyBorder="1"/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5" xfId="0" applyBorder="1"/>
    <xf numFmtId="0" fontId="3" fillId="0" borderId="0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3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3" fillId="7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"/>
  <sheetViews>
    <sheetView tabSelected="1" topLeftCell="A44" zoomScale="90" zoomScaleNormal="90" workbookViewId="0">
      <selection activeCell="M83" sqref="M83"/>
    </sheetView>
  </sheetViews>
  <sheetFormatPr defaultRowHeight="14.6" x14ac:dyDescent="0.4"/>
  <cols>
    <col min="1" max="1" width="20.15234375" customWidth="1"/>
    <col min="2" max="2" width="11.53515625" customWidth="1"/>
    <col min="6" max="6" width="10.84375" customWidth="1"/>
    <col min="7" max="7" width="9.53515625" bestFit="1" customWidth="1"/>
    <col min="13" max="13" width="28.53515625" customWidth="1"/>
    <col min="16" max="16" width="27.15234375" customWidth="1"/>
  </cols>
  <sheetData>
    <row r="1" spans="1:16" x14ac:dyDescent="0.4">
      <c r="A1" s="1" t="s">
        <v>14</v>
      </c>
      <c r="L1" s="35" t="s">
        <v>47</v>
      </c>
      <c r="M1" s="35"/>
      <c r="O1" t="s">
        <v>47</v>
      </c>
    </row>
    <row r="2" spans="1:16" ht="15" customHeight="1" x14ac:dyDescent="0.4">
      <c r="A2" s="1"/>
      <c r="L2" s="36" t="s">
        <v>20</v>
      </c>
      <c r="M2" s="36" t="s">
        <v>22</v>
      </c>
      <c r="N2" s="37"/>
      <c r="O2" s="37" t="s">
        <v>20</v>
      </c>
      <c r="P2" s="37" t="s">
        <v>22</v>
      </c>
    </row>
    <row r="3" spans="1:16" x14ac:dyDescent="0.4">
      <c r="A3" s="1" t="s">
        <v>11</v>
      </c>
      <c r="L3" s="35" t="s">
        <v>21</v>
      </c>
      <c r="M3" s="35"/>
      <c r="O3" t="s">
        <v>21</v>
      </c>
    </row>
    <row r="4" spans="1:16" x14ac:dyDescent="0.4">
      <c r="A4" s="2" t="s">
        <v>15</v>
      </c>
      <c r="B4" s="2"/>
      <c r="C4" s="2"/>
      <c r="D4" s="2"/>
      <c r="L4" s="35">
        <v>1</v>
      </c>
      <c r="M4" s="35" t="s">
        <v>23</v>
      </c>
      <c r="O4" s="35">
        <v>4</v>
      </c>
      <c r="P4" t="s">
        <v>34</v>
      </c>
    </row>
    <row r="5" spans="1:16" x14ac:dyDescent="0.4">
      <c r="A5" s="2" t="s">
        <v>53</v>
      </c>
      <c r="B5" s="2"/>
      <c r="C5" s="2"/>
      <c r="D5" s="2"/>
      <c r="E5" s="2"/>
      <c r="F5" s="2"/>
      <c r="G5" s="2"/>
      <c r="L5" s="35"/>
      <c r="M5" s="35" t="s">
        <v>24</v>
      </c>
      <c r="O5" s="35"/>
      <c r="P5" t="s">
        <v>35</v>
      </c>
    </row>
    <row r="6" spans="1:16" x14ac:dyDescent="0.4">
      <c r="A6" s="2"/>
      <c r="B6" s="2"/>
      <c r="C6" s="2"/>
      <c r="D6" s="2"/>
      <c r="E6" s="2"/>
      <c r="F6" s="2"/>
      <c r="G6" s="2"/>
      <c r="L6" s="35" t="s">
        <v>25</v>
      </c>
      <c r="M6" s="35" t="s">
        <v>26</v>
      </c>
      <c r="O6" s="35"/>
      <c r="P6" t="s">
        <v>36</v>
      </c>
    </row>
    <row r="7" spans="1:16" x14ac:dyDescent="0.4">
      <c r="A7" s="2"/>
      <c r="L7" s="35"/>
      <c r="M7" s="35" t="s">
        <v>27</v>
      </c>
      <c r="O7" s="35"/>
      <c r="P7" t="s">
        <v>37</v>
      </c>
    </row>
    <row r="8" spans="1:16" x14ac:dyDescent="0.4">
      <c r="L8" s="35" t="s">
        <v>28</v>
      </c>
      <c r="M8" s="35" t="s">
        <v>29</v>
      </c>
      <c r="O8" s="35">
        <v>4</v>
      </c>
      <c r="P8" t="s">
        <v>38</v>
      </c>
    </row>
    <row r="9" spans="1:16" x14ac:dyDescent="0.4">
      <c r="A9" s="12" t="s">
        <v>9</v>
      </c>
      <c r="B9" s="4"/>
      <c r="C9" s="4"/>
      <c r="L9" s="35"/>
      <c r="M9" s="35" t="s">
        <v>30</v>
      </c>
      <c r="O9" s="35"/>
      <c r="P9" t="s">
        <v>39</v>
      </c>
    </row>
    <row r="10" spans="1:16" x14ac:dyDescent="0.4">
      <c r="A10" s="4">
        <v>1</v>
      </c>
      <c r="B10" s="4" t="s">
        <v>0</v>
      </c>
      <c r="C10" s="4"/>
      <c r="L10" s="35" t="s">
        <v>31</v>
      </c>
      <c r="M10" s="35" t="s">
        <v>32</v>
      </c>
      <c r="O10" s="35">
        <v>5</v>
      </c>
      <c r="P10" t="s">
        <v>40</v>
      </c>
    </row>
    <row r="11" spans="1:16" x14ac:dyDescent="0.4">
      <c r="A11" s="4">
        <v>2</v>
      </c>
      <c r="B11" s="4" t="s">
        <v>1</v>
      </c>
      <c r="C11" s="4"/>
      <c r="L11" s="35">
        <v>3</v>
      </c>
      <c r="M11" s="35" t="s">
        <v>33</v>
      </c>
      <c r="O11" s="35"/>
      <c r="P11" t="s">
        <v>41</v>
      </c>
    </row>
    <row r="12" spans="1:16" x14ac:dyDescent="0.4">
      <c r="A12" s="4">
        <v>3</v>
      </c>
      <c r="B12" s="4" t="s">
        <v>2</v>
      </c>
      <c r="C12" s="4"/>
      <c r="O12" s="35"/>
      <c r="P12" t="s">
        <v>42</v>
      </c>
    </row>
    <row r="13" spans="1:16" x14ac:dyDescent="0.4">
      <c r="A13" s="4"/>
      <c r="B13" s="4"/>
      <c r="C13" s="4"/>
      <c r="O13" s="35"/>
      <c r="P13" t="s">
        <v>43</v>
      </c>
    </row>
    <row r="14" spans="1:16" x14ac:dyDescent="0.4">
      <c r="A14" s="43"/>
      <c r="B14" s="52" t="s">
        <v>48</v>
      </c>
      <c r="C14" t="s">
        <v>49</v>
      </c>
      <c r="E14" s="43"/>
      <c r="F14" s="46" t="s">
        <v>50</v>
      </c>
      <c r="G14" t="s">
        <v>51</v>
      </c>
      <c r="H14" s="43"/>
      <c r="I14" t="s">
        <v>52</v>
      </c>
      <c r="O14" s="35"/>
      <c r="P14" t="s">
        <v>44</v>
      </c>
    </row>
    <row r="15" spans="1:16" x14ac:dyDescent="0.4">
      <c r="A15" s="38" t="s">
        <v>8</v>
      </c>
      <c r="B15" s="38">
        <v>1</v>
      </c>
      <c r="C15" s="20">
        <v>2</v>
      </c>
      <c r="D15" s="20">
        <v>3</v>
      </c>
      <c r="E15" s="38">
        <v>4</v>
      </c>
      <c r="F15" s="44">
        <v>5</v>
      </c>
      <c r="G15" s="20">
        <v>6</v>
      </c>
      <c r="H15" s="38">
        <v>7</v>
      </c>
      <c r="I15" s="20">
        <v>8</v>
      </c>
      <c r="J15" s="20">
        <v>9</v>
      </c>
      <c r="O15" s="35">
        <v>5</v>
      </c>
      <c r="P15" t="s">
        <v>45</v>
      </c>
    </row>
    <row r="16" spans="1:16" x14ac:dyDescent="0.4">
      <c r="A16" s="38" t="s">
        <v>10</v>
      </c>
      <c r="B16" s="38">
        <v>7</v>
      </c>
      <c r="C16" s="20">
        <v>4</v>
      </c>
      <c r="D16" s="20">
        <v>4</v>
      </c>
      <c r="E16" s="38">
        <v>4</v>
      </c>
      <c r="F16" s="45">
        <v>5</v>
      </c>
      <c r="G16" s="21" t="s">
        <v>16</v>
      </c>
      <c r="H16" s="51">
        <v>1</v>
      </c>
      <c r="I16" s="21" t="s">
        <v>17</v>
      </c>
      <c r="J16" s="21">
        <v>1</v>
      </c>
      <c r="P16" t="s">
        <v>46</v>
      </c>
    </row>
    <row r="17" spans="1:10" x14ac:dyDescent="0.4">
      <c r="A17" s="55"/>
      <c r="B17" s="56"/>
      <c r="C17" s="37"/>
      <c r="D17" s="37"/>
      <c r="E17" s="55"/>
      <c r="F17" s="57"/>
      <c r="G17" s="37"/>
      <c r="H17" s="55"/>
      <c r="I17" s="37"/>
      <c r="J17" s="37"/>
    </row>
    <row r="18" spans="1:10" x14ac:dyDescent="0.4">
      <c r="A18" s="43" t="s">
        <v>5</v>
      </c>
    </row>
    <row r="19" spans="1:10" x14ac:dyDescent="0.4">
      <c r="A19" s="53" t="s">
        <v>296</v>
      </c>
      <c r="B19" s="39">
        <v>3</v>
      </c>
      <c r="C19" s="22">
        <v>3</v>
      </c>
      <c r="D19" s="22">
        <v>3</v>
      </c>
      <c r="E19" s="39">
        <v>3</v>
      </c>
      <c r="F19" s="47">
        <v>3</v>
      </c>
      <c r="G19" s="25">
        <v>3</v>
      </c>
      <c r="H19" s="39">
        <v>3</v>
      </c>
      <c r="I19" s="25">
        <v>3</v>
      </c>
      <c r="J19" s="25">
        <v>2</v>
      </c>
    </row>
    <row r="20" spans="1:10" x14ac:dyDescent="0.4">
      <c r="A20" s="53" t="s">
        <v>297</v>
      </c>
      <c r="B20" s="39">
        <v>2</v>
      </c>
      <c r="C20" s="22">
        <v>3</v>
      </c>
      <c r="D20" s="22">
        <v>2.5</v>
      </c>
      <c r="E20" s="39">
        <v>3</v>
      </c>
      <c r="F20" s="47">
        <v>3</v>
      </c>
      <c r="G20" s="22">
        <v>3</v>
      </c>
      <c r="H20" s="39">
        <v>3</v>
      </c>
      <c r="I20" s="22">
        <v>3</v>
      </c>
      <c r="J20" s="22">
        <v>3</v>
      </c>
    </row>
    <row r="21" spans="1:10" x14ac:dyDescent="0.4">
      <c r="A21" s="53" t="s">
        <v>298</v>
      </c>
      <c r="B21" s="39">
        <v>2.5</v>
      </c>
      <c r="C21" s="22">
        <v>3</v>
      </c>
      <c r="D21" s="22">
        <v>3</v>
      </c>
      <c r="E21" s="39">
        <v>3</v>
      </c>
      <c r="F21" s="47">
        <v>3</v>
      </c>
      <c r="G21" s="22">
        <v>2.5</v>
      </c>
      <c r="H21" s="39">
        <v>3</v>
      </c>
      <c r="I21" s="22">
        <v>3</v>
      </c>
      <c r="J21" s="22">
        <v>3</v>
      </c>
    </row>
    <row r="22" spans="1:10" x14ac:dyDescent="0.4">
      <c r="A22" s="53" t="s">
        <v>299</v>
      </c>
      <c r="B22" s="39">
        <v>2.5</v>
      </c>
      <c r="C22" s="22">
        <v>2.5</v>
      </c>
      <c r="D22" s="22">
        <v>2.5</v>
      </c>
      <c r="E22" s="39">
        <v>3</v>
      </c>
      <c r="F22" s="47">
        <v>2.5</v>
      </c>
      <c r="G22" s="22">
        <v>2</v>
      </c>
      <c r="H22" s="39">
        <v>2</v>
      </c>
      <c r="I22" s="22">
        <v>2.5</v>
      </c>
      <c r="J22" s="22">
        <v>2</v>
      </c>
    </row>
    <row r="23" spans="1:10" x14ac:dyDescent="0.4">
      <c r="A23" s="54" t="s">
        <v>300</v>
      </c>
      <c r="B23" s="40">
        <v>3</v>
      </c>
      <c r="C23" s="23">
        <v>2</v>
      </c>
      <c r="D23" s="23">
        <v>2.5</v>
      </c>
      <c r="E23" s="40">
        <v>3</v>
      </c>
      <c r="F23" s="48">
        <v>1</v>
      </c>
      <c r="G23" s="23">
        <v>1</v>
      </c>
      <c r="H23" s="40">
        <v>1.5</v>
      </c>
      <c r="I23" s="23">
        <v>2.5</v>
      </c>
      <c r="J23" s="23">
        <v>3</v>
      </c>
    </row>
    <row r="24" spans="1:10" x14ac:dyDescent="0.4">
      <c r="A24" s="53" t="s">
        <v>301</v>
      </c>
      <c r="B24" s="39">
        <v>2.5</v>
      </c>
      <c r="C24" s="24">
        <v>3</v>
      </c>
      <c r="D24" s="24">
        <v>3</v>
      </c>
      <c r="E24" s="39">
        <v>3</v>
      </c>
      <c r="F24" s="47">
        <v>2.5</v>
      </c>
      <c r="G24" s="22">
        <v>3</v>
      </c>
      <c r="H24" s="39">
        <v>1.5</v>
      </c>
      <c r="I24" s="22">
        <v>2.5</v>
      </c>
      <c r="J24" s="22">
        <v>2.5</v>
      </c>
    </row>
    <row r="25" spans="1:10" x14ac:dyDescent="0.4">
      <c r="A25" s="53" t="s">
        <v>302</v>
      </c>
      <c r="B25" s="39">
        <v>3</v>
      </c>
      <c r="C25" s="24">
        <v>1.5</v>
      </c>
      <c r="D25" s="24">
        <v>1.5</v>
      </c>
      <c r="E25" s="41">
        <v>3</v>
      </c>
      <c r="F25" s="49">
        <v>3</v>
      </c>
      <c r="G25" s="25">
        <v>2</v>
      </c>
      <c r="H25" s="41">
        <v>2</v>
      </c>
      <c r="I25" s="25">
        <v>3</v>
      </c>
      <c r="J25" s="25">
        <v>3</v>
      </c>
    </row>
    <row r="26" spans="1:10" x14ac:dyDescent="0.4">
      <c r="A26" s="53" t="s">
        <v>303</v>
      </c>
      <c r="B26" s="39">
        <v>2.5</v>
      </c>
      <c r="C26" s="24">
        <v>3</v>
      </c>
      <c r="D26" s="24">
        <v>3</v>
      </c>
      <c r="E26" s="39">
        <v>3</v>
      </c>
      <c r="F26" s="47">
        <v>3</v>
      </c>
      <c r="G26" s="22">
        <v>3</v>
      </c>
      <c r="H26" s="39">
        <v>3</v>
      </c>
      <c r="I26" s="22">
        <v>2</v>
      </c>
      <c r="J26" s="22">
        <v>1.5</v>
      </c>
    </row>
    <row r="27" spans="1:10" x14ac:dyDescent="0.4">
      <c r="A27" s="53" t="s">
        <v>304</v>
      </c>
      <c r="B27" s="39">
        <v>2.25</v>
      </c>
      <c r="C27" s="24">
        <v>3</v>
      </c>
      <c r="D27" s="24">
        <v>3</v>
      </c>
      <c r="E27" s="39">
        <v>3</v>
      </c>
      <c r="F27" s="47">
        <v>2</v>
      </c>
      <c r="G27" s="22">
        <v>3</v>
      </c>
      <c r="H27" s="39">
        <v>3</v>
      </c>
      <c r="I27" s="22">
        <v>3</v>
      </c>
      <c r="J27" s="22">
        <v>3</v>
      </c>
    </row>
    <row r="28" spans="1:10" x14ac:dyDescent="0.4">
      <c r="A28" s="53" t="s">
        <v>305</v>
      </c>
      <c r="B28" s="39">
        <v>3</v>
      </c>
      <c r="C28" s="24">
        <v>2.5</v>
      </c>
      <c r="D28" s="24">
        <v>2.5</v>
      </c>
      <c r="E28" s="39">
        <v>3</v>
      </c>
      <c r="F28" s="47">
        <v>3</v>
      </c>
      <c r="G28" s="22">
        <v>3</v>
      </c>
      <c r="H28" s="39">
        <v>3</v>
      </c>
      <c r="I28" s="22">
        <v>3</v>
      </c>
      <c r="J28" s="22">
        <v>3</v>
      </c>
    </row>
    <row r="29" spans="1:10" x14ac:dyDescent="0.4">
      <c r="A29" s="54" t="s">
        <v>306</v>
      </c>
      <c r="B29" s="40">
        <v>2.5</v>
      </c>
      <c r="C29" s="23">
        <v>1</v>
      </c>
      <c r="D29" s="23">
        <v>2</v>
      </c>
      <c r="E29" s="40">
        <v>2.5</v>
      </c>
      <c r="F29" s="48">
        <v>3</v>
      </c>
      <c r="G29" s="23">
        <v>1</v>
      </c>
      <c r="H29" s="40">
        <v>1</v>
      </c>
      <c r="I29" s="23">
        <v>2</v>
      </c>
      <c r="J29" s="23">
        <v>1.5</v>
      </c>
    </row>
    <row r="30" spans="1:10" x14ac:dyDescent="0.4">
      <c r="A30" s="53" t="s">
        <v>307</v>
      </c>
      <c r="B30" s="39">
        <v>2.5</v>
      </c>
      <c r="C30" s="24">
        <v>3</v>
      </c>
      <c r="D30" s="24">
        <v>2.5</v>
      </c>
      <c r="E30" s="39">
        <v>3</v>
      </c>
      <c r="F30" s="47">
        <v>2.5</v>
      </c>
      <c r="G30" s="24">
        <v>3</v>
      </c>
      <c r="H30" s="39">
        <v>1.5</v>
      </c>
      <c r="I30" s="24">
        <v>3</v>
      </c>
      <c r="J30" s="24">
        <v>3</v>
      </c>
    </row>
    <row r="31" spans="1:10" x14ac:dyDescent="0.4">
      <c r="A31" s="53" t="s">
        <v>308</v>
      </c>
      <c r="B31" s="39">
        <v>3</v>
      </c>
      <c r="C31" s="24">
        <v>2.5</v>
      </c>
      <c r="D31" s="24">
        <v>2.5</v>
      </c>
      <c r="E31" s="41">
        <v>3</v>
      </c>
      <c r="F31" s="49">
        <v>2.5</v>
      </c>
      <c r="G31" s="25">
        <v>2</v>
      </c>
      <c r="H31" s="41">
        <v>1</v>
      </c>
      <c r="I31" s="25">
        <v>1</v>
      </c>
      <c r="J31" s="25">
        <v>1.5</v>
      </c>
    </row>
    <row r="32" spans="1:10" x14ac:dyDescent="0.4">
      <c r="A32" s="53" t="s">
        <v>309</v>
      </c>
      <c r="B32" s="39">
        <v>3</v>
      </c>
      <c r="C32" s="24">
        <v>2.5</v>
      </c>
      <c r="D32" s="24">
        <v>3</v>
      </c>
      <c r="E32" s="39">
        <v>3</v>
      </c>
      <c r="F32" s="47">
        <v>3</v>
      </c>
      <c r="G32" s="24">
        <v>3</v>
      </c>
      <c r="H32" s="39">
        <v>3</v>
      </c>
      <c r="I32" s="24">
        <v>3</v>
      </c>
      <c r="J32" s="24">
        <v>2.5</v>
      </c>
    </row>
    <row r="33" spans="1:10" x14ac:dyDescent="0.4">
      <c r="A33" s="53" t="s">
        <v>310</v>
      </c>
      <c r="B33" s="39">
        <v>2.5</v>
      </c>
      <c r="C33" s="24">
        <v>2</v>
      </c>
      <c r="D33" s="24">
        <v>2</v>
      </c>
      <c r="E33" s="39">
        <v>1</v>
      </c>
      <c r="F33" s="47">
        <v>2.5</v>
      </c>
      <c r="G33" s="22">
        <v>2</v>
      </c>
      <c r="H33" s="39">
        <v>1.5</v>
      </c>
      <c r="I33" s="22">
        <v>2</v>
      </c>
      <c r="J33" s="22">
        <v>2</v>
      </c>
    </row>
    <row r="34" spans="1:10" x14ac:dyDescent="0.4">
      <c r="A34" s="53" t="s">
        <v>311</v>
      </c>
      <c r="B34" s="39">
        <v>2.75</v>
      </c>
      <c r="C34" s="24">
        <v>2</v>
      </c>
      <c r="D34" s="24">
        <v>2.5</v>
      </c>
      <c r="E34" s="39">
        <v>3</v>
      </c>
      <c r="F34" s="47">
        <v>2.5</v>
      </c>
      <c r="G34" s="22">
        <v>3</v>
      </c>
      <c r="H34" s="39">
        <v>3</v>
      </c>
      <c r="I34" s="22">
        <v>3</v>
      </c>
      <c r="J34" s="22">
        <v>2.5</v>
      </c>
    </row>
    <row r="35" spans="1:10" x14ac:dyDescent="0.4">
      <c r="A35" s="54" t="s">
        <v>312</v>
      </c>
      <c r="B35" s="40">
        <v>3</v>
      </c>
      <c r="C35" s="23">
        <v>3</v>
      </c>
      <c r="D35" s="23">
        <v>2.5</v>
      </c>
      <c r="E35" s="40">
        <v>3</v>
      </c>
      <c r="F35" s="48">
        <v>3</v>
      </c>
      <c r="G35" s="23">
        <v>3</v>
      </c>
      <c r="H35" s="40">
        <v>3</v>
      </c>
      <c r="I35" s="23">
        <v>3</v>
      </c>
      <c r="J35" s="23">
        <v>3</v>
      </c>
    </row>
    <row r="36" spans="1:10" x14ac:dyDescent="0.4">
      <c r="A36" s="53" t="s">
        <v>313</v>
      </c>
      <c r="B36" s="39">
        <v>2.5</v>
      </c>
      <c r="C36" s="24">
        <v>3</v>
      </c>
      <c r="D36" s="24">
        <v>3</v>
      </c>
      <c r="E36" s="39">
        <v>3</v>
      </c>
      <c r="F36" s="47">
        <v>2.5</v>
      </c>
      <c r="G36" s="24">
        <v>3</v>
      </c>
      <c r="H36" s="39">
        <v>3</v>
      </c>
      <c r="I36" s="24">
        <v>3</v>
      </c>
      <c r="J36" s="24">
        <v>3</v>
      </c>
    </row>
    <row r="37" spans="1:10" x14ac:dyDescent="0.4">
      <c r="A37" s="53" t="s">
        <v>314</v>
      </c>
      <c r="B37" s="39">
        <v>2</v>
      </c>
      <c r="C37" s="24">
        <v>2.5</v>
      </c>
      <c r="D37" s="24">
        <v>2.5</v>
      </c>
      <c r="E37" s="41">
        <v>3</v>
      </c>
      <c r="F37" s="49">
        <v>3</v>
      </c>
      <c r="G37" s="25">
        <v>2</v>
      </c>
      <c r="H37" s="41">
        <v>1</v>
      </c>
      <c r="I37" s="25">
        <v>1</v>
      </c>
      <c r="J37" s="25">
        <v>1.5</v>
      </c>
    </row>
    <row r="38" spans="1:10" x14ac:dyDescent="0.4">
      <c r="A38" s="53" t="s">
        <v>315</v>
      </c>
      <c r="B38" s="39">
        <v>3</v>
      </c>
      <c r="C38" s="24">
        <v>3</v>
      </c>
      <c r="D38" s="24">
        <v>2.5</v>
      </c>
      <c r="E38" s="39">
        <v>3</v>
      </c>
      <c r="F38" s="47">
        <v>3</v>
      </c>
      <c r="G38" s="22">
        <v>3</v>
      </c>
      <c r="H38" s="39">
        <v>3</v>
      </c>
      <c r="I38" s="22">
        <v>1</v>
      </c>
      <c r="J38" s="22">
        <v>1</v>
      </c>
    </row>
    <row r="39" spans="1:10" x14ac:dyDescent="0.4">
      <c r="A39" s="54" t="s">
        <v>316</v>
      </c>
      <c r="B39" s="40">
        <v>2.5</v>
      </c>
      <c r="C39" s="23">
        <v>2</v>
      </c>
      <c r="D39" s="23">
        <v>2</v>
      </c>
      <c r="E39" s="40">
        <v>3</v>
      </c>
      <c r="F39" s="48">
        <v>3</v>
      </c>
      <c r="G39" s="23">
        <v>3</v>
      </c>
      <c r="H39" s="40">
        <v>3</v>
      </c>
      <c r="I39" s="23">
        <v>2.5</v>
      </c>
      <c r="J39" s="23">
        <v>3</v>
      </c>
    </row>
    <row r="40" spans="1:10" x14ac:dyDescent="0.4">
      <c r="A40" s="53" t="s">
        <v>317</v>
      </c>
      <c r="B40" s="39">
        <v>2</v>
      </c>
      <c r="C40" s="24">
        <v>2</v>
      </c>
      <c r="D40" s="24">
        <v>1.5</v>
      </c>
      <c r="E40" s="39">
        <v>3</v>
      </c>
      <c r="F40" s="47">
        <v>1.5</v>
      </c>
      <c r="G40" s="24">
        <v>2.5</v>
      </c>
      <c r="H40" s="39">
        <v>3</v>
      </c>
      <c r="I40" s="24">
        <v>1.5</v>
      </c>
      <c r="J40" s="24">
        <v>2</v>
      </c>
    </row>
    <row r="41" spans="1:10" x14ac:dyDescent="0.4">
      <c r="A41" s="53" t="s">
        <v>318</v>
      </c>
      <c r="B41" s="39">
        <v>2.5</v>
      </c>
      <c r="C41" s="22">
        <v>2.5</v>
      </c>
      <c r="D41" s="22">
        <v>2.5</v>
      </c>
      <c r="E41" s="39">
        <v>3</v>
      </c>
      <c r="F41" s="49">
        <v>3</v>
      </c>
      <c r="G41" s="25">
        <v>2</v>
      </c>
      <c r="H41" s="41">
        <v>3</v>
      </c>
      <c r="I41" s="25">
        <v>2</v>
      </c>
      <c r="J41" s="25">
        <v>1</v>
      </c>
    </row>
    <row r="42" spans="1:10" x14ac:dyDescent="0.4">
      <c r="A42" s="53" t="s">
        <v>319</v>
      </c>
      <c r="B42" s="39">
        <v>2.5</v>
      </c>
      <c r="C42" s="22">
        <v>3</v>
      </c>
      <c r="D42" s="22">
        <v>2</v>
      </c>
      <c r="E42" s="39">
        <v>3</v>
      </c>
      <c r="F42" s="49">
        <v>3</v>
      </c>
      <c r="G42" s="25">
        <v>3</v>
      </c>
      <c r="H42" s="41">
        <v>3</v>
      </c>
      <c r="I42" s="25">
        <v>3</v>
      </c>
      <c r="J42" s="25">
        <v>3</v>
      </c>
    </row>
    <row r="43" spans="1:10" x14ac:dyDescent="0.4">
      <c r="A43" s="53" t="s">
        <v>320</v>
      </c>
      <c r="B43" s="39">
        <v>2</v>
      </c>
      <c r="C43" s="24">
        <v>3</v>
      </c>
      <c r="D43" s="24">
        <v>2.5</v>
      </c>
      <c r="E43" s="39">
        <v>3</v>
      </c>
      <c r="F43" s="49">
        <v>2.5</v>
      </c>
      <c r="G43" s="25">
        <v>3</v>
      </c>
      <c r="H43" s="41">
        <v>3</v>
      </c>
      <c r="I43" s="25">
        <v>3</v>
      </c>
      <c r="J43" s="25">
        <v>3</v>
      </c>
    </row>
    <row r="44" spans="1:10" x14ac:dyDescent="0.4">
      <c r="A44" s="54" t="s">
        <v>321</v>
      </c>
      <c r="B44" s="40">
        <v>2.5</v>
      </c>
      <c r="C44" s="26">
        <v>3</v>
      </c>
      <c r="D44" s="26">
        <v>3</v>
      </c>
      <c r="E44" s="42">
        <v>3</v>
      </c>
      <c r="F44" s="50">
        <v>2.5</v>
      </c>
      <c r="G44" s="26">
        <v>3</v>
      </c>
      <c r="H44" s="42">
        <v>3</v>
      </c>
      <c r="I44" s="26">
        <v>3</v>
      </c>
      <c r="J44" s="26">
        <v>3</v>
      </c>
    </row>
    <row r="45" spans="1:10" x14ac:dyDescent="0.4">
      <c r="A45" s="53" t="s">
        <v>322</v>
      </c>
      <c r="B45" s="39">
        <v>2.5</v>
      </c>
      <c r="C45" s="22">
        <v>3</v>
      </c>
      <c r="D45" s="22">
        <v>3</v>
      </c>
      <c r="E45" s="39">
        <v>3</v>
      </c>
      <c r="F45" s="49">
        <v>3</v>
      </c>
      <c r="G45" s="25">
        <v>3</v>
      </c>
      <c r="H45" s="41">
        <v>3</v>
      </c>
      <c r="I45" s="25">
        <v>2.5</v>
      </c>
      <c r="J45" s="25">
        <v>2</v>
      </c>
    </row>
    <row r="46" spans="1:10" x14ac:dyDescent="0.4">
      <c r="A46" s="53" t="s">
        <v>323</v>
      </c>
      <c r="B46" s="39">
        <v>3</v>
      </c>
      <c r="C46" s="22">
        <v>2.5</v>
      </c>
      <c r="D46" s="22">
        <v>3</v>
      </c>
      <c r="E46" s="39">
        <v>3</v>
      </c>
      <c r="F46" s="49">
        <v>3</v>
      </c>
      <c r="G46" s="25">
        <v>3</v>
      </c>
      <c r="H46" s="41">
        <v>3</v>
      </c>
      <c r="I46" s="25">
        <v>3</v>
      </c>
      <c r="J46" s="25">
        <v>3</v>
      </c>
    </row>
    <row r="47" spans="1:10" x14ac:dyDescent="0.4">
      <c r="A47" s="53" t="s">
        <v>324</v>
      </c>
      <c r="B47" s="39">
        <v>2</v>
      </c>
      <c r="C47" s="24">
        <v>2</v>
      </c>
      <c r="D47" s="24">
        <v>3</v>
      </c>
      <c r="E47" s="39">
        <v>3</v>
      </c>
      <c r="F47" s="49">
        <v>2</v>
      </c>
      <c r="G47" s="25">
        <v>2</v>
      </c>
      <c r="H47" s="41">
        <v>1.5</v>
      </c>
      <c r="I47" s="25">
        <v>2.5</v>
      </c>
      <c r="J47" s="25">
        <v>3</v>
      </c>
    </row>
    <row r="48" spans="1:10" x14ac:dyDescent="0.4">
      <c r="A48" s="53" t="s">
        <v>325</v>
      </c>
      <c r="B48" s="39">
        <v>1.5</v>
      </c>
      <c r="C48" s="22">
        <v>3</v>
      </c>
      <c r="D48" s="22">
        <v>1</v>
      </c>
      <c r="E48" s="39">
        <v>3</v>
      </c>
      <c r="F48" s="49">
        <v>2.5</v>
      </c>
      <c r="G48" s="25">
        <v>2.5</v>
      </c>
      <c r="H48" s="41">
        <v>3</v>
      </c>
      <c r="I48" s="25">
        <v>2</v>
      </c>
      <c r="J48" s="25">
        <v>3</v>
      </c>
    </row>
    <row r="49" spans="1:10" x14ac:dyDescent="0.4">
      <c r="A49" s="54" t="s">
        <v>326</v>
      </c>
      <c r="B49" s="40">
        <v>2</v>
      </c>
      <c r="C49" s="23">
        <v>1.5</v>
      </c>
      <c r="D49" s="23">
        <v>2</v>
      </c>
      <c r="E49" s="40">
        <v>2</v>
      </c>
      <c r="F49" s="50">
        <v>2.5</v>
      </c>
      <c r="G49" s="26">
        <v>1</v>
      </c>
      <c r="H49" s="42">
        <v>3</v>
      </c>
      <c r="I49" s="26">
        <v>1</v>
      </c>
      <c r="J49" s="26">
        <v>1</v>
      </c>
    </row>
    <row r="50" spans="1:10" x14ac:dyDescent="0.4">
      <c r="A50" s="53" t="s">
        <v>327</v>
      </c>
      <c r="B50" s="39">
        <v>3</v>
      </c>
      <c r="C50" s="25">
        <v>2.5</v>
      </c>
      <c r="D50" s="25">
        <v>2.5</v>
      </c>
      <c r="E50" s="41">
        <v>3</v>
      </c>
      <c r="F50" s="49">
        <v>2.5</v>
      </c>
      <c r="G50" s="25">
        <v>2</v>
      </c>
      <c r="H50" s="41">
        <v>3</v>
      </c>
      <c r="I50" s="25">
        <v>2</v>
      </c>
      <c r="J50" s="25">
        <v>2</v>
      </c>
    </row>
    <row r="51" spans="1:10" x14ac:dyDescent="0.4">
      <c r="A51" s="53" t="s">
        <v>328</v>
      </c>
      <c r="B51" s="39">
        <v>2.5</v>
      </c>
      <c r="C51" s="22">
        <v>3</v>
      </c>
      <c r="D51" s="22">
        <v>3</v>
      </c>
      <c r="E51" s="39">
        <v>3</v>
      </c>
      <c r="F51" s="49">
        <v>3</v>
      </c>
      <c r="G51" s="25">
        <v>3</v>
      </c>
      <c r="H51" s="41">
        <v>3</v>
      </c>
      <c r="I51" s="25">
        <v>3</v>
      </c>
      <c r="J51" s="25">
        <v>3</v>
      </c>
    </row>
    <row r="52" spans="1:10" x14ac:dyDescent="0.4">
      <c r="A52" s="53" t="s">
        <v>329</v>
      </c>
      <c r="B52" s="39">
        <v>2.5</v>
      </c>
      <c r="C52" s="22">
        <v>3</v>
      </c>
      <c r="D52" s="22">
        <v>3</v>
      </c>
      <c r="E52" s="39">
        <v>3</v>
      </c>
      <c r="F52" s="49">
        <v>2</v>
      </c>
      <c r="G52" s="25">
        <v>3</v>
      </c>
      <c r="H52" s="41">
        <v>1.5</v>
      </c>
      <c r="I52" s="25">
        <v>2.5</v>
      </c>
      <c r="J52" s="25">
        <v>2</v>
      </c>
    </row>
    <row r="53" spans="1:10" x14ac:dyDescent="0.4">
      <c r="A53" s="53" t="s">
        <v>330</v>
      </c>
      <c r="B53" s="39">
        <v>2.5</v>
      </c>
      <c r="C53" s="24">
        <v>3</v>
      </c>
      <c r="D53" s="24">
        <v>3</v>
      </c>
      <c r="E53" s="39">
        <v>3</v>
      </c>
      <c r="F53" s="49">
        <v>2.5</v>
      </c>
      <c r="G53" s="25">
        <v>3</v>
      </c>
      <c r="H53" s="41">
        <v>3</v>
      </c>
      <c r="I53" s="25">
        <v>2.5</v>
      </c>
      <c r="J53" s="25">
        <v>2.5</v>
      </c>
    </row>
    <row r="54" spans="1:10" x14ac:dyDescent="0.4">
      <c r="A54" s="54" t="s">
        <v>331</v>
      </c>
      <c r="B54" s="40">
        <v>3</v>
      </c>
      <c r="C54" s="23">
        <v>3</v>
      </c>
      <c r="D54" s="23">
        <v>2</v>
      </c>
      <c r="E54" s="40">
        <v>3</v>
      </c>
      <c r="F54" s="50">
        <v>2</v>
      </c>
      <c r="G54" s="26">
        <v>3</v>
      </c>
      <c r="H54" s="42">
        <v>3</v>
      </c>
      <c r="I54" s="26">
        <v>3</v>
      </c>
      <c r="J54" s="26">
        <v>2.5</v>
      </c>
    </row>
    <row r="55" spans="1:10" x14ac:dyDescent="0.4">
      <c r="A55" s="59" t="s">
        <v>332</v>
      </c>
      <c r="B55" s="60" t="s">
        <v>333</v>
      </c>
      <c r="C55" s="61">
        <v>1.5</v>
      </c>
      <c r="D55" s="61">
        <v>2.5</v>
      </c>
      <c r="E55" s="60">
        <v>2</v>
      </c>
      <c r="F55" s="62" t="s">
        <v>333</v>
      </c>
      <c r="G55" s="61" t="s">
        <v>333</v>
      </c>
      <c r="H55" s="60" t="s">
        <v>333</v>
      </c>
      <c r="I55" s="61">
        <v>2</v>
      </c>
      <c r="J55" s="61">
        <v>2</v>
      </c>
    </row>
    <row r="56" spans="1:10" x14ac:dyDescent="0.4">
      <c r="A56" s="59" t="s">
        <v>334</v>
      </c>
      <c r="B56" s="60" t="s">
        <v>333</v>
      </c>
      <c r="C56" s="63">
        <v>3</v>
      </c>
      <c r="D56" s="63">
        <v>1.5</v>
      </c>
      <c r="E56" s="60">
        <v>3</v>
      </c>
      <c r="F56" s="62" t="s">
        <v>333</v>
      </c>
      <c r="G56" s="63" t="s">
        <v>333</v>
      </c>
      <c r="H56" s="60" t="s">
        <v>333</v>
      </c>
      <c r="I56" s="63">
        <v>1</v>
      </c>
      <c r="J56" s="63">
        <v>1.5</v>
      </c>
    </row>
    <row r="57" spans="1:10" x14ac:dyDescent="0.4">
      <c r="A57" s="59" t="s">
        <v>335</v>
      </c>
      <c r="B57" s="60" t="s">
        <v>333</v>
      </c>
      <c r="C57" s="63">
        <v>2</v>
      </c>
      <c r="D57" s="63">
        <v>2</v>
      </c>
      <c r="E57" s="60">
        <v>3</v>
      </c>
      <c r="F57" s="62" t="s">
        <v>333</v>
      </c>
      <c r="G57" s="63" t="s">
        <v>333</v>
      </c>
      <c r="H57" s="60" t="s">
        <v>333</v>
      </c>
      <c r="I57" s="63">
        <v>1</v>
      </c>
      <c r="J57" s="63">
        <v>1.5</v>
      </c>
    </row>
    <row r="58" spans="1:10" x14ac:dyDescent="0.4">
      <c r="A58" s="59" t="s">
        <v>336</v>
      </c>
      <c r="B58" s="60" t="s">
        <v>333</v>
      </c>
      <c r="C58" s="63">
        <v>3</v>
      </c>
      <c r="D58" s="63">
        <v>2.5</v>
      </c>
      <c r="E58" s="60">
        <v>3</v>
      </c>
      <c r="F58" s="62" t="s">
        <v>333</v>
      </c>
      <c r="G58" s="63" t="s">
        <v>333</v>
      </c>
      <c r="H58" s="60" t="s">
        <v>333</v>
      </c>
      <c r="I58" s="63">
        <v>2.5</v>
      </c>
      <c r="J58" s="63">
        <v>2.5</v>
      </c>
    </row>
    <row r="59" spans="1:10" x14ac:dyDescent="0.4">
      <c r="A59" s="64" t="s">
        <v>337</v>
      </c>
      <c r="B59" s="65" t="s">
        <v>333</v>
      </c>
      <c r="C59" s="66">
        <v>2</v>
      </c>
      <c r="D59" s="66">
        <v>3</v>
      </c>
      <c r="E59" s="65">
        <v>2</v>
      </c>
      <c r="F59" s="67" t="s">
        <v>333</v>
      </c>
      <c r="G59" s="66" t="s">
        <v>333</v>
      </c>
      <c r="H59" s="65" t="s">
        <v>333</v>
      </c>
      <c r="I59" s="66">
        <v>1</v>
      </c>
      <c r="J59" s="66">
        <v>1.5</v>
      </c>
    </row>
    <row r="60" spans="1:10" x14ac:dyDescent="0.4">
      <c r="A60" s="59" t="s">
        <v>338</v>
      </c>
      <c r="B60" s="60" t="s">
        <v>333</v>
      </c>
      <c r="C60" s="63">
        <v>3</v>
      </c>
      <c r="D60" s="63">
        <v>2.5</v>
      </c>
      <c r="E60" s="60">
        <v>3</v>
      </c>
      <c r="F60" s="62" t="s">
        <v>333</v>
      </c>
      <c r="G60" s="63" t="s">
        <v>333</v>
      </c>
      <c r="H60" s="60" t="s">
        <v>333</v>
      </c>
      <c r="I60" s="63">
        <v>3</v>
      </c>
      <c r="J60" s="63">
        <v>2.5</v>
      </c>
    </row>
    <row r="61" spans="1:10" x14ac:dyDescent="0.4">
      <c r="A61" s="59" t="s">
        <v>339</v>
      </c>
      <c r="B61" s="60" t="s">
        <v>333</v>
      </c>
      <c r="C61" s="63">
        <v>1.5</v>
      </c>
      <c r="D61" s="63">
        <v>2.5</v>
      </c>
      <c r="E61" s="60">
        <v>3</v>
      </c>
      <c r="F61" s="62" t="s">
        <v>333</v>
      </c>
      <c r="G61" s="63" t="s">
        <v>333</v>
      </c>
      <c r="H61" s="60" t="s">
        <v>333</v>
      </c>
      <c r="I61" s="63">
        <v>1</v>
      </c>
      <c r="J61" s="63">
        <v>1.5</v>
      </c>
    </row>
    <row r="62" spans="1:10" x14ac:dyDescent="0.4">
      <c r="A62" s="59" t="s">
        <v>340</v>
      </c>
      <c r="B62" s="60" t="s">
        <v>333</v>
      </c>
      <c r="C62" s="63">
        <v>3</v>
      </c>
      <c r="D62" s="63">
        <v>3</v>
      </c>
      <c r="E62" s="60">
        <v>3</v>
      </c>
      <c r="F62" s="62" t="s">
        <v>333</v>
      </c>
      <c r="G62" s="63" t="s">
        <v>333</v>
      </c>
      <c r="H62" s="60" t="s">
        <v>333</v>
      </c>
      <c r="I62" s="63">
        <v>1.5</v>
      </c>
      <c r="J62" s="63">
        <v>1.5</v>
      </c>
    </row>
    <row r="63" spans="1:10" x14ac:dyDescent="0.4">
      <c r="A63" s="59" t="s">
        <v>341</v>
      </c>
      <c r="B63" s="60" t="s">
        <v>333</v>
      </c>
      <c r="C63" s="63">
        <v>2.5</v>
      </c>
      <c r="D63" s="63">
        <v>2.5</v>
      </c>
      <c r="E63" s="60">
        <v>3</v>
      </c>
      <c r="F63" s="62" t="s">
        <v>333</v>
      </c>
      <c r="G63" s="63" t="s">
        <v>333</v>
      </c>
      <c r="H63" s="60" t="s">
        <v>333</v>
      </c>
      <c r="I63" s="63">
        <v>1.5</v>
      </c>
      <c r="J63" s="63">
        <v>2</v>
      </c>
    </row>
    <row r="64" spans="1:10" x14ac:dyDescent="0.4">
      <c r="A64" s="59" t="s">
        <v>342</v>
      </c>
      <c r="B64" s="60" t="s">
        <v>333</v>
      </c>
      <c r="C64" s="63">
        <v>2</v>
      </c>
      <c r="D64" s="63">
        <v>3</v>
      </c>
      <c r="E64" s="60">
        <v>3</v>
      </c>
      <c r="F64" s="62" t="s">
        <v>333</v>
      </c>
      <c r="G64" s="63" t="s">
        <v>333</v>
      </c>
      <c r="H64" s="60" t="s">
        <v>333</v>
      </c>
      <c r="I64" s="63">
        <v>2.5</v>
      </c>
      <c r="J64" s="63">
        <v>2.5</v>
      </c>
    </row>
    <row r="65" spans="1:10" x14ac:dyDescent="0.4">
      <c r="A65" s="59" t="s">
        <v>343</v>
      </c>
      <c r="B65" s="60" t="s">
        <v>333</v>
      </c>
      <c r="C65" s="63">
        <v>3</v>
      </c>
      <c r="D65" s="63">
        <v>3</v>
      </c>
      <c r="E65" s="60">
        <v>3</v>
      </c>
      <c r="F65" s="62" t="s">
        <v>333</v>
      </c>
      <c r="G65" s="63" t="s">
        <v>333</v>
      </c>
      <c r="H65" s="60" t="s">
        <v>333</v>
      </c>
      <c r="I65" s="63">
        <v>3</v>
      </c>
      <c r="J65" s="63">
        <v>3</v>
      </c>
    </row>
    <row r="66" spans="1:10" x14ac:dyDescent="0.4">
      <c r="A66" s="59" t="s">
        <v>344</v>
      </c>
      <c r="B66" s="60" t="s">
        <v>333</v>
      </c>
      <c r="C66" s="63">
        <v>3</v>
      </c>
      <c r="D66" s="63">
        <v>1.5</v>
      </c>
      <c r="E66" s="60">
        <v>3</v>
      </c>
      <c r="F66" s="62" t="s">
        <v>333</v>
      </c>
      <c r="G66" s="63" t="s">
        <v>333</v>
      </c>
      <c r="H66" s="60" t="s">
        <v>333</v>
      </c>
      <c r="I66" s="63">
        <v>2.5</v>
      </c>
      <c r="J66" s="63">
        <v>2.5</v>
      </c>
    </row>
    <row r="67" spans="1:10" x14ac:dyDescent="0.4">
      <c r="A67" s="59" t="s">
        <v>345</v>
      </c>
      <c r="B67" s="60" t="s">
        <v>333</v>
      </c>
      <c r="C67" s="63">
        <v>3</v>
      </c>
      <c r="D67" s="63">
        <v>2</v>
      </c>
      <c r="E67" s="60">
        <v>3</v>
      </c>
      <c r="F67" s="62" t="s">
        <v>333</v>
      </c>
      <c r="G67" s="63" t="s">
        <v>333</v>
      </c>
      <c r="H67" s="60" t="s">
        <v>333</v>
      </c>
      <c r="I67" s="63">
        <v>2</v>
      </c>
      <c r="J67" s="63">
        <v>1.5</v>
      </c>
    </row>
    <row r="68" spans="1:10" x14ac:dyDescent="0.4">
      <c r="A68" s="59" t="s">
        <v>346</v>
      </c>
      <c r="B68" s="60" t="s">
        <v>333</v>
      </c>
      <c r="C68" s="63">
        <v>3</v>
      </c>
      <c r="D68" s="63">
        <v>3</v>
      </c>
      <c r="E68" s="60">
        <v>3</v>
      </c>
      <c r="F68" s="62" t="s">
        <v>333</v>
      </c>
      <c r="G68" s="63" t="s">
        <v>333</v>
      </c>
      <c r="H68" s="60" t="s">
        <v>333</v>
      </c>
      <c r="I68" s="63">
        <v>3</v>
      </c>
      <c r="J68" s="63">
        <v>1.5</v>
      </c>
    </row>
    <row r="69" spans="1:10" x14ac:dyDescent="0.4">
      <c r="A69" s="59" t="s">
        <v>347</v>
      </c>
      <c r="B69" s="60" t="s">
        <v>333</v>
      </c>
      <c r="C69" s="63">
        <v>2.5</v>
      </c>
      <c r="D69" s="63">
        <v>1.5</v>
      </c>
      <c r="E69" s="60">
        <v>2</v>
      </c>
      <c r="F69" s="62" t="s">
        <v>333</v>
      </c>
      <c r="G69" s="63" t="s">
        <v>333</v>
      </c>
      <c r="H69" s="60" t="s">
        <v>333</v>
      </c>
      <c r="I69" s="63">
        <v>2</v>
      </c>
      <c r="J69" s="63">
        <v>2.5</v>
      </c>
    </row>
    <row r="70" spans="1:10" x14ac:dyDescent="0.4">
      <c r="A70" s="59" t="s">
        <v>348</v>
      </c>
      <c r="B70" s="60" t="s">
        <v>333</v>
      </c>
      <c r="C70" s="63">
        <v>3</v>
      </c>
      <c r="D70" s="63">
        <v>2.5</v>
      </c>
      <c r="E70" s="60">
        <v>3</v>
      </c>
      <c r="F70" s="62" t="s">
        <v>333</v>
      </c>
      <c r="G70" s="63" t="s">
        <v>333</v>
      </c>
      <c r="H70" s="60" t="s">
        <v>333</v>
      </c>
      <c r="I70" s="63">
        <v>2.5</v>
      </c>
      <c r="J70" s="63">
        <v>1.5</v>
      </c>
    </row>
    <row r="71" spans="1:10" x14ac:dyDescent="0.4">
      <c r="A71" s="59" t="s">
        <v>349</v>
      </c>
      <c r="B71" s="60" t="s">
        <v>333</v>
      </c>
      <c r="C71" s="63">
        <v>1</v>
      </c>
      <c r="D71" s="63">
        <v>3</v>
      </c>
      <c r="E71" s="60">
        <v>1</v>
      </c>
      <c r="F71" s="62" t="s">
        <v>333</v>
      </c>
      <c r="G71" s="63" t="s">
        <v>333</v>
      </c>
      <c r="H71" s="60" t="s">
        <v>333</v>
      </c>
      <c r="I71" s="63">
        <v>2</v>
      </c>
      <c r="J71" s="63">
        <v>2</v>
      </c>
    </row>
    <row r="72" spans="1:10" x14ac:dyDescent="0.4">
      <c r="A72" s="59" t="s">
        <v>350</v>
      </c>
      <c r="B72" s="60" t="s">
        <v>333</v>
      </c>
      <c r="C72" s="63">
        <v>3</v>
      </c>
      <c r="D72" s="63">
        <v>3</v>
      </c>
      <c r="E72" s="60">
        <v>3</v>
      </c>
      <c r="F72" s="62" t="s">
        <v>333</v>
      </c>
      <c r="G72" s="63" t="s">
        <v>333</v>
      </c>
      <c r="H72" s="60" t="s">
        <v>333</v>
      </c>
      <c r="I72" s="63">
        <v>2.5</v>
      </c>
      <c r="J72" s="63">
        <v>1.5</v>
      </c>
    </row>
    <row r="73" spans="1:10" x14ac:dyDescent="0.4">
      <c r="A73" s="59" t="s">
        <v>351</v>
      </c>
      <c r="B73" s="60" t="s">
        <v>333</v>
      </c>
      <c r="C73" s="63">
        <v>1.5</v>
      </c>
      <c r="D73" s="63">
        <v>2.5</v>
      </c>
      <c r="E73" s="60">
        <v>3</v>
      </c>
      <c r="F73" s="62" t="s">
        <v>333</v>
      </c>
      <c r="G73" s="63" t="s">
        <v>333</v>
      </c>
      <c r="H73" s="60" t="s">
        <v>333</v>
      </c>
      <c r="I73" s="63">
        <v>1</v>
      </c>
      <c r="J73" s="63">
        <v>1.5</v>
      </c>
    </row>
    <row r="74" spans="1:10" x14ac:dyDescent="0.4">
      <c r="A74" s="59" t="s">
        <v>132</v>
      </c>
      <c r="B74" s="60" t="s">
        <v>333</v>
      </c>
      <c r="C74" s="63">
        <v>1.5</v>
      </c>
      <c r="D74" s="63">
        <v>3</v>
      </c>
      <c r="E74" s="60">
        <v>3</v>
      </c>
      <c r="F74" s="62" t="s">
        <v>333</v>
      </c>
      <c r="G74" s="63" t="s">
        <v>333</v>
      </c>
      <c r="H74" s="60" t="s">
        <v>333</v>
      </c>
      <c r="I74" s="63">
        <v>1</v>
      </c>
      <c r="J74" s="63">
        <v>1.5</v>
      </c>
    </row>
    <row r="75" spans="1:10" x14ac:dyDescent="0.4">
      <c r="A75" s="59" t="s">
        <v>352</v>
      </c>
      <c r="B75" s="60" t="s">
        <v>333</v>
      </c>
      <c r="C75" s="63">
        <v>1</v>
      </c>
      <c r="D75" s="63">
        <v>1</v>
      </c>
      <c r="E75" s="60">
        <v>3</v>
      </c>
      <c r="F75" s="62" t="s">
        <v>333</v>
      </c>
      <c r="G75" s="63" t="s">
        <v>333</v>
      </c>
      <c r="H75" s="60" t="s">
        <v>333</v>
      </c>
      <c r="I75" s="63">
        <v>2</v>
      </c>
      <c r="J75" s="63">
        <v>2.5</v>
      </c>
    </row>
    <row r="76" spans="1:10" x14ac:dyDescent="0.4">
      <c r="A76" s="59" t="s">
        <v>353</v>
      </c>
      <c r="B76" s="60" t="s">
        <v>333</v>
      </c>
      <c r="C76" s="63">
        <v>3</v>
      </c>
      <c r="D76" s="63">
        <v>1.5</v>
      </c>
      <c r="E76" s="60">
        <v>2.5</v>
      </c>
      <c r="F76" s="62" t="s">
        <v>333</v>
      </c>
      <c r="G76" s="63" t="s">
        <v>333</v>
      </c>
      <c r="H76" s="60" t="s">
        <v>333</v>
      </c>
      <c r="I76" s="63">
        <v>1.5</v>
      </c>
      <c r="J76" s="63">
        <v>1.5</v>
      </c>
    </row>
    <row r="77" spans="1:10" x14ac:dyDescent="0.4">
      <c r="A77" s="59" t="s">
        <v>317</v>
      </c>
      <c r="B77" s="60" t="s">
        <v>333</v>
      </c>
      <c r="C77" s="63">
        <v>2.5</v>
      </c>
      <c r="D77" s="63">
        <v>2</v>
      </c>
      <c r="E77" s="60">
        <v>3</v>
      </c>
      <c r="F77" s="62" t="s">
        <v>333</v>
      </c>
      <c r="G77" s="63" t="s">
        <v>333</v>
      </c>
      <c r="H77" s="60" t="s">
        <v>333</v>
      </c>
      <c r="I77" s="63">
        <v>2</v>
      </c>
      <c r="J77" s="63">
        <v>2</v>
      </c>
    </row>
    <row r="78" spans="1:10" x14ac:dyDescent="0.4">
      <c r="A78" s="59" t="s">
        <v>354</v>
      </c>
      <c r="B78" s="60" t="s">
        <v>333</v>
      </c>
      <c r="C78" s="63">
        <v>3</v>
      </c>
      <c r="D78" s="63">
        <v>3</v>
      </c>
      <c r="E78" s="60">
        <v>3</v>
      </c>
      <c r="F78" s="62" t="s">
        <v>333</v>
      </c>
      <c r="G78" s="63" t="s">
        <v>333</v>
      </c>
      <c r="H78" s="60" t="s">
        <v>333</v>
      </c>
      <c r="I78" s="63">
        <v>2.5</v>
      </c>
      <c r="J78" s="63">
        <v>2</v>
      </c>
    </row>
    <row r="79" spans="1:10" x14ac:dyDescent="0.4">
      <c r="A79" s="59" t="s">
        <v>355</v>
      </c>
      <c r="B79" s="60" t="s">
        <v>333</v>
      </c>
      <c r="C79" s="63">
        <v>3</v>
      </c>
      <c r="D79" s="63">
        <v>2.5</v>
      </c>
      <c r="E79" s="60">
        <v>3</v>
      </c>
      <c r="F79" s="62" t="s">
        <v>333</v>
      </c>
      <c r="G79" s="63" t="s">
        <v>333</v>
      </c>
      <c r="H79" s="60" t="s">
        <v>333</v>
      </c>
      <c r="I79" s="63">
        <v>2</v>
      </c>
      <c r="J79" s="63">
        <v>2.5</v>
      </c>
    </row>
    <row r="80" spans="1:10" x14ac:dyDescent="0.4">
      <c r="A80" s="59" t="s">
        <v>356</v>
      </c>
      <c r="B80" s="60" t="s">
        <v>333</v>
      </c>
      <c r="C80" s="61">
        <v>3</v>
      </c>
      <c r="D80" s="61">
        <v>3</v>
      </c>
      <c r="E80" s="60">
        <v>3</v>
      </c>
      <c r="F80" s="62" t="s">
        <v>333</v>
      </c>
      <c r="G80" s="63" t="s">
        <v>333</v>
      </c>
      <c r="H80" s="60" t="s">
        <v>333</v>
      </c>
      <c r="I80" s="63">
        <v>3</v>
      </c>
      <c r="J80" s="63">
        <v>2.5</v>
      </c>
    </row>
    <row r="81" spans="1:10" x14ac:dyDescent="0.4">
      <c r="A81" s="68" t="s">
        <v>357</v>
      </c>
      <c r="B81" s="61" t="s">
        <v>333</v>
      </c>
      <c r="C81" s="61">
        <v>3</v>
      </c>
      <c r="D81" s="61">
        <v>3</v>
      </c>
      <c r="E81" s="61">
        <v>3</v>
      </c>
      <c r="F81" s="61" t="s">
        <v>333</v>
      </c>
      <c r="G81" s="61" t="s">
        <v>333</v>
      </c>
      <c r="H81" s="61" t="s">
        <v>333</v>
      </c>
      <c r="I81" s="61">
        <v>2</v>
      </c>
      <c r="J81" s="61">
        <v>2</v>
      </c>
    </row>
    <row r="82" spans="1:10" x14ac:dyDescent="0.4">
      <c r="A82" s="19"/>
      <c r="B82" s="3"/>
      <c r="C82" s="3"/>
      <c r="D82" s="3"/>
      <c r="E82" s="3"/>
      <c r="F82" s="3"/>
      <c r="G82" s="3"/>
    </row>
    <row r="83" spans="1:10" x14ac:dyDescent="0.4">
      <c r="A83" s="3"/>
      <c r="B83" s="3"/>
      <c r="C83" s="3"/>
      <c r="D83" s="3"/>
      <c r="E83" s="3"/>
      <c r="F83" s="3"/>
      <c r="G83" s="3"/>
    </row>
    <row r="84" spans="1:10" x14ac:dyDescent="0.4">
      <c r="A84" s="15" t="s">
        <v>54</v>
      </c>
      <c r="B84" s="14"/>
      <c r="C84" s="14"/>
      <c r="D84" s="14"/>
      <c r="E84" s="14"/>
      <c r="F84" s="14"/>
      <c r="G84" s="14"/>
      <c r="H84" s="14"/>
      <c r="I84" s="14"/>
      <c r="J84" s="14"/>
    </row>
    <row r="85" spans="1:10" x14ac:dyDescent="0.4">
      <c r="A85" s="16" t="s">
        <v>13</v>
      </c>
      <c r="B85" s="27">
        <v>1</v>
      </c>
      <c r="C85" s="27">
        <v>2</v>
      </c>
      <c r="D85" s="27">
        <v>3</v>
      </c>
      <c r="E85" s="27">
        <v>4</v>
      </c>
      <c r="F85" s="27">
        <v>5</v>
      </c>
      <c r="G85" s="27">
        <v>6</v>
      </c>
      <c r="H85" s="27">
        <v>7</v>
      </c>
      <c r="I85" s="27">
        <v>8</v>
      </c>
      <c r="J85" s="27">
        <v>9</v>
      </c>
    </row>
    <row r="86" spans="1:10" x14ac:dyDescent="0.4">
      <c r="A86" s="17" t="s">
        <v>10</v>
      </c>
      <c r="B86" s="27">
        <v>7</v>
      </c>
      <c r="C86" s="27">
        <v>4</v>
      </c>
      <c r="D86" s="27">
        <v>4</v>
      </c>
      <c r="E86" s="27">
        <v>4</v>
      </c>
      <c r="F86" s="27">
        <v>5</v>
      </c>
      <c r="G86" s="27" t="s">
        <v>16</v>
      </c>
      <c r="H86" s="27">
        <v>1</v>
      </c>
      <c r="I86" s="27" t="s">
        <v>17</v>
      </c>
      <c r="J86" s="27">
        <v>1</v>
      </c>
    </row>
    <row r="87" spans="1:10" x14ac:dyDescent="0.4">
      <c r="A87" s="18" t="s">
        <v>3</v>
      </c>
      <c r="B87" s="28">
        <f>AVERAGE(B19:B81)</f>
        <v>2.5416666666666665</v>
      </c>
      <c r="C87" s="28">
        <f>AVERAGE(C19:C81)</f>
        <v>2.5317460317460316</v>
      </c>
      <c r="D87" s="28">
        <f>AVERAGE(D19:D81)</f>
        <v>2.4841269841269842</v>
      </c>
      <c r="E87" s="28">
        <f>AVERAGE(E19:E81)</f>
        <v>2.8571428571428572</v>
      </c>
      <c r="F87" s="28">
        <f>AVERAGE(F19:F79)</f>
        <v>2.6111111111111112</v>
      </c>
      <c r="G87" s="28">
        <f>AVERAGE(G19:G79)</f>
        <v>2.5694444444444446</v>
      </c>
      <c r="H87" s="28">
        <f>AVERAGE(H19:H79)</f>
        <v>2.5277777777777777</v>
      </c>
      <c r="I87" s="28">
        <f>AVERAGE(I19:I81)</f>
        <v>2.253968253968254</v>
      </c>
      <c r="J87" s="28">
        <f>AVERAGE(J19:J81)</f>
        <v>2.2142857142857144</v>
      </c>
    </row>
    <row r="88" spans="1:10" x14ac:dyDescent="0.4">
      <c r="A88" s="17" t="s">
        <v>4</v>
      </c>
      <c r="B88" s="29">
        <f>STDEV(B19:B81)</f>
        <v>0.38959686123698978</v>
      </c>
      <c r="C88" s="29">
        <f>STDEV(C19:C81)</f>
        <v>0.614823708492379</v>
      </c>
      <c r="D88" s="29">
        <f>STDEV(D19:D81)</f>
        <v>0.55334943437052253</v>
      </c>
      <c r="E88" s="29">
        <f>STDEV(E19:E81)</f>
        <v>0.42529469316800272</v>
      </c>
      <c r="F88" s="29">
        <f>STDEV(F19:F79)</f>
        <v>0.4797486114192826</v>
      </c>
      <c r="G88" s="29">
        <f>STDEV(G19:G79)</f>
        <v>0.63417863388996287</v>
      </c>
      <c r="H88" s="29">
        <f>STDEV(H19:H79)</f>
        <v>0.74588819963128961</v>
      </c>
      <c r="I88" s="29">
        <f>STDEV(I19:I81)</f>
        <v>0.71206772893372861</v>
      </c>
      <c r="J88" s="29">
        <f>STDEV(J19:J81)</f>
        <v>0.63952026951083185</v>
      </c>
    </row>
    <row r="89" spans="1:10" x14ac:dyDescent="0.4">
      <c r="A89" s="18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4">
      <c r="A90" s="18" t="s">
        <v>19</v>
      </c>
      <c r="B90" s="7">
        <f>AVERAGE(B87:J87)</f>
        <v>2.5101410934744268</v>
      </c>
      <c r="C90" s="5"/>
      <c r="D90" s="5"/>
      <c r="E90" s="5"/>
      <c r="F90" s="5"/>
      <c r="G90" s="5"/>
      <c r="H90" s="5"/>
      <c r="I90" s="5"/>
      <c r="J90" s="5"/>
    </row>
    <row r="91" spans="1:10" x14ac:dyDescent="0.4">
      <c r="A91" s="17"/>
      <c r="B91" s="14"/>
      <c r="C91" s="14"/>
      <c r="D91" s="14"/>
      <c r="E91" s="14"/>
      <c r="F91" s="14"/>
      <c r="G91" s="14"/>
      <c r="H91" s="14"/>
      <c r="I91" s="14"/>
      <c r="J91" s="14"/>
    </row>
    <row r="92" spans="1:10" x14ac:dyDescent="0.4">
      <c r="A92" s="18"/>
      <c r="B92" s="5"/>
      <c r="C92" s="5"/>
      <c r="D92" s="5"/>
      <c r="E92" s="5"/>
      <c r="F92" s="5"/>
      <c r="G92" s="5"/>
      <c r="H92" s="5"/>
      <c r="I92" s="5"/>
      <c r="J92" s="5"/>
    </row>
    <row r="94" spans="1:10" x14ac:dyDescent="0.4">
      <c r="A94" s="8" t="s">
        <v>12</v>
      </c>
      <c r="B94" s="6"/>
      <c r="C94" s="6"/>
      <c r="D94" s="6"/>
      <c r="E94" s="6"/>
      <c r="F94" s="6"/>
      <c r="G94" s="13"/>
      <c r="H94" s="3"/>
      <c r="I94" s="3"/>
    </row>
    <row r="95" spans="1:10" x14ac:dyDescent="0.4">
      <c r="A95" s="8"/>
      <c r="B95" s="31">
        <v>1</v>
      </c>
      <c r="C95" s="31">
        <v>2</v>
      </c>
      <c r="D95" s="31">
        <v>4</v>
      </c>
      <c r="E95" s="31">
        <v>5</v>
      </c>
      <c r="F95" s="21">
        <v>6</v>
      </c>
      <c r="G95" s="21">
        <v>7</v>
      </c>
      <c r="H95" s="3"/>
      <c r="I95" s="3"/>
    </row>
    <row r="96" spans="1:10" x14ac:dyDescent="0.4">
      <c r="A96" s="6" t="s">
        <v>6</v>
      </c>
      <c r="B96" s="32">
        <f>AVERAGE(G87,H87,I87,J87)</f>
        <v>2.3913690476190474</v>
      </c>
      <c r="C96" s="32">
        <f>AVERAGE(G87)</f>
        <v>2.5694444444444446</v>
      </c>
      <c r="D96" s="32">
        <f>AVERAGE(C87,D87,E87)</f>
        <v>2.6243386243386246</v>
      </c>
      <c r="E96" s="32">
        <f>AVERAGE(F87)</f>
        <v>2.6111111111111112</v>
      </c>
      <c r="F96" s="32">
        <f>AVERAGE(I87)</f>
        <v>2.253968253968254</v>
      </c>
      <c r="G96" s="32">
        <f>AVERAGE(B87)</f>
        <v>2.5416666666666665</v>
      </c>
      <c r="H96" s="3"/>
      <c r="I96" s="34"/>
    </row>
    <row r="97" spans="1:9" x14ac:dyDescent="0.4">
      <c r="A97" s="6" t="s">
        <v>7</v>
      </c>
      <c r="B97" s="32">
        <f>STDEV(G87,H87,I87,J87)</f>
        <v>0.18308074143971945</v>
      </c>
      <c r="C97" s="32" t="s">
        <v>18</v>
      </c>
      <c r="D97" s="32">
        <f>STDEV(C87,D87,E87)</f>
        <v>0.20301539727989074</v>
      </c>
      <c r="E97" s="32" t="s">
        <v>18</v>
      </c>
      <c r="F97" s="33" t="s">
        <v>18</v>
      </c>
      <c r="G97" s="33" t="s">
        <v>18</v>
      </c>
      <c r="H97" s="3"/>
      <c r="I97" s="34"/>
    </row>
    <row r="99" spans="1:9" x14ac:dyDescent="0.4">
      <c r="B99" s="30"/>
    </row>
    <row r="142" spans="1:10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4">
      <c r="A153" s="3"/>
      <c r="B153" s="3"/>
      <c r="C153" s="3"/>
      <c r="D153" s="3"/>
      <c r="E153" s="3"/>
      <c r="F153" s="3"/>
      <c r="G153" s="3"/>
      <c r="H153" s="9"/>
      <c r="I153" s="9"/>
      <c r="J153" s="9"/>
      <c r="K153" s="3"/>
    </row>
    <row r="154" spans="1:1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4">
      <c r="A175" s="3"/>
      <c r="B175" s="10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4">
      <c r="A176" s="3"/>
      <c r="B176" s="10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4">
      <c r="A177" s="3"/>
      <c r="B177" s="10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4">
      <c r="A178" s="3"/>
      <c r="B178" s="10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4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x14ac:dyDescent="0.4">
      <c r="K256" s="3"/>
    </row>
    <row r="257" spans="11:11" x14ac:dyDescent="0.4">
      <c r="K257" s="3"/>
    </row>
    <row r="258" spans="11:11" x14ac:dyDescent="0.4">
      <c r="K258" s="3"/>
    </row>
    <row r="259" spans="11:11" x14ac:dyDescent="0.4">
      <c r="K259" s="3"/>
    </row>
    <row r="260" spans="11:11" x14ac:dyDescent="0.4">
      <c r="K260" s="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9"/>
  <sheetViews>
    <sheetView topLeftCell="A62" zoomScale="90" zoomScaleNormal="90" workbookViewId="0">
      <selection activeCell="B101" sqref="B101"/>
    </sheetView>
  </sheetViews>
  <sheetFormatPr defaultRowHeight="14.6" x14ac:dyDescent="0.4"/>
  <cols>
    <col min="1" max="1" width="20.15234375" customWidth="1"/>
    <col min="2" max="2" width="11.53515625" customWidth="1"/>
    <col min="6" max="6" width="10.84375" customWidth="1"/>
    <col min="7" max="7" width="9.53515625" bestFit="1" customWidth="1"/>
    <col min="13" max="13" width="28.53515625" customWidth="1"/>
    <col min="16" max="16" width="27.15234375" customWidth="1"/>
  </cols>
  <sheetData>
    <row r="1" spans="1:16" x14ac:dyDescent="0.4">
      <c r="A1" s="1" t="s">
        <v>14</v>
      </c>
      <c r="L1" s="35" t="s">
        <v>47</v>
      </c>
      <c r="M1" s="35"/>
      <c r="O1" t="s">
        <v>47</v>
      </c>
    </row>
    <row r="2" spans="1:16" ht="15" customHeight="1" x14ac:dyDescent="0.4">
      <c r="A2" s="1"/>
      <c r="L2" s="36" t="s">
        <v>20</v>
      </c>
      <c r="M2" s="36" t="s">
        <v>22</v>
      </c>
      <c r="N2" s="37"/>
      <c r="O2" s="37" t="s">
        <v>20</v>
      </c>
      <c r="P2" s="37" t="s">
        <v>22</v>
      </c>
    </row>
    <row r="3" spans="1:16" x14ac:dyDescent="0.4">
      <c r="A3" s="1" t="s">
        <v>11</v>
      </c>
      <c r="L3" s="35" t="s">
        <v>21</v>
      </c>
      <c r="M3" s="35"/>
      <c r="O3" t="s">
        <v>21</v>
      </c>
    </row>
    <row r="4" spans="1:16" x14ac:dyDescent="0.4">
      <c r="A4" s="2" t="s">
        <v>15</v>
      </c>
      <c r="B4" s="2"/>
      <c r="C4" s="2"/>
      <c r="D4" s="2"/>
      <c r="L4" s="35">
        <v>1</v>
      </c>
      <c r="M4" s="35" t="s">
        <v>23</v>
      </c>
      <c r="O4" s="35">
        <v>4</v>
      </c>
      <c r="P4" t="s">
        <v>34</v>
      </c>
    </row>
    <row r="5" spans="1:16" x14ac:dyDescent="0.4">
      <c r="A5" s="2" t="s">
        <v>53</v>
      </c>
      <c r="B5" s="2"/>
      <c r="C5" s="2"/>
      <c r="D5" s="2"/>
      <c r="E5" s="2"/>
      <c r="F5" s="2"/>
      <c r="G5" s="2"/>
      <c r="L5" s="35"/>
      <c r="M5" s="35" t="s">
        <v>24</v>
      </c>
      <c r="O5" s="35"/>
      <c r="P5" t="s">
        <v>35</v>
      </c>
    </row>
    <row r="6" spans="1:16" x14ac:dyDescent="0.4">
      <c r="A6" s="2"/>
      <c r="B6" s="2"/>
      <c r="C6" s="2"/>
      <c r="D6" s="2"/>
      <c r="E6" s="2"/>
      <c r="F6" s="2"/>
      <c r="G6" s="2"/>
      <c r="L6" s="35" t="s">
        <v>25</v>
      </c>
      <c r="M6" s="35" t="s">
        <v>26</v>
      </c>
      <c r="O6" s="35"/>
      <c r="P6" t="s">
        <v>36</v>
      </c>
    </row>
    <row r="7" spans="1:16" x14ac:dyDescent="0.4">
      <c r="A7" s="2"/>
      <c r="L7" s="35"/>
      <c r="M7" s="35" t="s">
        <v>27</v>
      </c>
      <c r="O7" s="35"/>
      <c r="P7" t="s">
        <v>37</v>
      </c>
    </row>
    <row r="8" spans="1:16" x14ac:dyDescent="0.4">
      <c r="L8" s="35" t="s">
        <v>28</v>
      </c>
      <c r="M8" s="35" t="s">
        <v>29</v>
      </c>
      <c r="O8" s="35">
        <v>4</v>
      </c>
      <c r="P8" t="s">
        <v>38</v>
      </c>
    </row>
    <row r="9" spans="1:16" x14ac:dyDescent="0.4">
      <c r="A9" s="12" t="s">
        <v>9</v>
      </c>
      <c r="B9" s="4"/>
      <c r="C9" s="4"/>
      <c r="L9" s="35"/>
      <c r="M9" s="35" t="s">
        <v>30</v>
      </c>
      <c r="O9" s="35"/>
      <c r="P9" t="s">
        <v>39</v>
      </c>
    </row>
    <row r="10" spans="1:16" x14ac:dyDescent="0.4">
      <c r="A10" s="4">
        <v>1</v>
      </c>
      <c r="B10" s="4" t="s">
        <v>0</v>
      </c>
      <c r="C10" s="4"/>
      <c r="L10" s="35" t="s">
        <v>31</v>
      </c>
      <c r="M10" s="35" t="s">
        <v>32</v>
      </c>
      <c r="O10" s="35">
        <v>5</v>
      </c>
      <c r="P10" t="s">
        <v>40</v>
      </c>
    </row>
    <row r="11" spans="1:16" x14ac:dyDescent="0.4">
      <c r="A11" s="4">
        <v>2</v>
      </c>
      <c r="B11" s="4" t="s">
        <v>1</v>
      </c>
      <c r="C11" s="4"/>
      <c r="L11" s="35">
        <v>3</v>
      </c>
      <c r="M11" s="35" t="s">
        <v>33</v>
      </c>
      <c r="O11" s="35"/>
      <c r="P11" t="s">
        <v>41</v>
      </c>
    </row>
    <row r="12" spans="1:16" x14ac:dyDescent="0.4">
      <c r="A12" s="4">
        <v>3</v>
      </c>
      <c r="B12" s="4" t="s">
        <v>2</v>
      </c>
      <c r="C12" s="4"/>
      <c r="O12" s="35"/>
      <c r="P12" t="s">
        <v>42</v>
      </c>
    </row>
    <row r="13" spans="1:16" x14ac:dyDescent="0.4">
      <c r="A13" s="4"/>
      <c r="B13" s="4"/>
      <c r="C13" s="4"/>
      <c r="O13" s="35"/>
      <c r="P13" t="s">
        <v>43</v>
      </c>
    </row>
    <row r="14" spans="1:16" x14ac:dyDescent="0.4">
      <c r="A14" s="43"/>
      <c r="B14" s="52" t="s">
        <v>48</v>
      </c>
      <c r="C14" t="s">
        <v>49</v>
      </c>
      <c r="E14" s="43"/>
      <c r="F14" s="46" t="s">
        <v>50</v>
      </c>
      <c r="G14" t="s">
        <v>51</v>
      </c>
      <c r="H14" s="43"/>
      <c r="I14" t="s">
        <v>52</v>
      </c>
      <c r="O14" s="35"/>
      <c r="P14" t="s">
        <v>44</v>
      </c>
    </row>
    <row r="15" spans="1:16" x14ac:dyDescent="0.4">
      <c r="A15" s="38" t="s">
        <v>8</v>
      </c>
      <c r="B15" s="38">
        <v>1</v>
      </c>
      <c r="C15" s="20">
        <v>2</v>
      </c>
      <c r="D15" s="20">
        <v>3</v>
      </c>
      <c r="E15" s="38">
        <v>4</v>
      </c>
      <c r="F15" s="44">
        <v>5</v>
      </c>
      <c r="G15" s="20">
        <v>6</v>
      </c>
      <c r="H15" s="38">
        <v>7</v>
      </c>
      <c r="I15" s="20">
        <v>8</v>
      </c>
      <c r="J15" s="20">
        <v>9</v>
      </c>
      <c r="O15" s="35">
        <v>5</v>
      </c>
      <c r="P15" t="s">
        <v>45</v>
      </c>
    </row>
    <row r="16" spans="1:16" x14ac:dyDescent="0.4">
      <c r="A16" s="38" t="s">
        <v>10</v>
      </c>
      <c r="B16" s="38">
        <v>7</v>
      </c>
      <c r="C16" s="20">
        <v>4</v>
      </c>
      <c r="D16" s="20">
        <v>4</v>
      </c>
      <c r="E16" s="38">
        <v>4</v>
      </c>
      <c r="F16" s="45">
        <v>5</v>
      </c>
      <c r="G16" s="21" t="s">
        <v>16</v>
      </c>
      <c r="H16" s="51">
        <v>1</v>
      </c>
      <c r="I16" s="21" t="s">
        <v>17</v>
      </c>
      <c r="J16" s="21">
        <v>1</v>
      </c>
      <c r="P16" t="s">
        <v>46</v>
      </c>
    </row>
    <row r="17" spans="1:10" x14ac:dyDescent="0.4">
      <c r="A17" s="55"/>
      <c r="B17" s="56"/>
      <c r="C17" s="37"/>
      <c r="D17" s="37"/>
      <c r="E17" s="55"/>
      <c r="F17" s="57"/>
      <c r="G17" s="37"/>
      <c r="H17" s="55"/>
      <c r="I17" s="37"/>
      <c r="J17" s="37"/>
    </row>
    <row r="18" spans="1:10" x14ac:dyDescent="0.4">
      <c r="A18" s="43" t="s">
        <v>5</v>
      </c>
    </row>
    <row r="19" spans="1:10" x14ac:dyDescent="0.4">
      <c r="A19" s="53" t="s">
        <v>236</v>
      </c>
      <c r="B19" s="39">
        <v>3</v>
      </c>
      <c r="C19" s="22">
        <v>3</v>
      </c>
      <c r="D19" s="22">
        <v>3</v>
      </c>
      <c r="E19" s="39">
        <v>3</v>
      </c>
      <c r="F19" s="47">
        <v>2.5</v>
      </c>
      <c r="G19" s="25">
        <v>2</v>
      </c>
      <c r="H19" s="39">
        <v>3</v>
      </c>
      <c r="I19" s="25">
        <v>1</v>
      </c>
      <c r="J19" s="25">
        <v>2</v>
      </c>
    </row>
    <row r="20" spans="1:10" x14ac:dyDescent="0.4">
      <c r="A20" s="53" t="s">
        <v>237</v>
      </c>
      <c r="B20" s="39">
        <v>2.75</v>
      </c>
      <c r="C20" s="22">
        <v>3</v>
      </c>
      <c r="D20" s="22">
        <v>3</v>
      </c>
      <c r="E20" s="39">
        <v>3</v>
      </c>
      <c r="F20" s="47">
        <v>3</v>
      </c>
      <c r="G20" s="22">
        <v>2.5</v>
      </c>
      <c r="H20" s="39">
        <v>3</v>
      </c>
      <c r="I20" s="22">
        <v>3</v>
      </c>
      <c r="J20" s="22">
        <v>3</v>
      </c>
    </row>
    <row r="21" spans="1:10" x14ac:dyDescent="0.4">
      <c r="A21" s="53" t="s">
        <v>238</v>
      </c>
      <c r="B21" s="39">
        <v>2.5</v>
      </c>
      <c r="C21" s="22">
        <v>3</v>
      </c>
      <c r="D21" s="22">
        <v>3</v>
      </c>
      <c r="E21" s="39">
        <v>3</v>
      </c>
      <c r="F21" s="47">
        <v>2.5</v>
      </c>
      <c r="G21" s="22">
        <v>3</v>
      </c>
      <c r="H21" s="39">
        <v>3</v>
      </c>
      <c r="I21" s="22">
        <v>3</v>
      </c>
      <c r="J21" s="22">
        <v>3</v>
      </c>
    </row>
    <row r="22" spans="1:10" x14ac:dyDescent="0.4">
      <c r="A22" s="53" t="s">
        <v>239</v>
      </c>
      <c r="B22" s="39">
        <v>3</v>
      </c>
      <c r="C22" s="22">
        <v>2.5</v>
      </c>
      <c r="D22" s="22">
        <v>3</v>
      </c>
      <c r="E22" s="39">
        <v>2</v>
      </c>
      <c r="F22" s="47">
        <v>2.5</v>
      </c>
      <c r="G22" s="22">
        <v>2</v>
      </c>
      <c r="H22" s="39">
        <v>1</v>
      </c>
      <c r="I22" s="22">
        <v>2.5</v>
      </c>
      <c r="J22" s="22">
        <v>2</v>
      </c>
    </row>
    <row r="23" spans="1:10" x14ac:dyDescent="0.4">
      <c r="A23" s="54" t="s">
        <v>240</v>
      </c>
      <c r="B23" s="40">
        <v>2.5</v>
      </c>
      <c r="C23" s="23">
        <v>3</v>
      </c>
      <c r="D23" s="23">
        <v>2.5</v>
      </c>
      <c r="E23" s="40">
        <v>3</v>
      </c>
      <c r="F23" s="48">
        <v>3</v>
      </c>
      <c r="G23" s="23">
        <v>1</v>
      </c>
      <c r="H23" s="40">
        <v>1</v>
      </c>
      <c r="I23" s="23">
        <v>2.5</v>
      </c>
      <c r="J23" s="23">
        <v>2</v>
      </c>
    </row>
    <row r="24" spans="1:10" x14ac:dyDescent="0.4">
      <c r="A24" s="53" t="s">
        <v>241</v>
      </c>
      <c r="B24" s="39">
        <v>3</v>
      </c>
      <c r="C24" s="24">
        <v>3</v>
      </c>
      <c r="D24" s="24">
        <v>3</v>
      </c>
      <c r="E24" s="39">
        <v>3</v>
      </c>
      <c r="F24" s="47">
        <v>3</v>
      </c>
      <c r="G24" s="22">
        <v>3</v>
      </c>
      <c r="H24" s="39">
        <v>2</v>
      </c>
      <c r="I24" s="22">
        <v>2.5</v>
      </c>
      <c r="J24" s="22">
        <v>2</v>
      </c>
    </row>
    <row r="25" spans="1:10" x14ac:dyDescent="0.4">
      <c r="A25" s="53" t="s">
        <v>242</v>
      </c>
      <c r="B25" s="39">
        <v>2.5</v>
      </c>
      <c r="C25" s="24">
        <v>3</v>
      </c>
      <c r="D25" s="24">
        <v>2.5</v>
      </c>
      <c r="E25" s="41">
        <v>3</v>
      </c>
      <c r="F25" s="49">
        <v>3</v>
      </c>
      <c r="G25" s="25">
        <v>3</v>
      </c>
      <c r="H25" s="41">
        <v>3</v>
      </c>
      <c r="I25" s="25">
        <v>1.5</v>
      </c>
      <c r="J25" s="25">
        <v>2</v>
      </c>
    </row>
    <row r="26" spans="1:10" x14ac:dyDescent="0.4">
      <c r="A26" s="53" t="s">
        <v>243</v>
      </c>
      <c r="B26" s="39">
        <v>2</v>
      </c>
      <c r="C26" s="24">
        <v>3</v>
      </c>
      <c r="D26" s="24">
        <v>2.5</v>
      </c>
      <c r="E26" s="39">
        <v>3</v>
      </c>
      <c r="F26" s="47">
        <v>2.5</v>
      </c>
      <c r="G26" s="22">
        <v>3</v>
      </c>
      <c r="H26" s="39">
        <v>1</v>
      </c>
      <c r="I26" s="22">
        <v>1.5</v>
      </c>
      <c r="J26" s="22">
        <v>2</v>
      </c>
    </row>
    <row r="27" spans="1:10" x14ac:dyDescent="0.4">
      <c r="A27" s="53" t="s">
        <v>244</v>
      </c>
      <c r="B27" s="39">
        <v>2</v>
      </c>
      <c r="C27" s="24">
        <v>3</v>
      </c>
      <c r="D27" s="24">
        <v>3</v>
      </c>
      <c r="E27" s="39">
        <v>1.5</v>
      </c>
      <c r="F27" s="47">
        <v>2</v>
      </c>
      <c r="G27" s="22">
        <v>3</v>
      </c>
      <c r="H27" s="39">
        <v>3</v>
      </c>
      <c r="I27" s="22">
        <v>1</v>
      </c>
      <c r="J27" s="22">
        <v>2</v>
      </c>
    </row>
    <row r="28" spans="1:10" x14ac:dyDescent="0.4">
      <c r="A28" s="53" t="s">
        <v>245</v>
      </c>
      <c r="B28" s="39">
        <v>3</v>
      </c>
      <c r="C28" s="24">
        <v>3</v>
      </c>
      <c r="D28" s="24">
        <v>2</v>
      </c>
      <c r="E28" s="39">
        <v>3</v>
      </c>
      <c r="F28" s="47">
        <v>2.5</v>
      </c>
      <c r="G28" s="22">
        <v>3</v>
      </c>
      <c r="H28" s="39">
        <v>3</v>
      </c>
      <c r="I28" s="22">
        <v>3</v>
      </c>
      <c r="J28" s="22">
        <v>2</v>
      </c>
    </row>
    <row r="29" spans="1:10" x14ac:dyDescent="0.4">
      <c r="A29" s="54" t="s">
        <v>246</v>
      </c>
      <c r="B29" s="40">
        <v>3</v>
      </c>
      <c r="C29" s="23">
        <v>3</v>
      </c>
      <c r="D29" s="23">
        <v>3</v>
      </c>
      <c r="E29" s="40">
        <v>3</v>
      </c>
      <c r="F29" s="48">
        <v>2.5</v>
      </c>
      <c r="G29" s="23">
        <v>2</v>
      </c>
      <c r="H29" s="40">
        <v>2</v>
      </c>
      <c r="I29" s="23">
        <v>1.5</v>
      </c>
      <c r="J29" s="23">
        <v>1.5</v>
      </c>
    </row>
    <row r="30" spans="1:10" x14ac:dyDescent="0.4">
      <c r="A30" s="53" t="s">
        <v>247</v>
      </c>
      <c r="B30" s="39">
        <v>2.5</v>
      </c>
      <c r="C30" s="24">
        <v>2.5</v>
      </c>
      <c r="D30" s="24">
        <v>2.5</v>
      </c>
      <c r="E30" s="39">
        <v>2.5</v>
      </c>
      <c r="F30" s="47">
        <v>2.5</v>
      </c>
      <c r="G30" s="24">
        <v>3</v>
      </c>
      <c r="H30" s="39">
        <v>3</v>
      </c>
      <c r="I30" s="24">
        <v>2</v>
      </c>
      <c r="J30" s="24">
        <v>2.5</v>
      </c>
    </row>
    <row r="31" spans="1:10" x14ac:dyDescent="0.4">
      <c r="A31" s="53" t="s">
        <v>248</v>
      </c>
      <c r="B31" s="39">
        <v>3</v>
      </c>
      <c r="C31" s="24">
        <v>3</v>
      </c>
      <c r="D31" s="24">
        <v>3</v>
      </c>
      <c r="E31" s="41">
        <v>3</v>
      </c>
      <c r="F31" s="49">
        <v>3</v>
      </c>
      <c r="G31" s="25">
        <v>3</v>
      </c>
      <c r="H31" s="41">
        <v>3</v>
      </c>
      <c r="I31" s="25">
        <v>2</v>
      </c>
      <c r="J31" s="25">
        <v>2.5</v>
      </c>
    </row>
    <row r="32" spans="1:10" x14ac:dyDescent="0.4">
      <c r="A32" s="53" t="s">
        <v>249</v>
      </c>
      <c r="B32" s="39">
        <v>2.5</v>
      </c>
      <c r="C32" s="24">
        <v>1</v>
      </c>
      <c r="D32" s="24">
        <v>3</v>
      </c>
      <c r="E32" s="39">
        <v>3</v>
      </c>
      <c r="F32" s="47">
        <v>2.5</v>
      </c>
      <c r="G32" s="24">
        <v>3</v>
      </c>
      <c r="H32" s="39">
        <v>1</v>
      </c>
      <c r="I32" s="24">
        <v>2.5</v>
      </c>
      <c r="J32" s="24">
        <v>2</v>
      </c>
    </row>
    <row r="33" spans="1:10" x14ac:dyDescent="0.4">
      <c r="A33" s="53" t="s">
        <v>250</v>
      </c>
      <c r="B33" s="39">
        <v>3</v>
      </c>
      <c r="C33" s="24">
        <v>3</v>
      </c>
      <c r="D33" s="24">
        <v>3</v>
      </c>
      <c r="E33" s="39">
        <v>3</v>
      </c>
      <c r="F33" s="47">
        <v>2.5</v>
      </c>
      <c r="G33" s="22">
        <v>3</v>
      </c>
      <c r="H33" s="39">
        <v>2</v>
      </c>
      <c r="I33" s="22">
        <v>2</v>
      </c>
      <c r="J33" s="22">
        <v>2.5</v>
      </c>
    </row>
    <row r="34" spans="1:10" x14ac:dyDescent="0.4">
      <c r="A34" s="53" t="s">
        <v>251</v>
      </c>
      <c r="B34" s="39">
        <v>2</v>
      </c>
      <c r="C34" s="24">
        <v>2.5</v>
      </c>
      <c r="D34" s="24">
        <v>2.5</v>
      </c>
      <c r="E34" s="39">
        <v>3</v>
      </c>
      <c r="F34" s="47">
        <v>2.5</v>
      </c>
      <c r="G34" s="22">
        <v>2.5</v>
      </c>
      <c r="H34" s="39">
        <v>3</v>
      </c>
      <c r="I34" s="22">
        <v>1.5</v>
      </c>
      <c r="J34" s="22">
        <v>1.5</v>
      </c>
    </row>
    <row r="35" spans="1:10" x14ac:dyDescent="0.4">
      <c r="A35" s="54" t="s">
        <v>252</v>
      </c>
      <c r="B35" s="40">
        <v>3</v>
      </c>
      <c r="C35" s="23">
        <v>2</v>
      </c>
      <c r="D35" s="23">
        <v>1</v>
      </c>
      <c r="E35" s="40">
        <v>3</v>
      </c>
      <c r="F35" s="48">
        <v>3</v>
      </c>
      <c r="G35" s="23">
        <v>3</v>
      </c>
      <c r="H35" s="40">
        <v>3</v>
      </c>
      <c r="I35" s="23">
        <v>1</v>
      </c>
      <c r="J35" s="23">
        <v>2</v>
      </c>
    </row>
    <row r="36" spans="1:10" x14ac:dyDescent="0.4">
      <c r="A36" s="53" t="s">
        <v>253</v>
      </c>
      <c r="B36" s="39">
        <v>3</v>
      </c>
      <c r="C36" s="24">
        <v>3</v>
      </c>
      <c r="D36" s="24">
        <v>3</v>
      </c>
      <c r="E36" s="39">
        <v>3</v>
      </c>
      <c r="F36" s="47">
        <v>3</v>
      </c>
      <c r="G36" s="24">
        <v>3</v>
      </c>
      <c r="H36" s="39">
        <v>3</v>
      </c>
      <c r="I36" s="24">
        <v>3</v>
      </c>
      <c r="J36" s="24">
        <v>3</v>
      </c>
    </row>
    <row r="37" spans="1:10" x14ac:dyDescent="0.4">
      <c r="A37" s="53" t="s">
        <v>254</v>
      </c>
      <c r="B37" s="39">
        <v>3</v>
      </c>
      <c r="C37" s="24">
        <v>3</v>
      </c>
      <c r="D37" s="24">
        <v>2.5</v>
      </c>
      <c r="E37" s="41">
        <v>3</v>
      </c>
      <c r="F37" s="49">
        <v>2.5</v>
      </c>
      <c r="G37" s="25">
        <v>3</v>
      </c>
      <c r="H37" s="41">
        <v>3</v>
      </c>
      <c r="I37" s="25">
        <v>2</v>
      </c>
      <c r="J37" s="25">
        <v>2.5</v>
      </c>
    </row>
    <row r="38" spans="1:10" x14ac:dyDescent="0.4">
      <c r="A38" s="53" t="s">
        <v>255</v>
      </c>
      <c r="B38" s="39">
        <v>3</v>
      </c>
      <c r="C38" s="24">
        <v>3</v>
      </c>
      <c r="D38" s="24">
        <v>3</v>
      </c>
      <c r="E38" s="39">
        <v>3</v>
      </c>
      <c r="F38" s="47">
        <v>2</v>
      </c>
      <c r="G38" s="22">
        <v>2</v>
      </c>
      <c r="H38" s="39">
        <v>1</v>
      </c>
      <c r="I38" s="22">
        <v>2</v>
      </c>
      <c r="J38" s="22">
        <v>2.5</v>
      </c>
    </row>
    <row r="39" spans="1:10" x14ac:dyDescent="0.4">
      <c r="A39" s="54" t="s">
        <v>256</v>
      </c>
      <c r="B39" s="40">
        <v>2.5</v>
      </c>
      <c r="C39" s="23">
        <v>3</v>
      </c>
      <c r="D39" s="23">
        <v>3</v>
      </c>
      <c r="E39" s="40">
        <v>3</v>
      </c>
      <c r="F39" s="48">
        <v>2.5</v>
      </c>
      <c r="G39" s="23">
        <v>2.5</v>
      </c>
      <c r="H39" s="40">
        <v>3</v>
      </c>
      <c r="I39" s="23">
        <v>3</v>
      </c>
      <c r="J39" s="23">
        <v>2.5</v>
      </c>
    </row>
    <row r="40" spans="1:10" x14ac:dyDescent="0.4">
      <c r="A40" s="53" t="s">
        <v>257</v>
      </c>
      <c r="B40" s="39">
        <v>2.5</v>
      </c>
      <c r="C40" s="24">
        <v>2.5</v>
      </c>
      <c r="D40" s="24">
        <v>2</v>
      </c>
      <c r="E40" s="39">
        <v>3</v>
      </c>
      <c r="F40" s="47">
        <v>3</v>
      </c>
      <c r="G40" s="24">
        <v>3</v>
      </c>
      <c r="H40" s="39">
        <v>3</v>
      </c>
      <c r="I40" s="24">
        <v>1.5</v>
      </c>
      <c r="J40" s="24">
        <v>2</v>
      </c>
    </row>
    <row r="41" spans="1:10" x14ac:dyDescent="0.4">
      <c r="A41" s="53" t="s">
        <v>258</v>
      </c>
      <c r="B41" s="39">
        <v>3</v>
      </c>
      <c r="C41" s="22">
        <v>3</v>
      </c>
      <c r="D41" s="22">
        <v>2.5</v>
      </c>
      <c r="E41" s="39">
        <v>3</v>
      </c>
      <c r="F41" s="49">
        <v>3</v>
      </c>
      <c r="G41" s="25">
        <v>2</v>
      </c>
      <c r="H41" s="41">
        <v>1</v>
      </c>
      <c r="I41" s="25">
        <v>3</v>
      </c>
      <c r="J41" s="25">
        <v>2.5</v>
      </c>
    </row>
    <row r="42" spans="1:10" x14ac:dyDescent="0.4">
      <c r="A42" s="53" t="s">
        <v>259</v>
      </c>
      <c r="B42" s="39">
        <v>2.75</v>
      </c>
      <c r="C42" s="22">
        <v>2</v>
      </c>
      <c r="D42" s="22">
        <v>2.5</v>
      </c>
      <c r="E42" s="39">
        <v>3</v>
      </c>
      <c r="F42" s="49">
        <v>2.5</v>
      </c>
      <c r="G42" s="25">
        <v>3</v>
      </c>
      <c r="H42" s="41">
        <v>3</v>
      </c>
      <c r="I42" s="25">
        <v>3</v>
      </c>
      <c r="J42" s="25">
        <v>2.5</v>
      </c>
    </row>
    <row r="43" spans="1:10" x14ac:dyDescent="0.4">
      <c r="A43" s="53" t="s">
        <v>260</v>
      </c>
      <c r="B43" s="39">
        <v>1.5</v>
      </c>
      <c r="C43" s="24">
        <v>3</v>
      </c>
      <c r="D43" s="24">
        <v>2</v>
      </c>
      <c r="E43" s="39">
        <v>3</v>
      </c>
      <c r="F43" s="49">
        <v>2.5</v>
      </c>
      <c r="G43" s="25">
        <v>3</v>
      </c>
      <c r="H43" s="41">
        <v>3</v>
      </c>
      <c r="I43" s="25">
        <v>2.5</v>
      </c>
      <c r="J43" s="25">
        <v>2</v>
      </c>
    </row>
    <row r="44" spans="1:10" x14ac:dyDescent="0.4">
      <c r="A44" s="54" t="s">
        <v>261</v>
      </c>
      <c r="B44" s="40">
        <v>2</v>
      </c>
      <c r="C44" s="26">
        <v>3</v>
      </c>
      <c r="D44" s="26">
        <v>3</v>
      </c>
      <c r="E44" s="42">
        <v>3</v>
      </c>
      <c r="F44" s="50">
        <v>2.5</v>
      </c>
      <c r="G44" s="26">
        <v>3</v>
      </c>
      <c r="H44" s="42">
        <v>3</v>
      </c>
      <c r="I44" s="26">
        <v>2</v>
      </c>
      <c r="J44" s="26">
        <v>2</v>
      </c>
    </row>
    <row r="45" spans="1:10" x14ac:dyDescent="0.4">
      <c r="A45" s="53" t="s">
        <v>262</v>
      </c>
      <c r="B45" s="39">
        <v>2</v>
      </c>
      <c r="C45" s="22">
        <v>2</v>
      </c>
      <c r="D45" s="22">
        <v>3</v>
      </c>
      <c r="E45" s="39">
        <v>3</v>
      </c>
      <c r="F45" s="49">
        <v>3</v>
      </c>
      <c r="G45" s="25">
        <v>3</v>
      </c>
      <c r="H45" s="41">
        <v>3</v>
      </c>
      <c r="I45" s="25">
        <v>2.5</v>
      </c>
      <c r="J45" s="25">
        <v>2.5</v>
      </c>
    </row>
    <row r="46" spans="1:10" x14ac:dyDescent="0.4">
      <c r="A46" s="53" t="s">
        <v>263</v>
      </c>
      <c r="B46" s="39">
        <v>3</v>
      </c>
      <c r="C46" s="22">
        <v>3</v>
      </c>
      <c r="D46" s="22">
        <v>3</v>
      </c>
      <c r="E46" s="39">
        <v>3</v>
      </c>
      <c r="F46" s="49">
        <v>2</v>
      </c>
      <c r="G46" s="25">
        <v>3</v>
      </c>
      <c r="H46" s="41">
        <v>3</v>
      </c>
      <c r="I46" s="25">
        <v>2.5</v>
      </c>
      <c r="J46" s="25">
        <v>2</v>
      </c>
    </row>
    <row r="47" spans="1:10" x14ac:dyDescent="0.4">
      <c r="A47" s="53" t="s">
        <v>264</v>
      </c>
      <c r="B47" s="39">
        <v>2.5</v>
      </c>
      <c r="C47" s="24">
        <v>3</v>
      </c>
      <c r="D47" s="24">
        <v>2</v>
      </c>
      <c r="E47" s="39">
        <v>3</v>
      </c>
      <c r="F47" s="49">
        <v>3</v>
      </c>
      <c r="G47" s="25">
        <v>3</v>
      </c>
      <c r="H47" s="41">
        <v>3</v>
      </c>
      <c r="I47" s="25">
        <v>2.5</v>
      </c>
      <c r="J47" s="25">
        <v>3</v>
      </c>
    </row>
    <row r="48" spans="1:10" x14ac:dyDescent="0.4">
      <c r="A48" s="53" t="s">
        <v>265</v>
      </c>
      <c r="B48" s="39">
        <v>2.5</v>
      </c>
      <c r="C48" s="22">
        <v>3</v>
      </c>
      <c r="D48" s="22">
        <v>3</v>
      </c>
      <c r="E48" s="39">
        <v>3</v>
      </c>
      <c r="F48" s="49">
        <v>3</v>
      </c>
      <c r="G48" s="25">
        <v>3</v>
      </c>
      <c r="H48" s="41">
        <v>3</v>
      </c>
      <c r="I48" s="25">
        <v>2</v>
      </c>
      <c r="J48" s="25">
        <v>2.5</v>
      </c>
    </row>
    <row r="49" spans="1:10" x14ac:dyDescent="0.4">
      <c r="A49" s="54" t="s">
        <v>266</v>
      </c>
      <c r="B49" s="40">
        <v>3</v>
      </c>
      <c r="C49" s="23">
        <v>3</v>
      </c>
      <c r="D49" s="23">
        <v>2.5</v>
      </c>
      <c r="E49" s="40">
        <v>2.5</v>
      </c>
      <c r="F49" s="50">
        <v>2.5</v>
      </c>
      <c r="G49" s="26">
        <v>2</v>
      </c>
      <c r="H49" s="42">
        <v>1</v>
      </c>
      <c r="I49" s="26">
        <v>1</v>
      </c>
      <c r="J49" s="26">
        <v>1</v>
      </c>
    </row>
    <row r="50" spans="1:10" x14ac:dyDescent="0.4">
      <c r="A50" s="53" t="s">
        <v>267</v>
      </c>
      <c r="B50" s="39">
        <v>3</v>
      </c>
      <c r="C50" s="25">
        <v>3</v>
      </c>
      <c r="D50" s="25">
        <v>3</v>
      </c>
      <c r="E50" s="41">
        <v>3</v>
      </c>
      <c r="F50" s="49">
        <v>3</v>
      </c>
      <c r="G50" s="25">
        <v>3</v>
      </c>
      <c r="H50" s="41">
        <v>3</v>
      </c>
      <c r="I50" s="25">
        <v>3</v>
      </c>
      <c r="J50" s="25">
        <v>3</v>
      </c>
    </row>
    <row r="51" spans="1:10" x14ac:dyDescent="0.4">
      <c r="A51" s="53" t="s">
        <v>268</v>
      </c>
      <c r="B51" s="39">
        <v>1.5</v>
      </c>
      <c r="C51" s="22">
        <v>2</v>
      </c>
      <c r="D51" s="22">
        <v>2</v>
      </c>
      <c r="E51" s="39">
        <v>3</v>
      </c>
      <c r="F51" s="49">
        <v>3</v>
      </c>
      <c r="G51" s="25">
        <v>3</v>
      </c>
      <c r="H51" s="41">
        <v>3</v>
      </c>
      <c r="I51" s="25">
        <v>2</v>
      </c>
      <c r="J51" s="25">
        <v>2.5</v>
      </c>
    </row>
    <row r="52" spans="1:10" x14ac:dyDescent="0.4">
      <c r="A52" s="53" t="s">
        <v>269</v>
      </c>
      <c r="B52" s="39">
        <v>3</v>
      </c>
      <c r="C52" s="22">
        <v>2.5</v>
      </c>
      <c r="D52" s="22">
        <v>3</v>
      </c>
      <c r="E52" s="39">
        <v>3</v>
      </c>
      <c r="F52" s="49">
        <v>3</v>
      </c>
      <c r="G52" s="25">
        <v>3</v>
      </c>
      <c r="H52" s="41">
        <v>3</v>
      </c>
      <c r="I52" s="25">
        <v>3</v>
      </c>
      <c r="J52" s="25">
        <v>3</v>
      </c>
    </row>
    <row r="53" spans="1:10" x14ac:dyDescent="0.4">
      <c r="A53" s="53" t="s">
        <v>270</v>
      </c>
      <c r="B53" s="39">
        <v>2.5</v>
      </c>
      <c r="C53" s="24">
        <v>3</v>
      </c>
      <c r="D53" s="24">
        <v>2.5</v>
      </c>
      <c r="E53" s="39">
        <v>3</v>
      </c>
      <c r="F53" s="49">
        <v>3</v>
      </c>
      <c r="G53" s="25">
        <v>3</v>
      </c>
      <c r="H53" s="41">
        <v>3</v>
      </c>
      <c r="I53" s="25">
        <v>1.5</v>
      </c>
      <c r="J53" s="25">
        <v>1</v>
      </c>
    </row>
    <row r="54" spans="1:10" x14ac:dyDescent="0.4">
      <c r="A54" s="54" t="s">
        <v>271</v>
      </c>
      <c r="B54" s="40">
        <v>3</v>
      </c>
      <c r="C54" s="23">
        <v>1</v>
      </c>
      <c r="D54" s="23">
        <v>2</v>
      </c>
      <c r="E54" s="40">
        <v>3</v>
      </c>
      <c r="F54" s="50">
        <v>2.5</v>
      </c>
      <c r="G54" s="26">
        <v>3</v>
      </c>
      <c r="H54" s="42">
        <v>1</v>
      </c>
      <c r="I54" s="26">
        <v>2</v>
      </c>
      <c r="J54" s="26">
        <v>3</v>
      </c>
    </row>
    <row r="55" spans="1:10" x14ac:dyDescent="0.4">
      <c r="A55" s="53" t="s">
        <v>272</v>
      </c>
      <c r="B55" s="39">
        <v>2.5</v>
      </c>
      <c r="C55" s="24">
        <v>2</v>
      </c>
      <c r="D55" s="24">
        <v>2.5</v>
      </c>
      <c r="E55" s="39">
        <v>3</v>
      </c>
      <c r="F55" s="49">
        <v>3</v>
      </c>
      <c r="G55" s="25">
        <v>3</v>
      </c>
      <c r="H55" s="41">
        <v>3</v>
      </c>
      <c r="I55" s="25">
        <v>2.5</v>
      </c>
      <c r="J55" s="25">
        <v>2.5</v>
      </c>
    </row>
    <row r="56" spans="1:10" x14ac:dyDescent="0.4">
      <c r="A56" s="53" t="s">
        <v>273</v>
      </c>
      <c r="B56" s="39">
        <v>2.5</v>
      </c>
      <c r="C56" s="22">
        <v>3</v>
      </c>
      <c r="D56" s="22">
        <v>3</v>
      </c>
      <c r="E56" s="39">
        <v>3</v>
      </c>
      <c r="F56" s="47">
        <v>3</v>
      </c>
      <c r="G56" s="22">
        <v>2.5</v>
      </c>
      <c r="H56" s="39">
        <v>3</v>
      </c>
      <c r="I56" s="22">
        <v>2.5</v>
      </c>
      <c r="J56" s="22">
        <v>2</v>
      </c>
    </row>
    <row r="57" spans="1:10" x14ac:dyDescent="0.4">
      <c r="A57" s="53" t="s">
        <v>274</v>
      </c>
      <c r="B57" s="39">
        <v>2</v>
      </c>
      <c r="C57" s="22">
        <v>3</v>
      </c>
      <c r="D57" s="22">
        <v>2.5</v>
      </c>
      <c r="E57" s="39">
        <v>3</v>
      </c>
      <c r="F57" s="47">
        <v>3</v>
      </c>
      <c r="G57" s="22">
        <v>3</v>
      </c>
      <c r="H57" s="39">
        <v>3</v>
      </c>
      <c r="I57" s="22">
        <v>3</v>
      </c>
      <c r="J57" s="22">
        <v>3</v>
      </c>
    </row>
    <row r="58" spans="1:10" x14ac:dyDescent="0.4">
      <c r="A58" s="53" t="s">
        <v>275</v>
      </c>
      <c r="B58" s="39">
        <v>2</v>
      </c>
      <c r="C58" s="22">
        <v>3</v>
      </c>
      <c r="D58" s="22">
        <v>3</v>
      </c>
      <c r="E58" s="39">
        <v>3</v>
      </c>
      <c r="F58" s="47">
        <v>2.5</v>
      </c>
      <c r="G58" s="22">
        <v>3</v>
      </c>
      <c r="H58" s="39">
        <v>3</v>
      </c>
      <c r="I58" s="22">
        <v>2</v>
      </c>
      <c r="J58" s="22">
        <v>2.5</v>
      </c>
    </row>
    <row r="59" spans="1:10" x14ac:dyDescent="0.4">
      <c r="A59" s="54" t="s">
        <v>276</v>
      </c>
      <c r="B59" s="40">
        <v>2</v>
      </c>
      <c r="C59" s="23">
        <v>1</v>
      </c>
      <c r="D59" s="23">
        <v>3</v>
      </c>
      <c r="E59" s="40">
        <v>1</v>
      </c>
      <c r="F59" s="48">
        <v>2.5</v>
      </c>
      <c r="G59" s="23">
        <v>2</v>
      </c>
      <c r="H59" s="40">
        <v>2</v>
      </c>
      <c r="I59" s="23">
        <v>1.5</v>
      </c>
      <c r="J59" s="23">
        <v>1.5</v>
      </c>
    </row>
    <row r="60" spans="1:10" x14ac:dyDescent="0.4">
      <c r="A60" s="53" t="s">
        <v>277</v>
      </c>
      <c r="B60" s="39">
        <v>3</v>
      </c>
      <c r="C60" s="22">
        <v>3</v>
      </c>
      <c r="D60" s="22">
        <v>3</v>
      </c>
      <c r="E60" s="39">
        <v>3</v>
      </c>
      <c r="F60" s="47">
        <v>3</v>
      </c>
      <c r="G60" s="22">
        <v>3</v>
      </c>
      <c r="H60" s="39">
        <v>3</v>
      </c>
      <c r="I60" s="22">
        <v>3</v>
      </c>
      <c r="J60" s="22">
        <v>2.5</v>
      </c>
    </row>
    <row r="61" spans="1:10" x14ac:dyDescent="0.4">
      <c r="A61" s="53" t="s">
        <v>278</v>
      </c>
      <c r="B61" s="39">
        <v>2.5</v>
      </c>
      <c r="C61" s="22">
        <v>3</v>
      </c>
      <c r="D61" s="22">
        <v>3</v>
      </c>
      <c r="E61" s="39">
        <v>3</v>
      </c>
      <c r="F61" s="47">
        <v>3</v>
      </c>
      <c r="G61" s="22">
        <v>3</v>
      </c>
      <c r="H61" s="39">
        <v>1</v>
      </c>
      <c r="I61" s="22">
        <v>3</v>
      </c>
      <c r="J61" s="22">
        <v>2</v>
      </c>
    </row>
    <row r="62" spans="1:10" x14ac:dyDescent="0.4">
      <c r="A62" s="53" t="s">
        <v>279</v>
      </c>
      <c r="B62" s="39">
        <v>2.5</v>
      </c>
      <c r="C62" s="22">
        <v>3</v>
      </c>
      <c r="D62" s="22">
        <v>3</v>
      </c>
      <c r="E62" s="39">
        <v>3</v>
      </c>
      <c r="F62" s="47">
        <v>2.5</v>
      </c>
      <c r="G62" s="22">
        <v>2.5</v>
      </c>
      <c r="H62" s="39">
        <v>3</v>
      </c>
      <c r="I62" s="22">
        <v>3</v>
      </c>
      <c r="J62" s="22">
        <v>3</v>
      </c>
    </row>
    <row r="63" spans="1:10" x14ac:dyDescent="0.4">
      <c r="A63" s="53" t="s">
        <v>280</v>
      </c>
      <c r="B63" s="39">
        <v>2</v>
      </c>
      <c r="C63" s="22">
        <v>2.5</v>
      </c>
      <c r="D63" s="22">
        <v>3</v>
      </c>
      <c r="E63" s="39">
        <v>3</v>
      </c>
      <c r="F63" s="47">
        <v>3</v>
      </c>
      <c r="G63" s="22">
        <v>3</v>
      </c>
      <c r="H63" s="39">
        <v>3</v>
      </c>
      <c r="I63" s="22">
        <v>3</v>
      </c>
      <c r="J63" s="22">
        <v>3</v>
      </c>
    </row>
    <row r="64" spans="1:10" x14ac:dyDescent="0.4">
      <c r="A64" s="53" t="s">
        <v>281</v>
      </c>
      <c r="B64" s="39">
        <v>2.5</v>
      </c>
      <c r="C64" s="22">
        <v>3</v>
      </c>
      <c r="D64" s="22">
        <v>3</v>
      </c>
      <c r="E64" s="39">
        <v>3</v>
      </c>
      <c r="F64" s="47">
        <v>3</v>
      </c>
      <c r="G64" s="22">
        <v>3</v>
      </c>
      <c r="H64" s="39">
        <v>3</v>
      </c>
      <c r="I64" s="22">
        <v>2.5</v>
      </c>
      <c r="J64" s="22">
        <v>2.5</v>
      </c>
    </row>
    <row r="65" spans="1:10" x14ac:dyDescent="0.4">
      <c r="A65" s="53" t="s">
        <v>282</v>
      </c>
      <c r="B65" s="39">
        <v>2</v>
      </c>
      <c r="C65" s="22">
        <v>2</v>
      </c>
      <c r="D65" s="22">
        <v>3</v>
      </c>
      <c r="E65" s="39">
        <v>3</v>
      </c>
      <c r="F65" s="47">
        <v>3</v>
      </c>
      <c r="G65" s="22">
        <v>3</v>
      </c>
      <c r="H65" s="39">
        <v>3</v>
      </c>
      <c r="I65" s="22">
        <v>2</v>
      </c>
      <c r="J65" s="22">
        <v>3</v>
      </c>
    </row>
    <row r="66" spans="1:10" x14ac:dyDescent="0.4">
      <c r="A66" s="53" t="s">
        <v>283</v>
      </c>
      <c r="B66" s="39">
        <v>2.5</v>
      </c>
      <c r="C66" s="22">
        <v>2.5</v>
      </c>
      <c r="D66" s="22">
        <v>3</v>
      </c>
      <c r="E66" s="39">
        <v>3</v>
      </c>
      <c r="F66" s="47">
        <v>2.5</v>
      </c>
      <c r="G66" s="22">
        <v>3</v>
      </c>
      <c r="H66" s="39">
        <v>3</v>
      </c>
      <c r="I66" s="22">
        <v>2</v>
      </c>
      <c r="J66" s="22">
        <v>2</v>
      </c>
    </row>
    <row r="67" spans="1:10" x14ac:dyDescent="0.4">
      <c r="A67" s="53" t="s">
        <v>284</v>
      </c>
      <c r="B67" s="39">
        <v>2</v>
      </c>
      <c r="C67" s="22">
        <v>2.5</v>
      </c>
      <c r="D67" s="22">
        <v>3</v>
      </c>
      <c r="E67" s="39">
        <v>3</v>
      </c>
      <c r="F67" s="47">
        <v>3</v>
      </c>
      <c r="G67" s="22">
        <v>3</v>
      </c>
      <c r="H67" s="39">
        <v>1</v>
      </c>
      <c r="I67" s="22">
        <v>2</v>
      </c>
      <c r="J67" s="22">
        <v>2</v>
      </c>
    </row>
    <row r="68" spans="1:10" x14ac:dyDescent="0.4">
      <c r="A68" s="53" t="s">
        <v>285</v>
      </c>
      <c r="B68" s="39">
        <v>2.5</v>
      </c>
      <c r="C68" s="22">
        <v>3</v>
      </c>
      <c r="D68" s="22">
        <v>3</v>
      </c>
      <c r="E68" s="39">
        <v>3</v>
      </c>
      <c r="F68" s="47">
        <v>3</v>
      </c>
      <c r="G68" s="22">
        <v>2.5</v>
      </c>
      <c r="H68" s="39">
        <v>3</v>
      </c>
      <c r="I68" s="22">
        <v>2.5</v>
      </c>
      <c r="J68" s="22">
        <v>3</v>
      </c>
    </row>
    <row r="69" spans="1:10" x14ac:dyDescent="0.4">
      <c r="A69" s="53" t="s">
        <v>286</v>
      </c>
      <c r="B69" s="39">
        <v>2</v>
      </c>
      <c r="C69" s="22">
        <v>2</v>
      </c>
      <c r="D69" s="22">
        <v>2</v>
      </c>
      <c r="E69" s="39">
        <v>3</v>
      </c>
      <c r="F69" s="47">
        <v>2.5</v>
      </c>
      <c r="G69" s="22">
        <v>2</v>
      </c>
      <c r="H69" s="39">
        <v>1</v>
      </c>
      <c r="I69" s="22">
        <v>1</v>
      </c>
      <c r="J69" s="22">
        <v>2</v>
      </c>
    </row>
    <row r="70" spans="1:10" x14ac:dyDescent="0.4">
      <c r="A70" s="53" t="s">
        <v>287</v>
      </c>
      <c r="B70" s="39">
        <v>2.5</v>
      </c>
      <c r="C70" s="22">
        <v>2.5</v>
      </c>
      <c r="D70" s="22">
        <v>2.5</v>
      </c>
      <c r="E70" s="39">
        <v>3</v>
      </c>
      <c r="F70" s="47">
        <v>2.5</v>
      </c>
      <c r="G70" s="22">
        <v>2</v>
      </c>
      <c r="H70" s="39">
        <v>2</v>
      </c>
      <c r="I70" s="22">
        <v>2</v>
      </c>
      <c r="J70" s="22">
        <v>2</v>
      </c>
    </row>
    <row r="71" spans="1:10" x14ac:dyDescent="0.4">
      <c r="A71" s="53" t="s">
        <v>288</v>
      </c>
      <c r="B71" s="39">
        <v>2</v>
      </c>
      <c r="C71" s="22">
        <v>1.5</v>
      </c>
      <c r="D71" s="22">
        <v>2</v>
      </c>
      <c r="E71" s="39">
        <v>2</v>
      </c>
      <c r="F71" s="47">
        <v>3</v>
      </c>
      <c r="G71" s="22">
        <v>3</v>
      </c>
      <c r="H71" s="39">
        <v>3</v>
      </c>
      <c r="I71" s="22">
        <v>2</v>
      </c>
      <c r="J71" s="22">
        <v>2.5</v>
      </c>
    </row>
    <row r="72" spans="1:10" x14ac:dyDescent="0.4">
      <c r="A72" s="53" t="s">
        <v>289</v>
      </c>
      <c r="B72" s="39">
        <v>3</v>
      </c>
      <c r="C72" s="22">
        <v>3</v>
      </c>
      <c r="D72" s="22">
        <v>3</v>
      </c>
      <c r="E72" s="39">
        <v>3</v>
      </c>
      <c r="F72" s="47">
        <v>2.5</v>
      </c>
      <c r="G72" s="22">
        <v>3</v>
      </c>
      <c r="H72" s="39">
        <v>3</v>
      </c>
      <c r="I72" s="22">
        <v>3</v>
      </c>
      <c r="J72" s="22">
        <v>3</v>
      </c>
    </row>
    <row r="73" spans="1:10" x14ac:dyDescent="0.4">
      <c r="A73" s="53" t="s">
        <v>290</v>
      </c>
      <c r="B73" s="39">
        <v>1.5</v>
      </c>
      <c r="C73" s="22">
        <v>1</v>
      </c>
      <c r="D73" s="22">
        <v>2</v>
      </c>
      <c r="E73" s="39">
        <v>3</v>
      </c>
      <c r="F73" s="47">
        <v>2.5</v>
      </c>
      <c r="G73" s="22">
        <v>2</v>
      </c>
      <c r="H73" s="39">
        <v>2</v>
      </c>
      <c r="I73" s="22">
        <v>2.5</v>
      </c>
      <c r="J73" s="22">
        <v>2</v>
      </c>
    </row>
    <row r="74" spans="1:10" x14ac:dyDescent="0.4">
      <c r="A74" s="53" t="s">
        <v>291</v>
      </c>
      <c r="B74" s="39">
        <v>2.5</v>
      </c>
      <c r="C74" s="22">
        <v>3</v>
      </c>
      <c r="D74" s="22">
        <v>2</v>
      </c>
      <c r="E74" s="39">
        <v>3</v>
      </c>
      <c r="F74" s="47">
        <v>3</v>
      </c>
      <c r="G74" s="22">
        <v>1</v>
      </c>
      <c r="H74" s="39">
        <v>1</v>
      </c>
      <c r="I74" s="22">
        <v>1</v>
      </c>
      <c r="J74" s="22">
        <v>1</v>
      </c>
    </row>
    <row r="75" spans="1:10" x14ac:dyDescent="0.4">
      <c r="A75" s="53" t="s">
        <v>292</v>
      </c>
      <c r="B75" s="39">
        <v>2.5</v>
      </c>
      <c r="C75" s="22">
        <v>2</v>
      </c>
      <c r="D75" s="22">
        <v>2.5</v>
      </c>
      <c r="E75" s="39">
        <v>3</v>
      </c>
      <c r="F75" s="47">
        <v>2.5</v>
      </c>
      <c r="G75" s="22">
        <v>3</v>
      </c>
      <c r="H75" s="39">
        <v>3</v>
      </c>
      <c r="I75" s="22">
        <v>2.5</v>
      </c>
      <c r="J75" s="22">
        <v>2.5</v>
      </c>
    </row>
    <row r="76" spans="1:10" x14ac:dyDescent="0.4">
      <c r="A76" s="53" t="s">
        <v>293</v>
      </c>
      <c r="B76" s="39">
        <v>3</v>
      </c>
      <c r="C76" s="22">
        <v>2</v>
      </c>
      <c r="D76" s="22">
        <v>2.5</v>
      </c>
      <c r="E76" s="39">
        <v>3</v>
      </c>
      <c r="F76" s="47">
        <v>2</v>
      </c>
      <c r="G76" s="22">
        <v>3</v>
      </c>
      <c r="H76" s="39">
        <v>1</v>
      </c>
      <c r="I76" s="22">
        <v>1</v>
      </c>
      <c r="J76" s="22">
        <v>1.5</v>
      </c>
    </row>
    <row r="77" spans="1:10" x14ac:dyDescent="0.4">
      <c r="A77" s="53" t="s">
        <v>294</v>
      </c>
      <c r="B77" s="39">
        <v>2</v>
      </c>
      <c r="C77" s="22">
        <v>3</v>
      </c>
      <c r="D77" s="22">
        <v>3</v>
      </c>
      <c r="E77" s="39">
        <v>3</v>
      </c>
      <c r="F77" s="47">
        <v>2.5</v>
      </c>
      <c r="G77" s="22">
        <v>2</v>
      </c>
      <c r="H77" s="39">
        <v>1</v>
      </c>
      <c r="I77" s="22">
        <v>2.5</v>
      </c>
      <c r="J77" s="22">
        <v>2.5</v>
      </c>
    </row>
    <row r="78" spans="1:10" x14ac:dyDescent="0.4">
      <c r="A78" s="53" t="s">
        <v>295</v>
      </c>
      <c r="B78" s="39">
        <v>2</v>
      </c>
      <c r="C78" s="22">
        <v>1.5</v>
      </c>
      <c r="D78" s="22">
        <v>2</v>
      </c>
      <c r="E78" s="39">
        <v>3</v>
      </c>
      <c r="F78" s="47">
        <v>2.5</v>
      </c>
      <c r="G78" s="22">
        <v>3</v>
      </c>
      <c r="H78" s="39">
        <v>3</v>
      </c>
      <c r="I78" s="22">
        <v>1</v>
      </c>
      <c r="J78" s="22">
        <v>1.5</v>
      </c>
    </row>
    <row r="79" spans="1:10" x14ac:dyDescent="0.4">
      <c r="A79" s="53"/>
      <c r="B79" s="41"/>
      <c r="C79" s="25"/>
      <c r="D79" s="25"/>
    </row>
    <row r="80" spans="1:10" x14ac:dyDescent="0.4">
      <c r="A80" s="58"/>
      <c r="B80" s="24"/>
      <c r="C80" s="24"/>
      <c r="D80" s="24"/>
      <c r="E80" s="24"/>
      <c r="F80" s="24"/>
      <c r="G80" s="24"/>
      <c r="H80" s="24"/>
      <c r="I80" s="24"/>
      <c r="J80" s="24"/>
    </row>
    <row r="81" spans="1:10" x14ac:dyDescent="0.4">
      <c r="A81" s="19"/>
      <c r="B81" s="3"/>
      <c r="C81" s="3"/>
      <c r="D81" s="3"/>
      <c r="E81" s="3"/>
      <c r="F81" s="3"/>
      <c r="G81" s="3"/>
    </row>
    <row r="82" spans="1:10" x14ac:dyDescent="0.4">
      <c r="A82" s="3"/>
      <c r="B82" s="3"/>
      <c r="C82" s="3"/>
      <c r="D82" s="3"/>
      <c r="E82" s="3"/>
      <c r="F82" s="3"/>
      <c r="G82" s="3"/>
    </row>
    <row r="83" spans="1:10" x14ac:dyDescent="0.4">
      <c r="A83" s="15" t="s">
        <v>54</v>
      </c>
      <c r="B83" s="14"/>
      <c r="C83" s="14"/>
      <c r="D83" s="14"/>
      <c r="E83" s="14"/>
      <c r="F83" s="14"/>
      <c r="G83" s="14"/>
      <c r="H83" s="14"/>
      <c r="I83" s="14"/>
      <c r="J83" s="14"/>
    </row>
    <row r="84" spans="1:10" x14ac:dyDescent="0.4">
      <c r="A84" s="16" t="s">
        <v>13</v>
      </c>
      <c r="B84" s="27">
        <v>1</v>
      </c>
      <c r="C84" s="27">
        <v>2</v>
      </c>
      <c r="D84" s="27">
        <v>3</v>
      </c>
      <c r="E84" s="27">
        <v>4</v>
      </c>
      <c r="F84" s="27">
        <v>5</v>
      </c>
      <c r="G84" s="27">
        <v>6</v>
      </c>
      <c r="H84" s="27">
        <v>7</v>
      </c>
      <c r="I84" s="27">
        <v>8</v>
      </c>
      <c r="J84" s="27">
        <v>9</v>
      </c>
    </row>
    <row r="85" spans="1:10" x14ac:dyDescent="0.4">
      <c r="A85" s="17" t="s">
        <v>10</v>
      </c>
      <c r="B85" s="27">
        <v>7</v>
      </c>
      <c r="C85" s="27">
        <v>4</v>
      </c>
      <c r="D85" s="27">
        <v>4</v>
      </c>
      <c r="E85" s="27">
        <v>4</v>
      </c>
      <c r="F85" s="27">
        <v>5</v>
      </c>
      <c r="G85" s="27" t="s">
        <v>16</v>
      </c>
      <c r="H85" s="27">
        <v>1</v>
      </c>
      <c r="I85" s="27" t="s">
        <v>17</v>
      </c>
      <c r="J85" s="27">
        <v>1</v>
      </c>
    </row>
    <row r="86" spans="1:10" x14ac:dyDescent="0.4">
      <c r="A86" s="18" t="s">
        <v>3</v>
      </c>
      <c r="B86" s="28">
        <f t="shared" ref="B86:J86" si="0">AVERAGE(B19:B78)</f>
        <v>2.5</v>
      </c>
      <c r="C86" s="28">
        <f t="shared" si="0"/>
        <v>2.5916666666666668</v>
      </c>
      <c r="D86" s="28">
        <f t="shared" si="0"/>
        <v>2.6583333333333332</v>
      </c>
      <c r="E86" s="28">
        <f t="shared" si="0"/>
        <v>2.8916666666666666</v>
      </c>
      <c r="F86" s="28">
        <f t="shared" si="0"/>
        <v>2.7</v>
      </c>
      <c r="G86" s="28">
        <f t="shared" si="0"/>
        <v>2.7</v>
      </c>
      <c r="H86" s="28">
        <f t="shared" si="0"/>
        <v>2.4333333333333331</v>
      </c>
      <c r="I86" s="28">
        <f t="shared" si="0"/>
        <v>2.1833333333333331</v>
      </c>
      <c r="J86" s="28">
        <f t="shared" si="0"/>
        <v>2.2749999999999999</v>
      </c>
    </row>
    <row r="87" spans="1:10" x14ac:dyDescent="0.4">
      <c r="A87" s="17" t="s">
        <v>4</v>
      </c>
      <c r="B87" s="29">
        <f t="shared" ref="B87:J87" si="1">STDEV(B19:B78)</f>
        <v>0.44863257398530254</v>
      </c>
      <c r="C87" s="29">
        <f t="shared" si="1"/>
        <v>0.60710250067651972</v>
      </c>
      <c r="D87" s="29">
        <f t="shared" si="1"/>
        <v>0.44618597120926479</v>
      </c>
      <c r="E87" s="29">
        <f t="shared" si="1"/>
        <v>0.36928316573758868</v>
      </c>
      <c r="F87" s="29">
        <f t="shared" si="1"/>
        <v>0.30808319369496373</v>
      </c>
      <c r="G87" s="29">
        <f t="shared" si="1"/>
        <v>0.50589742378255986</v>
      </c>
      <c r="H87" s="29">
        <f t="shared" si="1"/>
        <v>0.85105451371268503</v>
      </c>
      <c r="I87" s="29">
        <f t="shared" si="1"/>
        <v>0.66997765372971607</v>
      </c>
      <c r="J87" s="29">
        <f t="shared" si="1"/>
        <v>0.54012710368541295</v>
      </c>
    </row>
    <row r="88" spans="1:10" x14ac:dyDescent="0.4">
      <c r="A88" s="18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4">
      <c r="A89" s="18" t="s">
        <v>19</v>
      </c>
      <c r="B89" s="7">
        <f>AVERAGE(B86:J86)</f>
        <v>2.5481481481481478</v>
      </c>
      <c r="C89" s="5"/>
      <c r="D89" s="5"/>
      <c r="E89" s="5"/>
      <c r="F89" s="5"/>
      <c r="G89" s="5"/>
      <c r="H89" s="5"/>
      <c r="I89" s="5"/>
      <c r="J89" s="5"/>
    </row>
    <row r="90" spans="1:10" x14ac:dyDescent="0.4">
      <c r="A90" s="17"/>
      <c r="B90" s="14"/>
      <c r="C90" s="14"/>
      <c r="D90" s="14"/>
      <c r="E90" s="14"/>
      <c r="F90" s="14"/>
      <c r="G90" s="14"/>
      <c r="H90" s="14"/>
      <c r="I90" s="14"/>
      <c r="J90" s="14"/>
    </row>
    <row r="91" spans="1:10" x14ac:dyDescent="0.4">
      <c r="A91" s="18"/>
      <c r="B91" s="5"/>
      <c r="C91" s="5"/>
      <c r="D91" s="5"/>
      <c r="E91" s="5"/>
      <c r="F91" s="5"/>
      <c r="G91" s="5"/>
      <c r="H91" s="5"/>
      <c r="I91" s="5"/>
      <c r="J91" s="5"/>
    </row>
    <row r="93" spans="1:10" x14ac:dyDescent="0.4">
      <c r="A93" s="8" t="s">
        <v>12</v>
      </c>
      <c r="B93" s="6"/>
      <c r="C93" s="6"/>
      <c r="D93" s="6"/>
      <c r="E93" s="6"/>
      <c r="F93" s="6"/>
      <c r="G93" s="13"/>
      <c r="H93" s="3"/>
      <c r="I93" s="3"/>
    </row>
    <row r="94" spans="1:10" x14ac:dyDescent="0.4">
      <c r="A94" s="8"/>
      <c r="B94" s="31">
        <v>1</v>
      </c>
      <c r="C94" s="31">
        <v>2</v>
      </c>
      <c r="D94" s="31">
        <v>4</v>
      </c>
      <c r="E94" s="31">
        <v>5</v>
      </c>
      <c r="F94" s="21">
        <v>6</v>
      </c>
      <c r="G94" s="21">
        <v>7</v>
      </c>
      <c r="H94" s="3"/>
      <c r="I94" s="3"/>
    </row>
    <row r="95" spans="1:10" x14ac:dyDescent="0.4">
      <c r="A95" s="6" t="s">
        <v>6</v>
      </c>
      <c r="B95" s="32">
        <f>AVERAGE(G86,H86,I86,J86)</f>
        <v>2.3979166666666667</v>
      </c>
      <c r="C95" s="32">
        <f>AVERAGE(G86)</f>
        <v>2.7</v>
      </c>
      <c r="D95" s="32">
        <f>AVERAGE(C86,D86,E86)</f>
        <v>2.7138888888888886</v>
      </c>
      <c r="E95" s="32">
        <f>AVERAGE(F86)</f>
        <v>2.7</v>
      </c>
      <c r="F95" s="32">
        <f>AVERAGE(I86)</f>
        <v>2.1833333333333331</v>
      </c>
      <c r="G95" s="32">
        <f>AVERAGE(B86)</f>
        <v>2.5</v>
      </c>
      <c r="H95" s="3"/>
      <c r="I95" s="34"/>
    </row>
    <row r="96" spans="1:10" x14ac:dyDescent="0.4">
      <c r="A96" s="6" t="s">
        <v>7</v>
      </c>
      <c r="B96" s="32">
        <f>STDEV(G86,H86,I86,J86)</f>
        <v>0.22632071229742737</v>
      </c>
      <c r="C96" s="32" t="s">
        <v>18</v>
      </c>
      <c r="D96" s="32">
        <f>STDEV(C86,D86,E86)</f>
        <v>0.15752718754175354</v>
      </c>
      <c r="E96" s="32" t="s">
        <v>18</v>
      </c>
      <c r="F96" s="33" t="s">
        <v>18</v>
      </c>
      <c r="G96" s="33" t="s">
        <v>18</v>
      </c>
      <c r="H96" s="3"/>
      <c r="I96" s="34"/>
    </row>
    <row r="98" spans="2:2" x14ac:dyDescent="0.4">
      <c r="B98" s="30"/>
    </row>
    <row r="141" spans="1:10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4">
      <c r="A152" s="3"/>
      <c r="B152" s="3"/>
      <c r="C152" s="3"/>
      <c r="D152" s="3"/>
      <c r="E152" s="3"/>
      <c r="F152" s="3"/>
      <c r="G152" s="3"/>
      <c r="H152" s="9"/>
      <c r="I152" s="9"/>
      <c r="J152" s="9"/>
      <c r="K152" s="3"/>
    </row>
    <row r="153" spans="1:1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4">
      <c r="A174" s="3"/>
      <c r="B174" s="10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4">
      <c r="A175" s="3"/>
      <c r="B175" s="10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4">
      <c r="A176" s="3"/>
      <c r="B176" s="10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4">
      <c r="A177" s="3"/>
      <c r="B177" s="10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4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x14ac:dyDescent="0.4">
      <c r="K255" s="3"/>
    </row>
    <row r="256" spans="1:11" x14ac:dyDescent="0.4">
      <c r="K256" s="3"/>
    </row>
    <row r="257" spans="11:11" x14ac:dyDescent="0.4">
      <c r="K257" s="3"/>
    </row>
    <row r="258" spans="11:11" x14ac:dyDescent="0.4">
      <c r="K258" s="3"/>
    </row>
    <row r="259" spans="11:11" x14ac:dyDescent="0.4">
      <c r="K259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9"/>
  <sheetViews>
    <sheetView topLeftCell="A58" zoomScale="90" zoomScaleNormal="90" workbookViewId="0">
      <selection activeCell="D89" sqref="D89"/>
    </sheetView>
  </sheetViews>
  <sheetFormatPr defaultRowHeight="14.6" x14ac:dyDescent="0.4"/>
  <cols>
    <col min="1" max="1" width="20.15234375" customWidth="1"/>
    <col min="2" max="2" width="11.53515625" customWidth="1"/>
    <col min="6" max="6" width="10.84375" customWidth="1"/>
    <col min="7" max="7" width="9.53515625" bestFit="1" customWidth="1"/>
    <col min="13" max="13" width="28.53515625" customWidth="1"/>
    <col min="16" max="16" width="27.15234375" customWidth="1"/>
  </cols>
  <sheetData>
    <row r="1" spans="1:16" x14ac:dyDescent="0.4">
      <c r="A1" s="1" t="s">
        <v>14</v>
      </c>
      <c r="L1" s="35" t="s">
        <v>47</v>
      </c>
      <c r="M1" s="35"/>
      <c r="O1" t="s">
        <v>47</v>
      </c>
    </row>
    <row r="2" spans="1:16" ht="15" customHeight="1" x14ac:dyDescent="0.4">
      <c r="A2" s="1"/>
      <c r="L2" s="36" t="s">
        <v>20</v>
      </c>
      <c r="M2" s="36" t="s">
        <v>22</v>
      </c>
      <c r="N2" s="37"/>
      <c r="O2" s="37" t="s">
        <v>20</v>
      </c>
      <c r="P2" s="37" t="s">
        <v>22</v>
      </c>
    </row>
    <row r="3" spans="1:16" x14ac:dyDescent="0.4">
      <c r="A3" s="1" t="s">
        <v>11</v>
      </c>
      <c r="L3" s="35" t="s">
        <v>21</v>
      </c>
      <c r="M3" s="35"/>
      <c r="O3" t="s">
        <v>21</v>
      </c>
    </row>
    <row r="4" spans="1:16" x14ac:dyDescent="0.4">
      <c r="A4" s="2" t="s">
        <v>15</v>
      </c>
      <c r="B4" s="2"/>
      <c r="C4" s="2"/>
      <c r="D4" s="2"/>
      <c r="L4" s="35">
        <v>1</v>
      </c>
      <c r="M4" s="35" t="s">
        <v>23</v>
      </c>
      <c r="O4" s="35">
        <v>4</v>
      </c>
      <c r="P4" t="s">
        <v>34</v>
      </c>
    </row>
    <row r="5" spans="1:16" x14ac:dyDescent="0.4">
      <c r="A5" s="2" t="s">
        <v>53</v>
      </c>
      <c r="B5" s="2"/>
      <c r="C5" s="2"/>
      <c r="D5" s="2"/>
      <c r="E5" s="2"/>
      <c r="F5" s="2"/>
      <c r="G5" s="2"/>
      <c r="L5" s="35"/>
      <c r="M5" s="35" t="s">
        <v>24</v>
      </c>
      <c r="O5" s="35"/>
      <c r="P5" t="s">
        <v>35</v>
      </c>
    </row>
    <row r="6" spans="1:16" x14ac:dyDescent="0.4">
      <c r="A6" s="2"/>
      <c r="B6" s="2"/>
      <c r="C6" s="2"/>
      <c r="D6" s="2"/>
      <c r="E6" s="2"/>
      <c r="F6" s="2"/>
      <c r="G6" s="2"/>
      <c r="L6" s="35" t="s">
        <v>25</v>
      </c>
      <c r="M6" s="35" t="s">
        <v>26</v>
      </c>
      <c r="O6" s="35"/>
      <c r="P6" t="s">
        <v>36</v>
      </c>
    </row>
    <row r="7" spans="1:16" x14ac:dyDescent="0.4">
      <c r="A7" s="2"/>
      <c r="L7" s="35"/>
      <c r="M7" s="35" t="s">
        <v>27</v>
      </c>
      <c r="O7" s="35"/>
      <c r="P7" t="s">
        <v>37</v>
      </c>
    </row>
    <row r="8" spans="1:16" x14ac:dyDescent="0.4">
      <c r="L8" s="35" t="s">
        <v>28</v>
      </c>
      <c r="M8" s="35" t="s">
        <v>29</v>
      </c>
      <c r="O8" s="35">
        <v>4</v>
      </c>
      <c r="P8" t="s">
        <v>38</v>
      </c>
    </row>
    <row r="9" spans="1:16" x14ac:dyDescent="0.4">
      <c r="A9" s="12" t="s">
        <v>9</v>
      </c>
      <c r="B9" s="4"/>
      <c r="C9" s="4"/>
      <c r="L9" s="35"/>
      <c r="M9" s="35" t="s">
        <v>30</v>
      </c>
      <c r="O9" s="35"/>
      <c r="P9" t="s">
        <v>39</v>
      </c>
    </row>
    <row r="10" spans="1:16" x14ac:dyDescent="0.4">
      <c r="A10" s="4">
        <v>1</v>
      </c>
      <c r="B10" s="4" t="s">
        <v>0</v>
      </c>
      <c r="C10" s="4"/>
      <c r="L10" s="35" t="s">
        <v>31</v>
      </c>
      <c r="M10" s="35" t="s">
        <v>32</v>
      </c>
      <c r="O10" s="35">
        <v>5</v>
      </c>
      <c r="P10" t="s">
        <v>40</v>
      </c>
    </row>
    <row r="11" spans="1:16" x14ac:dyDescent="0.4">
      <c r="A11" s="4">
        <v>2</v>
      </c>
      <c r="B11" s="4" t="s">
        <v>1</v>
      </c>
      <c r="C11" s="4"/>
      <c r="L11" s="35">
        <v>3</v>
      </c>
      <c r="M11" s="35" t="s">
        <v>33</v>
      </c>
      <c r="O11" s="35"/>
      <c r="P11" t="s">
        <v>41</v>
      </c>
    </row>
    <row r="12" spans="1:16" x14ac:dyDescent="0.4">
      <c r="A12" s="4">
        <v>3</v>
      </c>
      <c r="B12" s="4" t="s">
        <v>2</v>
      </c>
      <c r="C12" s="4"/>
      <c r="O12" s="35"/>
      <c r="P12" t="s">
        <v>42</v>
      </c>
    </row>
    <row r="13" spans="1:16" x14ac:dyDescent="0.4">
      <c r="A13" s="4"/>
      <c r="B13" s="4"/>
      <c r="C13" s="4"/>
      <c r="O13" s="35"/>
      <c r="P13" t="s">
        <v>43</v>
      </c>
    </row>
    <row r="14" spans="1:16" x14ac:dyDescent="0.4">
      <c r="A14" s="43"/>
      <c r="B14" s="52" t="s">
        <v>48</v>
      </c>
      <c r="C14" t="s">
        <v>49</v>
      </c>
      <c r="E14" s="43"/>
      <c r="F14" s="46" t="s">
        <v>50</v>
      </c>
      <c r="G14" t="s">
        <v>51</v>
      </c>
      <c r="H14" s="43"/>
      <c r="I14" t="s">
        <v>52</v>
      </c>
      <c r="O14" s="35"/>
      <c r="P14" t="s">
        <v>44</v>
      </c>
    </row>
    <row r="15" spans="1:16" x14ac:dyDescent="0.4">
      <c r="A15" s="38" t="s">
        <v>8</v>
      </c>
      <c r="B15" s="38">
        <v>1</v>
      </c>
      <c r="C15" s="20">
        <v>2</v>
      </c>
      <c r="D15" s="20">
        <v>3</v>
      </c>
      <c r="E15" s="38">
        <v>4</v>
      </c>
      <c r="F15" s="44">
        <v>5</v>
      </c>
      <c r="G15" s="20">
        <v>6</v>
      </c>
      <c r="H15" s="38">
        <v>7</v>
      </c>
      <c r="I15" s="20">
        <v>8</v>
      </c>
      <c r="J15" s="20">
        <v>9</v>
      </c>
      <c r="O15" s="35">
        <v>5</v>
      </c>
      <c r="P15" t="s">
        <v>45</v>
      </c>
    </row>
    <row r="16" spans="1:16" x14ac:dyDescent="0.4">
      <c r="A16" s="38" t="s">
        <v>10</v>
      </c>
      <c r="B16" s="38">
        <v>7</v>
      </c>
      <c r="C16" s="20">
        <v>4</v>
      </c>
      <c r="D16" s="20">
        <v>4</v>
      </c>
      <c r="E16" s="38">
        <v>4</v>
      </c>
      <c r="F16" s="45">
        <v>5</v>
      </c>
      <c r="G16" s="21" t="s">
        <v>16</v>
      </c>
      <c r="H16" s="51">
        <v>1</v>
      </c>
      <c r="I16" s="21" t="s">
        <v>17</v>
      </c>
      <c r="J16" s="21">
        <v>1</v>
      </c>
      <c r="P16" t="s">
        <v>46</v>
      </c>
    </row>
    <row r="17" spans="1:10" x14ac:dyDescent="0.4">
      <c r="A17" s="55"/>
      <c r="B17" s="56"/>
      <c r="C17" s="37"/>
      <c r="D17" s="37"/>
      <c r="E17" s="55"/>
      <c r="F17" s="57"/>
      <c r="G17" s="37"/>
      <c r="H17" s="55"/>
      <c r="I17" s="37"/>
      <c r="J17" s="37"/>
    </row>
    <row r="18" spans="1:10" x14ac:dyDescent="0.4">
      <c r="A18" s="43" t="s">
        <v>5</v>
      </c>
    </row>
    <row r="19" spans="1:10" x14ac:dyDescent="0.4">
      <c r="A19" s="53" t="s">
        <v>175</v>
      </c>
      <c r="B19" s="39">
        <v>3</v>
      </c>
      <c r="C19" s="22">
        <v>3</v>
      </c>
      <c r="D19" s="22">
        <v>3</v>
      </c>
      <c r="E19" s="39">
        <v>2.5</v>
      </c>
      <c r="F19" s="47">
        <v>1</v>
      </c>
      <c r="G19" s="25">
        <v>2</v>
      </c>
      <c r="H19" s="39">
        <v>1</v>
      </c>
      <c r="I19" s="25">
        <v>3</v>
      </c>
      <c r="J19" s="25">
        <v>3</v>
      </c>
    </row>
    <row r="20" spans="1:10" x14ac:dyDescent="0.4">
      <c r="A20" s="53" t="s">
        <v>176</v>
      </c>
      <c r="B20" s="39">
        <v>2</v>
      </c>
      <c r="C20" s="22">
        <v>3</v>
      </c>
      <c r="D20" s="22">
        <v>3</v>
      </c>
      <c r="E20" s="39">
        <v>3</v>
      </c>
      <c r="F20" s="47">
        <v>1</v>
      </c>
      <c r="G20" s="22">
        <v>3</v>
      </c>
      <c r="H20" s="39">
        <v>3</v>
      </c>
      <c r="I20" s="22">
        <v>3</v>
      </c>
      <c r="J20" s="22">
        <v>3</v>
      </c>
    </row>
    <row r="21" spans="1:10" x14ac:dyDescent="0.4">
      <c r="A21" s="53" t="s">
        <v>177</v>
      </c>
      <c r="B21" s="39">
        <v>2</v>
      </c>
      <c r="C21" s="22">
        <v>2</v>
      </c>
      <c r="D21" s="22">
        <v>3</v>
      </c>
      <c r="E21" s="39">
        <v>3</v>
      </c>
      <c r="F21" s="47">
        <v>2.5</v>
      </c>
      <c r="G21" s="22">
        <v>2</v>
      </c>
      <c r="H21" s="39">
        <v>1</v>
      </c>
      <c r="I21" s="22">
        <v>2</v>
      </c>
      <c r="J21" s="22">
        <v>2</v>
      </c>
    </row>
    <row r="22" spans="1:10" x14ac:dyDescent="0.4">
      <c r="A22" s="53" t="s">
        <v>178</v>
      </c>
      <c r="B22" s="39">
        <v>2.5</v>
      </c>
      <c r="C22" s="22">
        <v>3</v>
      </c>
      <c r="D22" s="22">
        <v>3</v>
      </c>
      <c r="E22" s="39">
        <v>3</v>
      </c>
      <c r="F22" s="47">
        <v>3</v>
      </c>
      <c r="G22" s="22">
        <v>3</v>
      </c>
      <c r="H22" s="39">
        <v>3</v>
      </c>
      <c r="I22" s="22">
        <v>3</v>
      </c>
      <c r="J22" s="22">
        <v>3</v>
      </c>
    </row>
    <row r="23" spans="1:10" x14ac:dyDescent="0.4">
      <c r="A23" s="54" t="s">
        <v>179</v>
      </c>
      <c r="B23" s="40">
        <v>3</v>
      </c>
      <c r="C23" s="23">
        <v>3</v>
      </c>
      <c r="D23" s="23">
        <v>3</v>
      </c>
      <c r="E23" s="40">
        <v>3</v>
      </c>
      <c r="F23" s="48">
        <v>2.5</v>
      </c>
      <c r="G23" s="23">
        <v>2</v>
      </c>
      <c r="H23" s="40">
        <v>1.5</v>
      </c>
      <c r="I23" s="23">
        <v>3</v>
      </c>
      <c r="J23" s="23">
        <v>2.5</v>
      </c>
    </row>
    <row r="24" spans="1:10" x14ac:dyDescent="0.4">
      <c r="A24" s="53" t="s">
        <v>180</v>
      </c>
      <c r="B24" s="39">
        <v>2.5</v>
      </c>
      <c r="C24" s="24">
        <v>3</v>
      </c>
      <c r="D24" s="24">
        <v>3</v>
      </c>
      <c r="E24" s="39">
        <v>3</v>
      </c>
      <c r="F24" s="47">
        <v>2</v>
      </c>
      <c r="G24" s="22">
        <v>3</v>
      </c>
      <c r="H24" s="39">
        <v>3</v>
      </c>
      <c r="I24" s="22">
        <v>2</v>
      </c>
      <c r="J24" s="22">
        <v>2.5</v>
      </c>
    </row>
    <row r="25" spans="1:10" x14ac:dyDescent="0.4">
      <c r="A25" s="53" t="s">
        <v>181</v>
      </c>
      <c r="B25" s="39">
        <v>3</v>
      </c>
      <c r="C25" s="24">
        <v>3</v>
      </c>
      <c r="D25" s="24">
        <v>3</v>
      </c>
      <c r="E25" s="41">
        <v>3</v>
      </c>
      <c r="F25" s="49">
        <v>2.5</v>
      </c>
      <c r="G25" s="25">
        <v>2</v>
      </c>
      <c r="H25" s="41">
        <v>3</v>
      </c>
      <c r="I25" s="25">
        <v>1</v>
      </c>
      <c r="J25" s="25">
        <v>1</v>
      </c>
    </row>
    <row r="26" spans="1:10" x14ac:dyDescent="0.4">
      <c r="A26" s="53" t="s">
        <v>182</v>
      </c>
      <c r="B26" s="39">
        <v>3</v>
      </c>
      <c r="C26" s="24">
        <v>3</v>
      </c>
      <c r="D26" s="24">
        <v>2.5</v>
      </c>
      <c r="E26" s="39">
        <v>3</v>
      </c>
      <c r="F26" s="47">
        <v>1</v>
      </c>
      <c r="G26" s="22">
        <v>3</v>
      </c>
      <c r="H26" s="39">
        <v>1.5</v>
      </c>
      <c r="I26" s="22">
        <v>3</v>
      </c>
      <c r="J26" s="22">
        <v>3</v>
      </c>
    </row>
    <row r="27" spans="1:10" x14ac:dyDescent="0.4">
      <c r="A27" s="53" t="s">
        <v>183</v>
      </c>
      <c r="B27" s="39">
        <v>2.5</v>
      </c>
      <c r="C27" s="24">
        <v>3</v>
      </c>
      <c r="D27" s="24">
        <v>2.5</v>
      </c>
      <c r="E27" s="39">
        <v>3</v>
      </c>
      <c r="F27" s="47">
        <v>2.5</v>
      </c>
      <c r="G27" s="22">
        <v>3</v>
      </c>
      <c r="H27" s="39">
        <v>3</v>
      </c>
      <c r="I27" s="22">
        <v>1</v>
      </c>
      <c r="J27" s="22">
        <v>2.5</v>
      </c>
    </row>
    <row r="28" spans="1:10" x14ac:dyDescent="0.4">
      <c r="A28" s="53" t="s">
        <v>184</v>
      </c>
      <c r="B28" s="39">
        <v>2.5</v>
      </c>
      <c r="C28" s="24">
        <v>3</v>
      </c>
      <c r="D28" s="24">
        <v>3</v>
      </c>
      <c r="E28" s="39">
        <v>3</v>
      </c>
      <c r="F28" s="47">
        <v>3</v>
      </c>
      <c r="G28" s="22">
        <v>3</v>
      </c>
      <c r="H28" s="39">
        <v>3</v>
      </c>
      <c r="I28" s="22">
        <v>3</v>
      </c>
      <c r="J28" s="22">
        <v>3</v>
      </c>
    </row>
    <row r="29" spans="1:10" x14ac:dyDescent="0.4">
      <c r="A29" s="54" t="s">
        <v>185</v>
      </c>
      <c r="B29" s="40">
        <v>2</v>
      </c>
      <c r="C29" s="23">
        <v>2</v>
      </c>
      <c r="D29" s="23">
        <v>3</v>
      </c>
      <c r="E29" s="40">
        <v>3</v>
      </c>
      <c r="F29" s="48">
        <v>2.5</v>
      </c>
      <c r="G29" s="23">
        <v>2</v>
      </c>
      <c r="H29" s="40">
        <v>3</v>
      </c>
      <c r="I29" s="23">
        <v>2</v>
      </c>
      <c r="J29" s="23">
        <v>2</v>
      </c>
    </row>
    <row r="30" spans="1:10" x14ac:dyDescent="0.4">
      <c r="A30" s="53" t="s">
        <v>186</v>
      </c>
      <c r="B30" s="39">
        <v>3</v>
      </c>
      <c r="C30" s="24">
        <v>3</v>
      </c>
      <c r="D30" s="24">
        <v>3</v>
      </c>
      <c r="E30" s="39">
        <v>3</v>
      </c>
      <c r="F30" s="47">
        <v>3</v>
      </c>
      <c r="G30" s="24">
        <v>3</v>
      </c>
      <c r="H30" s="39">
        <v>3</v>
      </c>
      <c r="I30" s="24">
        <v>3</v>
      </c>
      <c r="J30" s="24">
        <v>2.5</v>
      </c>
    </row>
    <row r="31" spans="1:10" x14ac:dyDescent="0.4">
      <c r="A31" s="53" t="s">
        <v>187</v>
      </c>
      <c r="B31" s="39">
        <v>3</v>
      </c>
      <c r="C31" s="24">
        <v>2.5</v>
      </c>
      <c r="D31" s="24">
        <v>3</v>
      </c>
      <c r="E31" s="41">
        <v>3</v>
      </c>
      <c r="F31" s="49">
        <v>2</v>
      </c>
      <c r="G31" s="25">
        <v>3</v>
      </c>
      <c r="H31" s="41">
        <v>3</v>
      </c>
      <c r="I31" s="25">
        <v>3</v>
      </c>
      <c r="J31" s="25">
        <v>3</v>
      </c>
    </row>
    <row r="32" spans="1:10" x14ac:dyDescent="0.4">
      <c r="A32" s="53" t="s">
        <v>57</v>
      </c>
      <c r="B32" s="39">
        <v>2</v>
      </c>
      <c r="C32" s="24">
        <v>2.5</v>
      </c>
      <c r="D32" s="24">
        <v>2</v>
      </c>
      <c r="E32" s="39">
        <v>2.5</v>
      </c>
      <c r="F32" s="47">
        <v>2.5</v>
      </c>
      <c r="G32" s="24">
        <v>2</v>
      </c>
      <c r="H32" s="39">
        <v>1</v>
      </c>
      <c r="I32" s="24">
        <v>2.5</v>
      </c>
      <c r="J32" s="24">
        <v>2</v>
      </c>
    </row>
    <row r="33" spans="1:10" x14ac:dyDescent="0.4">
      <c r="A33" s="53" t="s">
        <v>188</v>
      </c>
      <c r="B33" s="39">
        <v>3</v>
      </c>
      <c r="C33" s="24">
        <v>2</v>
      </c>
      <c r="D33" s="24">
        <v>3</v>
      </c>
      <c r="E33" s="39">
        <v>2.5</v>
      </c>
      <c r="F33" s="47">
        <v>3</v>
      </c>
      <c r="G33" s="22">
        <v>3</v>
      </c>
      <c r="H33" s="39">
        <v>1</v>
      </c>
      <c r="I33" s="22">
        <v>1</v>
      </c>
      <c r="J33" s="22">
        <v>2</v>
      </c>
    </row>
    <row r="34" spans="1:10" x14ac:dyDescent="0.4">
      <c r="A34" s="53" t="s">
        <v>189</v>
      </c>
      <c r="B34" s="39">
        <v>3</v>
      </c>
      <c r="C34" s="24">
        <v>2.5</v>
      </c>
      <c r="D34" s="24">
        <v>2.5</v>
      </c>
      <c r="E34" s="39">
        <v>3</v>
      </c>
      <c r="F34" s="47">
        <v>2.5</v>
      </c>
      <c r="G34" s="22">
        <v>3</v>
      </c>
      <c r="H34" s="39">
        <v>3</v>
      </c>
      <c r="I34" s="22">
        <v>3</v>
      </c>
      <c r="J34" s="22">
        <v>3</v>
      </c>
    </row>
    <row r="35" spans="1:10" x14ac:dyDescent="0.4">
      <c r="A35" s="54" t="s">
        <v>190</v>
      </c>
      <c r="B35" s="40">
        <v>2.5</v>
      </c>
      <c r="C35" s="23">
        <v>3</v>
      </c>
      <c r="D35" s="23">
        <v>3</v>
      </c>
      <c r="E35" s="40">
        <v>3</v>
      </c>
      <c r="F35" s="48">
        <v>2.5</v>
      </c>
      <c r="G35" s="23">
        <v>3</v>
      </c>
      <c r="H35" s="40">
        <v>1.5</v>
      </c>
      <c r="I35" s="23">
        <v>2</v>
      </c>
      <c r="J35" s="23">
        <v>3</v>
      </c>
    </row>
    <row r="36" spans="1:10" x14ac:dyDescent="0.4">
      <c r="A36" s="53" t="s">
        <v>191</v>
      </c>
      <c r="B36" s="39">
        <v>2.5</v>
      </c>
      <c r="C36" s="24">
        <v>3</v>
      </c>
      <c r="D36" s="24">
        <v>3</v>
      </c>
      <c r="E36" s="39">
        <v>3</v>
      </c>
      <c r="F36" s="47">
        <v>3</v>
      </c>
      <c r="G36" s="24">
        <v>2</v>
      </c>
      <c r="H36" s="39">
        <v>3</v>
      </c>
      <c r="I36" s="24">
        <v>3</v>
      </c>
      <c r="J36" s="24">
        <v>2</v>
      </c>
    </row>
    <row r="37" spans="1:10" x14ac:dyDescent="0.4">
      <c r="A37" s="53" t="s">
        <v>192</v>
      </c>
      <c r="B37" s="39">
        <v>2</v>
      </c>
      <c r="C37" s="24">
        <v>3</v>
      </c>
      <c r="D37" s="24">
        <v>2.5</v>
      </c>
      <c r="E37" s="41">
        <v>2.5</v>
      </c>
      <c r="F37" s="49">
        <v>3</v>
      </c>
      <c r="G37" s="25">
        <v>2</v>
      </c>
      <c r="H37" s="41">
        <v>3</v>
      </c>
      <c r="I37" s="25">
        <v>3</v>
      </c>
      <c r="J37" s="25">
        <v>3</v>
      </c>
    </row>
    <row r="38" spans="1:10" x14ac:dyDescent="0.4">
      <c r="A38" s="53" t="s">
        <v>193</v>
      </c>
      <c r="B38" s="39">
        <v>2.5</v>
      </c>
      <c r="C38" s="24">
        <v>3</v>
      </c>
      <c r="D38" s="24">
        <v>3</v>
      </c>
      <c r="E38" s="39">
        <v>2</v>
      </c>
      <c r="F38" s="47">
        <v>2</v>
      </c>
      <c r="G38" s="22">
        <v>2</v>
      </c>
      <c r="H38" s="39">
        <v>1</v>
      </c>
      <c r="I38" s="22">
        <v>3</v>
      </c>
      <c r="J38" s="22">
        <v>3</v>
      </c>
    </row>
    <row r="39" spans="1:10" x14ac:dyDescent="0.4">
      <c r="A39" s="54" t="s">
        <v>194</v>
      </c>
      <c r="B39" s="40">
        <v>3</v>
      </c>
      <c r="C39" s="23">
        <v>3</v>
      </c>
      <c r="D39" s="23">
        <v>3</v>
      </c>
      <c r="E39" s="40">
        <v>3</v>
      </c>
      <c r="F39" s="48">
        <v>3</v>
      </c>
      <c r="G39" s="23">
        <v>3</v>
      </c>
      <c r="H39" s="40">
        <v>3</v>
      </c>
      <c r="I39" s="23">
        <v>3</v>
      </c>
      <c r="J39" s="23">
        <v>2.5</v>
      </c>
    </row>
    <row r="40" spans="1:10" x14ac:dyDescent="0.4">
      <c r="A40" s="53" t="s">
        <v>195</v>
      </c>
      <c r="B40" s="39">
        <v>2.5</v>
      </c>
      <c r="C40" s="24">
        <v>3</v>
      </c>
      <c r="D40" s="24">
        <v>2</v>
      </c>
      <c r="E40" s="39">
        <v>3</v>
      </c>
      <c r="F40" s="47">
        <v>2.5</v>
      </c>
      <c r="G40" s="24">
        <v>2</v>
      </c>
      <c r="H40" s="39">
        <v>1.5</v>
      </c>
      <c r="I40" s="24">
        <v>2</v>
      </c>
      <c r="J40" s="24">
        <v>2.5</v>
      </c>
    </row>
    <row r="41" spans="1:10" x14ac:dyDescent="0.4">
      <c r="A41" s="53" t="s">
        <v>196</v>
      </c>
      <c r="B41" s="39">
        <v>3</v>
      </c>
      <c r="C41" s="22">
        <v>3</v>
      </c>
      <c r="D41" s="22">
        <v>3</v>
      </c>
      <c r="E41" s="39">
        <v>3</v>
      </c>
      <c r="F41" s="49">
        <v>2.5</v>
      </c>
      <c r="G41" s="25">
        <v>3</v>
      </c>
      <c r="H41" s="41">
        <v>3</v>
      </c>
      <c r="I41" s="25">
        <v>3</v>
      </c>
      <c r="J41" s="25">
        <v>3</v>
      </c>
    </row>
    <row r="42" spans="1:10" x14ac:dyDescent="0.4">
      <c r="A42" s="53" t="s">
        <v>197</v>
      </c>
      <c r="B42" s="39">
        <v>2.5</v>
      </c>
      <c r="C42" s="22">
        <v>3</v>
      </c>
      <c r="D42" s="22">
        <v>3</v>
      </c>
      <c r="E42" s="39">
        <v>3</v>
      </c>
      <c r="F42" s="49">
        <v>3</v>
      </c>
      <c r="G42" s="25">
        <v>3</v>
      </c>
      <c r="H42" s="41">
        <v>1</v>
      </c>
      <c r="I42" s="25">
        <v>2.5</v>
      </c>
      <c r="J42" s="25">
        <v>2.5</v>
      </c>
    </row>
    <row r="43" spans="1:10" x14ac:dyDescent="0.4">
      <c r="A43" s="53" t="s">
        <v>198</v>
      </c>
      <c r="B43" s="39">
        <v>2</v>
      </c>
      <c r="C43" s="24">
        <v>2</v>
      </c>
      <c r="D43" s="24">
        <v>2</v>
      </c>
      <c r="E43" s="39">
        <v>2</v>
      </c>
      <c r="F43" s="49">
        <v>2.5</v>
      </c>
      <c r="G43" s="25">
        <v>2</v>
      </c>
      <c r="H43" s="41">
        <v>3</v>
      </c>
      <c r="I43" s="25">
        <v>3</v>
      </c>
      <c r="J43" s="25">
        <v>3</v>
      </c>
    </row>
    <row r="44" spans="1:10" x14ac:dyDescent="0.4">
      <c r="A44" s="54" t="s">
        <v>199</v>
      </c>
      <c r="B44" s="40">
        <v>2.5</v>
      </c>
      <c r="C44" s="26">
        <v>3</v>
      </c>
      <c r="D44" s="26">
        <v>3</v>
      </c>
      <c r="E44" s="42">
        <v>2.5</v>
      </c>
      <c r="F44" s="50">
        <v>2.5</v>
      </c>
      <c r="G44" s="26">
        <v>3</v>
      </c>
      <c r="H44" s="42">
        <v>3</v>
      </c>
      <c r="I44" s="26">
        <v>3</v>
      </c>
      <c r="J44" s="26">
        <v>3</v>
      </c>
    </row>
    <row r="45" spans="1:10" x14ac:dyDescent="0.4">
      <c r="A45" s="53" t="s">
        <v>200</v>
      </c>
      <c r="B45" s="39">
        <v>2</v>
      </c>
      <c r="C45" s="22">
        <v>2.5</v>
      </c>
      <c r="D45" s="22">
        <v>2.5</v>
      </c>
      <c r="E45" s="39">
        <v>3</v>
      </c>
      <c r="F45" s="49">
        <v>3</v>
      </c>
      <c r="G45" s="25">
        <v>3</v>
      </c>
      <c r="H45" s="41">
        <v>3</v>
      </c>
      <c r="I45" s="25">
        <v>2</v>
      </c>
      <c r="J45" s="25">
        <v>2</v>
      </c>
    </row>
    <row r="46" spans="1:10" x14ac:dyDescent="0.4">
      <c r="A46" s="53" t="s">
        <v>201</v>
      </c>
      <c r="B46" s="39">
        <v>2</v>
      </c>
      <c r="C46" s="22">
        <v>3</v>
      </c>
      <c r="D46" s="22">
        <v>2.5</v>
      </c>
      <c r="E46" s="39">
        <v>3</v>
      </c>
      <c r="F46" s="49">
        <v>3</v>
      </c>
      <c r="G46" s="25">
        <v>3</v>
      </c>
      <c r="H46" s="41">
        <v>3</v>
      </c>
      <c r="I46" s="25">
        <v>3</v>
      </c>
      <c r="J46" s="25">
        <v>2</v>
      </c>
    </row>
    <row r="47" spans="1:10" x14ac:dyDescent="0.4">
      <c r="A47" s="53" t="s">
        <v>66</v>
      </c>
      <c r="B47" s="39">
        <v>2.5</v>
      </c>
      <c r="C47" s="24">
        <v>2.5</v>
      </c>
      <c r="D47" s="24">
        <v>1.5</v>
      </c>
      <c r="E47" s="39">
        <v>2</v>
      </c>
      <c r="F47" s="49">
        <v>2</v>
      </c>
      <c r="G47" s="25">
        <v>3</v>
      </c>
      <c r="H47" s="41">
        <v>3</v>
      </c>
      <c r="I47" s="25">
        <v>2</v>
      </c>
      <c r="J47" s="25">
        <v>3</v>
      </c>
    </row>
    <row r="48" spans="1:10" x14ac:dyDescent="0.4">
      <c r="A48" s="53" t="s">
        <v>202</v>
      </c>
      <c r="B48" s="39">
        <v>2</v>
      </c>
      <c r="C48" s="22">
        <v>3</v>
      </c>
      <c r="D48" s="22">
        <v>2.5</v>
      </c>
      <c r="E48" s="39">
        <v>3</v>
      </c>
      <c r="F48" s="49">
        <v>3</v>
      </c>
      <c r="G48" s="25">
        <v>3</v>
      </c>
      <c r="H48" s="41">
        <v>3</v>
      </c>
      <c r="I48" s="25">
        <v>3</v>
      </c>
      <c r="J48" s="25">
        <v>3</v>
      </c>
    </row>
    <row r="49" spans="1:10" x14ac:dyDescent="0.4">
      <c r="A49" s="54" t="s">
        <v>203</v>
      </c>
      <c r="B49" s="40">
        <v>2.5</v>
      </c>
      <c r="C49" s="23">
        <v>3</v>
      </c>
      <c r="D49" s="23">
        <v>3</v>
      </c>
      <c r="E49" s="40">
        <v>3</v>
      </c>
      <c r="F49" s="50">
        <v>3</v>
      </c>
      <c r="G49" s="26">
        <v>3</v>
      </c>
      <c r="H49" s="42">
        <v>3</v>
      </c>
      <c r="I49" s="26">
        <v>3</v>
      </c>
      <c r="J49" s="26">
        <v>3</v>
      </c>
    </row>
    <row r="50" spans="1:10" x14ac:dyDescent="0.4">
      <c r="A50" s="53" t="s">
        <v>204</v>
      </c>
      <c r="B50" s="39">
        <v>2.5</v>
      </c>
      <c r="C50" s="25">
        <v>3</v>
      </c>
      <c r="D50" s="25">
        <v>3</v>
      </c>
      <c r="E50" s="41">
        <v>3</v>
      </c>
      <c r="F50" s="49">
        <v>3</v>
      </c>
      <c r="G50" s="25">
        <v>3</v>
      </c>
      <c r="H50" s="41">
        <v>3</v>
      </c>
      <c r="I50" s="25">
        <v>3</v>
      </c>
      <c r="J50" s="25">
        <v>1.5</v>
      </c>
    </row>
    <row r="51" spans="1:10" x14ac:dyDescent="0.4">
      <c r="A51" s="53" t="s">
        <v>205</v>
      </c>
      <c r="B51" s="39">
        <v>3</v>
      </c>
      <c r="C51" s="22">
        <v>3</v>
      </c>
      <c r="D51" s="22">
        <v>3</v>
      </c>
      <c r="E51" s="39">
        <v>3</v>
      </c>
      <c r="F51" s="49">
        <v>3</v>
      </c>
      <c r="G51" s="25">
        <v>3</v>
      </c>
      <c r="H51" s="41">
        <v>1.5</v>
      </c>
      <c r="I51" s="25">
        <v>3</v>
      </c>
      <c r="J51" s="25">
        <v>3</v>
      </c>
    </row>
    <row r="52" spans="1:10" x14ac:dyDescent="0.4">
      <c r="A52" s="53" t="s">
        <v>206</v>
      </c>
      <c r="B52" s="39">
        <v>2.5</v>
      </c>
      <c r="C52" s="22">
        <v>3</v>
      </c>
      <c r="D52" s="22">
        <v>2.5</v>
      </c>
      <c r="E52" s="39">
        <v>3</v>
      </c>
      <c r="F52" s="49">
        <v>2.5</v>
      </c>
      <c r="G52" s="25">
        <v>2</v>
      </c>
      <c r="H52" s="41">
        <v>2</v>
      </c>
      <c r="I52" s="25">
        <v>3</v>
      </c>
      <c r="J52" s="25">
        <v>2.5</v>
      </c>
    </row>
    <row r="53" spans="1:10" x14ac:dyDescent="0.4">
      <c r="A53" s="53" t="s">
        <v>207</v>
      </c>
      <c r="B53" s="39">
        <v>2</v>
      </c>
      <c r="C53" s="24">
        <v>3</v>
      </c>
      <c r="D53" s="24">
        <v>2</v>
      </c>
      <c r="E53" s="39">
        <v>2.5</v>
      </c>
      <c r="F53" s="49">
        <v>2.5</v>
      </c>
      <c r="G53" s="25">
        <v>2</v>
      </c>
      <c r="H53" s="41">
        <v>2</v>
      </c>
      <c r="I53" s="25">
        <v>3</v>
      </c>
      <c r="J53" s="25">
        <v>3</v>
      </c>
    </row>
    <row r="54" spans="1:10" x14ac:dyDescent="0.4">
      <c r="A54" s="54" t="s">
        <v>208</v>
      </c>
      <c r="B54" s="40">
        <v>3</v>
      </c>
      <c r="C54" s="23">
        <v>2</v>
      </c>
      <c r="D54" s="23">
        <v>3</v>
      </c>
      <c r="E54" s="40">
        <v>3</v>
      </c>
      <c r="F54" s="50">
        <v>2.5</v>
      </c>
      <c r="G54" s="26">
        <v>1</v>
      </c>
      <c r="H54" s="42">
        <v>1</v>
      </c>
      <c r="I54" s="26">
        <v>3</v>
      </c>
      <c r="J54" s="26">
        <v>2</v>
      </c>
    </row>
    <row r="55" spans="1:10" x14ac:dyDescent="0.4">
      <c r="A55" s="53" t="s">
        <v>209</v>
      </c>
      <c r="B55" s="39">
        <v>2.5</v>
      </c>
      <c r="C55" s="24">
        <v>2.5</v>
      </c>
      <c r="D55" s="24">
        <v>2</v>
      </c>
      <c r="E55" s="39">
        <v>3</v>
      </c>
      <c r="F55" s="49">
        <v>3</v>
      </c>
      <c r="G55" s="25">
        <v>3</v>
      </c>
      <c r="H55" s="41">
        <v>3</v>
      </c>
      <c r="I55" s="25">
        <v>1</v>
      </c>
      <c r="J55" s="25">
        <v>3</v>
      </c>
    </row>
    <row r="56" spans="1:10" x14ac:dyDescent="0.4">
      <c r="A56" s="53" t="s">
        <v>210</v>
      </c>
      <c r="B56" s="39">
        <v>3</v>
      </c>
      <c r="C56" s="22">
        <v>3</v>
      </c>
      <c r="D56" s="22">
        <v>3</v>
      </c>
      <c r="E56" s="39">
        <v>3</v>
      </c>
      <c r="F56" s="47">
        <v>3</v>
      </c>
      <c r="G56" s="22">
        <v>3</v>
      </c>
      <c r="H56" s="39">
        <v>3</v>
      </c>
      <c r="I56" s="22">
        <v>3</v>
      </c>
      <c r="J56" s="22">
        <v>3</v>
      </c>
    </row>
    <row r="57" spans="1:10" x14ac:dyDescent="0.4">
      <c r="A57" s="53" t="s">
        <v>211</v>
      </c>
      <c r="B57" s="39">
        <v>2.5</v>
      </c>
      <c r="C57" s="22">
        <v>3</v>
      </c>
      <c r="D57" s="22">
        <v>3</v>
      </c>
      <c r="E57" s="39">
        <v>3</v>
      </c>
      <c r="F57" s="47">
        <v>2.5</v>
      </c>
      <c r="G57" s="22">
        <v>2</v>
      </c>
      <c r="H57" s="39">
        <v>1</v>
      </c>
      <c r="I57" s="22">
        <v>2</v>
      </c>
      <c r="J57" s="22">
        <v>3</v>
      </c>
    </row>
    <row r="58" spans="1:10" x14ac:dyDescent="0.4">
      <c r="A58" s="53" t="s">
        <v>212</v>
      </c>
      <c r="B58" s="39">
        <v>2</v>
      </c>
      <c r="C58" s="22">
        <v>2</v>
      </c>
      <c r="D58" s="22">
        <v>3</v>
      </c>
      <c r="E58" s="39">
        <v>2</v>
      </c>
      <c r="F58" s="47">
        <v>3</v>
      </c>
      <c r="G58" s="22">
        <v>2</v>
      </c>
      <c r="H58" s="39">
        <v>1</v>
      </c>
      <c r="I58" s="22">
        <v>3</v>
      </c>
      <c r="J58" s="22">
        <v>3</v>
      </c>
    </row>
    <row r="59" spans="1:10" x14ac:dyDescent="0.4">
      <c r="A59" s="54" t="s">
        <v>213</v>
      </c>
      <c r="B59" s="40">
        <v>2.5</v>
      </c>
      <c r="C59" s="23">
        <v>2.5</v>
      </c>
      <c r="D59" s="23">
        <v>3</v>
      </c>
      <c r="E59" s="40">
        <v>3</v>
      </c>
      <c r="F59" s="48">
        <v>3</v>
      </c>
      <c r="G59" s="23">
        <v>3</v>
      </c>
      <c r="H59" s="40">
        <v>3</v>
      </c>
      <c r="I59" s="23">
        <v>3</v>
      </c>
      <c r="J59" s="23">
        <v>2</v>
      </c>
    </row>
    <row r="60" spans="1:10" x14ac:dyDescent="0.4">
      <c r="A60" s="53" t="s">
        <v>214</v>
      </c>
      <c r="B60" s="39">
        <v>3</v>
      </c>
      <c r="C60" s="22">
        <v>2.5</v>
      </c>
      <c r="D60" s="22">
        <v>2.5</v>
      </c>
      <c r="E60" s="39">
        <v>2.5</v>
      </c>
      <c r="F60" s="47">
        <v>3</v>
      </c>
      <c r="G60" s="22">
        <v>3</v>
      </c>
      <c r="H60" s="39">
        <v>3</v>
      </c>
      <c r="I60" s="22">
        <v>2</v>
      </c>
      <c r="J60" s="22">
        <v>3</v>
      </c>
    </row>
    <row r="61" spans="1:10" x14ac:dyDescent="0.4">
      <c r="A61" s="53" t="s">
        <v>215</v>
      </c>
      <c r="B61" s="39">
        <v>3</v>
      </c>
      <c r="C61" s="22">
        <v>3</v>
      </c>
      <c r="D61" s="22">
        <v>2</v>
      </c>
      <c r="E61" s="39">
        <v>3</v>
      </c>
      <c r="F61" s="47">
        <v>3</v>
      </c>
      <c r="G61" s="22">
        <v>3</v>
      </c>
      <c r="H61" s="39">
        <v>3</v>
      </c>
      <c r="I61" s="22">
        <v>2</v>
      </c>
      <c r="J61" s="22">
        <v>2</v>
      </c>
    </row>
    <row r="62" spans="1:10" x14ac:dyDescent="0.4">
      <c r="A62" s="53" t="s">
        <v>216</v>
      </c>
      <c r="B62" s="39">
        <v>3</v>
      </c>
      <c r="C62" s="22">
        <v>3</v>
      </c>
      <c r="D62" s="22">
        <v>3</v>
      </c>
      <c r="E62" s="39">
        <v>3</v>
      </c>
      <c r="F62" s="47">
        <v>3</v>
      </c>
      <c r="G62" s="22">
        <v>3</v>
      </c>
      <c r="H62" s="39">
        <v>3</v>
      </c>
      <c r="I62" s="22">
        <v>3</v>
      </c>
      <c r="J62" s="22">
        <v>3</v>
      </c>
    </row>
    <row r="63" spans="1:10" x14ac:dyDescent="0.4">
      <c r="A63" s="53" t="s">
        <v>217</v>
      </c>
      <c r="B63" s="39">
        <v>2.5</v>
      </c>
      <c r="C63" s="22">
        <v>2</v>
      </c>
      <c r="D63" s="22">
        <v>2.5</v>
      </c>
      <c r="E63" s="39">
        <v>2</v>
      </c>
      <c r="F63" s="47">
        <v>2.5</v>
      </c>
      <c r="G63" s="22">
        <v>3</v>
      </c>
      <c r="H63" s="39">
        <v>3</v>
      </c>
      <c r="I63" s="22">
        <v>3</v>
      </c>
      <c r="J63" s="22">
        <v>3</v>
      </c>
    </row>
    <row r="64" spans="1:10" x14ac:dyDescent="0.4">
      <c r="A64" s="53" t="s">
        <v>218</v>
      </c>
      <c r="B64" s="39">
        <v>3</v>
      </c>
      <c r="C64" s="22">
        <v>3</v>
      </c>
      <c r="D64" s="22">
        <v>2.5</v>
      </c>
      <c r="E64" s="39">
        <v>3</v>
      </c>
      <c r="F64" s="47">
        <v>1.5</v>
      </c>
      <c r="G64" s="22">
        <v>3</v>
      </c>
      <c r="H64" s="39">
        <v>3</v>
      </c>
      <c r="I64" s="22">
        <v>2.5</v>
      </c>
      <c r="J64" s="22">
        <v>2</v>
      </c>
    </row>
    <row r="65" spans="1:10" x14ac:dyDescent="0.4">
      <c r="A65" s="53" t="s">
        <v>219</v>
      </c>
      <c r="B65" s="39">
        <v>2</v>
      </c>
      <c r="C65" s="22">
        <v>2.5</v>
      </c>
      <c r="D65" s="22">
        <v>3</v>
      </c>
      <c r="E65" s="39">
        <v>2</v>
      </c>
      <c r="F65" s="47">
        <v>2.5</v>
      </c>
      <c r="G65" s="22">
        <v>3</v>
      </c>
      <c r="H65" s="39">
        <v>1.5</v>
      </c>
      <c r="I65" s="22">
        <v>3</v>
      </c>
      <c r="J65" s="22">
        <v>2.5</v>
      </c>
    </row>
    <row r="66" spans="1:10" x14ac:dyDescent="0.4">
      <c r="A66" s="53" t="s">
        <v>220</v>
      </c>
      <c r="B66" s="39">
        <v>2.5</v>
      </c>
      <c r="C66" s="22">
        <v>2</v>
      </c>
      <c r="D66" s="22">
        <v>2</v>
      </c>
      <c r="E66" s="39">
        <v>3</v>
      </c>
      <c r="F66" s="47">
        <v>2</v>
      </c>
      <c r="G66" s="22">
        <v>3</v>
      </c>
      <c r="H66" s="39">
        <v>3</v>
      </c>
      <c r="I66" s="22">
        <v>3</v>
      </c>
      <c r="J66" s="22">
        <v>2</v>
      </c>
    </row>
    <row r="67" spans="1:10" x14ac:dyDescent="0.4">
      <c r="A67" s="53" t="s">
        <v>221</v>
      </c>
      <c r="B67" s="39">
        <v>3</v>
      </c>
      <c r="C67" s="22">
        <v>3</v>
      </c>
      <c r="D67" s="22">
        <v>3</v>
      </c>
      <c r="E67" s="39">
        <v>3</v>
      </c>
      <c r="F67" s="47">
        <v>3</v>
      </c>
      <c r="G67" s="22">
        <v>3</v>
      </c>
      <c r="H67" s="39">
        <v>3</v>
      </c>
      <c r="I67" s="22">
        <v>3</v>
      </c>
      <c r="J67" s="22">
        <v>3</v>
      </c>
    </row>
    <row r="68" spans="1:10" x14ac:dyDescent="0.4">
      <c r="A68" s="53" t="s">
        <v>222</v>
      </c>
      <c r="B68" s="39">
        <v>3</v>
      </c>
      <c r="C68" s="22">
        <v>3</v>
      </c>
      <c r="D68" s="22">
        <v>2</v>
      </c>
      <c r="E68" s="39">
        <v>2</v>
      </c>
      <c r="F68" s="47">
        <v>3</v>
      </c>
      <c r="G68" s="22">
        <v>3</v>
      </c>
      <c r="H68" s="39">
        <v>3</v>
      </c>
      <c r="I68" s="22">
        <v>2.5</v>
      </c>
      <c r="J68" s="22">
        <v>3</v>
      </c>
    </row>
    <row r="69" spans="1:10" x14ac:dyDescent="0.4">
      <c r="A69" s="53" t="s">
        <v>223</v>
      </c>
      <c r="B69" s="39">
        <v>2.5</v>
      </c>
      <c r="C69" s="22">
        <v>2.5</v>
      </c>
      <c r="D69" s="22">
        <v>3</v>
      </c>
      <c r="E69" s="39">
        <v>3</v>
      </c>
      <c r="F69" s="47">
        <v>2.5</v>
      </c>
      <c r="G69" s="22">
        <v>3</v>
      </c>
      <c r="H69" s="39">
        <v>1</v>
      </c>
      <c r="I69" s="22">
        <v>2</v>
      </c>
      <c r="J69" s="22">
        <v>3</v>
      </c>
    </row>
    <row r="70" spans="1:10" x14ac:dyDescent="0.4">
      <c r="A70" s="53" t="s">
        <v>224</v>
      </c>
      <c r="B70" s="39">
        <v>2</v>
      </c>
      <c r="C70" s="22">
        <v>2</v>
      </c>
      <c r="D70" s="22">
        <v>2</v>
      </c>
      <c r="E70" s="39">
        <v>2</v>
      </c>
      <c r="F70" s="47">
        <v>2.5</v>
      </c>
      <c r="G70" s="22">
        <v>3</v>
      </c>
      <c r="H70" s="39">
        <v>3</v>
      </c>
      <c r="I70" s="22">
        <v>2</v>
      </c>
      <c r="J70" s="22">
        <v>2</v>
      </c>
    </row>
    <row r="71" spans="1:10" x14ac:dyDescent="0.4">
      <c r="A71" s="53" t="s">
        <v>225</v>
      </c>
      <c r="B71" s="39">
        <v>2</v>
      </c>
      <c r="C71" s="22">
        <v>3</v>
      </c>
      <c r="D71" s="22">
        <v>3</v>
      </c>
      <c r="E71" s="39">
        <v>3</v>
      </c>
      <c r="F71" s="47">
        <v>1.5</v>
      </c>
      <c r="G71" s="22">
        <v>3</v>
      </c>
      <c r="H71" s="39">
        <v>3</v>
      </c>
      <c r="I71" s="22">
        <v>2</v>
      </c>
      <c r="J71" s="22">
        <v>2</v>
      </c>
    </row>
    <row r="72" spans="1:10" x14ac:dyDescent="0.4">
      <c r="A72" s="53" t="s">
        <v>226</v>
      </c>
      <c r="B72" s="39">
        <v>2.5</v>
      </c>
      <c r="C72" s="22">
        <v>3</v>
      </c>
      <c r="D72" s="22">
        <v>3</v>
      </c>
      <c r="E72" s="39">
        <v>3</v>
      </c>
      <c r="F72" s="47">
        <v>3</v>
      </c>
      <c r="G72" s="22">
        <v>3</v>
      </c>
      <c r="H72" s="39">
        <v>3</v>
      </c>
      <c r="I72" s="22">
        <v>3</v>
      </c>
      <c r="J72" s="22">
        <v>3</v>
      </c>
    </row>
    <row r="73" spans="1:10" x14ac:dyDescent="0.4">
      <c r="A73" s="53" t="s">
        <v>227</v>
      </c>
      <c r="B73" s="39">
        <v>3</v>
      </c>
      <c r="C73" s="22">
        <v>3</v>
      </c>
      <c r="D73" s="22">
        <v>3</v>
      </c>
      <c r="E73" s="39">
        <v>3</v>
      </c>
      <c r="F73" s="47">
        <v>2</v>
      </c>
      <c r="G73" s="22">
        <v>3</v>
      </c>
      <c r="H73" s="39">
        <v>3</v>
      </c>
      <c r="I73" s="22">
        <v>3</v>
      </c>
      <c r="J73" s="22">
        <v>3</v>
      </c>
    </row>
    <row r="74" spans="1:10" x14ac:dyDescent="0.4">
      <c r="A74" s="53" t="s">
        <v>228</v>
      </c>
      <c r="B74" s="39">
        <v>2.5</v>
      </c>
      <c r="C74" s="22">
        <v>1.5</v>
      </c>
      <c r="D74" s="22">
        <v>3</v>
      </c>
      <c r="E74" s="39">
        <v>3</v>
      </c>
      <c r="F74" s="47">
        <v>2.5</v>
      </c>
      <c r="G74" s="22">
        <v>3</v>
      </c>
      <c r="H74" s="39">
        <v>2</v>
      </c>
      <c r="I74" s="22">
        <v>2.5</v>
      </c>
      <c r="J74" s="22">
        <v>2.5</v>
      </c>
    </row>
    <row r="75" spans="1:10" x14ac:dyDescent="0.4">
      <c r="A75" s="53" t="s">
        <v>229</v>
      </c>
      <c r="B75" s="39">
        <v>3</v>
      </c>
      <c r="C75" s="22">
        <v>3</v>
      </c>
      <c r="D75" s="22">
        <v>3</v>
      </c>
      <c r="E75" s="39">
        <v>2.5</v>
      </c>
      <c r="F75" s="47">
        <v>2.5</v>
      </c>
      <c r="G75" s="22">
        <v>3</v>
      </c>
      <c r="H75" s="39">
        <v>3</v>
      </c>
      <c r="I75" s="22">
        <v>3</v>
      </c>
      <c r="J75" s="22">
        <v>3</v>
      </c>
    </row>
    <row r="76" spans="1:10" x14ac:dyDescent="0.4">
      <c r="A76" s="53" t="s">
        <v>230</v>
      </c>
      <c r="B76" s="39">
        <v>2.5</v>
      </c>
      <c r="C76" s="22">
        <v>3</v>
      </c>
      <c r="D76" s="22">
        <v>2</v>
      </c>
      <c r="E76" s="39">
        <v>3</v>
      </c>
      <c r="F76" s="47">
        <v>3</v>
      </c>
      <c r="G76" s="22">
        <v>3</v>
      </c>
      <c r="H76" s="39">
        <v>3</v>
      </c>
      <c r="I76" s="22">
        <v>2.5</v>
      </c>
      <c r="J76" s="22">
        <v>3</v>
      </c>
    </row>
    <row r="77" spans="1:10" x14ac:dyDescent="0.4">
      <c r="A77" s="53" t="s">
        <v>231</v>
      </c>
      <c r="B77" s="39">
        <v>2.5</v>
      </c>
      <c r="C77" s="22">
        <v>3</v>
      </c>
      <c r="D77" s="22">
        <v>3</v>
      </c>
      <c r="E77" s="39">
        <v>3</v>
      </c>
      <c r="F77" s="47">
        <v>3</v>
      </c>
      <c r="G77" s="22">
        <v>3</v>
      </c>
      <c r="H77" s="39">
        <v>3</v>
      </c>
      <c r="I77" s="22">
        <v>3</v>
      </c>
      <c r="J77" s="22">
        <v>3</v>
      </c>
    </row>
    <row r="78" spans="1:10" x14ac:dyDescent="0.4">
      <c r="A78" s="53" t="s">
        <v>232</v>
      </c>
      <c r="B78" s="39">
        <v>2</v>
      </c>
      <c r="C78" s="22">
        <v>2</v>
      </c>
      <c r="D78" s="22">
        <v>2.5</v>
      </c>
      <c r="E78" s="39">
        <v>2.5</v>
      </c>
      <c r="F78" s="47">
        <v>2</v>
      </c>
      <c r="G78" s="22">
        <v>2</v>
      </c>
      <c r="H78" s="39">
        <v>3</v>
      </c>
      <c r="I78" s="22">
        <v>2.5</v>
      </c>
      <c r="J78" s="22">
        <v>3</v>
      </c>
    </row>
    <row r="79" spans="1:10" x14ac:dyDescent="0.4">
      <c r="A79" s="53" t="s">
        <v>233</v>
      </c>
      <c r="B79" s="39">
        <v>3</v>
      </c>
      <c r="C79" s="22">
        <v>3</v>
      </c>
      <c r="D79" s="22">
        <v>3</v>
      </c>
      <c r="E79" s="39">
        <v>2.5</v>
      </c>
      <c r="F79" s="47">
        <v>3</v>
      </c>
      <c r="G79" s="22">
        <v>3</v>
      </c>
      <c r="H79" s="39">
        <v>3</v>
      </c>
      <c r="I79" s="22">
        <v>3</v>
      </c>
      <c r="J79" s="22">
        <v>3</v>
      </c>
    </row>
    <row r="80" spans="1:10" x14ac:dyDescent="0.4">
      <c r="A80" s="53" t="s">
        <v>234</v>
      </c>
      <c r="B80" s="39">
        <v>3</v>
      </c>
      <c r="C80" s="22">
        <v>3</v>
      </c>
      <c r="D80" s="22">
        <v>3</v>
      </c>
      <c r="E80" s="39">
        <v>3</v>
      </c>
      <c r="F80" s="47">
        <v>2.5</v>
      </c>
      <c r="G80" s="22">
        <v>2</v>
      </c>
      <c r="H80" s="39">
        <v>3</v>
      </c>
      <c r="I80" s="22">
        <v>3</v>
      </c>
      <c r="J80" s="22">
        <v>2.5</v>
      </c>
    </row>
    <row r="81" spans="1:10" x14ac:dyDescent="0.4">
      <c r="A81" s="53" t="s">
        <v>235</v>
      </c>
      <c r="B81" s="39">
        <v>2</v>
      </c>
      <c r="C81" s="22">
        <v>2</v>
      </c>
      <c r="D81" s="22">
        <v>2</v>
      </c>
      <c r="E81" s="39">
        <v>3</v>
      </c>
      <c r="F81" s="47">
        <v>2.5</v>
      </c>
      <c r="G81" s="22">
        <v>3</v>
      </c>
      <c r="H81" s="39">
        <v>1.5</v>
      </c>
      <c r="I81" s="22">
        <v>1.5</v>
      </c>
      <c r="J81" s="22">
        <v>1.5</v>
      </c>
    </row>
    <row r="82" spans="1:10" x14ac:dyDescent="0.4">
      <c r="A82" s="53"/>
      <c r="B82" s="41"/>
      <c r="C82" s="25"/>
      <c r="D82" s="25"/>
    </row>
    <row r="83" spans="1:10" x14ac:dyDescent="0.4">
      <c r="A83" s="58"/>
      <c r="B83" s="24"/>
      <c r="C83" s="24"/>
      <c r="D83" s="24"/>
      <c r="E83" s="24"/>
      <c r="F83" s="24"/>
      <c r="G83" s="24"/>
      <c r="H83" s="24"/>
      <c r="I83" s="24"/>
      <c r="J83" s="24"/>
    </row>
    <row r="84" spans="1:10" x14ac:dyDescent="0.4">
      <c r="A84" s="19"/>
      <c r="B84" s="3"/>
      <c r="C84" s="3"/>
      <c r="D84" s="3"/>
      <c r="E84" s="3"/>
      <c r="F84" s="3"/>
      <c r="G84" s="3"/>
    </row>
    <row r="85" spans="1:10" x14ac:dyDescent="0.4">
      <c r="A85" s="3"/>
      <c r="B85" s="3"/>
      <c r="C85" s="3"/>
      <c r="D85" s="3"/>
      <c r="E85" s="3"/>
      <c r="F85" s="3"/>
      <c r="G85" s="3"/>
    </row>
    <row r="86" spans="1:10" x14ac:dyDescent="0.4">
      <c r="A86" s="15" t="s">
        <v>54</v>
      </c>
      <c r="B86" s="14"/>
      <c r="C86" s="14"/>
      <c r="D86" s="14"/>
      <c r="E86" s="14"/>
      <c r="F86" s="14"/>
      <c r="G86" s="14"/>
      <c r="H86" s="14"/>
      <c r="I86" s="14"/>
      <c r="J86" s="14"/>
    </row>
    <row r="87" spans="1:10" x14ac:dyDescent="0.4">
      <c r="A87" s="16" t="s">
        <v>13</v>
      </c>
      <c r="B87" s="27">
        <v>1</v>
      </c>
      <c r="C87" s="27">
        <v>2</v>
      </c>
      <c r="D87" s="27">
        <v>3</v>
      </c>
      <c r="E87" s="27">
        <v>4</v>
      </c>
      <c r="F87" s="27">
        <v>5</v>
      </c>
      <c r="G87" s="27">
        <v>6</v>
      </c>
      <c r="H87" s="27">
        <v>7</v>
      </c>
      <c r="I87" s="27">
        <v>8</v>
      </c>
      <c r="J87" s="27">
        <v>9</v>
      </c>
    </row>
    <row r="88" spans="1:10" x14ac:dyDescent="0.4">
      <c r="A88" s="17" t="s">
        <v>10</v>
      </c>
      <c r="B88" s="27">
        <v>7</v>
      </c>
      <c r="C88" s="27">
        <v>4</v>
      </c>
      <c r="D88" s="27">
        <v>4</v>
      </c>
      <c r="E88" s="27">
        <v>4</v>
      </c>
      <c r="F88" s="27">
        <v>5</v>
      </c>
      <c r="G88" s="27" t="s">
        <v>16</v>
      </c>
      <c r="H88" s="27">
        <v>1</v>
      </c>
      <c r="I88" s="27" t="s">
        <v>17</v>
      </c>
      <c r="J88" s="27">
        <v>1</v>
      </c>
    </row>
    <row r="89" spans="1:10" x14ac:dyDescent="0.4">
      <c r="A89" s="18" t="s">
        <v>3</v>
      </c>
      <c r="B89" s="28">
        <f t="shared" ref="B89:J89" si="0">AVERAGE(B19:B81)</f>
        <v>2.5555555555555554</v>
      </c>
      <c r="C89" s="28">
        <f t="shared" si="0"/>
        <v>2.7222222222222223</v>
      </c>
      <c r="D89" s="28">
        <f t="shared" si="0"/>
        <v>2.7063492063492065</v>
      </c>
      <c r="E89" s="28">
        <f t="shared" si="0"/>
        <v>2.7936507936507935</v>
      </c>
      <c r="F89" s="28">
        <f t="shared" si="0"/>
        <v>2.5555555555555554</v>
      </c>
      <c r="G89" s="28">
        <f t="shared" si="0"/>
        <v>2.6984126984126986</v>
      </c>
      <c r="H89" s="28">
        <f t="shared" si="0"/>
        <v>2.4682539682539684</v>
      </c>
      <c r="I89" s="28">
        <f t="shared" si="0"/>
        <v>2.5873015873015874</v>
      </c>
      <c r="J89" s="28">
        <f t="shared" si="0"/>
        <v>2.6111111111111112</v>
      </c>
    </row>
    <row r="90" spans="1:10" x14ac:dyDescent="0.4">
      <c r="A90" s="17" t="s">
        <v>4</v>
      </c>
      <c r="B90" s="29">
        <f t="shared" ref="B90:J90" si="1">STDEV(B19:B81)</f>
        <v>0.39258357555975637</v>
      </c>
      <c r="C90" s="29">
        <f t="shared" si="1"/>
        <v>0.41907903806247526</v>
      </c>
      <c r="D90" s="29">
        <f t="shared" si="1"/>
        <v>0.41770224611635742</v>
      </c>
      <c r="E90" s="29">
        <f t="shared" si="1"/>
        <v>0.35508881936278491</v>
      </c>
      <c r="F90" s="29">
        <f t="shared" si="1"/>
        <v>0.52448985284251859</v>
      </c>
      <c r="G90" s="29">
        <f t="shared" si="1"/>
        <v>0.49627387843487653</v>
      </c>
      <c r="H90" s="29">
        <f t="shared" si="1"/>
        <v>0.81256769382030614</v>
      </c>
      <c r="I90" s="29">
        <f t="shared" si="1"/>
        <v>0.5993254443315803</v>
      </c>
      <c r="J90" s="29">
        <f t="shared" si="1"/>
        <v>0.50357147396440272</v>
      </c>
    </row>
    <row r="91" spans="1:10" x14ac:dyDescent="0.4">
      <c r="A91" s="18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4">
      <c r="A92" s="18" t="s">
        <v>19</v>
      </c>
      <c r="B92" s="7">
        <f>AVERAGE(B89:J89)</f>
        <v>2.6331569664902998</v>
      </c>
      <c r="C92" s="5"/>
      <c r="D92" s="5"/>
      <c r="E92" s="5"/>
      <c r="F92" s="5"/>
      <c r="G92" s="5"/>
      <c r="H92" s="5"/>
      <c r="I92" s="5"/>
      <c r="J92" s="5"/>
    </row>
    <row r="93" spans="1:10" x14ac:dyDescent="0.4">
      <c r="A93" s="17"/>
      <c r="B93" s="14"/>
      <c r="C93" s="14"/>
      <c r="D93" s="14"/>
      <c r="E93" s="14"/>
      <c r="F93" s="14"/>
      <c r="G93" s="14"/>
      <c r="H93" s="14"/>
      <c r="I93" s="14"/>
      <c r="J93" s="14"/>
    </row>
    <row r="94" spans="1:10" x14ac:dyDescent="0.4">
      <c r="A94" s="18"/>
      <c r="B94" s="5"/>
      <c r="C94" s="5"/>
      <c r="D94" s="5"/>
      <c r="E94" s="5"/>
      <c r="F94" s="5"/>
      <c r="G94" s="5"/>
      <c r="H94" s="5"/>
      <c r="I94" s="5"/>
      <c r="J94" s="5"/>
    </row>
    <row r="96" spans="1:10" x14ac:dyDescent="0.4">
      <c r="A96" s="8" t="s">
        <v>12</v>
      </c>
      <c r="B96" s="6"/>
      <c r="C96" s="6"/>
      <c r="D96" s="6"/>
      <c r="E96" s="6"/>
      <c r="F96" s="6"/>
      <c r="G96" s="13"/>
      <c r="H96" s="3"/>
      <c r="I96" s="3"/>
    </row>
    <row r="97" spans="1:9" x14ac:dyDescent="0.4">
      <c r="A97" s="8"/>
      <c r="B97" s="31">
        <v>1</v>
      </c>
      <c r="C97" s="31">
        <v>2</v>
      </c>
      <c r="D97" s="31">
        <v>4</v>
      </c>
      <c r="E97" s="31">
        <v>5</v>
      </c>
      <c r="F97" s="21">
        <v>6</v>
      </c>
      <c r="G97" s="21">
        <v>7</v>
      </c>
      <c r="H97" s="3"/>
      <c r="I97" s="3"/>
    </row>
    <row r="98" spans="1:9" x14ac:dyDescent="0.4">
      <c r="A98" s="6" t="s">
        <v>6</v>
      </c>
      <c r="B98" s="32">
        <f>AVERAGE(G89,H89,I89,J89)</f>
        <v>2.5912698412698414</v>
      </c>
      <c r="C98" s="32">
        <f>AVERAGE(G89)</f>
        <v>2.6984126984126986</v>
      </c>
      <c r="D98" s="32">
        <f>AVERAGE(C89,D89,E89)</f>
        <v>2.7407407407407405</v>
      </c>
      <c r="E98" s="32">
        <f>AVERAGE(F89)</f>
        <v>2.5555555555555554</v>
      </c>
      <c r="F98" s="32">
        <f>AVERAGE(I89)</f>
        <v>2.5873015873015874</v>
      </c>
      <c r="G98" s="32">
        <f>AVERAGE(B89)</f>
        <v>2.5555555555555554</v>
      </c>
      <c r="H98" s="3"/>
      <c r="I98" s="34"/>
    </row>
    <row r="99" spans="1:9" x14ac:dyDescent="0.4">
      <c r="A99" s="6" t="s">
        <v>7</v>
      </c>
      <c r="B99" s="32">
        <f>STDEV(G89,H89,I89,J89)</f>
        <v>9.4906831294455554E-2</v>
      </c>
      <c r="C99" s="32" t="s">
        <v>18</v>
      </c>
      <c r="D99" s="32">
        <f>STDEV(C89,D89,E89)</f>
        <v>4.6503692675256308E-2</v>
      </c>
      <c r="E99" s="32" t="s">
        <v>18</v>
      </c>
      <c r="F99" s="33" t="s">
        <v>18</v>
      </c>
      <c r="G99" s="33" t="s">
        <v>18</v>
      </c>
      <c r="H99" s="3"/>
      <c r="I99" s="34"/>
    </row>
    <row r="101" spans="1:9" x14ac:dyDescent="0.4">
      <c r="B101" s="30"/>
    </row>
    <row r="144" spans="1:10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4">
      <c r="A155" s="3"/>
      <c r="B155" s="3"/>
      <c r="C155" s="3"/>
      <c r="D155" s="3"/>
      <c r="E155" s="3"/>
      <c r="F155" s="3"/>
      <c r="G155" s="3"/>
      <c r="H155" s="9"/>
      <c r="I155" s="9"/>
      <c r="J155" s="9"/>
      <c r="K155" s="3"/>
    </row>
    <row r="156" spans="1:1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4">
      <c r="A177" s="3"/>
      <c r="B177" s="10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4">
      <c r="A178" s="3"/>
      <c r="B178" s="10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4">
      <c r="A179" s="3"/>
      <c r="B179" s="10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4">
      <c r="A180" s="3"/>
      <c r="B180" s="10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4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x14ac:dyDescent="0.4">
      <c r="K258" s="3"/>
    </row>
    <row r="259" spans="1:11" x14ac:dyDescent="0.4">
      <c r="K259" s="3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9"/>
  <sheetViews>
    <sheetView topLeftCell="A67" zoomScale="90" zoomScaleNormal="90" workbookViewId="0">
      <selection activeCell="D91" sqref="D91"/>
    </sheetView>
  </sheetViews>
  <sheetFormatPr defaultRowHeight="14.6" x14ac:dyDescent="0.4"/>
  <cols>
    <col min="1" max="1" width="20.15234375" customWidth="1"/>
    <col min="2" max="2" width="11.53515625" customWidth="1"/>
    <col min="6" max="6" width="10.84375" customWidth="1"/>
    <col min="7" max="7" width="9.53515625" bestFit="1" customWidth="1"/>
    <col min="13" max="13" width="28.53515625" customWidth="1"/>
    <col min="16" max="16" width="27.15234375" customWidth="1"/>
  </cols>
  <sheetData>
    <row r="1" spans="1:16" x14ac:dyDescent="0.4">
      <c r="A1" s="1" t="s">
        <v>14</v>
      </c>
      <c r="L1" s="35" t="s">
        <v>47</v>
      </c>
      <c r="M1" s="35"/>
      <c r="O1" t="s">
        <v>47</v>
      </c>
    </row>
    <row r="2" spans="1:16" ht="15" customHeight="1" x14ac:dyDescent="0.4">
      <c r="A2" s="1"/>
      <c r="L2" s="36" t="s">
        <v>20</v>
      </c>
      <c r="M2" s="36" t="s">
        <v>22</v>
      </c>
      <c r="N2" s="37"/>
      <c r="O2" s="37" t="s">
        <v>20</v>
      </c>
      <c r="P2" s="37" t="s">
        <v>22</v>
      </c>
    </row>
    <row r="3" spans="1:16" x14ac:dyDescent="0.4">
      <c r="A3" s="1" t="s">
        <v>11</v>
      </c>
      <c r="L3" s="35" t="s">
        <v>21</v>
      </c>
      <c r="M3" s="35"/>
      <c r="O3" t="s">
        <v>21</v>
      </c>
    </row>
    <row r="4" spans="1:16" x14ac:dyDescent="0.4">
      <c r="A4" s="2" t="s">
        <v>15</v>
      </c>
      <c r="B4" s="2"/>
      <c r="C4" s="2"/>
      <c r="D4" s="2"/>
      <c r="L4" s="35">
        <v>1</v>
      </c>
      <c r="M4" s="35" t="s">
        <v>23</v>
      </c>
      <c r="O4" s="35">
        <v>4</v>
      </c>
      <c r="P4" t="s">
        <v>34</v>
      </c>
    </row>
    <row r="5" spans="1:16" x14ac:dyDescent="0.4">
      <c r="A5" s="2" t="s">
        <v>53</v>
      </c>
      <c r="B5" s="2"/>
      <c r="C5" s="2"/>
      <c r="D5" s="2"/>
      <c r="E5" s="2"/>
      <c r="F5" s="2"/>
      <c r="G5" s="2"/>
      <c r="L5" s="35"/>
      <c r="M5" s="35" t="s">
        <v>24</v>
      </c>
      <c r="O5" s="35"/>
      <c r="P5" t="s">
        <v>35</v>
      </c>
    </row>
    <row r="6" spans="1:16" x14ac:dyDescent="0.4">
      <c r="A6" s="2"/>
      <c r="B6" s="2"/>
      <c r="C6" s="2"/>
      <c r="D6" s="2"/>
      <c r="E6" s="2"/>
      <c r="F6" s="2"/>
      <c r="G6" s="2"/>
      <c r="L6" s="35" t="s">
        <v>25</v>
      </c>
      <c r="M6" s="35" t="s">
        <v>26</v>
      </c>
      <c r="O6" s="35"/>
      <c r="P6" t="s">
        <v>36</v>
      </c>
    </row>
    <row r="7" spans="1:16" x14ac:dyDescent="0.4">
      <c r="A7" s="2"/>
      <c r="L7" s="35"/>
      <c r="M7" s="35" t="s">
        <v>27</v>
      </c>
      <c r="O7" s="35"/>
      <c r="P7" t="s">
        <v>37</v>
      </c>
    </row>
    <row r="8" spans="1:16" x14ac:dyDescent="0.4">
      <c r="L8" s="35" t="s">
        <v>28</v>
      </c>
      <c r="M8" s="35" t="s">
        <v>29</v>
      </c>
      <c r="O8" s="35">
        <v>4</v>
      </c>
      <c r="P8" t="s">
        <v>38</v>
      </c>
    </row>
    <row r="9" spans="1:16" x14ac:dyDescent="0.4">
      <c r="A9" s="12" t="s">
        <v>9</v>
      </c>
      <c r="B9" s="4"/>
      <c r="C9" s="4"/>
      <c r="L9" s="35"/>
      <c r="M9" s="35" t="s">
        <v>30</v>
      </c>
      <c r="O9" s="35"/>
      <c r="P9" t="s">
        <v>39</v>
      </c>
    </row>
    <row r="10" spans="1:16" x14ac:dyDescent="0.4">
      <c r="A10" s="4">
        <v>1</v>
      </c>
      <c r="B10" s="4" t="s">
        <v>0</v>
      </c>
      <c r="C10" s="4"/>
      <c r="L10" s="35" t="s">
        <v>31</v>
      </c>
      <c r="M10" s="35" t="s">
        <v>32</v>
      </c>
      <c r="O10" s="35">
        <v>5</v>
      </c>
      <c r="P10" t="s">
        <v>40</v>
      </c>
    </row>
    <row r="11" spans="1:16" x14ac:dyDescent="0.4">
      <c r="A11" s="4">
        <v>2</v>
      </c>
      <c r="B11" s="4" t="s">
        <v>1</v>
      </c>
      <c r="C11" s="4"/>
      <c r="L11" s="35">
        <v>3</v>
      </c>
      <c r="M11" s="35" t="s">
        <v>33</v>
      </c>
      <c r="O11" s="35"/>
      <c r="P11" t="s">
        <v>41</v>
      </c>
    </row>
    <row r="12" spans="1:16" x14ac:dyDescent="0.4">
      <c r="A12" s="4">
        <v>3</v>
      </c>
      <c r="B12" s="4" t="s">
        <v>2</v>
      </c>
      <c r="C12" s="4"/>
      <c r="O12" s="35"/>
      <c r="P12" t="s">
        <v>42</v>
      </c>
    </row>
    <row r="13" spans="1:16" x14ac:dyDescent="0.4">
      <c r="A13" s="4"/>
      <c r="B13" s="4"/>
      <c r="C13" s="4"/>
      <c r="O13" s="35"/>
      <c r="P13" t="s">
        <v>43</v>
      </c>
    </row>
    <row r="14" spans="1:16" x14ac:dyDescent="0.4">
      <c r="A14" s="43"/>
      <c r="B14" s="52" t="s">
        <v>48</v>
      </c>
      <c r="C14" t="s">
        <v>49</v>
      </c>
      <c r="E14" s="43"/>
      <c r="F14" s="46" t="s">
        <v>50</v>
      </c>
      <c r="G14" t="s">
        <v>51</v>
      </c>
      <c r="H14" s="43"/>
      <c r="I14" t="s">
        <v>52</v>
      </c>
      <c r="O14" s="35"/>
      <c r="P14" t="s">
        <v>44</v>
      </c>
    </row>
    <row r="15" spans="1:16" x14ac:dyDescent="0.4">
      <c r="A15" s="38" t="s">
        <v>8</v>
      </c>
      <c r="B15" s="38">
        <v>1</v>
      </c>
      <c r="C15" s="20">
        <v>2</v>
      </c>
      <c r="D15" s="20">
        <v>3</v>
      </c>
      <c r="E15" s="38">
        <v>4</v>
      </c>
      <c r="F15" s="44">
        <v>5</v>
      </c>
      <c r="G15" s="20">
        <v>6</v>
      </c>
      <c r="H15" s="38">
        <v>7</v>
      </c>
      <c r="I15" s="20">
        <v>8</v>
      </c>
      <c r="J15" s="20">
        <v>9</v>
      </c>
      <c r="O15" s="35">
        <v>5</v>
      </c>
      <c r="P15" t="s">
        <v>45</v>
      </c>
    </row>
    <row r="16" spans="1:16" x14ac:dyDescent="0.4">
      <c r="A16" s="38" t="s">
        <v>10</v>
      </c>
      <c r="B16" s="38">
        <v>7</v>
      </c>
      <c r="C16" s="20">
        <v>4</v>
      </c>
      <c r="D16" s="20">
        <v>4</v>
      </c>
      <c r="E16" s="38">
        <v>4</v>
      </c>
      <c r="F16" s="45">
        <v>5</v>
      </c>
      <c r="G16" s="21" t="s">
        <v>16</v>
      </c>
      <c r="H16" s="51">
        <v>1</v>
      </c>
      <c r="I16" s="21" t="s">
        <v>17</v>
      </c>
      <c r="J16" s="21">
        <v>1</v>
      </c>
      <c r="P16" t="s">
        <v>46</v>
      </c>
    </row>
    <row r="17" spans="1:10" x14ac:dyDescent="0.4">
      <c r="A17" s="55"/>
      <c r="B17" s="56"/>
      <c r="C17" s="37"/>
      <c r="D17" s="37"/>
      <c r="E17" s="55"/>
      <c r="F17" s="57"/>
      <c r="G17" s="37"/>
      <c r="H17" s="55"/>
      <c r="I17" s="37"/>
      <c r="J17" s="37"/>
    </row>
    <row r="18" spans="1:10" x14ac:dyDescent="0.4">
      <c r="A18" s="43" t="s">
        <v>5</v>
      </c>
    </row>
    <row r="19" spans="1:10" x14ac:dyDescent="0.4">
      <c r="A19" s="53" t="s">
        <v>110</v>
      </c>
      <c r="B19" s="39">
        <v>2.5</v>
      </c>
      <c r="C19" s="22">
        <v>2.5</v>
      </c>
      <c r="D19" s="22">
        <v>2</v>
      </c>
      <c r="E19" s="39">
        <v>1</v>
      </c>
      <c r="F19" s="47">
        <v>2.5</v>
      </c>
      <c r="G19" s="25">
        <v>3</v>
      </c>
      <c r="H19" s="39">
        <v>3</v>
      </c>
      <c r="I19" s="25">
        <v>2</v>
      </c>
      <c r="J19" s="25">
        <v>2</v>
      </c>
    </row>
    <row r="20" spans="1:10" x14ac:dyDescent="0.4">
      <c r="A20" s="53" t="s">
        <v>111</v>
      </c>
      <c r="B20" s="39">
        <v>3</v>
      </c>
      <c r="C20" s="22">
        <v>3</v>
      </c>
      <c r="D20" s="22">
        <v>3</v>
      </c>
      <c r="E20" s="39">
        <v>3</v>
      </c>
      <c r="F20" s="47">
        <v>3</v>
      </c>
      <c r="G20" s="22">
        <v>3</v>
      </c>
      <c r="H20" s="39">
        <v>3</v>
      </c>
      <c r="I20" s="22">
        <v>3</v>
      </c>
      <c r="J20" s="22">
        <v>3</v>
      </c>
    </row>
    <row r="21" spans="1:10" x14ac:dyDescent="0.4">
      <c r="A21" s="53" t="s">
        <v>112</v>
      </c>
      <c r="B21" s="39">
        <v>3</v>
      </c>
      <c r="C21" s="22">
        <v>2.5</v>
      </c>
      <c r="D21" s="22">
        <v>2</v>
      </c>
      <c r="E21" s="39">
        <v>1.5</v>
      </c>
      <c r="F21" s="47">
        <v>2.5</v>
      </c>
      <c r="G21" s="22">
        <v>2</v>
      </c>
      <c r="H21" s="39">
        <v>2</v>
      </c>
      <c r="I21" s="22">
        <v>1.5</v>
      </c>
      <c r="J21" s="22">
        <v>2</v>
      </c>
    </row>
    <row r="22" spans="1:10" x14ac:dyDescent="0.4">
      <c r="A22" s="53" t="s">
        <v>113</v>
      </c>
      <c r="B22" s="39">
        <v>2.5</v>
      </c>
      <c r="C22" s="22">
        <v>1.5</v>
      </c>
      <c r="D22" s="22">
        <v>1.5</v>
      </c>
      <c r="E22" s="39">
        <v>2</v>
      </c>
      <c r="F22" s="47">
        <v>2</v>
      </c>
      <c r="G22" s="22">
        <v>2</v>
      </c>
      <c r="H22" s="39">
        <v>1</v>
      </c>
      <c r="I22" s="22">
        <v>2.5</v>
      </c>
      <c r="J22" s="22">
        <v>2</v>
      </c>
    </row>
    <row r="23" spans="1:10" x14ac:dyDescent="0.4">
      <c r="A23" s="54" t="s">
        <v>114</v>
      </c>
      <c r="B23" s="40">
        <v>2</v>
      </c>
      <c r="C23" s="23">
        <v>3</v>
      </c>
      <c r="D23" s="23">
        <v>3</v>
      </c>
      <c r="E23" s="40">
        <v>3</v>
      </c>
      <c r="F23" s="48">
        <v>2.5</v>
      </c>
      <c r="G23" s="23">
        <v>1</v>
      </c>
      <c r="H23" s="40">
        <v>2</v>
      </c>
      <c r="I23" s="23">
        <v>2</v>
      </c>
      <c r="J23" s="23">
        <v>2</v>
      </c>
    </row>
    <row r="24" spans="1:10" x14ac:dyDescent="0.4">
      <c r="A24" s="53" t="s">
        <v>115</v>
      </c>
      <c r="B24" s="39">
        <v>3</v>
      </c>
      <c r="C24" s="24">
        <v>3</v>
      </c>
      <c r="D24" s="24">
        <v>3</v>
      </c>
      <c r="E24" s="39">
        <v>3</v>
      </c>
      <c r="F24" s="47">
        <v>3</v>
      </c>
      <c r="G24" s="22">
        <v>3</v>
      </c>
      <c r="H24" s="39">
        <v>3</v>
      </c>
      <c r="I24" s="22">
        <v>2</v>
      </c>
      <c r="J24" s="22">
        <v>2</v>
      </c>
    </row>
    <row r="25" spans="1:10" x14ac:dyDescent="0.4">
      <c r="A25" s="53" t="s">
        <v>116</v>
      </c>
      <c r="B25" s="39">
        <v>2.5</v>
      </c>
      <c r="C25" s="24">
        <v>2.5</v>
      </c>
      <c r="D25" s="24">
        <v>2</v>
      </c>
      <c r="E25" s="41">
        <v>3</v>
      </c>
      <c r="F25" s="49">
        <v>2.5</v>
      </c>
      <c r="G25" s="25">
        <v>2</v>
      </c>
      <c r="H25" s="41">
        <v>1</v>
      </c>
      <c r="I25" s="25">
        <v>3</v>
      </c>
      <c r="J25" s="25">
        <v>3</v>
      </c>
    </row>
    <row r="26" spans="1:10" x14ac:dyDescent="0.4">
      <c r="A26" s="53" t="s">
        <v>117</v>
      </c>
      <c r="B26" s="39">
        <v>3</v>
      </c>
      <c r="C26" s="24">
        <v>3</v>
      </c>
      <c r="D26" s="24">
        <v>2.5</v>
      </c>
      <c r="E26" s="39">
        <v>3</v>
      </c>
      <c r="F26" s="47">
        <v>3</v>
      </c>
      <c r="G26" s="22">
        <v>3</v>
      </c>
      <c r="H26" s="39">
        <v>1.5</v>
      </c>
      <c r="I26" s="22">
        <v>3</v>
      </c>
      <c r="J26" s="22">
        <v>2.5</v>
      </c>
    </row>
    <row r="27" spans="1:10" x14ac:dyDescent="0.4">
      <c r="A27" s="53" t="s">
        <v>118</v>
      </c>
      <c r="B27" s="39">
        <v>2.5</v>
      </c>
      <c r="C27" s="24">
        <v>1.5</v>
      </c>
      <c r="D27" s="24">
        <v>2.5</v>
      </c>
      <c r="E27" s="39">
        <v>3</v>
      </c>
      <c r="F27" s="47">
        <v>3</v>
      </c>
      <c r="G27" s="22">
        <v>3</v>
      </c>
      <c r="H27" s="39">
        <v>1</v>
      </c>
      <c r="I27" s="22">
        <v>1.5</v>
      </c>
      <c r="J27" s="22">
        <v>2</v>
      </c>
    </row>
    <row r="28" spans="1:10" x14ac:dyDescent="0.4">
      <c r="A28" s="53" t="s">
        <v>119</v>
      </c>
      <c r="B28" s="39">
        <v>2.5</v>
      </c>
      <c r="C28" s="24">
        <v>1.5</v>
      </c>
      <c r="D28" s="24">
        <v>3</v>
      </c>
      <c r="E28" s="39">
        <v>2</v>
      </c>
      <c r="F28" s="47">
        <v>3</v>
      </c>
      <c r="G28" s="22">
        <v>2</v>
      </c>
      <c r="H28" s="39">
        <v>3</v>
      </c>
      <c r="I28" s="22">
        <v>1</v>
      </c>
      <c r="J28" s="22">
        <v>1.5</v>
      </c>
    </row>
    <row r="29" spans="1:10" x14ac:dyDescent="0.4">
      <c r="A29" s="54" t="s">
        <v>120</v>
      </c>
      <c r="B29" s="40">
        <v>3</v>
      </c>
      <c r="C29" s="23">
        <v>3</v>
      </c>
      <c r="D29" s="23">
        <v>3</v>
      </c>
      <c r="E29" s="40">
        <v>3</v>
      </c>
      <c r="F29" s="48">
        <v>2.5</v>
      </c>
      <c r="G29" s="23">
        <v>3</v>
      </c>
      <c r="H29" s="40">
        <v>3</v>
      </c>
      <c r="I29" s="23">
        <v>3</v>
      </c>
      <c r="J29" s="23">
        <v>3</v>
      </c>
    </row>
    <row r="30" spans="1:10" x14ac:dyDescent="0.4">
      <c r="A30" s="53" t="s">
        <v>121</v>
      </c>
      <c r="B30" s="39">
        <v>3</v>
      </c>
      <c r="C30" s="24">
        <v>3</v>
      </c>
      <c r="D30" s="24">
        <v>3</v>
      </c>
      <c r="E30" s="39">
        <v>3</v>
      </c>
      <c r="F30" s="47">
        <v>2.5</v>
      </c>
      <c r="G30" s="24">
        <v>3</v>
      </c>
      <c r="H30" s="39">
        <v>3</v>
      </c>
      <c r="I30" s="24">
        <v>2.5</v>
      </c>
      <c r="J30" s="24">
        <v>2.5</v>
      </c>
    </row>
    <row r="31" spans="1:10" x14ac:dyDescent="0.4">
      <c r="A31" s="53" t="s">
        <v>122</v>
      </c>
      <c r="B31" s="39">
        <v>2.5</v>
      </c>
      <c r="C31" s="24">
        <v>2</v>
      </c>
      <c r="D31" s="24">
        <v>2.5</v>
      </c>
      <c r="E31" s="41">
        <v>2.5</v>
      </c>
      <c r="F31" s="49">
        <v>2.5</v>
      </c>
      <c r="G31" s="25">
        <v>3</v>
      </c>
      <c r="H31" s="41">
        <v>3</v>
      </c>
      <c r="I31" s="25">
        <v>2.5</v>
      </c>
      <c r="J31" s="25">
        <v>2.5</v>
      </c>
    </row>
    <row r="32" spans="1:10" x14ac:dyDescent="0.4">
      <c r="A32" s="53" t="s">
        <v>123</v>
      </c>
      <c r="B32" s="39">
        <v>2.5</v>
      </c>
      <c r="C32" s="24">
        <v>3</v>
      </c>
      <c r="D32" s="24">
        <v>3</v>
      </c>
      <c r="E32" s="39">
        <v>3</v>
      </c>
      <c r="F32" s="47">
        <v>2.5</v>
      </c>
      <c r="G32" s="24">
        <v>3</v>
      </c>
      <c r="H32" s="39">
        <v>3</v>
      </c>
      <c r="I32" s="24">
        <v>3</v>
      </c>
      <c r="J32" s="24">
        <v>2.5</v>
      </c>
    </row>
    <row r="33" spans="1:10" x14ac:dyDescent="0.4">
      <c r="A33" s="53" t="s">
        <v>124</v>
      </c>
      <c r="B33" s="39">
        <v>2.5</v>
      </c>
      <c r="C33" s="24">
        <v>2</v>
      </c>
      <c r="D33" s="24">
        <v>2</v>
      </c>
      <c r="E33" s="39">
        <v>1.5</v>
      </c>
      <c r="F33" s="47">
        <v>2.5</v>
      </c>
      <c r="G33" s="22">
        <v>2</v>
      </c>
      <c r="H33" s="39">
        <v>3</v>
      </c>
      <c r="I33" s="22">
        <v>3</v>
      </c>
      <c r="J33" s="22">
        <v>3</v>
      </c>
    </row>
    <row r="34" spans="1:10" x14ac:dyDescent="0.4">
      <c r="A34" s="53" t="s">
        <v>125</v>
      </c>
      <c r="B34" s="39">
        <v>2.5</v>
      </c>
      <c r="C34" s="24">
        <v>2</v>
      </c>
      <c r="D34" s="24">
        <v>2</v>
      </c>
      <c r="E34" s="39">
        <v>3</v>
      </c>
      <c r="F34" s="47">
        <v>2.5</v>
      </c>
      <c r="G34" s="22">
        <v>2</v>
      </c>
      <c r="H34" s="39">
        <v>1.5</v>
      </c>
      <c r="I34" s="22">
        <v>2.5</v>
      </c>
      <c r="J34" s="22">
        <v>2</v>
      </c>
    </row>
    <row r="35" spans="1:10" x14ac:dyDescent="0.4">
      <c r="A35" s="54" t="s">
        <v>126</v>
      </c>
      <c r="B35" s="40">
        <v>3</v>
      </c>
      <c r="C35" s="23">
        <v>3</v>
      </c>
      <c r="D35" s="23">
        <v>3</v>
      </c>
      <c r="E35" s="40">
        <v>2</v>
      </c>
      <c r="F35" s="48">
        <v>2.5</v>
      </c>
      <c r="G35" s="23">
        <v>2</v>
      </c>
      <c r="H35" s="40">
        <v>2</v>
      </c>
      <c r="I35" s="23">
        <v>2.5</v>
      </c>
      <c r="J35" s="23">
        <v>2</v>
      </c>
    </row>
    <row r="36" spans="1:10" x14ac:dyDescent="0.4">
      <c r="A36" s="53" t="s">
        <v>127</v>
      </c>
      <c r="B36" s="39">
        <v>2.5</v>
      </c>
      <c r="C36" s="24">
        <v>2</v>
      </c>
      <c r="D36" s="24">
        <v>2</v>
      </c>
      <c r="E36" s="39">
        <v>3</v>
      </c>
      <c r="F36" s="47">
        <v>3</v>
      </c>
      <c r="G36" s="24">
        <v>3</v>
      </c>
      <c r="H36" s="39">
        <v>3</v>
      </c>
      <c r="I36" s="24">
        <v>3</v>
      </c>
      <c r="J36" s="24">
        <v>3</v>
      </c>
    </row>
    <row r="37" spans="1:10" x14ac:dyDescent="0.4">
      <c r="A37" s="53" t="s">
        <v>128</v>
      </c>
      <c r="B37" s="39">
        <v>2.5</v>
      </c>
      <c r="C37" s="24">
        <v>2.5</v>
      </c>
      <c r="D37" s="24">
        <v>2.5</v>
      </c>
      <c r="E37" s="41">
        <v>2</v>
      </c>
      <c r="F37" s="49">
        <v>3</v>
      </c>
      <c r="G37" s="25">
        <v>3</v>
      </c>
      <c r="H37" s="41">
        <v>3</v>
      </c>
      <c r="I37" s="25">
        <v>3</v>
      </c>
      <c r="J37" s="25">
        <v>2</v>
      </c>
    </row>
    <row r="38" spans="1:10" x14ac:dyDescent="0.4">
      <c r="A38" s="53" t="s">
        <v>129</v>
      </c>
      <c r="B38" s="39">
        <v>3</v>
      </c>
      <c r="C38" s="24">
        <v>3</v>
      </c>
      <c r="D38" s="24">
        <v>3</v>
      </c>
      <c r="E38" s="39">
        <v>3</v>
      </c>
      <c r="F38" s="47">
        <v>2.5</v>
      </c>
      <c r="G38" s="22">
        <v>3</v>
      </c>
      <c r="H38" s="39">
        <v>3</v>
      </c>
      <c r="I38" s="22">
        <v>3</v>
      </c>
      <c r="J38" s="22">
        <v>2</v>
      </c>
    </row>
    <row r="39" spans="1:10" x14ac:dyDescent="0.4">
      <c r="A39" s="54" t="s">
        <v>130</v>
      </c>
      <c r="B39" s="40">
        <v>2</v>
      </c>
      <c r="C39" s="23">
        <v>2.5</v>
      </c>
      <c r="D39" s="23">
        <v>2</v>
      </c>
      <c r="E39" s="40">
        <v>3</v>
      </c>
      <c r="F39" s="48">
        <v>2.5</v>
      </c>
      <c r="G39" s="23">
        <v>2</v>
      </c>
      <c r="H39" s="40">
        <v>1</v>
      </c>
      <c r="I39" s="23">
        <v>3</v>
      </c>
      <c r="J39" s="23">
        <v>2</v>
      </c>
    </row>
    <row r="40" spans="1:10" x14ac:dyDescent="0.4">
      <c r="A40" s="53" t="s">
        <v>131</v>
      </c>
      <c r="B40" s="39">
        <v>3</v>
      </c>
      <c r="C40" s="24">
        <v>3</v>
      </c>
      <c r="D40" s="24">
        <v>2</v>
      </c>
      <c r="E40" s="39">
        <v>3</v>
      </c>
      <c r="F40" s="47">
        <v>2.5</v>
      </c>
      <c r="G40" s="24">
        <v>2</v>
      </c>
      <c r="H40" s="39">
        <v>2</v>
      </c>
      <c r="I40" s="24">
        <v>3</v>
      </c>
      <c r="J40" s="24">
        <v>3</v>
      </c>
    </row>
    <row r="41" spans="1:10" x14ac:dyDescent="0.4">
      <c r="A41" s="53" t="s">
        <v>132</v>
      </c>
      <c r="B41" s="39">
        <v>2</v>
      </c>
      <c r="C41" s="22">
        <v>2.5</v>
      </c>
      <c r="D41" s="22">
        <v>2.5</v>
      </c>
      <c r="E41" s="39">
        <v>3</v>
      </c>
      <c r="F41" s="49">
        <v>3</v>
      </c>
      <c r="G41" s="25">
        <v>3</v>
      </c>
      <c r="H41" s="41">
        <v>3</v>
      </c>
      <c r="I41" s="25">
        <v>3</v>
      </c>
      <c r="J41" s="25">
        <v>2</v>
      </c>
    </row>
    <row r="42" spans="1:10" x14ac:dyDescent="0.4">
      <c r="A42" s="53" t="s">
        <v>133</v>
      </c>
      <c r="B42" s="39">
        <v>2.5</v>
      </c>
      <c r="C42" s="22">
        <v>3</v>
      </c>
      <c r="D42" s="22">
        <v>3</v>
      </c>
      <c r="E42" s="39">
        <v>2</v>
      </c>
      <c r="F42" s="49">
        <v>3</v>
      </c>
      <c r="G42" s="25">
        <v>3</v>
      </c>
      <c r="H42" s="41">
        <v>3</v>
      </c>
      <c r="I42" s="25">
        <v>2.5</v>
      </c>
      <c r="J42" s="25">
        <v>2.5</v>
      </c>
    </row>
    <row r="43" spans="1:10" x14ac:dyDescent="0.4">
      <c r="A43" s="53" t="s">
        <v>134</v>
      </c>
      <c r="B43" s="39">
        <v>3</v>
      </c>
      <c r="C43" s="24">
        <v>3</v>
      </c>
      <c r="D43" s="24">
        <v>3</v>
      </c>
      <c r="E43" s="39">
        <v>3</v>
      </c>
      <c r="F43" s="49">
        <v>3</v>
      </c>
      <c r="G43" s="25">
        <v>2</v>
      </c>
      <c r="H43" s="41">
        <v>1.5</v>
      </c>
      <c r="I43" s="25">
        <v>3</v>
      </c>
      <c r="J43" s="25">
        <v>2.5</v>
      </c>
    </row>
    <row r="44" spans="1:10" x14ac:dyDescent="0.4">
      <c r="A44" s="54" t="s">
        <v>135</v>
      </c>
      <c r="B44" s="40">
        <v>2.5</v>
      </c>
      <c r="C44" s="26">
        <v>2</v>
      </c>
      <c r="D44" s="26">
        <v>2</v>
      </c>
      <c r="E44" s="42">
        <v>2</v>
      </c>
      <c r="F44" s="50">
        <v>2</v>
      </c>
      <c r="G44" s="26">
        <v>3</v>
      </c>
      <c r="H44" s="42">
        <v>3</v>
      </c>
      <c r="I44" s="26">
        <v>1.5</v>
      </c>
      <c r="J44" s="26">
        <v>1.5</v>
      </c>
    </row>
    <row r="45" spans="1:10" x14ac:dyDescent="0.4">
      <c r="A45" s="53" t="s">
        <v>136</v>
      </c>
      <c r="B45" s="39">
        <v>2.5</v>
      </c>
      <c r="C45" s="22">
        <v>2</v>
      </c>
      <c r="D45" s="22">
        <v>3</v>
      </c>
      <c r="E45" s="39">
        <v>3</v>
      </c>
      <c r="F45" s="49">
        <v>3</v>
      </c>
      <c r="G45" s="25">
        <v>3</v>
      </c>
      <c r="H45" s="41">
        <v>3</v>
      </c>
      <c r="I45" s="25">
        <v>2.5</v>
      </c>
      <c r="J45" s="25">
        <v>2</v>
      </c>
    </row>
    <row r="46" spans="1:10" x14ac:dyDescent="0.4">
      <c r="A46" s="53" t="s">
        <v>137</v>
      </c>
      <c r="B46" s="39">
        <v>1</v>
      </c>
      <c r="C46" s="22">
        <v>3</v>
      </c>
      <c r="D46" s="22">
        <v>2</v>
      </c>
      <c r="E46" s="39">
        <v>3</v>
      </c>
      <c r="F46" s="49">
        <v>2</v>
      </c>
      <c r="G46" s="25">
        <v>3</v>
      </c>
      <c r="H46" s="41">
        <v>3</v>
      </c>
      <c r="I46" s="25">
        <v>2.5</v>
      </c>
      <c r="J46" s="25">
        <v>2.5</v>
      </c>
    </row>
    <row r="47" spans="1:10" x14ac:dyDescent="0.4">
      <c r="A47" s="53" t="s">
        <v>138</v>
      </c>
      <c r="B47" s="39">
        <v>3</v>
      </c>
      <c r="C47" s="24">
        <v>3</v>
      </c>
      <c r="D47" s="24">
        <v>3</v>
      </c>
      <c r="E47" s="39">
        <v>3</v>
      </c>
      <c r="F47" s="49">
        <v>3</v>
      </c>
      <c r="G47" s="25">
        <v>3</v>
      </c>
      <c r="H47" s="41">
        <v>2</v>
      </c>
      <c r="I47" s="25">
        <v>3</v>
      </c>
      <c r="J47" s="25">
        <v>3</v>
      </c>
    </row>
    <row r="48" spans="1:10" x14ac:dyDescent="0.4">
      <c r="A48" s="53" t="s">
        <v>139</v>
      </c>
      <c r="B48" s="39">
        <v>2</v>
      </c>
      <c r="C48" s="22">
        <v>3</v>
      </c>
      <c r="D48" s="22">
        <v>3</v>
      </c>
      <c r="E48" s="39">
        <v>3</v>
      </c>
      <c r="F48" s="49">
        <v>3</v>
      </c>
      <c r="G48" s="25">
        <v>3</v>
      </c>
      <c r="H48" s="41">
        <v>3</v>
      </c>
      <c r="I48" s="25">
        <v>3</v>
      </c>
      <c r="J48" s="25">
        <v>3</v>
      </c>
    </row>
    <row r="49" spans="1:10" x14ac:dyDescent="0.4">
      <c r="A49" s="54" t="s">
        <v>140</v>
      </c>
      <c r="B49" s="40">
        <v>3</v>
      </c>
      <c r="C49" s="23">
        <v>3</v>
      </c>
      <c r="D49" s="23">
        <v>3</v>
      </c>
      <c r="E49" s="40">
        <v>3</v>
      </c>
      <c r="F49" s="50">
        <v>3</v>
      </c>
      <c r="G49" s="26">
        <v>2</v>
      </c>
      <c r="H49" s="42">
        <v>1</v>
      </c>
      <c r="I49" s="26">
        <v>3</v>
      </c>
      <c r="J49" s="26">
        <v>3</v>
      </c>
    </row>
    <row r="50" spans="1:10" x14ac:dyDescent="0.4">
      <c r="A50" s="53" t="s">
        <v>141</v>
      </c>
      <c r="B50" s="39">
        <v>3</v>
      </c>
      <c r="C50" s="25">
        <v>2.5</v>
      </c>
      <c r="D50" s="25">
        <v>3</v>
      </c>
      <c r="E50" s="41">
        <v>3</v>
      </c>
      <c r="F50" s="49">
        <v>2.5</v>
      </c>
      <c r="G50" s="25">
        <v>2</v>
      </c>
      <c r="H50" s="41">
        <v>1.5</v>
      </c>
      <c r="I50" s="25">
        <v>3</v>
      </c>
      <c r="J50" s="25">
        <v>3</v>
      </c>
    </row>
    <row r="51" spans="1:10" x14ac:dyDescent="0.4">
      <c r="A51" s="53" t="s">
        <v>142</v>
      </c>
      <c r="B51" s="39">
        <v>2</v>
      </c>
      <c r="C51" s="22">
        <v>3</v>
      </c>
      <c r="D51" s="22">
        <v>2</v>
      </c>
      <c r="E51" s="39">
        <v>2</v>
      </c>
      <c r="F51" s="49">
        <v>3</v>
      </c>
      <c r="G51" s="25">
        <v>2</v>
      </c>
      <c r="H51" s="41">
        <v>2</v>
      </c>
      <c r="I51" s="25">
        <v>3</v>
      </c>
      <c r="J51" s="25">
        <v>3</v>
      </c>
    </row>
    <row r="52" spans="1:10" x14ac:dyDescent="0.4">
      <c r="A52" s="53" t="s">
        <v>143</v>
      </c>
      <c r="B52" s="39">
        <v>3</v>
      </c>
      <c r="C52" s="22">
        <v>2</v>
      </c>
      <c r="D52" s="22">
        <v>2.5</v>
      </c>
      <c r="E52" s="39">
        <v>3</v>
      </c>
      <c r="F52" s="49">
        <v>3</v>
      </c>
      <c r="G52" s="25">
        <v>3</v>
      </c>
      <c r="H52" s="41">
        <v>1</v>
      </c>
      <c r="I52" s="25">
        <v>2.5</v>
      </c>
      <c r="J52" s="25">
        <v>2.5</v>
      </c>
    </row>
    <row r="53" spans="1:10" x14ac:dyDescent="0.4">
      <c r="A53" s="53" t="s">
        <v>144</v>
      </c>
      <c r="B53" s="39">
        <v>3</v>
      </c>
      <c r="C53" s="24">
        <v>3</v>
      </c>
      <c r="D53" s="24">
        <v>3</v>
      </c>
      <c r="E53" s="39">
        <v>2.5</v>
      </c>
      <c r="F53" s="49">
        <v>2.5</v>
      </c>
      <c r="G53" s="25">
        <v>2</v>
      </c>
      <c r="H53" s="41">
        <v>1.5</v>
      </c>
      <c r="I53" s="25">
        <v>1.5</v>
      </c>
      <c r="J53" s="25">
        <v>1</v>
      </c>
    </row>
    <row r="54" spans="1:10" x14ac:dyDescent="0.4">
      <c r="A54" s="54" t="s">
        <v>145</v>
      </c>
      <c r="B54" s="40">
        <v>2.5</v>
      </c>
      <c r="C54" s="23">
        <v>3</v>
      </c>
      <c r="D54" s="23">
        <v>2</v>
      </c>
      <c r="E54" s="40">
        <v>2</v>
      </c>
      <c r="F54" s="50">
        <v>2.5</v>
      </c>
      <c r="G54" s="26">
        <v>3</v>
      </c>
      <c r="H54" s="42">
        <v>1</v>
      </c>
      <c r="I54" s="26">
        <v>2</v>
      </c>
      <c r="J54" s="26">
        <v>2.5</v>
      </c>
    </row>
    <row r="55" spans="1:10" x14ac:dyDescent="0.4">
      <c r="A55" s="53" t="s">
        <v>146</v>
      </c>
      <c r="B55" s="39">
        <v>3</v>
      </c>
      <c r="C55" s="24">
        <v>3</v>
      </c>
      <c r="D55" s="24">
        <v>3</v>
      </c>
      <c r="E55" s="39">
        <v>3</v>
      </c>
      <c r="F55" s="49">
        <v>3</v>
      </c>
      <c r="G55" s="25">
        <v>3</v>
      </c>
      <c r="H55" s="41">
        <v>3</v>
      </c>
      <c r="I55" s="25">
        <v>3</v>
      </c>
      <c r="J55" s="25">
        <v>3</v>
      </c>
    </row>
    <row r="56" spans="1:10" x14ac:dyDescent="0.4">
      <c r="A56" s="53" t="s">
        <v>147</v>
      </c>
      <c r="B56" s="39">
        <v>3</v>
      </c>
      <c r="C56" s="22">
        <v>3</v>
      </c>
      <c r="D56" s="22">
        <v>3</v>
      </c>
      <c r="E56" s="39">
        <v>3</v>
      </c>
      <c r="F56" s="47">
        <v>2.5</v>
      </c>
      <c r="G56" s="22">
        <v>3</v>
      </c>
      <c r="H56" s="39">
        <v>3</v>
      </c>
      <c r="I56" s="22">
        <v>3</v>
      </c>
      <c r="J56" s="22">
        <v>3</v>
      </c>
    </row>
    <row r="57" spans="1:10" x14ac:dyDescent="0.4">
      <c r="A57" s="53" t="s">
        <v>148</v>
      </c>
      <c r="B57" s="39">
        <v>2.5</v>
      </c>
      <c r="C57" s="22">
        <v>2</v>
      </c>
      <c r="D57" s="22">
        <v>3</v>
      </c>
      <c r="E57" s="39">
        <v>3</v>
      </c>
      <c r="F57" s="47">
        <v>2.5</v>
      </c>
      <c r="G57" s="22">
        <v>3</v>
      </c>
      <c r="H57" s="39">
        <v>3</v>
      </c>
      <c r="I57" s="22">
        <v>2.5</v>
      </c>
      <c r="J57" s="22">
        <v>2</v>
      </c>
    </row>
    <row r="58" spans="1:10" x14ac:dyDescent="0.4">
      <c r="A58" s="53" t="s">
        <v>149</v>
      </c>
      <c r="B58" s="39">
        <v>2.5</v>
      </c>
      <c r="C58" s="22">
        <v>3</v>
      </c>
      <c r="D58" s="22">
        <v>3</v>
      </c>
      <c r="E58" s="39">
        <v>3</v>
      </c>
      <c r="F58" s="47">
        <v>3</v>
      </c>
      <c r="G58" s="22">
        <v>3</v>
      </c>
      <c r="H58" s="39">
        <v>3</v>
      </c>
      <c r="I58" s="22">
        <v>3</v>
      </c>
      <c r="J58" s="22">
        <v>2.5</v>
      </c>
    </row>
    <row r="59" spans="1:10" x14ac:dyDescent="0.4">
      <c r="A59" s="54" t="s">
        <v>150</v>
      </c>
      <c r="B59" s="40">
        <v>3</v>
      </c>
      <c r="C59" s="23">
        <v>2.5</v>
      </c>
      <c r="D59" s="23">
        <v>2.5</v>
      </c>
      <c r="E59" s="40">
        <v>3</v>
      </c>
      <c r="F59" s="48">
        <v>3</v>
      </c>
      <c r="G59" s="23">
        <v>1</v>
      </c>
      <c r="H59" s="40">
        <v>1</v>
      </c>
      <c r="I59" s="23">
        <v>3</v>
      </c>
      <c r="J59" s="23">
        <v>2.5</v>
      </c>
    </row>
    <row r="60" spans="1:10" x14ac:dyDescent="0.4">
      <c r="A60" s="53" t="s">
        <v>151</v>
      </c>
      <c r="B60" s="39">
        <v>3</v>
      </c>
      <c r="C60" s="22">
        <v>3</v>
      </c>
      <c r="D60" s="22">
        <v>3</v>
      </c>
      <c r="E60" s="39">
        <v>3</v>
      </c>
      <c r="F60" s="47">
        <v>3</v>
      </c>
      <c r="G60" s="22">
        <v>3</v>
      </c>
      <c r="H60" s="39">
        <v>1.5</v>
      </c>
      <c r="I60" s="22">
        <v>2</v>
      </c>
      <c r="J60" s="22">
        <v>2</v>
      </c>
    </row>
    <row r="61" spans="1:10" x14ac:dyDescent="0.4">
      <c r="A61" s="53" t="s">
        <v>152</v>
      </c>
      <c r="B61" s="39">
        <v>2.5</v>
      </c>
      <c r="C61" s="22">
        <v>2</v>
      </c>
      <c r="D61" s="22">
        <v>2.5</v>
      </c>
      <c r="E61" s="39">
        <v>2.5</v>
      </c>
      <c r="F61" s="47">
        <v>3</v>
      </c>
      <c r="G61" s="22">
        <v>2</v>
      </c>
      <c r="H61" s="39">
        <v>1</v>
      </c>
      <c r="I61" s="22">
        <v>1.5</v>
      </c>
      <c r="J61" s="22">
        <v>2</v>
      </c>
    </row>
    <row r="62" spans="1:10" x14ac:dyDescent="0.4">
      <c r="A62" s="53" t="s">
        <v>153</v>
      </c>
      <c r="B62" s="39">
        <v>2.5</v>
      </c>
      <c r="C62" s="22">
        <v>1</v>
      </c>
      <c r="D62" s="22">
        <v>3</v>
      </c>
      <c r="E62" s="39">
        <v>3</v>
      </c>
      <c r="F62" s="47">
        <v>3</v>
      </c>
      <c r="G62" s="22">
        <v>3</v>
      </c>
      <c r="H62" s="39">
        <v>1.5</v>
      </c>
      <c r="I62" s="22">
        <v>3</v>
      </c>
      <c r="J62" s="22">
        <v>3</v>
      </c>
    </row>
    <row r="63" spans="1:10" x14ac:dyDescent="0.4">
      <c r="A63" s="53" t="s">
        <v>154</v>
      </c>
      <c r="B63" s="39">
        <v>2.5</v>
      </c>
      <c r="C63" s="22">
        <v>3</v>
      </c>
      <c r="D63" s="22">
        <v>3</v>
      </c>
      <c r="E63" s="39">
        <v>3</v>
      </c>
      <c r="F63" s="47">
        <v>2.5</v>
      </c>
      <c r="G63" s="22">
        <v>3</v>
      </c>
      <c r="H63" s="39">
        <v>3</v>
      </c>
      <c r="I63" s="22">
        <v>2.5</v>
      </c>
      <c r="J63" s="22">
        <v>2</v>
      </c>
    </row>
    <row r="64" spans="1:10" x14ac:dyDescent="0.4">
      <c r="A64" s="53" t="s">
        <v>155</v>
      </c>
      <c r="B64" s="39">
        <v>2</v>
      </c>
      <c r="C64" s="22">
        <v>3</v>
      </c>
      <c r="D64" s="22">
        <v>2.5</v>
      </c>
      <c r="E64" s="39">
        <v>3</v>
      </c>
      <c r="F64" s="47">
        <v>3</v>
      </c>
      <c r="G64" s="22">
        <v>3</v>
      </c>
      <c r="H64" s="39">
        <v>3</v>
      </c>
      <c r="I64" s="22">
        <v>1</v>
      </c>
      <c r="J64" s="22">
        <v>1.5</v>
      </c>
    </row>
    <row r="65" spans="1:10" x14ac:dyDescent="0.4">
      <c r="A65" s="53" t="s">
        <v>156</v>
      </c>
      <c r="B65" s="39">
        <v>3</v>
      </c>
      <c r="C65" s="22">
        <v>2.5</v>
      </c>
      <c r="D65" s="22">
        <v>2</v>
      </c>
      <c r="E65" s="39">
        <v>3</v>
      </c>
      <c r="F65" s="47">
        <v>2.5</v>
      </c>
      <c r="G65" s="22">
        <v>3</v>
      </c>
      <c r="H65" s="39">
        <v>3</v>
      </c>
      <c r="I65" s="22">
        <v>2.5</v>
      </c>
      <c r="J65" s="22">
        <v>2</v>
      </c>
    </row>
    <row r="66" spans="1:10" x14ac:dyDescent="0.4">
      <c r="A66" s="53" t="s">
        <v>157</v>
      </c>
      <c r="B66" s="39">
        <v>3</v>
      </c>
      <c r="C66" s="22">
        <v>3</v>
      </c>
      <c r="D66" s="22">
        <v>2.5</v>
      </c>
      <c r="E66" s="39">
        <v>3</v>
      </c>
      <c r="F66" s="47">
        <v>3</v>
      </c>
      <c r="G66" s="22">
        <v>3</v>
      </c>
      <c r="H66" s="39">
        <v>3</v>
      </c>
      <c r="I66" s="22">
        <v>3</v>
      </c>
      <c r="J66" s="22">
        <v>2.5</v>
      </c>
    </row>
    <row r="67" spans="1:10" x14ac:dyDescent="0.4">
      <c r="A67" s="53" t="s">
        <v>158</v>
      </c>
      <c r="B67" s="39">
        <v>3</v>
      </c>
      <c r="C67" s="22">
        <v>3</v>
      </c>
      <c r="D67" s="22">
        <v>2.5</v>
      </c>
      <c r="E67" s="39">
        <v>3</v>
      </c>
      <c r="F67" s="47">
        <v>2.5</v>
      </c>
      <c r="G67" s="22">
        <v>3</v>
      </c>
      <c r="H67" s="39">
        <v>2</v>
      </c>
      <c r="I67" s="22">
        <v>3</v>
      </c>
      <c r="J67" s="22">
        <v>3</v>
      </c>
    </row>
    <row r="68" spans="1:10" x14ac:dyDescent="0.4">
      <c r="A68" s="53" t="s">
        <v>159</v>
      </c>
      <c r="B68" s="39">
        <v>2.5</v>
      </c>
      <c r="C68" s="22">
        <v>2.5</v>
      </c>
      <c r="D68" s="22">
        <v>3</v>
      </c>
      <c r="E68" s="39">
        <v>3</v>
      </c>
      <c r="F68" s="47">
        <v>2</v>
      </c>
      <c r="G68" s="22">
        <v>2</v>
      </c>
      <c r="H68" s="39">
        <v>1</v>
      </c>
      <c r="I68" s="22">
        <v>2</v>
      </c>
      <c r="J68" s="22">
        <v>1</v>
      </c>
    </row>
    <row r="69" spans="1:10" x14ac:dyDescent="0.4">
      <c r="A69" s="53" t="s">
        <v>160</v>
      </c>
      <c r="B69" s="39">
        <v>2</v>
      </c>
      <c r="C69" s="22">
        <v>3</v>
      </c>
      <c r="D69" s="22">
        <v>2</v>
      </c>
      <c r="E69" s="39">
        <v>3</v>
      </c>
      <c r="F69" s="47">
        <v>3</v>
      </c>
      <c r="G69" s="22">
        <v>3</v>
      </c>
      <c r="H69" s="39">
        <v>3</v>
      </c>
      <c r="I69" s="22">
        <v>2.5</v>
      </c>
      <c r="J69" s="22">
        <v>2</v>
      </c>
    </row>
    <row r="70" spans="1:10" x14ac:dyDescent="0.4">
      <c r="A70" s="53" t="s">
        <v>161</v>
      </c>
      <c r="B70" s="39">
        <v>2</v>
      </c>
      <c r="C70" s="22">
        <v>3</v>
      </c>
      <c r="D70" s="22">
        <v>1.5</v>
      </c>
      <c r="E70" s="39">
        <v>2</v>
      </c>
      <c r="F70" s="47">
        <v>3</v>
      </c>
      <c r="G70" s="22">
        <v>3</v>
      </c>
      <c r="H70" s="39">
        <v>3</v>
      </c>
      <c r="I70" s="22">
        <v>2.5</v>
      </c>
      <c r="J70" s="22">
        <v>2</v>
      </c>
    </row>
    <row r="71" spans="1:10" x14ac:dyDescent="0.4">
      <c r="A71" s="53" t="s">
        <v>166</v>
      </c>
      <c r="B71" s="39">
        <v>3</v>
      </c>
      <c r="C71" s="22">
        <v>2.5</v>
      </c>
      <c r="D71" s="22">
        <v>3</v>
      </c>
      <c r="E71" s="39">
        <v>3</v>
      </c>
      <c r="F71" s="47">
        <v>1</v>
      </c>
      <c r="G71" s="22">
        <v>3</v>
      </c>
      <c r="H71" s="39">
        <v>1.5</v>
      </c>
      <c r="I71" s="22">
        <v>1.5</v>
      </c>
      <c r="J71" s="22">
        <v>2</v>
      </c>
    </row>
    <row r="72" spans="1:10" x14ac:dyDescent="0.4">
      <c r="A72" s="53" t="s">
        <v>168</v>
      </c>
      <c r="B72" s="39">
        <v>2.5</v>
      </c>
      <c r="C72" s="22">
        <v>3</v>
      </c>
      <c r="D72" s="22">
        <v>3</v>
      </c>
      <c r="E72" s="39">
        <v>3</v>
      </c>
      <c r="F72" s="47">
        <v>2.5</v>
      </c>
      <c r="G72" s="22">
        <v>3</v>
      </c>
      <c r="H72" s="39">
        <v>3</v>
      </c>
      <c r="I72" s="22">
        <v>2</v>
      </c>
      <c r="J72" s="22">
        <v>3</v>
      </c>
    </row>
    <row r="73" spans="1:10" x14ac:dyDescent="0.4">
      <c r="A73" s="53" t="s">
        <v>173</v>
      </c>
      <c r="B73" s="39">
        <v>2.5</v>
      </c>
      <c r="C73" s="22">
        <v>2.5</v>
      </c>
      <c r="D73" s="22">
        <v>3</v>
      </c>
      <c r="E73" s="39">
        <v>2.5</v>
      </c>
      <c r="F73" s="47">
        <v>2.5</v>
      </c>
      <c r="G73" s="22">
        <v>2</v>
      </c>
      <c r="H73" s="39">
        <v>3</v>
      </c>
      <c r="I73" s="22">
        <v>1.5</v>
      </c>
      <c r="J73" s="22">
        <v>1.5</v>
      </c>
    </row>
    <row r="74" spans="1:10" x14ac:dyDescent="0.4">
      <c r="A74" s="53" t="s">
        <v>174</v>
      </c>
      <c r="B74" s="39">
        <v>3</v>
      </c>
      <c r="C74" s="22">
        <v>3</v>
      </c>
      <c r="D74" s="22">
        <v>3</v>
      </c>
      <c r="E74" s="39">
        <v>3</v>
      </c>
      <c r="F74" s="47">
        <v>2.5</v>
      </c>
      <c r="G74" s="22">
        <v>3</v>
      </c>
      <c r="H74" s="39">
        <v>3</v>
      </c>
      <c r="I74" s="22">
        <v>2.5</v>
      </c>
      <c r="J74" s="22">
        <v>3</v>
      </c>
    </row>
    <row r="75" spans="1:10" x14ac:dyDescent="0.4">
      <c r="A75" s="53" t="s">
        <v>171</v>
      </c>
      <c r="B75" s="39">
        <v>2.5</v>
      </c>
      <c r="C75" s="22">
        <v>3</v>
      </c>
      <c r="D75" s="22">
        <v>3</v>
      </c>
      <c r="E75" s="39">
        <v>3</v>
      </c>
      <c r="F75" s="47">
        <v>3</v>
      </c>
      <c r="G75" s="22">
        <v>3</v>
      </c>
      <c r="H75" s="39">
        <v>3</v>
      </c>
      <c r="I75" s="22">
        <v>3</v>
      </c>
      <c r="J75" s="22">
        <v>3</v>
      </c>
    </row>
    <row r="76" spans="1:10" x14ac:dyDescent="0.4">
      <c r="A76" s="53" t="s">
        <v>172</v>
      </c>
      <c r="B76" s="39">
        <v>3</v>
      </c>
      <c r="C76" s="22">
        <v>1.5</v>
      </c>
      <c r="D76" s="22">
        <v>2.5</v>
      </c>
      <c r="E76" s="39">
        <v>1.5</v>
      </c>
      <c r="F76" s="47">
        <v>2</v>
      </c>
      <c r="G76" s="22">
        <v>2</v>
      </c>
      <c r="H76" s="39">
        <v>1</v>
      </c>
      <c r="I76" s="22">
        <v>3</v>
      </c>
      <c r="J76" s="22">
        <v>3</v>
      </c>
    </row>
    <row r="77" spans="1:10" x14ac:dyDescent="0.4">
      <c r="A77" s="53" t="s">
        <v>170</v>
      </c>
      <c r="B77" s="39">
        <v>3</v>
      </c>
      <c r="C77" s="22">
        <v>3</v>
      </c>
      <c r="D77" s="22">
        <v>3</v>
      </c>
      <c r="E77" s="39">
        <v>3</v>
      </c>
      <c r="F77" s="47">
        <v>3</v>
      </c>
      <c r="G77" s="22">
        <v>3</v>
      </c>
      <c r="H77" s="39">
        <v>3</v>
      </c>
      <c r="I77" s="22">
        <v>2.5</v>
      </c>
      <c r="J77" s="22">
        <v>3</v>
      </c>
    </row>
    <row r="78" spans="1:10" x14ac:dyDescent="0.4">
      <c r="A78" s="53" t="s">
        <v>169</v>
      </c>
      <c r="B78" s="39">
        <v>2.5</v>
      </c>
      <c r="C78" s="22">
        <v>3</v>
      </c>
      <c r="D78" s="22">
        <v>3</v>
      </c>
      <c r="E78" s="39">
        <v>3</v>
      </c>
      <c r="F78" s="47">
        <v>2.5</v>
      </c>
      <c r="G78" s="22">
        <v>2</v>
      </c>
      <c r="H78" s="39">
        <v>1</v>
      </c>
      <c r="I78" s="22">
        <v>3</v>
      </c>
      <c r="J78" s="22">
        <v>3</v>
      </c>
    </row>
    <row r="79" spans="1:10" x14ac:dyDescent="0.4">
      <c r="A79" s="53" t="s">
        <v>167</v>
      </c>
      <c r="B79" s="39">
        <v>3</v>
      </c>
      <c r="C79" s="22">
        <v>2.5</v>
      </c>
      <c r="D79" s="22">
        <v>3</v>
      </c>
      <c r="E79" s="39">
        <v>3</v>
      </c>
      <c r="F79" s="47">
        <v>3</v>
      </c>
      <c r="G79" s="22">
        <v>3</v>
      </c>
      <c r="H79" s="39">
        <v>3</v>
      </c>
      <c r="I79" s="22">
        <v>3</v>
      </c>
      <c r="J79" s="22">
        <v>2</v>
      </c>
    </row>
    <row r="80" spans="1:10" x14ac:dyDescent="0.4">
      <c r="A80" s="53" t="s">
        <v>162</v>
      </c>
      <c r="B80" s="39">
        <v>2.5</v>
      </c>
      <c r="C80" s="22">
        <v>2.5</v>
      </c>
      <c r="D80" s="22">
        <v>2.5</v>
      </c>
      <c r="E80" s="39">
        <v>3</v>
      </c>
      <c r="F80" s="47">
        <v>2.5</v>
      </c>
      <c r="G80" s="22">
        <v>2</v>
      </c>
      <c r="H80" s="39">
        <v>1.5</v>
      </c>
      <c r="I80" s="22">
        <v>3</v>
      </c>
      <c r="J80" s="22">
        <v>2.5</v>
      </c>
    </row>
    <row r="81" spans="1:10" x14ac:dyDescent="0.4">
      <c r="A81" s="53" t="s">
        <v>165</v>
      </c>
      <c r="B81" s="39">
        <v>3</v>
      </c>
      <c r="C81" s="22">
        <v>2</v>
      </c>
      <c r="D81" s="22">
        <v>2</v>
      </c>
      <c r="E81" s="39">
        <v>3</v>
      </c>
      <c r="F81" s="47">
        <v>3</v>
      </c>
      <c r="G81" s="22">
        <v>3</v>
      </c>
      <c r="H81" s="39">
        <v>3</v>
      </c>
      <c r="I81" s="22">
        <v>3</v>
      </c>
      <c r="J81" s="22">
        <v>2</v>
      </c>
    </row>
    <row r="82" spans="1:10" x14ac:dyDescent="0.4">
      <c r="A82" s="53" t="s">
        <v>163</v>
      </c>
      <c r="B82" s="39">
        <v>2.5</v>
      </c>
      <c r="C82" s="22">
        <v>3</v>
      </c>
      <c r="D82" s="22">
        <v>2.5</v>
      </c>
      <c r="E82" s="39">
        <v>3</v>
      </c>
      <c r="F82" s="47">
        <v>2</v>
      </c>
      <c r="G82" s="22">
        <v>2</v>
      </c>
      <c r="H82" s="39">
        <v>1</v>
      </c>
      <c r="I82" s="22">
        <v>3</v>
      </c>
      <c r="J82" s="22">
        <v>3</v>
      </c>
    </row>
    <row r="83" spans="1:10" x14ac:dyDescent="0.4">
      <c r="A83" s="54" t="s">
        <v>164</v>
      </c>
      <c r="B83" s="40">
        <v>2.5</v>
      </c>
      <c r="C83" s="23">
        <v>3</v>
      </c>
      <c r="D83" s="23">
        <v>3</v>
      </c>
      <c r="E83" s="40">
        <v>3</v>
      </c>
      <c r="F83" s="48">
        <v>3</v>
      </c>
      <c r="G83" s="23">
        <v>3</v>
      </c>
      <c r="H83" s="40">
        <v>3</v>
      </c>
      <c r="I83" s="23">
        <v>3</v>
      </c>
      <c r="J83" s="23">
        <v>3</v>
      </c>
    </row>
    <row r="84" spans="1:10" x14ac:dyDescent="0.4">
      <c r="A84" s="53"/>
      <c r="B84" s="41"/>
      <c r="C84" s="25"/>
      <c r="D84" s="25"/>
    </row>
    <row r="85" spans="1:10" x14ac:dyDescent="0.4">
      <c r="A85" s="58"/>
      <c r="B85" s="24"/>
      <c r="C85" s="24"/>
      <c r="D85" s="24"/>
      <c r="E85" s="24"/>
      <c r="F85" s="24"/>
      <c r="G85" s="24"/>
      <c r="H85" s="24"/>
      <c r="I85" s="24"/>
      <c r="J85" s="24"/>
    </row>
    <row r="86" spans="1:10" x14ac:dyDescent="0.4">
      <c r="A86" s="19"/>
      <c r="B86" s="3"/>
      <c r="C86" s="3"/>
      <c r="D86" s="3"/>
      <c r="E86" s="3"/>
      <c r="F86" s="3"/>
      <c r="G86" s="3"/>
    </row>
    <row r="87" spans="1:10" x14ac:dyDescent="0.4">
      <c r="A87" s="3"/>
      <c r="B87" s="3"/>
      <c r="C87" s="3"/>
      <c r="D87" s="3"/>
      <c r="E87" s="3"/>
      <c r="F87" s="3"/>
      <c r="G87" s="3"/>
    </row>
    <row r="88" spans="1:10" x14ac:dyDescent="0.4">
      <c r="A88" s="15" t="s">
        <v>54</v>
      </c>
      <c r="B88" s="14"/>
      <c r="C88" s="14"/>
      <c r="D88" s="14"/>
      <c r="E88" s="14"/>
      <c r="F88" s="14"/>
      <c r="G88" s="14"/>
      <c r="H88" s="14"/>
      <c r="I88" s="14"/>
      <c r="J88" s="14"/>
    </row>
    <row r="89" spans="1:10" x14ac:dyDescent="0.4">
      <c r="A89" s="16" t="s">
        <v>13</v>
      </c>
      <c r="B89" s="27">
        <v>1</v>
      </c>
      <c r="C89" s="27">
        <v>2</v>
      </c>
      <c r="D89" s="27">
        <v>3</v>
      </c>
      <c r="E89" s="27">
        <v>4</v>
      </c>
      <c r="F89" s="27">
        <v>5</v>
      </c>
      <c r="G89" s="27">
        <v>6</v>
      </c>
      <c r="H89" s="27">
        <v>7</v>
      </c>
      <c r="I89" s="27">
        <v>8</v>
      </c>
      <c r="J89" s="27">
        <v>9</v>
      </c>
    </row>
    <row r="90" spans="1:10" x14ac:dyDescent="0.4">
      <c r="A90" s="17" t="s">
        <v>10</v>
      </c>
      <c r="B90" s="27">
        <v>7</v>
      </c>
      <c r="C90" s="27">
        <v>4</v>
      </c>
      <c r="D90" s="27">
        <v>4</v>
      </c>
      <c r="E90" s="27">
        <v>4</v>
      </c>
      <c r="F90" s="27">
        <v>5</v>
      </c>
      <c r="G90" s="27" t="s">
        <v>16</v>
      </c>
      <c r="H90" s="27">
        <v>1</v>
      </c>
      <c r="I90" s="27" t="s">
        <v>17</v>
      </c>
      <c r="J90" s="27">
        <v>1</v>
      </c>
    </row>
    <row r="91" spans="1:10" x14ac:dyDescent="0.4">
      <c r="A91" s="18" t="s">
        <v>3</v>
      </c>
      <c r="B91" s="28">
        <f t="shared" ref="B91:J91" si="0">AVERAGE(B19:B83)</f>
        <v>2.6307692307692307</v>
      </c>
      <c r="C91" s="28">
        <f t="shared" si="0"/>
        <v>2.6153846153846154</v>
      </c>
      <c r="D91" s="28">
        <f t="shared" si="0"/>
        <v>2.6153846153846154</v>
      </c>
      <c r="E91" s="28">
        <f t="shared" si="0"/>
        <v>2.7307692307692308</v>
      </c>
      <c r="F91" s="28">
        <f t="shared" si="0"/>
        <v>2.6692307692307691</v>
      </c>
      <c r="G91" s="28">
        <f t="shared" si="0"/>
        <v>2.6153846153846154</v>
      </c>
      <c r="H91" s="28">
        <f t="shared" si="0"/>
        <v>2.2846153846153845</v>
      </c>
      <c r="I91" s="28">
        <f t="shared" si="0"/>
        <v>2.546153846153846</v>
      </c>
      <c r="J91" s="28">
        <f t="shared" si="0"/>
        <v>2.3923076923076922</v>
      </c>
    </row>
    <row r="92" spans="1:10" x14ac:dyDescent="0.4">
      <c r="A92" s="17" t="s">
        <v>4</v>
      </c>
      <c r="B92" s="29">
        <f t="shared" ref="B92:J92" si="1">STDEV(B19:B83)</f>
        <v>0.39801188617736172</v>
      </c>
      <c r="C92" s="29">
        <f t="shared" si="1"/>
        <v>0.51363617024564667</v>
      </c>
      <c r="D92" s="29">
        <f t="shared" si="1"/>
        <v>0.45731238271515784</v>
      </c>
      <c r="E92" s="29">
        <f t="shared" si="1"/>
        <v>0.5006006008171201</v>
      </c>
      <c r="F92" s="29">
        <f t="shared" si="1"/>
        <v>0.38807339710222488</v>
      </c>
      <c r="G92" s="29">
        <f t="shared" si="1"/>
        <v>0.55034953927900676</v>
      </c>
      <c r="H92" s="29">
        <f t="shared" si="1"/>
        <v>0.84764946492321658</v>
      </c>
      <c r="I92" s="29">
        <f t="shared" si="1"/>
        <v>0.57773180495930709</v>
      </c>
      <c r="J92" s="29">
        <f t="shared" si="1"/>
        <v>0.54838048273635143</v>
      </c>
    </row>
    <row r="93" spans="1:10" x14ac:dyDescent="0.4">
      <c r="A93" s="18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4">
      <c r="A94" s="18" t="s">
        <v>19</v>
      </c>
      <c r="B94" s="7">
        <f>AVERAGE(B91:J91)</f>
        <v>2.5666666666666664</v>
      </c>
      <c r="C94" s="5"/>
      <c r="D94" s="5"/>
      <c r="E94" s="5"/>
      <c r="F94" s="5"/>
      <c r="G94" s="5"/>
      <c r="H94" s="5"/>
      <c r="I94" s="5"/>
      <c r="J94" s="5"/>
    </row>
    <row r="95" spans="1:10" x14ac:dyDescent="0.4">
      <c r="A95" s="17"/>
      <c r="B95" s="14"/>
      <c r="C95" s="14"/>
      <c r="D95" s="14"/>
      <c r="E95" s="14"/>
      <c r="F95" s="14"/>
      <c r="G95" s="14"/>
      <c r="H95" s="14"/>
      <c r="I95" s="14"/>
      <c r="J95" s="14"/>
    </row>
    <row r="96" spans="1:10" x14ac:dyDescent="0.4">
      <c r="A96" s="18"/>
      <c r="B96" s="5"/>
      <c r="C96" s="5"/>
      <c r="D96" s="5"/>
      <c r="E96" s="5"/>
      <c r="F96" s="5"/>
      <c r="G96" s="5"/>
      <c r="H96" s="5"/>
      <c r="I96" s="5"/>
      <c r="J96" s="5"/>
    </row>
    <row r="98" spans="1:9" x14ac:dyDescent="0.4">
      <c r="A98" s="8" t="s">
        <v>12</v>
      </c>
      <c r="B98" s="6"/>
      <c r="C98" s="6"/>
      <c r="D98" s="6"/>
      <c r="E98" s="6"/>
      <c r="F98" s="6"/>
      <c r="G98" s="13"/>
      <c r="H98" s="3"/>
      <c r="I98" s="3"/>
    </row>
    <row r="99" spans="1:9" x14ac:dyDescent="0.4">
      <c r="A99" s="8"/>
      <c r="B99" s="31">
        <v>1</v>
      </c>
      <c r="C99" s="31">
        <v>2</v>
      </c>
      <c r="D99" s="31">
        <v>4</v>
      </c>
      <c r="E99" s="31">
        <v>5</v>
      </c>
      <c r="F99" s="21">
        <v>6</v>
      </c>
      <c r="G99" s="21">
        <v>7</v>
      </c>
      <c r="H99" s="3"/>
      <c r="I99" s="3"/>
    </row>
    <row r="100" spans="1:9" x14ac:dyDescent="0.4">
      <c r="A100" s="6" t="s">
        <v>6</v>
      </c>
      <c r="B100" s="32">
        <f>AVERAGE(G91,H91,I91,J91)</f>
        <v>2.4596153846153848</v>
      </c>
      <c r="C100" s="32">
        <f>AVERAGE(G91)</f>
        <v>2.6153846153846154</v>
      </c>
      <c r="D100" s="32">
        <f>AVERAGE(C91,D91,E91)</f>
        <v>2.6538461538461537</v>
      </c>
      <c r="E100" s="32">
        <f>AVERAGE(F91)</f>
        <v>2.6692307692307691</v>
      </c>
      <c r="F100" s="32">
        <f>AVERAGE(I91)</f>
        <v>2.546153846153846</v>
      </c>
      <c r="G100" s="32">
        <f>AVERAGE(B91)</f>
        <v>2.6307692307692307</v>
      </c>
      <c r="H100" s="3"/>
      <c r="I100" s="34"/>
    </row>
    <row r="101" spans="1:9" x14ac:dyDescent="0.4">
      <c r="A101" s="6" t="s">
        <v>7</v>
      </c>
      <c r="B101" s="32">
        <f>STDEV(G91,H91,I91,J91)</f>
        <v>0.14934109059874609</v>
      </c>
      <c r="C101" s="32" t="s">
        <v>18</v>
      </c>
      <c r="D101" s="32">
        <f>STDEV(C91,D91,E91)</f>
        <v>6.661733875264915E-2</v>
      </c>
      <c r="E101" s="32" t="s">
        <v>18</v>
      </c>
      <c r="F101" s="33" t="s">
        <v>18</v>
      </c>
      <c r="G101" s="33" t="s">
        <v>18</v>
      </c>
      <c r="H101" s="3"/>
      <c r="I101" s="34"/>
    </row>
    <row r="103" spans="1:9" x14ac:dyDescent="0.4">
      <c r="B103" s="30"/>
    </row>
    <row r="146" spans="1:1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4">
      <c r="A157" s="3"/>
      <c r="B157" s="3"/>
      <c r="C157" s="3"/>
      <c r="D157" s="3"/>
      <c r="E157" s="3"/>
      <c r="F157" s="3"/>
      <c r="G157" s="3"/>
      <c r="H157" s="9"/>
      <c r="I157" s="9"/>
      <c r="J157" s="9"/>
      <c r="K157" s="3"/>
    </row>
    <row r="158" spans="1:1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4">
      <c r="A179" s="3"/>
      <c r="B179" s="10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4">
      <c r="A180" s="3"/>
      <c r="B180" s="10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4">
      <c r="A181" s="3"/>
      <c r="B181" s="10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4">
      <c r="A182" s="3"/>
      <c r="B182" s="10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4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Views>
    <sheetView topLeftCell="A65" zoomScale="90" zoomScaleNormal="90" workbookViewId="0">
      <selection activeCell="A66" sqref="A66"/>
    </sheetView>
  </sheetViews>
  <sheetFormatPr defaultRowHeight="14.6" x14ac:dyDescent="0.4"/>
  <cols>
    <col min="1" max="1" width="20.15234375" customWidth="1"/>
    <col min="2" max="2" width="11.53515625" customWidth="1"/>
    <col min="6" max="6" width="10.84375" customWidth="1"/>
    <col min="7" max="7" width="9.53515625" bestFit="1" customWidth="1"/>
    <col min="13" max="13" width="28.53515625" customWidth="1"/>
    <col min="16" max="16" width="27.15234375" customWidth="1"/>
  </cols>
  <sheetData>
    <row r="1" spans="1:16" x14ac:dyDescent="0.4">
      <c r="A1" s="1" t="s">
        <v>14</v>
      </c>
      <c r="L1" s="35" t="s">
        <v>47</v>
      </c>
      <c r="M1" s="35"/>
      <c r="O1" t="s">
        <v>47</v>
      </c>
    </row>
    <row r="2" spans="1:16" ht="15" customHeight="1" x14ac:dyDescent="0.4">
      <c r="A2" s="1"/>
      <c r="L2" s="36" t="s">
        <v>20</v>
      </c>
      <c r="M2" s="36" t="s">
        <v>22</v>
      </c>
      <c r="N2" s="37"/>
      <c r="O2" s="37" t="s">
        <v>20</v>
      </c>
      <c r="P2" s="37" t="s">
        <v>22</v>
      </c>
    </row>
    <row r="3" spans="1:16" x14ac:dyDescent="0.4">
      <c r="A3" s="1" t="s">
        <v>11</v>
      </c>
      <c r="L3" s="35" t="s">
        <v>21</v>
      </c>
      <c r="M3" s="35"/>
      <c r="O3" t="s">
        <v>21</v>
      </c>
    </row>
    <row r="4" spans="1:16" x14ac:dyDescent="0.4">
      <c r="A4" s="2" t="s">
        <v>15</v>
      </c>
      <c r="B4" s="2"/>
      <c r="C4" s="2"/>
      <c r="D4" s="2"/>
      <c r="L4" s="35">
        <v>1</v>
      </c>
      <c r="M4" s="35" t="s">
        <v>23</v>
      </c>
      <c r="O4" s="35">
        <v>4</v>
      </c>
      <c r="P4" t="s">
        <v>34</v>
      </c>
    </row>
    <row r="5" spans="1:16" x14ac:dyDescent="0.4">
      <c r="A5" s="2" t="s">
        <v>53</v>
      </c>
      <c r="B5" s="2"/>
      <c r="C5" s="2"/>
      <c r="D5" s="2"/>
      <c r="E5" s="2"/>
      <c r="F5" s="2"/>
      <c r="G5" s="2"/>
      <c r="L5" s="35"/>
      <c r="M5" s="35" t="s">
        <v>24</v>
      </c>
      <c r="O5" s="35"/>
      <c r="P5" t="s">
        <v>35</v>
      </c>
    </row>
    <row r="6" spans="1:16" x14ac:dyDescent="0.4">
      <c r="A6" s="2"/>
      <c r="B6" s="2"/>
      <c r="C6" s="2"/>
      <c r="D6" s="2"/>
      <c r="E6" s="2"/>
      <c r="F6" s="2"/>
      <c r="G6" s="2"/>
      <c r="L6" s="35" t="s">
        <v>25</v>
      </c>
      <c r="M6" s="35" t="s">
        <v>26</v>
      </c>
      <c r="O6" s="35"/>
      <c r="P6" t="s">
        <v>36</v>
      </c>
    </row>
    <row r="7" spans="1:16" x14ac:dyDescent="0.4">
      <c r="A7" s="2"/>
      <c r="L7" s="35"/>
      <c r="M7" s="35" t="s">
        <v>27</v>
      </c>
      <c r="O7" s="35"/>
      <c r="P7" t="s">
        <v>37</v>
      </c>
    </row>
    <row r="8" spans="1:16" x14ac:dyDescent="0.4">
      <c r="L8" s="35" t="s">
        <v>28</v>
      </c>
      <c r="M8" s="35" t="s">
        <v>29</v>
      </c>
      <c r="O8" s="35">
        <v>4</v>
      </c>
      <c r="P8" t="s">
        <v>38</v>
      </c>
    </row>
    <row r="9" spans="1:16" x14ac:dyDescent="0.4">
      <c r="A9" s="12" t="s">
        <v>9</v>
      </c>
      <c r="B9" s="4"/>
      <c r="C9" s="4"/>
      <c r="L9" s="35"/>
      <c r="M9" s="35" t="s">
        <v>30</v>
      </c>
      <c r="O9" s="35"/>
      <c r="P9" t="s">
        <v>39</v>
      </c>
    </row>
    <row r="10" spans="1:16" x14ac:dyDescent="0.4">
      <c r="A10" s="4">
        <v>1</v>
      </c>
      <c r="B10" s="4" t="s">
        <v>0</v>
      </c>
      <c r="C10" s="4"/>
      <c r="L10" s="35" t="s">
        <v>31</v>
      </c>
      <c r="M10" s="35" t="s">
        <v>32</v>
      </c>
      <c r="O10" s="35">
        <v>5</v>
      </c>
      <c r="P10" t="s">
        <v>40</v>
      </c>
    </row>
    <row r="11" spans="1:16" x14ac:dyDescent="0.4">
      <c r="A11" s="4">
        <v>2</v>
      </c>
      <c r="B11" s="4" t="s">
        <v>1</v>
      </c>
      <c r="C11" s="4"/>
      <c r="L11" s="35">
        <v>3</v>
      </c>
      <c r="M11" s="35" t="s">
        <v>33</v>
      </c>
      <c r="O11" s="35"/>
      <c r="P11" t="s">
        <v>41</v>
      </c>
    </row>
    <row r="12" spans="1:16" x14ac:dyDescent="0.4">
      <c r="A12" s="4">
        <v>3</v>
      </c>
      <c r="B12" s="4" t="s">
        <v>2</v>
      </c>
      <c r="C12" s="4"/>
      <c r="O12" s="35"/>
      <c r="P12" t="s">
        <v>42</v>
      </c>
    </row>
    <row r="13" spans="1:16" x14ac:dyDescent="0.4">
      <c r="A13" s="4"/>
      <c r="B13" s="4"/>
      <c r="C13" s="4"/>
      <c r="O13" s="35"/>
      <c r="P13" t="s">
        <v>43</v>
      </c>
    </row>
    <row r="14" spans="1:16" x14ac:dyDescent="0.4">
      <c r="A14" s="43"/>
      <c r="B14" s="52" t="s">
        <v>48</v>
      </c>
      <c r="C14" t="s">
        <v>49</v>
      </c>
      <c r="E14" s="43"/>
      <c r="F14" s="46" t="s">
        <v>50</v>
      </c>
      <c r="G14" t="s">
        <v>51</v>
      </c>
      <c r="H14" s="43"/>
      <c r="I14" t="s">
        <v>52</v>
      </c>
      <c r="O14" s="35"/>
      <c r="P14" t="s">
        <v>44</v>
      </c>
    </row>
    <row r="15" spans="1:16" x14ac:dyDescent="0.4">
      <c r="A15" s="38" t="s">
        <v>8</v>
      </c>
      <c r="B15" s="38">
        <v>1</v>
      </c>
      <c r="C15" s="20">
        <v>2</v>
      </c>
      <c r="D15" s="20">
        <v>3</v>
      </c>
      <c r="E15" s="38">
        <v>4</v>
      </c>
      <c r="F15" s="44">
        <v>5</v>
      </c>
      <c r="G15" s="20">
        <v>6</v>
      </c>
      <c r="H15" s="38">
        <v>7</v>
      </c>
      <c r="I15" s="20">
        <v>8</v>
      </c>
      <c r="J15" s="20">
        <v>9</v>
      </c>
      <c r="O15" s="35">
        <v>5</v>
      </c>
      <c r="P15" t="s">
        <v>45</v>
      </c>
    </row>
    <row r="16" spans="1:16" x14ac:dyDescent="0.4">
      <c r="A16" s="38" t="s">
        <v>10</v>
      </c>
      <c r="B16" s="38">
        <v>7</v>
      </c>
      <c r="C16" s="20">
        <v>4</v>
      </c>
      <c r="D16" s="20">
        <v>4</v>
      </c>
      <c r="E16" s="38">
        <v>4</v>
      </c>
      <c r="F16" s="45">
        <v>5</v>
      </c>
      <c r="G16" s="21" t="s">
        <v>16</v>
      </c>
      <c r="H16" s="51">
        <v>1</v>
      </c>
      <c r="I16" s="21" t="s">
        <v>17</v>
      </c>
      <c r="J16" s="21">
        <v>1</v>
      </c>
      <c r="P16" t="s">
        <v>46</v>
      </c>
    </row>
    <row r="17" spans="1:10" x14ac:dyDescent="0.4">
      <c r="A17" s="55"/>
      <c r="B17" s="56"/>
      <c r="C17" s="37"/>
      <c r="D17" s="37"/>
      <c r="E17" s="55"/>
      <c r="F17" s="57"/>
      <c r="G17" s="37"/>
      <c r="H17" s="55"/>
      <c r="I17" s="37"/>
      <c r="J17" s="37"/>
    </row>
    <row r="18" spans="1:10" x14ac:dyDescent="0.4">
      <c r="A18" s="43" t="s">
        <v>5</v>
      </c>
    </row>
    <row r="19" spans="1:10" x14ac:dyDescent="0.4">
      <c r="A19" s="53" t="s">
        <v>55</v>
      </c>
      <c r="B19" s="39">
        <v>2.5</v>
      </c>
      <c r="C19" s="22">
        <v>2</v>
      </c>
      <c r="D19" s="22">
        <v>2.5</v>
      </c>
      <c r="E19" s="39">
        <v>3</v>
      </c>
      <c r="F19" s="47">
        <v>2.5</v>
      </c>
      <c r="G19" s="25">
        <v>3</v>
      </c>
      <c r="H19" s="39">
        <v>3</v>
      </c>
      <c r="I19" s="25">
        <v>3</v>
      </c>
      <c r="J19" s="25">
        <v>3</v>
      </c>
    </row>
    <row r="20" spans="1:10" x14ac:dyDescent="0.4">
      <c r="A20" s="53" t="s">
        <v>56</v>
      </c>
      <c r="B20" s="39">
        <v>2.5</v>
      </c>
      <c r="C20" s="22">
        <v>3</v>
      </c>
      <c r="D20" s="22">
        <v>2.5</v>
      </c>
      <c r="E20" s="39">
        <v>3</v>
      </c>
      <c r="F20" s="47">
        <v>3</v>
      </c>
      <c r="G20" s="22">
        <v>3</v>
      </c>
      <c r="H20" s="39">
        <v>2</v>
      </c>
      <c r="I20" s="22">
        <v>2</v>
      </c>
      <c r="J20" s="22">
        <v>2</v>
      </c>
    </row>
    <row r="21" spans="1:10" x14ac:dyDescent="0.4">
      <c r="A21" s="53" t="s">
        <v>57</v>
      </c>
      <c r="B21" s="39">
        <v>2.75</v>
      </c>
      <c r="C21" s="22">
        <v>2</v>
      </c>
      <c r="D21" s="22">
        <v>2</v>
      </c>
      <c r="E21" s="39">
        <v>3</v>
      </c>
      <c r="F21" s="47">
        <v>2.5</v>
      </c>
      <c r="G21" s="22">
        <v>3</v>
      </c>
      <c r="H21" s="39">
        <v>2</v>
      </c>
      <c r="I21" s="22">
        <v>2</v>
      </c>
      <c r="J21" s="22">
        <v>2</v>
      </c>
    </row>
    <row r="22" spans="1:10" x14ac:dyDescent="0.4">
      <c r="A22" s="53" t="s">
        <v>58</v>
      </c>
      <c r="B22" s="39">
        <v>1</v>
      </c>
      <c r="C22" s="22">
        <v>3</v>
      </c>
      <c r="D22" s="22">
        <v>2</v>
      </c>
      <c r="E22" s="39">
        <v>3</v>
      </c>
      <c r="F22" s="47">
        <v>2.5</v>
      </c>
      <c r="G22" s="22">
        <v>3</v>
      </c>
      <c r="H22" s="39">
        <v>3</v>
      </c>
      <c r="I22" s="22">
        <v>3</v>
      </c>
      <c r="J22" s="22">
        <v>3</v>
      </c>
    </row>
    <row r="23" spans="1:10" x14ac:dyDescent="0.4">
      <c r="A23" s="54" t="s">
        <v>59</v>
      </c>
      <c r="B23" s="40">
        <v>2.75</v>
      </c>
      <c r="C23" s="23">
        <v>3</v>
      </c>
      <c r="D23" s="23">
        <v>2.5</v>
      </c>
      <c r="E23" s="40">
        <v>3</v>
      </c>
      <c r="F23" s="48">
        <v>3</v>
      </c>
      <c r="G23" s="23">
        <v>3</v>
      </c>
      <c r="H23" s="40">
        <v>3</v>
      </c>
      <c r="I23" s="23">
        <v>2</v>
      </c>
      <c r="J23" s="23">
        <v>2.5</v>
      </c>
    </row>
    <row r="24" spans="1:10" x14ac:dyDescent="0.4">
      <c r="A24" s="53" t="s">
        <v>60</v>
      </c>
      <c r="B24" s="39">
        <v>2</v>
      </c>
      <c r="C24" s="24">
        <v>2</v>
      </c>
      <c r="D24" s="24">
        <v>2</v>
      </c>
      <c r="E24" s="39">
        <v>3</v>
      </c>
      <c r="F24" s="47">
        <v>3</v>
      </c>
      <c r="G24" s="22">
        <v>2</v>
      </c>
      <c r="H24" s="39">
        <v>1</v>
      </c>
      <c r="I24" s="22">
        <v>2</v>
      </c>
      <c r="J24" s="22">
        <v>1.5</v>
      </c>
    </row>
    <row r="25" spans="1:10" x14ac:dyDescent="0.4">
      <c r="A25" s="53" t="s">
        <v>61</v>
      </c>
      <c r="B25" s="39">
        <v>3</v>
      </c>
      <c r="C25" s="24">
        <v>3</v>
      </c>
      <c r="D25" s="24">
        <v>3</v>
      </c>
      <c r="E25" s="41">
        <v>3</v>
      </c>
      <c r="F25" s="49">
        <v>3</v>
      </c>
      <c r="G25" s="25">
        <v>2</v>
      </c>
      <c r="H25" s="41">
        <v>3</v>
      </c>
      <c r="I25" s="25">
        <v>3</v>
      </c>
      <c r="J25" s="25">
        <v>3</v>
      </c>
    </row>
    <row r="26" spans="1:10" x14ac:dyDescent="0.4">
      <c r="A26" s="53" t="s">
        <v>62</v>
      </c>
      <c r="B26" s="39">
        <v>2</v>
      </c>
      <c r="C26" s="24">
        <v>3</v>
      </c>
      <c r="D26" s="24">
        <v>2</v>
      </c>
      <c r="E26" s="39">
        <v>2</v>
      </c>
      <c r="F26" s="47">
        <v>2</v>
      </c>
      <c r="G26" s="22">
        <v>1</v>
      </c>
      <c r="H26" s="39">
        <v>1</v>
      </c>
      <c r="I26" s="22">
        <v>1.5</v>
      </c>
      <c r="J26" s="22">
        <v>2</v>
      </c>
    </row>
    <row r="27" spans="1:10" x14ac:dyDescent="0.4">
      <c r="A27" s="53" t="s">
        <v>63</v>
      </c>
      <c r="B27" s="39">
        <v>1.5</v>
      </c>
      <c r="C27" s="24">
        <v>2.5</v>
      </c>
      <c r="D27" s="24">
        <v>3</v>
      </c>
      <c r="E27" s="39">
        <v>3</v>
      </c>
      <c r="F27" s="47">
        <v>3</v>
      </c>
      <c r="G27" s="22">
        <v>3</v>
      </c>
      <c r="H27" s="39">
        <v>3</v>
      </c>
      <c r="I27" s="22">
        <v>2.5</v>
      </c>
      <c r="J27" s="22">
        <v>2.5</v>
      </c>
    </row>
    <row r="28" spans="1:10" x14ac:dyDescent="0.4">
      <c r="A28" s="53" t="s">
        <v>64</v>
      </c>
      <c r="B28" s="39">
        <v>2.5</v>
      </c>
      <c r="C28" s="24">
        <v>2</v>
      </c>
      <c r="D28" s="24">
        <v>3</v>
      </c>
      <c r="E28" s="39">
        <v>3</v>
      </c>
      <c r="F28" s="47">
        <v>2.5</v>
      </c>
      <c r="G28" s="22">
        <v>3</v>
      </c>
      <c r="H28" s="39">
        <v>3</v>
      </c>
      <c r="I28" s="22">
        <v>1</v>
      </c>
      <c r="J28" s="22">
        <v>1.5</v>
      </c>
    </row>
    <row r="29" spans="1:10" x14ac:dyDescent="0.4">
      <c r="A29" s="54" t="s">
        <v>65</v>
      </c>
      <c r="B29" s="40">
        <v>3</v>
      </c>
      <c r="C29" s="23">
        <v>1</v>
      </c>
      <c r="D29" s="23">
        <v>3</v>
      </c>
      <c r="E29" s="40">
        <v>3</v>
      </c>
      <c r="F29" s="48">
        <v>2.5</v>
      </c>
      <c r="G29" s="23">
        <v>2</v>
      </c>
      <c r="H29" s="40">
        <v>1.5</v>
      </c>
      <c r="I29" s="23">
        <v>1.5</v>
      </c>
      <c r="J29" s="23">
        <v>1.5</v>
      </c>
    </row>
    <row r="30" spans="1:10" x14ac:dyDescent="0.4">
      <c r="A30" s="53" t="s">
        <v>66</v>
      </c>
      <c r="B30" s="39">
        <v>2</v>
      </c>
      <c r="C30" s="24">
        <v>3</v>
      </c>
      <c r="D30" s="24">
        <v>3</v>
      </c>
      <c r="E30" s="39">
        <v>2</v>
      </c>
      <c r="F30" s="47">
        <v>2</v>
      </c>
      <c r="G30" s="24">
        <v>3</v>
      </c>
      <c r="H30" s="39">
        <v>3</v>
      </c>
      <c r="I30" s="24">
        <v>1.5</v>
      </c>
      <c r="J30" s="24">
        <v>2</v>
      </c>
    </row>
    <row r="31" spans="1:10" x14ac:dyDescent="0.4">
      <c r="A31" s="53" t="s">
        <v>67</v>
      </c>
      <c r="B31" s="39">
        <v>2</v>
      </c>
      <c r="C31" s="24">
        <v>1</v>
      </c>
      <c r="D31" s="24">
        <v>2</v>
      </c>
      <c r="E31" s="41">
        <v>3</v>
      </c>
      <c r="F31" s="49">
        <v>2</v>
      </c>
      <c r="G31" s="25">
        <v>2</v>
      </c>
      <c r="H31" s="41">
        <v>1</v>
      </c>
      <c r="I31" s="25">
        <v>2</v>
      </c>
      <c r="J31" s="25">
        <v>1</v>
      </c>
    </row>
    <row r="32" spans="1:10" x14ac:dyDescent="0.4">
      <c r="A32" s="53" t="s">
        <v>68</v>
      </c>
      <c r="B32" s="39">
        <v>3</v>
      </c>
      <c r="C32" s="24">
        <v>3</v>
      </c>
      <c r="D32" s="24">
        <v>2</v>
      </c>
      <c r="E32" s="39">
        <v>2</v>
      </c>
      <c r="F32" s="47">
        <v>2.5</v>
      </c>
      <c r="G32" s="24">
        <v>2</v>
      </c>
      <c r="H32" s="39">
        <v>3</v>
      </c>
      <c r="I32" s="24">
        <v>2</v>
      </c>
      <c r="J32" s="24">
        <v>2</v>
      </c>
    </row>
    <row r="33" spans="1:10" x14ac:dyDescent="0.4">
      <c r="A33" s="53" t="s">
        <v>69</v>
      </c>
      <c r="B33" s="39">
        <v>2.5</v>
      </c>
      <c r="C33" s="24">
        <v>2.5</v>
      </c>
      <c r="D33" s="24">
        <v>2.5</v>
      </c>
      <c r="E33" s="39">
        <v>2</v>
      </c>
      <c r="F33" s="47">
        <v>3</v>
      </c>
      <c r="G33" s="22">
        <v>3</v>
      </c>
      <c r="H33" s="39">
        <v>3</v>
      </c>
      <c r="I33" s="22">
        <v>2.5</v>
      </c>
      <c r="J33" s="22">
        <v>2</v>
      </c>
    </row>
    <row r="34" spans="1:10" x14ac:dyDescent="0.4">
      <c r="A34" s="53" t="s">
        <v>70</v>
      </c>
      <c r="B34" s="39">
        <v>3</v>
      </c>
      <c r="C34" s="24">
        <v>3</v>
      </c>
      <c r="D34" s="24">
        <v>3</v>
      </c>
      <c r="E34" s="39">
        <v>2</v>
      </c>
      <c r="F34" s="47">
        <v>3</v>
      </c>
      <c r="G34" s="22">
        <v>3</v>
      </c>
      <c r="H34" s="39">
        <v>3</v>
      </c>
      <c r="I34" s="22">
        <v>2.5</v>
      </c>
      <c r="J34" s="22">
        <v>2</v>
      </c>
    </row>
    <row r="35" spans="1:10" x14ac:dyDescent="0.4">
      <c r="A35" s="54" t="s">
        <v>71</v>
      </c>
      <c r="B35" s="40">
        <v>2</v>
      </c>
      <c r="C35" s="23">
        <v>3</v>
      </c>
      <c r="D35" s="23">
        <v>3</v>
      </c>
      <c r="E35" s="40">
        <v>3</v>
      </c>
      <c r="F35" s="48">
        <v>2.5</v>
      </c>
      <c r="G35" s="23">
        <v>3</v>
      </c>
      <c r="H35" s="40">
        <v>3</v>
      </c>
      <c r="I35" s="23">
        <v>3</v>
      </c>
      <c r="J35" s="23">
        <v>3</v>
      </c>
    </row>
    <row r="36" spans="1:10" x14ac:dyDescent="0.4">
      <c r="A36" s="53" t="s">
        <v>72</v>
      </c>
      <c r="B36" s="39">
        <v>2.5</v>
      </c>
      <c r="C36" s="24">
        <v>1</v>
      </c>
      <c r="D36" s="24">
        <v>1</v>
      </c>
      <c r="E36" s="39">
        <v>1.5</v>
      </c>
      <c r="F36" s="47">
        <v>2.5</v>
      </c>
      <c r="G36" s="24">
        <v>2</v>
      </c>
      <c r="H36" s="39">
        <v>1</v>
      </c>
      <c r="I36" s="24">
        <v>2.5</v>
      </c>
      <c r="J36" s="24">
        <v>2</v>
      </c>
    </row>
    <row r="37" spans="1:10" x14ac:dyDescent="0.4">
      <c r="A37" s="53" t="s">
        <v>73</v>
      </c>
      <c r="B37" s="39">
        <v>2</v>
      </c>
      <c r="C37" s="24">
        <v>3</v>
      </c>
      <c r="D37" s="24">
        <v>3</v>
      </c>
      <c r="E37" s="41">
        <v>3</v>
      </c>
      <c r="F37" s="49">
        <v>3</v>
      </c>
      <c r="G37" s="25">
        <v>2</v>
      </c>
      <c r="H37" s="41">
        <v>1</v>
      </c>
      <c r="I37" s="25">
        <v>2.5</v>
      </c>
      <c r="J37" s="25">
        <v>2.5</v>
      </c>
    </row>
    <row r="38" spans="1:10" x14ac:dyDescent="0.4">
      <c r="A38" s="53" t="s">
        <v>74</v>
      </c>
      <c r="B38" s="39">
        <v>3</v>
      </c>
      <c r="C38" s="24">
        <v>2.5</v>
      </c>
      <c r="D38" s="24">
        <v>2.5</v>
      </c>
      <c r="E38" s="39">
        <v>3</v>
      </c>
      <c r="F38" s="47">
        <v>2.5</v>
      </c>
      <c r="G38" s="22">
        <v>2</v>
      </c>
      <c r="H38" s="39">
        <v>3</v>
      </c>
      <c r="I38" s="22">
        <v>2</v>
      </c>
      <c r="J38" s="22">
        <v>2</v>
      </c>
    </row>
    <row r="39" spans="1:10" x14ac:dyDescent="0.4">
      <c r="A39" s="54" t="s">
        <v>75</v>
      </c>
      <c r="B39" s="40">
        <v>3</v>
      </c>
      <c r="C39" s="23">
        <v>2.5</v>
      </c>
      <c r="D39" s="23">
        <v>2</v>
      </c>
      <c r="E39" s="40">
        <v>3</v>
      </c>
      <c r="F39" s="48">
        <v>2</v>
      </c>
      <c r="G39" s="23">
        <v>3</v>
      </c>
      <c r="H39" s="40">
        <v>2</v>
      </c>
      <c r="I39" s="23">
        <v>2.5</v>
      </c>
      <c r="J39" s="23">
        <v>2</v>
      </c>
    </row>
    <row r="40" spans="1:10" x14ac:dyDescent="0.4">
      <c r="A40" s="53" t="s">
        <v>76</v>
      </c>
      <c r="B40" s="39">
        <v>2</v>
      </c>
      <c r="C40" s="24">
        <v>2.5</v>
      </c>
      <c r="D40" s="24">
        <v>2</v>
      </c>
      <c r="E40" s="39">
        <v>2</v>
      </c>
      <c r="F40" s="47">
        <v>2.5</v>
      </c>
      <c r="G40" s="24">
        <v>2</v>
      </c>
      <c r="H40" s="39">
        <v>2</v>
      </c>
      <c r="I40" s="24">
        <v>1.5</v>
      </c>
      <c r="J40" s="24">
        <v>1.5</v>
      </c>
    </row>
    <row r="41" spans="1:10" x14ac:dyDescent="0.4">
      <c r="A41" s="53" t="s">
        <v>77</v>
      </c>
      <c r="B41" s="39">
        <v>2.5</v>
      </c>
      <c r="C41" s="22">
        <v>3</v>
      </c>
      <c r="D41" s="22">
        <v>2</v>
      </c>
      <c r="E41" s="39">
        <v>3</v>
      </c>
      <c r="F41" s="49">
        <v>3</v>
      </c>
      <c r="G41" s="25">
        <v>3</v>
      </c>
      <c r="H41" s="41">
        <v>3</v>
      </c>
      <c r="I41" s="25">
        <v>2</v>
      </c>
      <c r="J41" s="25">
        <v>2.5</v>
      </c>
    </row>
    <row r="42" spans="1:10" x14ac:dyDescent="0.4">
      <c r="A42" s="53" t="s">
        <v>78</v>
      </c>
      <c r="B42" s="39">
        <v>2</v>
      </c>
      <c r="C42" s="22">
        <v>2</v>
      </c>
      <c r="D42" s="22">
        <v>2.5</v>
      </c>
      <c r="E42" s="39">
        <v>3</v>
      </c>
      <c r="F42" s="49">
        <v>3</v>
      </c>
      <c r="G42" s="25">
        <v>3</v>
      </c>
      <c r="H42" s="41">
        <v>3</v>
      </c>
      <c r="I42" s="25">
        <v>1</v>
      </c>
      <c r="J42" s="25">
        <v>1</v>
      </c>
    </row>
    <row r="43" spans="1:10" x14ac:dyDescent="0.4">
      <c r="A43" s="53" t="s">
        <v>79</v>
      </c>
      <c r="B43" s="39">
        <v>3</v>
      </c>
      <c r="C43" s="24">
        <v>3</v>
      </c>
      <c r="D43" s="24">
        <v>2.5</v>
      </c>
      <c r="E43" s="39">
        <v>3</v>
      </c>
      <c r="F43" s="49">
        <v>3</v>
      </c>
      <c r="G43" s="25">
        <v>2</v>
      </c>
      <c r="H43" s="41">
        <v>1</v>
      </c>
      <c r="I43" s="25">
        <v>3</v>
      </c>
      <c r="J43" s="25">
        <v>1.5</v>
      </c>
    </row>
    <row r="44" spans="1:10" x14ac:dyDescent="0.4">
      <c r="A44" s="54" t="s">
        <v>80</v>
      </c>
      <c r="B44" s="40">
        <v>2.5</v>
      </c>
      <c r="C44" s="26">
        <v>1</v>
      </c>
      <c r="D44" s="26">
        <v>3</v>
      </c>
      <c r="E44" s="42">
        <v>2</v>
      </c>
      <c r="F44" s="50">
        <v>3</v>
      </c>
      <c r="G44" s="26">
        <v>3</v>
      </c>
      <c r="H44" s="42">
        <v>3</v>
      </c>
      <c r="I44" s="26">
        <v>2</v>
      </c>
      <c r="J44" s="26">
        <v>1.5</v>
      </c>
    </row>
    <row r="45" spans="1:10" x14ac:dyDescent="0.4">
      <c r="A45" s="53" t="s">
        <v>81</v>
      </c>
      <c r="B45" s="39">
        <v>2.5</v>
      </c>
      <c r="C45" s="22">
        <v>3</v>
      </c>
      <c r="D45" s="22">
        <v>3</v>
      </c>
      <c r="E45" s="39">
        <v>3</v>
      </c>
      <c r="F45" s="49">
        <v>2.5</v>
      </c>
      <c r="G45" s="25">
        <v>3</v>
      </c>
      <c r="H45" s="41">
        <v>2</v>
      </c>
      <c r="I45" s="25">
        <v>1.5</v>
      </c>
      <c r="J45" s="25">
        <v>2</v>
      </c>
    </row>
    <row r="46" spans="1:10" x14ac:dyDescent="0.4">
      <c r="A46" s="53" t="s">
        <v>82</v>
      </c>
      <c r="B46" s="39">
        <v>2.5</v>
      </c>
      <c r="C46" s="22">
        <v>1</v>
      </c>
      <c r="D46" s="22">
        <v>2.5</v>
      </c>
      <c r="E46" s="39">
        <v>3</v>
      </c>
      <c r="F46" s="49">
        <v>3</v>
      </c>
      <c r="G46" s="25">
        <v>3</v>
      </c>
      <c r="H46" s="41">
        <v>3</v>
      </c>
      <c r="I46" s="25">
        <v>1.5</v>
      </c>
      <c r="J46" s="25">
        <v>1.5</v>
      </c>
    </row>
    <row r="47" spans="1:10" x14ac:dyDescent="0.4">
      <c r="A47" s="53" t="s">
        <v>83</v>
      </c>
      <c r="B47" s="39">
        <v>1.5</v>
      </c>
      <c r="C47" s="24">
        <v>2.5</v>
      </c>
      <c r="D47" s="24">
        <v>2.5</v>
      </c>
      <c r="E47" s="39">
        <v>3</v>
      </c>
      <c r="F47" s="49">
        <v>2.5</v>
      </c>
      <c r="G47" s="25">
        <v>3</v>
      </c>
      <c r="H47" s="41">
        <v>3</v>
      </c>
      <c r="I47" s="25">
        <v>3</v>
      </c>
      <c r="J47" s="25">
        <v>2.5</v>
      </c>
    </row>
    <row r="48" spans="1:10" x14ac:dyDescent="0.4">
      <c r="A48" s="53" t="s">
        <v>84</v>
      </c>
      <c r="B48" s="39">
        <v>2.5</v>
      </c>
      <c r="C48" s="22">
        <v>3</v>
      </c>
      <c r="D48" s="22">
        <v>3</v>
      </c>
      <c r="E48" s="39">
        <v>3</v>
      </c>
      <c r="F48" s="49">
        <v>3</v>
      </c>
      <c r="G48" s="25">
        <v>3</v>
      </c>
      <c r="H48" s="41">
        <v>3</v>
      </c>
      <c r="I48" s="25">
        <v>2</v>
      </c>
      <c r="J48" s="25">
        <v>2</v>
      </c>
    </row>
    <row r="49" spans="1:10" x14ac:dyDescent="0.4">
      <c r="A49" s="54" t="s">
        <v>85</v>
      </c>
      <c r="B49" s="40">
        <v>3</v>
      </c>
      <c r="C49" s="23">
        <v>3</v>
      </c>
      <c r="D49" s="23">
        <v>3</v>
      </c>
      <c r="E49" s="40">
        <v>2</v>
      </c>
      <c r="F49" s="50">
        <v>2.5</v>
      </c>
      <c r="G49" s="26">
        <v>2</v>
      </c>
      <c r="H49" s="42">
        <v>1</v>
      </c>
      <c r="I49" s="26">
        <v>3</v>
      </c>
      <c r="J49" s="26">
        <v>3</v>
      </c>
    </row>
    <row r="50" spans="1:10" x14ac:dyDescent="0.4">
      <c r="A50" s="53" t="s">
        <v>86</v>
      </c>
      <c r="B50" s="39">
        <v>2.5</v>
      </c>
      <c r="C50" s="25">
        <v>3</v>
      </c>
      <c r="D50" s="25">
        <v>3</v>
      </c>
      <c r="E50" s="41">
        <v>3</v>
      </c>
      <c r="F50" s="49">
        <v>3</v>
      </c>
      <c r="G50" s="25">
        <v>2</v>
      </c>
      <c r="H50" s="41">
        <v>1</v>
      </c>
      <c r="I50" s="25">
        <v>2.5</v>
      </c>
      <c r="J50" s="25">
        <v>2</v>
      </c>
    </row>
    <row r="51" spans="1:10" x14ac:dyDescent="0.4">
      <c r="A51" s="53" t="s">
        <v>87</v>
      </c>
      <c r="B51" s="39">
        <v>1.5</v>
      </c>
      <c r="C51" s="22">
        <v>2.5</v>
      </c>
      <c r="D51" s="22">
        <v>2.5</v>
      </c>
      <c r="E51" s="39">
        <v>3</v>
      </c>
      <c r="F51" s="49">
        <v>3</v>
      </c>
      <c r="G51" s="25">
        <v>2</v>
      </c>
      <c r="H51" s="41">
        <v>1</v>
      </c>
      <c r="I51" s="25">
        <v>2</v>
      </c>
      <c r="J51" s="25">
        <v>1.5</v>
      </c>
    </row>
    <row r="52" spans="1:10" x14ac:dyDescent="0.4">
      <c r="A52" s="53" t="s">
        <v>88</v>
      </c>
      <c r="B52" s="39">
        <v>2</v>
      </c>
      <c r="C52" s="22">
        <v>2.5</v>
      </c>
      <c r="D52" s="22">
        <v>2</v>
      </c>
      <c r="E52" s="39">
        <v>3</v>
      </c>
      <c r="F52" s="49">
        <v>2.5</v>
      </c>
      <c r="G52" s="25">
        <v>3</v>
      </c>
      <c r="H52" s="41">
        <v>3</v>
      </c>
      <c r="I52" s="25">
        <v>2</v>
      </c>
      <c r="J52" s="25">
        <v>2</v>
      </c>
    </row>
    <row r="53" spans="1:10" x14ac:dyDescent="0.4">
      <c r="A53" s="53" t="s">
        <v>89</v>
      </c>
      <c r="B53" s="39">
        <v>2.5</v>
      </c>
      <c r="C53" s="24">
        <v>1</v>
      </c>
      <c r="D53" s="24">
        <v>3</v>
      </c>
      <c r="E53" s="39">
        <v>3</v>
      </c>
      <c r="F53" s="49">
        <v>3</v>
      </c>
      <c r="G53" s="25">
        <v>2</v>
      </c>
      <c r="H53" s="41">
        <v>2</v>
      </c>
      <c r="I53" s="25">
        <v>1.5</v>
      </c>
      <c r="J53" s="25">
        <v>1.5</v>
      </c>
    </row>
    <row r="54" spans="1:10" x14ac:dyDescent="0.4">
      <c r="A54" s="54" t="s">
        <v>90</v>
      </c>
      <c r="B54" s="40">
        <v>2.5</v>
      </c>
      <c r="C54" s="23">
        <v>3</v>
      </c>
      <c r="D54" s="23">
        <v>2.5</v>
      </c>
      <c r="E54" s="40">
        <v>3</v>
      </c>
      <c r="F54" s="50">
        <v>2</v>
      </c>
      <c r="G54" s="26">
        <v>2</v>
      </c>
      <c r="H54" s="42">
        <v>3</v>
      </c>
      <c r="I54" s="26">
        <v>3</v>
      </c>
      <c r="J54" s="26">
        <v>3</v>
      </c>
    </row>
    <row r="55" spans="1:10" x14ac:dyDescent="0.4">
      <c r="A55" s="53" t="s">
        <v>91</v>
      </c>
      <c r="B55" s="39">
        <v>2</v>
      </c>
      <c r="C55" s="24">
        <v>2</v>
      </c>
      <c r="D55" s="24">
        <v>2.5</v>
      </c>
      <c r="E55" s="39">
        <v>3</v>
      </c>
      <c r="F55" s="49">
        <v>2</v>
      </c>
      <c r="G55" s="25">
        <v>2</v>
      </c>
      <c r="H55" s="41">
        <v>1</v>
      </c>
      <c r="I55" s="25">
        <v>3</v>
      </c>
      <c r="J55" s="25">
        <v>3</v>
      </c>
    </row>
    <row r="56" spans="1:10" x14ac:dyDescent="0.4">
      <c r="A56" s="53" t="s">
        <v>92</v>
      </c>
      <c r="B56" s="39">
        <v>2</v>
      </c>
      <c r="C56" s="22">
        <v>1.5</v>
      </c>
      <c r="D56" s="22">
        <v>3</v>
      </c>
      <c r="E56" s="39">
        <v>2</v>
      </c>
      <c r="F56" s="47">
        <v>3</v>
      </c>
      <c r="G56" s="22">
        <v>2</v>
      </c>
      <c r="H56" s="39">
        <v>2</v>
      </c>
      <c r="I56" s="22">
        <v>1.5</v>
      </c>
      <c r="J56" s="22">
        <v>1.5</v>
      </c>
    </row>
    <row r="57" spans="1:10" x14ac:dyDescent="0.4">
      <c r="A57" s="53" t="s">
        <v>93</v>
      </c>
      <c r="B57" s="39">
        <v>3</v>
      </c>
      <c r="C57" s="22">
        <v>1.5</v>
      </c>
      <c r="D57" s="22">
        <v>1</v>
      </c>
      <c r="E57" s="39">
        <v>3</v>
      </c>
      <c r="F57" s="47">
        <v>2.5</v>
      </c>
      <c r="G57" s="22">
        <v>3</v>
      </c>
      <c r="H57" s="39">
        <v>3</v>
      </c>
      <c r="I57" s="22">
        <v>2.5</v>
      </c>
      <c r="J57" s="22">
        <v>2</v>
      </c>
    </row>
    <row r="58" spans="1:10" x14ac:dyDescent="0.4">
      <c r="A58" s="53" t="s">
        <v>94</v>
      </c>
      <c r="B58" s="39">
        <v>2.5</v>
      </c>
      <c r="C58" s="22">
        <v>3</v>
      </c>
      <c r="D58" s="22">
        <v>2.5</v>
      </c>
      <c r="E58" s="39">
        <v>3</v>
      </c>
      <c r="F58" s="47">
        <v>3</v>
      </c>
      <c r="G58" s="22">
        <v>3</v>
      </c>
      <c r="H58" s="39">
        <v>3</v>
      </c>
      <c r="I58" s="22">
        <v>2.5</v>
      </c>
      <c r="J58" s="22">
        <v>2.5</v>
      </c>
    </row>
    <row r="59" spans="1:10" x14ac:dyDescent="0.4">
      <c r="A59" s="54" t="s">
        <v>95</v>
      </c>
      <c r="B59" s="40">
        <v>1.75</v>
      </c>
      <c r="C59" s="23">
        <v>1</v>
      </c>
      <c r="D59" s="23">
        <v>2</v>
      </c>
      <c r="E59" s="40">
        <v>2</v>
      </c>
      <c r="F59" s="48">
        <v>2.5</v>
      </c>
      <c r="G59" s="23">
        <v>3</v>
      </c>
      <c r="H59" s="40">
        <v>3</v>
      </c>
      <c r="I59" s="23">
        <v>1.5</v>
      </c>
      <c r="J59" s="23">
        <v>1.5</v>
      </c>
    </row>
    <row r="60" spans="1:10" x14ac:dyDescent="0.4">
      <c r="A60" s="53" t="s">
        <v>96</v>
      </c>
      <c r="B60" s="39">
        <v>2.5</v>
      </c>
      <c r="C60" s="22">
        <v>2</v>
      </c>
      <c r="D60" s="22">
        <v>2.5</v>
      </c>
      <c r="E60" s="39">
        <v>2</v>
      </c>
      <c r="F60" s="47">
        <v>2.5</v>
      </c>
      <c r="G60" s="22">
        <v>2</v>
      </c>
      <c r="H60" s="39">
        <v>1</v>
      </c>
      <c r="I60" s="22">
        <v>1</v>
      </c>
      <c r="J60" s="22">
        <v>1.5</v>
      </c>
    </row>
    <row r="61" spans="1:10" x14ac:dyDescent="0.4">
      <c r="A61" s="53" t="s">
        <v>97</v>
      </c>
      <c r="B61" s="39">
        <v>3</v>
      </c>
      <c r="C61" s="22">
        <v>3</v>
      </c>
      <c r="D61" s="22">
        <v>3</v>
      </c>
      <c r="E61" s="39">
        <v>3</v>
      </c>
      <c r="F61" s="47">
        <v>3</v>
      </c>
      <c r="G61" s="22">
        <v>3</v>
      </c>
      <c r="H61" s="39">
        <v>3</v>
      </c>
      <c r="I61" s="22">
        <v>3</v>
      </c>
      <c r="J61" s="22">
        <v>3</v>
      </c>
    </row>
    <row r="62" spans="1:10" x14ac:dyDescent="0.4">
      <c r="A62" s="53" t="s">
        <v>98</v>
      </c>
      <c r="B62" s="39">
        <v>3</v>
      </c>
      <c r="C62" s="22">
        <v>3</v>
      </c>
      <c r="D62" s="22">
        <v>2.5</v>
      </c>
      <c r="E62" s="39">
        <v>2.5</v>
      </c>
      <c r="F62" s="47">
        <v>3</v>
      </c>
      <c r="G62" s="22">
        <v>3</v>
      </c>
      <c r="H62" s="39">
        <v>2</v>
      </c>
      <c r="I62" s="22">
        <v>2.5</v>
      </c>
      <c r="J62" s="22">
        <v>2</v>
      </c>
    </row>
    <row r="63" spans="1:10" x14ac:dyDescent="0.4">
      <c r="A63" s="53" t="s">
        <v>99</v>
      </c>
      <c r="B63" s="39">
        <v>2.5</v>
      </c>
      <c r="C63" s="22">
        <v>3</v>
      </c>
      <c r="D63" s="22">
        <v>3</v>
      </c>
      <c r="E63" s="39">
        <v>3</v>
      </c>
      <c r="F63" s="47">
        <v>3</v>
      </c>
      <c r="G63" s="22">
        <v>1</v>
      </c>
      <c r="H63" s="39">
        <v>2</v>
      </c>
      <c r="I63" s="22">
        <v>2.5</v>
      </c>
      <c r="J63" s="22">
        <v>2.5</v>
      </c>
    </row>
    <row r="64" spans="1:10" x14ac:dyDescent="0.4">
      <c r="A64" s="53" t="s">
        <v>103</v>
      </c>
      <c r="B64" s="39">
        <v>2.5</v>
      </c>
      <c r="C64" s="22">
        <v>2</v>
      </c>
      <c r="D64" s="22">
        <v>2</v>
      </c>
      <c r="E64" s="39">
        <v>3</v>
      </c>
      <c r="F64" s="47">
        <v>3</v>
      </c>
      <c r="G64" s="22">
        <v>3</v>
      </c>
      <c r="H64" s="39">
        <v>3</v>
      </c>
      <c r="I64" s="22">
        <v>2</v>
      </c>
      <c r="J64" s="22">
        <v>2.5</v>
      </c>
    </row>
    <row r="65" spans="1:10" x14ac:dyDescent="0.4">
      <c r="A65" s="53" t="s">
        <v>109</v>
      </c>
      <c r="B65" s="39">
        <v>2</v>
      </c>
      <c r="C65" s="22">
        <v>2</v>
      </c>
      <c r="D65" s="22">
        <v>2</v>
      </c>
      <c r="E65" s="39">
        <v>1</v>
      </c>
      <c r="F65" s="47">
        <v>3</v>
      </c>
      <c r="G65" s="22">
        <v>2</v>
      </c>
      <c r="H65" s="39">
        <v>3</v>
      </c>
      <c r="I65" s="22">
        <v>2</v>
      </c>
      <c r="J65" s="22">
        <v>1.5</v>
      </c>
    </row>
    <row r="66" spans="1:10" x14ac:dyDescent="0.4">
      <c r="A66" s="53" t="s">
        <v>105</v>
      </c>
      <c r="B66" s="39">
        <v>3</v>
      </c>
      <c r="C66" s="22">
        <v>2</v>
      </c>
      <c r="D66" s="22">
        <v>3</v>
      </c>
      <c r="E66" s="39">
        <v>3</v>
      </c>
      <c r="F66" s="47">
        <v>2.5</v>
      </c>
      <c r="G66" s="22">
        <v>3</v>
      </c>
      <c r="H66" s="39">
        <v>3</v>
      </c>
      <c r="I66" s="22">
        <v>3</v>
      </c>
      <c r="J66" s="22">
        <v>3</v>
      </c>
    </row>
    <row r="67" spans="1:10" x14ac:dyDescent="0.4">
      <c r="A67" s="53" t="s">
        <v>104</v>
      </c>
      <c r="B67" s="39">
        <v>2</v>
      </c>
      <c r="C67" s="22">
        <v>1</v>
      </c>
      <c r="D67" s="22">
        <v>2.5</v>
      </c>
      <c r="E67" s="39">
        <v>2</v>
      </c>
      <c r="F67" s="47">
        <v>2.5</v>
      </c>
      <c r="G67" s="22">
        <v>3</v>
      </c>
      <c r="H67" s="39">
        <v>3</v>
      </c>
      <c r="I67" s="22">
        <v>2.5</v>
      </c>
      <c r="J67" s="22">
        <v>1.5</v>
      </c>
    </row>
    <row r="68" spans="1:10" x14ac:dyDescent="0.4">
      <c r="A68" s="53" t="s">
        <v>102</v>
      </c>
      <c r="B68" s="39">
        <v>3</v>
      </c>
      <c r="C68" s="22">
        <v>3</v>
      </c>
      <c r="D68" s="22">
        <v>3</v>
      </c>
      <c r="E68" s="39">
        <v>3</v>
      </c>
      <c r="F68" s="47">
        <v>3</v>
      </c>
      <c r="G68" s="22">
        <v>2</v>
      </c>
      <c r="H68" s="39">
        <v>2</v>
      </c>
      <c r="I68" s="22">
        <v>2.5</v>
      </c>
      <c r="J68" s="22">
        <v>2.5</v>
      </c>
    </row>
    <row r="69" spans="1:10" x14ac:dyDescent="0.4">
      <c r="A69" s="53" t="s">
        <v>106</v>
      </c>
      <c r="B69" s="39">
        <v>2.75</v>
      </c>
      <c r="C69" s="22">
        <v>1</v>
      </c>
      <c r="D69" s="22">
        <v>2.5</v>
      </c>
      <c r="E69" s="39">
        <v>3</v>
      </c>
      <c r="F69" s="47">
        <v>3</v>
      </c>
      <c r="G69" s="22">
        <v>3</v>
      </c>
      <c r="H69" s="39">
        <v>3</v>
      </c>
      <c r="I69" s="22">
        <v>2</v>
      </c>
      <c r="J69" s="22">
        <v>2</v>
      </c>
    </row>
    <row r="70" spans="1:10" x14ac:dyDescent="0.4">
      <c r="A70" s="53" t="s">
        <v>107</v>
      </c>
      <c r="B70" s="39">
        <v>2.5</v>
      </c>
      <c r="C70" s="22">
        <v>1.5</v>
      </c>
      <c r="D70" s="22">
        <v>3</v>
      </c>
      <c r="E70" s="39">
        <v>3</v>
      </c>
      <c r="F70" s="47">
        <v>2.5</v>
      </c>
      <c r="G70" s="22">
        <v>3</v>
      </c>
      <c r="H70" s="39">
        <v>3</v>
      </c>
      <c r="I70" s="22">
        <v>2</v>
      </c>
      <c r="J70" s="22">
        <v>2.5</v>
      </c>
    </row>
    <row r="71" spans="1:10" x14ac:dyDescent="0.4">
      <c r="A71" s="53" t="s">
        <v>108</v>
      </c>
      <c r="B71" s="39">
        <v>2.5</v>
      </c>
      <c r="C71" s="22">
        <v>3</v>
      </c>
      <c r="D71" s="22">
        <v>2.5</v>
      </c>
      <c r="E71" s="39">
        <v>3</v>
      </c>
      <c r="F71" s="47">
        <v>3</v>
      </c>
      <c r="G71" s="22">
        <v>1</v>
      </c>
      <c r="H71" s="39">
        <v>1</v>
      </c>
      <c r="I71" s="22">
        <v>2.5</v>
      </c>
      <c r="J71" s="22">
        <v>2</v>
      </c>
    </row>
    <row r="72" spans="1:10" x14ac:dyDescent="0.4">
      <c r="A72" s="53" t="s">
        <v>101</v>
      </c>
      <c r="B72" s="39">
        <v>3</v>
      </c>
      <c r="C72" s="22">
        <v>2.5</v>
      </c>
      <c r="D72" s="22">
        <v>3</v>
      </c>
      <c r="E72" s="39">
        <v>3</v>
      </c>
      <c r="F72" s="47">
        <v>3</v>
      </c>
      <c r="G72" s="22">
        <v>3</v>
      </c>
      <c r="H72" s="39">
        <v>3</v>
      </c>
      <c r="I72" s="22">
        <v>3</v>
      </c>
      <c r="J72" s="22">
        <v>2.5</v>
      </c>
    </row>
    <row r="73" spans="1:10" x14ac:dyDescent="0.4">
      <c r="A73" s="54" t="s">
        <v>100</v>
      </c>
      <c r="B73" s="40">
        <v>3</v>
      </c>
      <c r="C73" s="23">
        <v>2.5</v>
      </c>
      <c r="D73" s="23">
        <v>3</v>
      </c>
      <c r="E73" s="40">
        <v>3</v>
      </c>
      <c r="F73" s="48">
        <v>3</v>
      </c>
      <c r="G73" s="23">
        <v>2</v>
      </c>
      <c r="H73" s="40">
        <v>3</v>
      </c>
      <c r="I73" s="23">
        <v>1.5</v>
      </c>
      <c r="J73" s="23">
        <v>1.5</v>
      </c>
    </row>
    <row r="74" spans="1:10" x14ac:dyDescent="0.4">
      <c r="A74" s="53"/>
      <c r="B74" s="41"/>
      <c r="C74" s="25"/>
      <c r="D74" s="25"/>
    </row>
    <row r="75" spans="1:10" x14ac:dyDescent="0.4">
      <c r="A75" s="58"/>
      <c r="B75" s="24"/>
      <c r="C75" s="24"/>
      <c r="D75" s="24"/>
      <c r="E75" s="24"/>
      <c r="F75" s="24"/>
      <c r="G75" s="24"/>
      <c r="H75" s="24"/>
      <c r="I75" s="24"/>
      <c r="J75" s="24"/>
    </row>
    <row r="76" spans="1:10" x14ac:dyDescent="0.4">
      <c r="A76" s="19"/>
      <c r="B76" s="3"/>
      <c r="C76" s="3"/>
      <c r="D76" s="3"/>
      <c r="E76" s="3"/>
      <c r="F76" s="3"/>
      <c r="G76" s="3"/>
    </row>
    <row r="77" spans="1:10" x14ac:dyDescent="0.4">
      <c r="A77" s="3"/>
      <c r="B77" s="3"/>
      <c r="C77" s="3"/>
      <c r="D77" s="3"/>
      <c r="E77" s="3"/>
      <c r="F77" s="3"/>
      <c r="G77" s="3"/>
    </row>
    <row r="78" spans="1:10" x14ac:dyDescent="0.4">
      <c r="A78" s="15" t="s">
        <v>54</v>
      </c>
      <c r="B78" s="14"/>
      <c r="C78" s="14"/>
      <c r="D78" s="14"/>
      <c r="E78" s="14"/>
      <c r="F78" s="14"/>
      <c r="G78" s="14"/>
      <c r="H78" s="14"/>
      <c r="I78" s="14"/>
      <c r="J78" s="14"/>
    </row>
    <row r="79" spans="1:10" x14ac:dyDescent="0.4">
      <c r="A79" s="16" t="s">
        <v>13</v>
      </c>
      <c r="B79" s="27">
        <v>1</v>
      </c>
      <c r="C79" s="27">
        <v>2</v>
      </c>
      <c r="D79" s="27">
        <v>3</v>
      </c>
      <c r="E79" s="27">
        <v>4</v>
      </c>
      <c r="F79" s="27">
        <v>5</v>
      </c>
      <c r="G79" s="27">
        <v>6</v>
      </c>
      <c r="H79" s="27">
        <v>7</v>
      </c>
      <c r="I79" s="27">
        <v>8</v>
      </c>
      <c r="J79" s="27">
        <v>9</v>
      </c>
    </row>
    <row r="80" spans="1:10" x14ac:dyDescent="0.4">
      <c r="A80" s="17" t="s">
        <v>10</v>
      </c>
      <c r="B80" s="27">
        <v>7</v>
      </c>
      <c r="C80" s="27">
        <v>4</v>
      </c>
      <c r="D80" s="27">
        <v>4</v>
      </c>
      <c r="E80" s="27">
        <v>4</v>
      </c>
      <c r="F80" s="27">
        <v>5</v>
      </c>
      <c r="G80" s="27" t="s">
        <v>16</v>
      </c>
      <c r="H80" s="27">
        <v>1</v>
      </c>
      <c r="I80" s="27" t="s">
        <v>17</v>
      </c>
      <c r="J80" s="27">
        <v>1</v>
      </c>
    </row>
    <row r="81" spans="1:10" x14ac:dyDescent="0.4">
      <c r="A81" s="18" t="s">
        <v>3</v>
      </c>
      <c r="B81" s="28">
        <f t="shared" ref="B81:J81" si="0">AVERAGE(B19:B73)</f>
        <v>2.4363636363636365</v>
      </c>
      <c r="C81" s="28">
        <f t="shared" si="0"/>
        <v>2.3181818181818183</v>
      </c>
      <c r="D81" s="28">
        <f t="shared" si="0"/>
        <v>2.5272727272727273</v>
      </c>
      <c r="E81" s="28">
        <f t="shared" si="0"/>
        <v>2.709090909090909</v>
      </c>
      <c r="F81" s="28">
        <f t="shared" si="0"/>
        <v>2.709090909090909</v>
      </c>
      <c r="G81" s="28">
        <f t="shared" si="0"/>
        <v>2.5090909090909093</v>
      </c>
      <c r="H81" s="28">
        <f t="shared" si="0"/>
        <v>2.3545454545454545</v>
      </c>
      <c r="I81" s="28">
        <f t="shared" si="0"/>
        <v>2.2000000000000002</v>
      </c>
      <c r="J81" s="28">
        <f t="shared" si="0"/>
        <v>2.0909090909090908</v>
      </c>
    </row>
    <row r="82" spans="1:10" x14ac:dyDescent="0.4">
      <c r="A82" s="17" t="s">
        <v>4</v>
      </c>
      <c r="B82" s="29">
        <f t="shared" ref="B82:J82" si="1">STDEV(B19:B73)</f>
        <v>0.4864320729723331</v>
      </c>
      <c r="C82" s="29">
        <f t="shared" si="1"/>
        <v>0.7413928106363723</v>
      </c>
      <c r="D82" s="29">
        <f t="shared" si="1"/>
        <v>0.49458345566020934</v>
      </c>
      <c r="E82" s="29">
        <f t="shared" si="1"/>
        <v>0.50635689626715552</v>
      </c>
      <c r="F82" s="29">
        <f t="shared" si="1"/>
        <v>0.34279500799810081</v>
      </c>
      <c r="G82" s="29">
        <f t="shared" si="1"/>
        <v>0.60469543214461752</v>
      </c>
      <c r="H82" s="29">
        <f t="shared" si="1"/>
        <v>0.83151316370466499</v>
      </c>
      <c r="I82" s="29">
        <f t="shared" si="1"/>
        <v>0.59004080210452259</v>
      </c>
      <c r="J82" s="29">
        <f t="shared" si="1"/>
        <v>0.5618332187193682</v>
      </c>
    </row>
    <row r="83" spans="1:10" x14ac:dyDescent="0.4">
      <c r="A83" s="18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4">
      <c r="A84" s="18" t="s">
        <v>19</v>
      </c>
      <c r="B84" s="7">
        <f>AVERAGE(B81:J81)</f>
        <v>2.4282828282828284</v>
      </c>
      <c r="C84" s="5"/>
      <c r="D84" s="5"/>
      <c r="E84" s="5"/>
      <c r="F84" s="5"/>
      <c r="G84" s="5"/>
      <c r="H84" s="5"/>
      <c r="I84" s="5"/>
      <c r="J84" s="5"/>
    </row>
    <row r="85" spans="1:10" x14ac:dyDescent="0.4">
      <c r="A85" s="17"/>
      <c r="B85" s="14"/>
      <c r="C85" s="14"/>
      <c r="D85" s="14"/>
      <c r="E85" s="14"/>
      <c r="F85" s="14"/>
      <c r="G85" s="14"/>
      <c r="H85" s="14"/>
      <c r="I85" s="14"/>
      <c r="J85" s="14"/>
    </row>
    <row r="86" spans="1:10" x14ac:dyDescent="0.4">
      <c r="A86" s="18"/>
      <c r="B86" s="5"/>
      <c r="C86" s="5"/>
      <c r="D86" s="5"/>
      <c r="E86" s="5"/>
      <c r="F86" s="5"/>
      <c r="G86" s="5"/>
      <c r="H86" s="5"/>
      <c r="I86" s="5"/>
      <c r="J86" s="5"/>
    </row>
    <row r="88" spans="1:10" x14ac:dyDescent="0.4">
      <c r="A88" s="8" t="s">
        <v>12</v>
      </c>
      <c r="B88" s="6"/>
      <c r="C88" s="6"/>
      <c r="D88" s="6"/>
      <c r="E88" s="6"/>
      <c r="F88" s="6"/>
      <c r="G88" s="13"/>
      <c r="H88" s="3"/>
      <c r="I88" s="3"/>
    </row>
    <row r="89" spans="1:10" x14ac:dyDescent="0.4">
      <c r="A89" s="8"/>
      <c r="B89" s="31">
        <v>1</v>
      </c>
      <c r="C89" s="31">
        <v>2</v>
      </c>
      <c r="D89" s="31">
        <v>4</v>
      </c>
      <c r="E89" s="31">
        <v>5</v>
      </c>
      <c r="F89" s="21">
        <v>6</v>
      </c>
      <c r="G89" s="21">
        <v>7</v>
      </c>
      <c r="H89" s="3"/>
      <c r="I89" s="3"/>
    </row>
    <row r="90" spans="1:10" x14ac:dyDescent="0.4">
      <c r="A90" s="6" t="s">
        <v>6</v>
      </c>
      <c r="B90" s="32">
        <f>AVERAGE(G81,H81,I81,J81)</f>
        <v>2.2886363636363636</v>
      </c>
      <c r="C90" s="32">
        <f>AVERAGE(G81)</f>
        <v>2.5090909090909093</v>
      </c>
      <c r="D90" s="32">
        <f>AVERAGE(C81,D81,E81)</f>
        <v>2.5181818181818181</v>
      </c>
      <c r="E90" s="32">
        <f>AVERAGE(F81)</f>
        <v>2.709090909090909</v>
      </c>
      <c r="F90" s="32">
        <f>AVERAGE(I81)</f>
        <v>2.2000000000000002</v>
      </c>
      <c r="G90" s="32">
        <f>AVERAGE(B81)</f>
        <v>2.4363636363636365</v>
      </c>
      <c r="H90" s="3"/>
      <c r="I90" s="34"/>
    </row>
    <row r="91" spans="1:10" x14ac:dyDescent="0.4">
      <c r="A91" s="6" t="s">
        <v>7</v>
      </c>
      <c r="B91" s="32">
        <f>STDEV(G81,H81,I81,J81)</f>
        <v>0.18247985661882071</v>
      </c>
      <c r="C91" s="32" t="s">
        <v>18</v>
      </c>
      <c r="D91" s="32">
        <f>STDEV(C81,D81,E81)</f>
        <v>0.19561304355772727</v>
      </c>
      <c r="E91" s="32" t="s">
        <v>18</v>
      </c>
      <c r="F91" s="33" t="s">
        <v>18</v>
      </c>
      <c r="G91" s="33" t="s">
        <v>18</v>
      </c>
      <c r="H91" s="3"/>
      <c r="I91" s="34"/>
    </row>
    <row r="93" spans="1:10" x14ac:dyDescent="0.4">
      <c r="B93" s="30"/>
    </row>
    <row r="136" spans="1:1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4">
      <c r="A147" s="3"/>
      <c r="B147" s="3"/>
      <c r="C147" s="3"/>
      <c r="D147" s="3"/>
      <c r="E147" s="3"/>
      <c r="F147" s="3"/>
      <c r="G147" s="3"/>
      <c r="H147" s="9"/>
      <c r="I147" s="9"/>
      <c r="J147" s="9"/>
      <c r="K147" s="3"/>
    </row>
    <row r="148" spans="1:1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4">
      <c r="A169" s="3"/>
      <c r="B169" s="10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4">
      <c r="A170" s="3"/>
      <c r="B170" s="10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4">
      <c r="A171" s="3"/>
      <c r="B171" s="10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4">
      <c r="A172" s="3"/>
      <c r="B172" s="10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4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8"/>
  <sheetViews>
    <sheetView topLeftCell="A51" zoomScale="90" zoomScaleNormal="90" workbookViewId="0">
      <selection activeCell="M24" sqref="M24"/>
    </sheetView>
  </sheetViews>
  <sheetFormatPr defaultRowHeight="14.6" x14ac:dyDescent="0.4"/>
  <cols>
    <col min="1" max="1" width="20.15234375" customWidth="1"/>
    <col min="2" max="2" width="11.53515625" customWidth="1"/>
    <col min="6" max="6" width="10.84375" customWidth="1"/>
    <col min="7" max="7" width="9.53515625" bestFit="1" customWidth="1"/>
    <col min="13" max="13" width="28.53515625" customWidth="1"/>
    <col min="16" max="16" width="27.15234375" customWidth="1"/>
  </cols>
  <sheetData>
    <row r="1" spans="1:16" x14ac:dyDescent="0.4">
      <c r="A1" s="1" t="s">
        <v>14</v>
      </c>
      <c r="L1" s="35" t="s">
        <v>47</v>
      </c>
      <c r="M1" s="35"/>
      <c r="O1" t="s">
        <v>47</v>
      </c>
    </row>
    <row r="2" spans="1:16" ht="15" customHeight="1" x14ac:dyDescent="0.4">
      <c r="A2" s="1"/>
      <c r="L2" s="36" t="s">
        <v>20</v>
      </c>
      <c r="M2" s="36" t="s">
        <v>22</v>
      </c>
      <c r="N2" s="37"/>
      <c r="O2" s="37" t="s">
        <v>20</v>
      </c>
      <c r="P2" s="37" t="s">
        <v>22</v>
      </c>
    </row>
    <row r="3" spans="1:16" x14ac:dyDescent="0.4">
      <c r="A3" s="1" t="s">
        <v>11</v>
      </c>
      <c r="L3" s="35" t="s">
        <v>21</v>
      </c>
      <c r="M3" s="35"/>
      <c r="O3" t="s">
        <v>21</v>
      </c>
    </row>
    <row r="4" spans="1:16" x14ac:dyDescent="0.4">
      <c r="A4" s="2" t="s">
        <v>15</v>
      </c>
      <c r="B4" s="2"/>
      <c r="C4" s="2"/>
      <c r="D4" s="2"/>
      <c r="L4" s="35">
        <v>1</v>
      </c>
      <c r="M4" s="35" t="s">
        <v>23</v>
      </c>
      <c r="O4" s="35">
        <v>4</v>
      </c>
      <c r="P4" t="s">
        <v>34</v>
      </c>
    </row>
    <row r="5" spans="1:16" x14ac:dyDescent="0.4">
      <c r="A5" s="2" t="s">
        <v>53</v>
      </c>
      <c r="B5" s="2"/>
      <c r="C5" s="2"/>
      <c r="D5" s="2"/>
      <c r="E5" s="2"/>
      <c r="F5" s="2"/>
      <c r="G5" s="2"/>
      <c r="L5" s="35"/>
      <c r="M5" s="35" t="s">
        <v>24</v>
      </c>
      <c r="O5" s="35"/>
      <c r="P5" t="s">
        <v>35</v>
      </c>
    </row>
    <row r="6" spans="1:16" x14ac:dyDescent="0.4">
      <c r="A6" s="2"/>
      <c r="B6" s="2"/>
      <c r="C6" s="2"/>
      <c r="D6" s="2"/>
      <c r="E6" s="2"/>
      <c r="F6" s="2"/>
      <c r="G6" s="2"/>
      <c r="L6" s="35" t="s">
        <v>25</v>
      </c>
      <c r="M6" s="35" t="s">
        <v>26</v>
      </c>
      <c r="O6" s="35"/>
      <c r="P6" t="s">
        <v>36</v>
      </c>
    </row>
    <row r="7" spans="1:16" x14ac:dyDescent="0.4">
      <c r="A7" s="2"/>
      <c r="L7" s="35"/>
      <c r="M7" s="35" t="s">
        <v>27</v>
      </c>
      <c r="O7" s="35"/>
      <c r="P7" t="s">
        <v>37</v>
      </c>
    </row>
    <row r="8" spans="1:16" x14ac:dyDescent="0.4">
      <c r="L8" s="35" t="s">
        <v>28</v>
      </c>
      <c r="M8" s="35" t="s">
        <v>29</v>
      </c>
      <c r="O8" s="35">
        <v>4</v>
      </c>
      <c r="P8" t="s">
        <v>38</v>
      </c>
    </row>
    <row r="9" spans="1:16" x14ac:dyDescent="0.4">
      <c r="A9" s="12" t="s">
        <v>9</v>
      </c>
      <c r="B9" s="4"/>
      <c r="C9" s="4"/>
      <c r="L9" s="35"/>
      <c r="M9" s="35" t="s">
        <v>30</v>
      </c>
      <c r="O9" s="35"/>
      <c r="P9" t="s">
        <v>39</v>
      </c>
    </row>
    <row r="10" spans="1:16" x14ac:dyDescent="0.4">
      <c r="A10" s="4">
        <v>1</v>
      </c>
      <c r="B10" s="4" t="s">
        <v>0</v>
      </c>
      <c r="C10" s="4"/>
      <c r="L10" s="35" t="s">
        <v>31</v>
      </c>
      <c r="M10" s="35" t="s">
        <v>32</v>
      </c>
      <c r="O10" s="35">
        <v>5</v>
      </c>
      <c r="P10" t="s">
        <v>40</v>
      </c>
    </row>
    <row r="11" spans="1:16" x14ac:dyDescent="0.4">
      <c r="A11" s="4">
        <v>2</v>
      </c>
      <c r="B11" s="4" t="s">
        <v>1</v>
      </c>
      <c r="C11" s="4"/>
      <c r="L11" s="35">
        <v>3</v>
      </c>
      <c r="M11" s="35" t="s">
        <v>33</v>
      </c>
      <c r="O11" s="35"/>
      <c r="P11" t="s">
        <v>41</v>
      </c>
    </row>
    <row r="12" spans="1:16" x14ac:dyDescent="0.4">
      <c r="A12" s="4">
        <v>3</v>
      </c>
      <c r="B12" s="4" t="s">
        <v>2</v>
      </c>
      <c r="C12" s="4"/>
      <c r="O12" s="35"/>
      <c r="P12" t="s">
        <v>42</v>
      </c>
    </row>
    <row r="13" spans="1:16" x14ac:dyDescent="0.4">
      <c r="A13" s="4"/>
      <c r="B13" s="4"/>
      <c r="C13" s="4"/>
      <c r="O13" s="35"/>
      <c r="P13" t="s">
        <v>43</v>
      </c>
    </row>
    <row r="14" spans="1:16" x14ac:dyDescent="0.4">
      <c r="A14" s="43"/>
      <c r="B14" s="52" t="s">
        <v>48</v>
      </c>
      <c r="C14" t="s">
        <v>49</v>
      </c>
      <c r="E14" s="43"/>
      <c r="F14" s="46" t="s">
        <v>50</v>
      </c>
      <c r="G14" t="s">
        <v>51</v>
      </c>
      <c r="H14" s="43"/>
      <c r="I14" t="s">
        <v>52</v>
      </c>
      <c r="O14" s="35"/>
      <c r="P14" t="s">
        <v>44</v>
      </c>
    </row>
    <row r="15" spans="1:16" x14ac:dyDescent="0.4">
      <c r="A15" s="38" t="s">
        <v>8</v>
      </c>
      <c r="B15" s="38">
        <v>1</v>
      </c>
      <c r="C15" s="20">
        <v>2</v>
      </c>
      <c r="D15" s="20">
        <v>3</v>
      </c>
      <c r="E15" s="38">
        <v>4</v>
      </c>
      <c r="F15" s="44">
        <v>5</v>
      </c>
      <c r="G15" s="20">
        <v>6</v>
      </c>
      <c r="H15" s="38">
        <v>7</v>
      </c>
      <c r="I15" s="20">
        <v>8</v>
      </c>
      <c r="J15" s="20">
        <v>9</v>
      </c>
      <c r="O15" s="35">
        <v>5</v>
      </c>
      <c r="P15" t="s">
        <v>45</v>
      </c>
    </row>
    <row r="16" spans="1:16" x14ac:dyDescent="0.4">
      <c r="A16" s="38" t="s">
        <v>10</v>
      </c>
      <c r="B16" s="38">
        <v>7</v>
      </c>
      <c r="C16" s="20">
        <v>4</v>
      </c>
      <c r="D16" s="20">
        <v>4</v>
      </c>
      <c r="E16" s="38">
        <v>4</v>
      </c>
      <c r="F16" s="45">
        <v>5</v>
      </c>
      <c r="G16" s="21" t="s">
        <v>16</v>
      </c>
      <c r="H16" s="51">
        <v>1</v>
      </c>
      <c r="I16" s="21" t="s">
        <v>17</v>
      </c>
      <c r="J16" s="21">
        <v>1</v>
      </c>
      <c r="P16" t="s">
        <v>46</v>
      </c>
    </row>
    <row r="17" spans="1:10" x14ac:dyDescent="0.4">
      <c r="A17" s="55"/>
      <c r="B17" s="56"/>
      <c r="C17" s="37"/>
      <c r="D17" s="37"/>
      <c r="E17" s="55"/>
      <c r="F17" s="57"/>
      <c r="G17" s="37"/>
      <c r="H17" s="55"/>
      <c r="I17" s="37"/>
      <c r="J17" s="37"/>
    </row>
    <row r="18" spans="1:10" x14ac:dyDescent="0.4">
      <c r="A18" s="43" t="s">
        <v>5</v>
      </c>
    </row>
    <row r="19" spans="1:10" x14ac:dyDescent="0.4">
      <c r="A19" s="53">
        <v>1</v>
      </c>
      <c r="B19" s="39">
        <v>3</v>
      </c>
      <c r="C19" s="22">
        <v>2</v>
      </c>
      <c r="D19" s="22">
        <v>2</v>
      </c>
      <c r="E19" s="39">
        <v>3</v>
      </c>
      <c r="F19" s="47">
        <v>3</v>
      </c>
      <c r="G19" s="25">
        <v>2</v>
      </c>
      <c r="H19" s="39">
        <v>2</v>
      </c>
      <c r="I19" s="25">
        <v>2</v>
      </c>
      <c r="J19" s="25">
        <v>3</v>
      </c>
    </row>
    <row r="20" spans="1:10" x14ac:dyDescent="0.4">
      <c r="A20" s="53">
        <f>A19+1</f>
        <v>2</v>
      </c>
      <c r="B20" s="39">
        <v>2</v>
      </c>
      <c r="C20" s="22">
        <v>3</v>
      </c>
      <c r="D20" s="22">
        <v>3</v>
      </c>
      <c r="E20" s="39">
        <v>3</v>
      </c>
      <c r="F20" s="47">
        <v>2</v>
      </c>
      <c r="G20" s="22">
        <v>3</v>
      </c>
      <c r="H20" s="39">
        <v>3</v>
      </c>
      <c r="I20" s="22">
        <v>1</v>
      </c>
      <c r="J20" s="22">
        <v>2</v>
      </c>
    </row>
    <row r="21" spans="1:10" x14ac:dyDescent="0.4">
      <c r="A21" s="53">
        <f t="shared" ref="A21:A64" si="0">A20+1</f>
        <v>3</v>
      </c>
      <c r="B21" s="39">
        <v>3</v>
      </c>
      <c r="C21" s="22">
        <v>2</v>
      </c>
      <c r="D21" s="22">
        <v>1</v>
      </c>
      <c r="E21" s="39">
        <v>1</v>
      </c>
      <c r="F21" s="47">
        <v>3</v>
      </c>
      <c r="G21" s="22">
        <v>3</v>
      </c>
      <c r="H21" s="39">
        <v>3</v>
      </c>
      <c r="I21" s="22">
        <v>1</v>
      </c>
      <c r="J21" s="22">
        <v>2</v>
      </c>
    </row>
    <row r="22" spans="1:10" x14ac:dyDescent="0.4">
      <c r="A22" s="53">
        <f t="shared" si="0"/>
        <v>4</v>
      </c>
      <c r="B22" s="39">
        <v>3</v>
      </c>
      <c r="C22" s="22">
        <v>1</v>
      </c>
      <c r="D22" s="22">
        <v>3</v>
      </c>
      <c r="E22" s="39">
        <v>1</v>
      </c>
      <c r="F22" s="47">
        <v>2</v>
      </c>
      <c r="G22" s="22">
        <v>3</v>
      </c>
      <c r="H22" s="39">
        <v>3</v>
      </c>
      <c r="I22" s="22">
        <v>3</v>
      </c>
      <c r="J22" s="22">
        <v>3</v>
      </c>
    </row>
    <row r="23" spans="1:10" x14ac:dyDescent="0.4">
      <c r="A23" s="54">
        <f t="shared" si="0"/>
        <v>5</v>
      </c>
      <c r="B23" s="40">
        <v>3</v>
      </c>
      <c r="C23" s="23">
        <v>3</v>
      </c>
      <c r="D23" s="23">
        <v>3</v>
      </c>
      <c r="E23" s="40">
        <v>2</v>
      </c>
      <c r="F23" s="48">
        <v>3</v>
      </c>
      <c r="G23" s="23">
        <v>3</v>
      </c>
      <c r="H23" s="40">
        <v>3</v>
      </c>
      <c r="I23" s="23">
        <v>3</v>
      </c>
      <c r="J23" s="23">
        <v>2</v>
      </c>
    </row>
    <row r="24" spans="1:10" x14ac:dyDescent="0.4">
      <c r="A24" s="53">
        <f t="shared" si="0"/>
        <v>6</v>
      </c>
      <c r="B24" s="39">
        <v>2.5</v>
      </c>
      <c r="C24" s="24">
        <v>1</v>
      </c>
      <c r="D24" s="24">
        <v>2</v>
      </c>
      <c r="E24" s="39">
        <v>2</v>
      </c>
      <c r="F24" s="47">
        <v>2</v>
      </c>
      <c r="G24" s="22">
        <v>3</v>
      </c>
      <c r="H24" s="39">
        <v>3</v>
      </c>
      <c r="I24" s="22">
        <v>2</v>
      </c>
      <c r="J24" s="22">
        <v>2</v>
      </c>
    </row>
    <row r="25" spans="1:10" x14ac:dyDescent="0.4">
      <c r="A25" s="53">
        <f t="shared" si="0"/>
        <v>7</v>
      </c>
      <c r="B25" s="39">
        <v>2</v>
      </c>
      <c r="C25" s="24">
        <v>1</v>
      </c>
      <c r="D25" s="24">
        <v>2</v>
      </c>
      <c r="E25" s="41">
        <v>1</v>
      </c>
      <c r="F25" s="49">
        <v>2</v>
      </c>
      <c r="G25" s="25">
        <v>3</v>
      </c>
      <c r="H25" s="41">
        <v>3</v>
      </c>
      <c r="I25" s="25">
        <v>2</v>
      </c>
      <c r="J25" s="25">
        <v>3</v>
      </c>
    </row>
    <row r="26" spans="1:10" x14ac:dyDescent="0.4">
      <c r="A26" s="53">
        <f t="shared" si="0"/>
        <v>8</v>
      </c>
      <c r="B26" s="39">
        <v>3</v>
      </c>
      <c r="C26" s="24">
        <v>3</v>
      </c>
      <c r="D26" s="24">
        <v>3</v>
      </c>
      <c r="E26" s="39">
        <v>3</v>
      </c>
      <c r="F26" s="47">
        <v>3</v>
      </c>
      <c r="G26" s="22">
        <v>3</v>
      </c>
      <c r="H26" s="39">
        <v>3</v>
      </c>
      <c r="I26" s="22">
        <v>2</v>
      </c>
      <c r="J26" s="22">
        <v>2</v>
      </c>
    </row>
    <row r="27" spans="1:10" x14ac:dyDescent="0.4">
      <c r="A27" s="53">
        <f t="shared" si="0"/>
        <v>9</v>
      </c>
      <c r="B27" s="39">
        <v>2</v>
      </c>
      <c r="C27" s="24">
        <v>3</v>
      </c>
      <c r="D27" s="24">
        <v>3</v>
      </c>
      <c r="E27" s="39">
        <v>1</v>
      </c>
      <c r="F27" s="47">
        <v>1</v>
      </c>
      <c r="G27" s="22">
        <v>1</v>
      </c>
      <c r="H27" s="39">
        <v>1</v>
      </c>
      <c r="I27" s="22">
        <v>3</v>
      </c>
      <c r="J27" s="22">
        <v>3</v>
      </c>
    </row>
    <row r="28" spans="1:10" x14ac:dyDescent="0.4">
      <c r="A28" s="53">
        <f t="shared" si="0"/>
        <v>10</v>
      </c>
      <c r="B28" s="39">
        <v>3</v>
      </c>
      <c r="C28" s="24">
        <v>3</v>
      </c>
      <c r="D28" s="24">
        <v>3</v>
      </c>
      <c r="E28" s="39">
        <v>1</v>
      </c>
      <c r="F28" s="47">
        <v>3</v>
      </c>
      <c r="G28" s="22">
        <v>3</v>
      </c>
      <c r="H28" s="39">
        <v>3</v>
      </c>
      <c r="I28" s="22">
        <v>2</v>
      </c>
      <c r="J28" s="22">
        <v>3</v>
      </c>
    </row>
    <row r="29" spans="1:10" x14ac:dyDescent="0.4">
      <c r="A29" s="54">
        <f t="shared" si="0"/>
        <v>11</v>
      </c>
      <c r="B29" s="40">
        <v>3</v>
      </c>
      <c r="C29" s="23">
        <v>3</v>
      </c>
      <c r="D29" s="23">
        <v>3</v>
      </c>
      <c r="E29" s="40">
        <v>3</v>
      </c>
      <c r="F29" s="48">
        <v>3</v>
      </c>
      <c r="G29" s="23">
        <v>3</v>
      </c>
      <c r="H29" s="40">
        <v>3</v>
      </c>
      <c r="I29" s="23">
        <v>3</v>
      </c>
      <c r="J29" s="23">
        <v>3</v>
      </c>
    </row>
    <row r="30" spans="1:10" x14ac:dyDescent="0.4">
      <c r="A30" s="53">
        <f t="shared" si="0"/>
        <v>12</v>
      </c>
      <c r="B30" s="39">
        <v>3</v>
      </c>
      <c r="C30" s="24">
        <v>2</v>
      </c>
      <c r="D30" s="24">
        <v>2</v>
      </c>
      <c r="E30" s="39">
        <v>1</v>
      </c>
      <c r="F30" s="47">
        <v>2</v>
      </c>
      <c r="G30" s="24">
        <v>3</v>
      </c>
      <c r="H30" s="39">
        <v>3</v>
      </c>
      <c r="I30" s="24">
        <v>3</v>
      </c>
      <c r="J30" s="24">
        <v>3</v>
      </c>
    </row>
    <row r="31" spans="1:10" x14ac:dyDescent="0.4">
      <c r="A31" s="53">
        <f t="shared" si="0"/>
        <v>13</v>
      </c>
      <c r="B31" s="39">
        <v>3</v>
      </c>
      <c r="C31" s="24">
        <v>3</v>
      </c>
      <c r="D31" s="24">
        <v>3</v>
      </c>
      <c r="E31" s="41">
        <v>2</v>
      </c>
      <c r="F31" s="49">
        <v>3</v>
      </c>
      <c r="G31" s="25">
        <v>2</v>
      </c>
      <c r="H31" s="41">
        <v>2</v>
      </c>
      <c r="I31" s="25">
        <v>3</v>
      </c>
      <c r="J31" s="25">
        <v>2</v>
      </c>
    </row>
    <row r="32" spans="1:10" x14ac:dyDescent="0.4">
      <c r="A32" s="53">
        <f t="shared" si="0"/>
        <v>14</v>
      </c>
      <c r="B32" s="39">
        <v>3</v>
      </c>
      <c r="C32" s="24">
        <v>3</v>
      </c>
      <c r="D32" s="24">
        <v>2</v>
      </c>
      <c r="E32" s="39">
        <v>3</v>
      </c>
      <c r="F32" s="47">
        <v>2</v>
      </c>
      <c r="G32" s="24">
        <v>2</v>
      </c>
      <c r="H32" s="39">
        <v>3</v>
      </c>
      <c r="I32" s="24">
        <v>2</v>
      </c>
      <c r="J32" s="24">
        <v>2</v>
      </c>
    </row>
    <row r="33" spans="1:10" x14ac:dyDescent="0.4">
      <c r="A33" s="53">
        <f t="shared" si="0"/>
        <v>15</v>
      </c>
      <c r="B33" s="39">
        <v>3</v>
      </c>
      <c r="C33" s="24">
        <v>2</v>
      </c>
      <c r="D33" s="24">
        <v>3</v>
      </c>
      <c r="E33" s="39">
        <v>2</v>
      </c>
      <c r="F33" s="47">
        <v>2</v>
      </c>
      <c r="G33" s="22">
        <v>2</v>
      </c>
      <c r="H33" s="39">
        <v>2</v>
      </c>
      <c r="I33" s="22">
        <v>2</v>
      </c>
      <c r="J33" s="22">
        <v>1</v>
      </c>
    </row>
    <row r="34" spans="1:10" x14ac:dyDescent="0.4">
      <c r="A34" s="53">
        <f t="shared" si="0"/>
        <v>16</v>
      </c>
      <c r="B34" s="39">
        <v>3</v>
      </c>
      <c r="C34" s="24">
        <v>3</v>
      </c>
      <c r="D34" s="24">
        <v>3</v>
      </c>
      <c r="E34" s="39">
        <v>1</v>
      </c>
      <c r="F34" s="47">
        <v>3</v>
      </c>
      <c r="G34" s="22">
        <v>3</v>
      </c>
      <c r="H34" s="39">
        <v>3</v>
      </c>
      <c r="I34" s="22">
        <v>3</v>
      </c>
      <c r="J34" s="22">
        <v>3</v>
      </c>
    </row>
    <row r="35" spans="1:10" x14ac:dyDescent="0.4">
      <c r="A35" s="54">
        <f t="shared" si="0"/>
        <v>17</v>
      </c>
      <c r="B35" s="40">
        <v>2</v>
      </c>
      <c r="C35" s="23">
        <v>1</v>
      </c>
      <c r="D35" s="23">
        <v>2</v>
      </c>
      <c r="E35" s="40">
        <v>1</v>
      </c>
      <c r="F35" s="48">
        <v>3</v>
      </c>
      <c r="G35" s="23">
        <v>3</v>
      </c>
      <c r="H35" s="40">
        <v>3</v>
      </c>
      <c r="I35" s="23">
        <v>2</v>
      </c>
      <c r="J35" s="23">
        <v>3</v>
      </c>
    </row>
    <row r="36" spans="1:10" x14ac:dyDescent="0.4">
      <c r="A36" s="53">
        <f t="shared" si="0"/>
        <v>18</v>
      </c>
      <c r="B36" s="39">
        <v>2.5</v>
      </c>
      <c r="C36" s="24">
        <v>1</v>
      </c>
      <c r="D36" s="24">
        <v>2</v>
      </c>
      <c r="E36" s="39">
        <v>3</v>
      </c>
      <c r="F36" s="47">
        <v>2</v>
      </c>
      <c r="G36" s="24">
        <v>3</v>
      </c>
      <c r="H36" s="39">
        <v>3</v>
      </c>
      <c r="I36" s="24">
        <v>2</v>
      </c>
      <c r="J36" s="24">
        <v>3</v>
      </c>
    </row>
    <row r="37" spans="1:10" x14ac:dyDescent="0.4">
      <c r="A37" s="53">
        <f t="shared" si="0"/>
        <v>19</v>
      </c>
      <c r="B37" s="39">
        <v>3</v>
      </c>
      <c r="C37" s="24">
        <v>3</v>
      </c>
      <c r="D37" s="24">
        <v>2</v>
      </c>
      <c r="E37" s="41">
        <v>1</v>
      </c>
      <c r="F37" s="49">
        <v>3</v>
      </c>
      <c r="G37" s="25">
        <v>3</v>
      </c>
      <c r="H37" s="41">
        <v>2</v>
      </c>
      <c r="I37" s="25">
        <v>3</v>
      </c>
      <c r="J37" s="25">
        <v>3</v>
      </c>
    </row>
    <row r="38" spans="1:10" x14ac:dyDescent="0.4">
      <c r="A38" s="53">
        <f t="shared" si="0"/>
        <v>20</v>
      </c>
      <c r="B38" s="39">
        <v>3</v>
      </c>
      <c r="C38" s="24">
        <v>3</v>
      </c>
      <c r="D38" s="24">
        <v>3</v>
      </c>
      <c r="E38" s="39">
        <v>3</v>
      </c>
      <c r="F38" s="47">
        <v>3</v>
      </c>
      <c r="G38" s="22">
        <v>3</v>
      </c>
      <c r="H38" s="39">
        <v>3</v>
      </c>
      <c r="I38" s="22">
        <v>3</v>
      </c>
      <c r="J38" s="22">
        <v>3</v>
      </c>
    </row>
    <row r="39" spans="1:10" x14ac:dyDescent="0.4">
      <c r="A39" s="54">
        <f t="shared" si="0"/>
        <v>21</v>
      </c>
      <c r="B39" s="40">
        <v>2</v>
      </c>
      <c r="C39" s="23">
        <v>3</v>
      </c>
      <c r="D39" s="23">
        <v>3</v>
      </c>
      <c r="E39" s="40">
        <v>1</v>
      </c>
      <c r="F39" s="48">
        <v>3</v>
      </c>
      <c r="G39" s="23">
        <v>3</v>
      </c>
      <c r="H39" s="40">
        <v>3</v>
      </c>
      <c r="I39" s="23">
        <v>2</v>
      </c>
      <c r="J39" s="23">
        <v>3</v>
      </c>
    </row>
    <row r="40" spans="1:10" x14ac:dyDescent="0.4">
      <c r="A40" s="53">
        <f t="shared" si="0"/>
        <v>22</v>
      </c>
      <c r="B40" s="39">
        <v>3</v>
      </c>
      <c r="C40" s="24">
        <v>3</v>
      </c>
      <c r="D40" s="24">
        <v>3</v>
      </c>
      <c r="E40" s="39">
        <v>2</v>
      </c>
      <c r="F40" s="47">
        <v>3</v>
      </c>
      <c r="G40" s="24">
        <v>2</v>
      </c>
      <c r="H40" s="39">
        <v>2</v>
      </c>
      <c r="I40" s="24">
        <v>2</v>
      </c>
      <c r="J40" s="24">
        <v>2</v>
      </c>
    </row>
    <row r="41" spans="1:10" x14ac:dyDescent="0.4">
      <c r="A41" s="53">
        <f t="shared" si="0"/>
        <v>23</v>
      </c>
      <c r="B41" s="39">
        <v>3</v>
      </c>
      <c r="C41" s="22">
        <v>3</v>
      </c>
      <c r="D41" s="22">
        <v>3</v>
      </c>
      <c r="E41" s="39">
        <v>1</v>
      </c>
      <c r="F41" s="49">
        <v>3</v>
      </c>
      <c r="G41" s="25">
        <v>3</v>
      </c>
      <c r="H41" s="41">
        <v>3</v>
      </c>
      <c r="I41" s="25">
        <v>2</v>
      </c>
      <c r="J41" s="25">
        <v>3</v>
      </c>
    </row>
    <row r="42" spans="1:10" x14ac:dyDescent="0.4">
      <c r="A42" s="53">
        <f t="shared" si="0"/>
        <v>24</v>
      </c>
      <c r="B42" s="39">
        <v>2</v>
      </c>
      <c r="C42" s="22">
        <v>3</v>
      </c>
      <c r="D42" s="22">
        <v>3</v>
      </c>
      <c r="E42" s="39">
        <v>3</v>
      </c>
      <c r="F42" s="49">
        <v>2</v>
      </c>
      <c r="G42" s="25">
        <v>3</v>
      </c>
      <c r="H42" s="41">
        <v>2</v>
      </c>
      <c r="I42" s="25">
        <v>3</v>
      </c>
      <c r="J42" s="25">
        <v>3</v>
      </c>
    </row>
    <row r="43" spans="1:10" x14ac:dyDescent="0.4">
      <c r="A43" s="53">
        <f t="shared" si="0"/>
        <v>25</v>
      </c>
      <c r="B43" s="39">
        <v>3</v>
      </c>
      <c r="C43" s="24">
        <v>3</v>
      </c>
      <c r="D43" s="24">
        <v>3</v>
      </c>
      <c r="E43" s="39">
        <v>3</v>
      </c>
      <c r="F43" s="49">
        <v>3</v>
      </c>
      <c r="G43" s="25">
        <v>3</v>
      </c>
      <c r="H43" s="41">
        <v>3</v>
      </c>
      <c r="I43" s="25">
        <v>2</v>
      </c>
      <c r="J43" s="25">
        <v>3</v>
      </c>
    </row>
    <row r="44" spans="1:10" x14ac:dyDescent="0.4">
      <c r="A44" s="54">
        <f t="shared" si="0"/>
        <v>26</v>
      </c>
      <c r="B44" s="40">
        <v>3</v>
      </c>
      <c r="C44" s="26">
        <v>2</v>
      </c>
      <c r="D44" s="26">
        <v>2</v>
      </c>
      <c r="E44" s="42">
        <v>3</v>
      </c>
      <c r="F44" s="50">
        <v>2</v>
      </c>
      <c r="G44" s="26">
        <v>1</v>
      </c>
      <c r="H44" s="42">
        <v>1</v>
      </c>
      <c r="I44" s="26">
        <v>2</v>
      </c>
      <c r="J44" s="26">
        <v>2</v>
      </c>
    </row>
    <row r="45" spans="1:10" x14ac:dyDescent="0.4">
      <c r="A45" s="53">
        <f t="shared" si="0"/>
        <v>27</v>
      </c>
      <c r="B45" s="39">
        <v>3</v>
      </c>
      <c r="C45" s="22">
        <v>3</v>
      </c>
      <c r="D45" s="22">
        <v>3</v>
      </c>
      <c r="E45" s="39">
        <v>2</v>
      </c>
      <c r="F45" s="49">
        <v>3</v>
      </c>
      <c r="G45" s="25">
        <v>1</v>
      </c>
      <c r="H45" s="41">
        <v>2</v>
      </c>
      <c r="I45" s="25">
        <v>2</v>
      </c>
      <c r="J45" s="25">
        <v>2</v>
      </c>
    </row>
    <row r="46" spans="1:10" x14ac:dyDescent="0.4">
      <c r="A46" s="53">
        <f t="shared" si="0"/>
        <v>28</v>
      </c>
      <c r="B46" s="39">
        <v>2</v>
      </c>
      <c r="C46" s="22">
        <v>3</v>
      </c>
      <c r="D46" s="22">
        <v>2</v>
      </c>
      <c r="E46" s="39">
        <v>3</v>
      </c>
      <c r="F46" s="49">
        <v>2</v>
      </c>
      <c r="G46" s="25">
        <v>2</v>
      </c>
      <c r="H46" s="41">
        <v>2</v>
      </c>
      <c r="I46" s="25">
        <v>2</v>
      </c>
      <c r="J46" s="25">
        <v>2</v>
      </c>
    </row>
    <row r="47" spans="1:10" x14ac:dyDescent="0.4">
      <c r="A47" s="53">
        <f t="shared" si="0"/>
        <v>29</v>
      </c>
      <c r="B47" s="39">
        <v>3</v>
      </c>
      <c r="C47" s="24">
        <v>3</v>
      </c>
      <c r="D47" s="24">
        <v>3</v>
      </c>
      <c r="E47" s="39">
        <v>3</v>
      </c>
      <c r="F47" s="49">
        <v>3</v>
      </c>
      <c r="G47" s="25">
        <v>3</v>
      </c>
      <c r="H47" s="41">
        <v>3</v>
      </c>
      <c r="I47" s="25">
        <v>3</v>
      </c>
      <c r="J47" s="25">
        <v>3</v>
      </c>
    </row>
    <row r="48" spans="1:10" x14ac:dyDescent="0.4">
      <c r="A48" s="53">
        <f t="shared" si="0"/>
        <v>30</v>
      </c>
      <c r="B48" s="39">
        <v>3</v>
      </c>
      <c r="C48" s="22">
        <v>1</v>
      </c>
      <c r="D48" s="22">
        <v>3</v>
      </c>
      <c r="E48" s="39">
        <v>2</v>
      </c>
      <c r="F48" s="49">
        <v>3</v>
      </c>
      <c r="G48" s="25">
        <v>2</v>
      </c>
      <c r="H48" s="41">
        <v>3</v>
      </c>
      <c r="I48" s="25">
        <v>1</v>
      </c>
      <c r="J48" s="25">
        <v>1</v>
      </c>
    </row>
    <row r="49" spans="1:10" x14ac:dyDescent="0.4">
      <c r="A49" s="54">
        <f t="shared" si="0"/>
        <v>31</v>
      </c>
      <c r="B49" s="40">
        <v>3</v>
      </c>
      <c r="C49" s="23">
        <v>3</v>
      </c>
      <c r="D49" s="23">
        <v>3</v>
      </c>
      <c r="E49" s="40">
        <v>3</v>
      </c>
      <c r="F49" s="50">
        <v>3</v>
      </c>
      <c r="G49" s="26">
        <v>2</v>
      </c>
      <c r="H49" s="42">
        <v>3</v>
      </c>
      <c r="I49" s="26">
        <v>2</v>
      </c>
      <c r="J49" s="26">
        <v>3</v>
      </c>
    </row>
    <row r="50" spans="1:10" x14ac:dyDescent="0.4">
      <c r="A50" s="53">
        <f t="shared" si="0"/>
        <v>32</v>
      </c>
      <c r="B50" s="39">
        <v>2</v>
      </c>
      <c r="C50" s="25">
        <v>2</v>
      </c>
      <c r="D50" s="25">
        <v>2</v>
      </c>
      <c r="E50" s="41">
        <v>1</v>
      </c>
      <c r="F50" s="49">
        <v>2</v>
      </c>
      <c r="G50" s="25">
        <v>2</v>
      </c>
      <c r="H50" s="41">
        <v>2</v>
      </c>
      <c r="I50" s="25">
        <v>2</v>
      </c>
      <c r="J50" s="25">
        <v>2</v>
      </c>
    </row>
    <row r="51" spans="1:10" x14ac:dyDescent="0.4">
      <c r="A51" s="53">
        <f t="shared" si="0"/>
        <v>33</v>
      </c>
      <c r="B51" s="39">
        <v>3</v>
      </c>
      <c r="C51" s="22">
        <v>3</v>
      </c>
      <c r="D51" s="22">
        <v>3</v>
      </c>
      <c r="E51" s="39">
        <v>2</v>
      </c>
      <c r="F51" s="49">
        <v>3</v>
      </c>
      <c r="G51" s="25">
        <v>3</v>
      </c>
      <c r="H51" s="41">
        <v>2</v>
      </c>
      <c r="I51" s="25">
        <v>3</v>
      </c>
      <c r="J51" s="25">
        <v>3</v>
      </c>
    </row>
    <row r="52" spans="1:10" x14ac:dyDescent="0.4">
      <c r="A52" s="53">
        <f t="shared" si="0"/>
        <v>34</v>
      </c>
      <c r="B52" s="39">
        <v>2</v>
      </c>
      <c r="C52" s="22">
        <v>3</v>
      </c>
      <c r="D52" s="22">
        <v>2</v>
      </c>
      <c r="E52" s="39">
        <v>3</v>
      </c>
      <c r="F52" s="49">
        <v>3</v>
      </c>
      <c r="G52" s="25">
        <v>2</v>
      </c>
      <c r="H52" s="41">
        <v>2</v>
      </c>
      <c r="I52" s="25">
        <v>3</v>
      </c>
      <c r="J52" s="25">
        <v>2</v>
      </c>
    </row>
    <row r="53" spans="1:10" x14ac:dyDescent="0.4">
      <c r="A53" s="53">
        <f t="shared" si="0"/>
        <v>35</v>
      </c>
      <c r="B53" s="39">
        <v>3</v>
      </c>
      <c r="C53" s="24">
        <v>3</v>
      </c>
      <c r="D53" s="24">
        <v>3</v>
      </c>
      <c r="E53" s="39">
        <v>2</v>
      </c>
      <c r="F53" s="49">
        <v>3</v>
      </c>
      <c r="G53" s="25">
        <v>3</v>
      </c>
      <c r="H53" s="41">
        <v>3</v>
      </c>
      <c r="I53" s="25">
        <v>3</v>
      </c>
      <c r="J53" s="25">
        <v>3</v>
      </c>
    </row>
    <row r="54" spans="1:10" x14ac:dyDescent="0.4">
      <c r="A54" s="54">
        <f t="shared" si="0"/>
        <v>36</v>
      </c>
      <c r="B54" s="40">
        <v>3</v>
      </c>
      <c r="C54" s="23">
        <v>2</v>
      </c>
      <c r="D54" s="23">
        <v>3</v>
      </c>
      <c r="E54" s="40">
        <v>3</v>
      </c>
      <c r="F54" s="50">
        <v>3</v>
      </c>
      <c r="G54" s="26">
        <v>3</v>
      </c>
      <c r="H54" s="42">
        <v>3</v>
      </c>
      <c r="I54" s="26">
        <v>2</v>
      </c>
      <c r="J54" s="26">
        <v>2</v>
      </c>
    </row>
    <row r="55" spans="1:10" x14ac:dyDescent="0.4">
      <c r="A55" s="53">
        <f t="shared" si="0"/>
        <v>37</v>
      </c>
      <c r="B55" s="39">
        <v>3</v>
      </c>
      <c r="C55" s="24">
        <v>3</v>
      </c>
      <c r="D55" s="24">
        <v>2</v>
      </c>
      <c r="E55" s="39">
        <v>1</v>
      </c>
      <c r="F55" s="49">
        <v>3</v>
      </c>
      <c r="G55" s="25">
        <v>2</v>
      </c>
      <c r="H55" s="41">
        <v>2</v>
      </c>
      <c r="I55" s="25">
        <v>1</v>
      </c>
      <c r="J55" s="25">
        <v>1</v>
      </c>
    </row>
    <row r="56" spans="1:10" x14ac:dyDescent="0.4">
      <c r="A56" s="53">
        <f t="shared" si="0"/>
        <v>38</v>
      </c>
      <c r="B56" s="39">
        <v>2</v>
      </c>
      <c r="C56" s="22">
        <v>2</v>
      </c>
      <c r="D56" s="22">
        <v>2</v>
      </c>
      <c r="E56" s="39">
        <v>1</v>
      </c>
      <c r="F56" s="47">
        <v>2</v>
      </c>
      <c r="G56" s="22">
        <v>2</v>
      </c>
      <c r="H56" s="39">
        <v>2</v>
      </c>
      <c r="I56" s="22">
        <v>3</v>
      </c>
      <c r="J56" s="22">
        <v>2</v>
      </c>
    </row>
    <row r="57" spans="1:10" x14ac:dyDescent="0.4">
      <c r="A57" s="53">
        <f t="shared" si="0"/>
        <v>39</v>
      </c>
      <c r="B57" s="39">
        <v>3</v>
      </c>
      <c r="C57" s="22">
        <v>3</v>
      </c>
      <c r="D57" s="22">
        <v>3</v>
      </c>
      <c r="E57" s="39">
        <v>2</v>
      </c>
      <c r="F57" s="47">
        <v>2</v>
      </c>
      <c r="G57" s="22">
        <v>3</v>
      </c>
      <c r="H57" s="39">
        <v>3</v>
      </c>
      <c r="I57" s="22">
        <v>3</v>
      </c>
      <c r="J57" s="22">
        <v>3</v>
      </c>
    </row>
    <row r="58" spans="1:10" x14ac:dyDescent="0.4">
      <c r="A58" s="53">
        <f t="shared" si="0"/>
        <v>40</v>
      </c>
      <c r="B58" s="39">
        <v>3</v>
      </c>
      <c r="C58" s="22">
        <v>3</v>
      </c>
      <c r="D58" s="22">
        <v>2</v>
      </c>
      <c r="E58" s="39">
        <v>3</v>
      </c>
      <c r="F58" s="47">
        <v>3</v>
      </c>
      <c r="G58" s="22">
        <v>3</v>
      </c>
      <c r="H58" s="39">
        <v>2</v>
      </c>
      <c r="I58" s="22">
        <v>1</v>
      </c>
      <c r="J58" s="22">
        <v>1</v>
      </c>
    </row>
    <row r="59" spans="1:10" x14ac:dyDescent="0.4">
      <c r="A59" s="54">
        <f t="shared" si="0"/>
        <v>41</v>
      </c>
      <c r="B59" s="40">
        <v>3</v>
      </c>
      <c r="C59" s="23">
        <v>3</v>
      </c>
      <c r="D59" s="23">
        <v>3</v>
      </c>
      <c r="E59" s="40">
        <v>3</v>
      </c>
      <c r="F59" s="48">
        <v>3</v>
      </c>
      <c r="G59" s="23">
        <v>3</v>
      </c>
      <c r="H59" s="40">
        <v>3</v>
      </c>
      <c r="I59" s="23">
        <v>3</v>
      </c>
      <c r="J59" s="23">
        <v>1</v>
      </c>
    </row>
    <row r="60" spans="1:10" x14ac:dyDescent="0.4">
      <c r="A60" s="53">
        <f t="shared" si="0"/>
        <v>42</v>
      </c>
      <c r="B60" s="39">
        <v>3</v>
      </c>
      <c r="C60" s="22">
        <v>3</v>
      </c>
      <c r="D60" s="22">
        <v>2</v>
      </c>
      <c r="E60" s="39">
        <v>3</v>
      </c>
      <c r="F60" s="47">
        <v>3</v>
      </c>
      <c r="G60" s="22">
        <v>3</v>
      </c>
      <c r="H60" s="39">
        <v>3</v>
      </c>
      <c r="I60" s="22">
        <v>3</v>
      </c>
      <c r="J60" s="22">
        <v>3</v>
      </c>
    </row>
    <row r="61" spans="1:10" x14ac:dyDescent="0.4">
      <c r="A61" s="53">
        <f t="shared" si="0"/>
        <v>43</v>
      </c>
      <c r="B61" s="39">
        <v>3</v>
      </c>
      <c r="C61" s="22">
        <v>3</v>
      </c>
      <c r="D61" s="22">
        <v>3</v>
      </c>
      <c r="E61" s="39">
        <v>3</v>
      </c>
      <c r="F61" s="47">
        <v>3</v>
      </c>
      <c r="G61" s="22">
        <v>2</v>
      </c>
      <c r="H61" s="39">
        <v>3</v>
      </c>
      <c r="I61" s="22">
        <v>3</v>
      </c>
      <c r="J61" s="22">
        <v>2</v>
      </c>
    </row>
    <row r="62" spans="1:10" x14ac:dyDescent="0.4">
      <c r="A62" s="53">
        <f t="shared" si="0"/>
        <v>44</v>
      </c>
      <c r="B62" s="39">
        <v>3</v>
      </c>
      <c r="C62" s="22">
        <v>3</v>
      </c>
      <c r="D62" s="22">
        <v>2</v>
      </c>
      <c r="E62" s="39">
        <v>3</v>
      </c>
      <c r="F62" s="47">
        <v>3</v>
      </c>
      <c r="G62" s="22">
        <v>3</v>
      </c>
      <c r="H62" s="39">
        <v>3</v>
      </c>
      <c r="I62" s="22">
        <v>3</v>
      </c>
      <c r="J62" s="22">
        <v>3</v>
      </c>
    </row>
    <row r="63" spans="1:10" x14ac:dyDescent="0.4">
      <c r="A63" s="53">
        <f t="shared" si="0"/>
        <v>45</v>
      </c>
      <c r="B63" s="39">
        <v>3</v>
      </c>
      <c r="C63" s="22">
        <v>3</v>
      </c>
      <c r="D63" s="22">
        <v>3</v>
      </c>
      <c r="E63" s="39">
        <v>3</v>
      </c>
      <c r="F63" s="47">
        <v>3</v>
      </c>
      <c r="G63" s="22">
        <v>3</v>
      </c>
      <c r="H63" s="39">
        <v>3</v>
      </c>
      <c r="I63" s="22">
        <v>3</v>
      </c>
      <c r="J63" s="22">
        <v>3</v>
      </c>
    </row>
    <row r="64" spans="1:10" x14ac:dyDescent="0.4">
      <c r="A64" s="54">
        <f t="shared" si="0"/>
        <v>46</v>
      </c>
      <c r="B64" s="40">
        <v>3</v>
      </c>
      <c r="C64" s="23">
        <v>2</v>
      </c>
      <c r="D64" s="23">
        <v>2</v>
      </c>
      <c r="E64" s="40">
        <v>1</v>
      </c>
      <c r="F64" s="48">
        <v>2</v>
      </c>
      <c r="G64" s="23">
        <v>2</v>
      </c>
      <c r="H64" s="40">
        <v>2</v>
      </c>
      <c r="I64" s="23">
        <v>3</v>
      </c>
      <c r="J64" s="23">
        <v>2</v>
      </c>
    </row>
    <row r="65" spans="1:10" x14ac:dyDescent="0.4">
      <c r="A65" s="19"/>
      <c r="B65" s="3"/>
      <c r="C65" s="3"/>
      <c r="D65" s="3"/>
      <c r="E65" s="3"/>
      <c r="F65" s="3"/>
      <c r="G65" s="3"/>
    </row>
    <row r="66" spans="1:10" x14ac:dyDescent="0.4">
      <c r="A66" s="3"/>
      <c r="B66" s="3"/>
      <c r="C66" s="3"/>
      <c r="D66" s="3"/>
      <c r="E66" s="3"/>
      <c r="F66" s="3"/>
      <c r="G66" s="3"/>
    </row>
    <row r="67" spans="1:10" x14ac:dyDescent="0.4">
      <c r="A67" s="15" t="s">
        <v>54</v>
      </c>
      <c r="B67" s="14"/>
      <c r="C67" s="14"/>
      <c r="D67" s="14"/>
      <c r="E67" s="14"/>
      <c r="F67" s="14"/>
      <c r="G67" s="14"/>
      <c r="H67" s="14"/>
      <c r="I67" s="14"/>
      <c r="J67" s="14"/>
    </row>
    <row r="68" spans="1:10" x14ac:dyDescent="0.4">
      <c r="A68" s="16" t="s">
        <v>13</v>
      </c>
      <c r="B68" s="27">
        <v>1</v>
      </c>
      <c r="C68" s="27">
        <v>2</v>
      </c>
      <c r="D68" s="27">
        <v>3</v>
      </c>
      <c r="E68" s="27">
        <v>4</v>
      </c>
      <c r="F68" s="27">
        <v>5</v>
      </c>
      <c r="G68" s="27">
        <v>6</v>
      </c>
      <c r="H68" s="27">
        <v>7</v>
      </c>
      <c r="I68" s="27">
        <v>8</v>
      </c>
      <c r="J68" s="27">
        <v>9</v>
      </c>
    </row>
    <row r="69" spans="1:10" x14ac:dyDescent="0.4">
      <c r="A69" s="17" t="s">
        <v>10</v>
      </c>
      <c r="B69" s="27">
        <v>7</v>
      </c>
      <c r="C69" s="27">
        <v>4</v>
      </c>
      <c r="D69" s="27">
        <v>4</v>
      </c>
      <c r="E69" s="27">
        <v>4</v>
      </c>
      <c r="F69" s="27">
        <v>5</v>
      </c>
      <c r="G69" s="27" t="s">
        <v>16</v>
      </c>
      <c r="H69" s="27">
        <v>1</v>
      </c>
      <c r="I69" s="27" t="s">
        <v>17</v>
      </c>
      <c r="J69" s="27">
        <v>1</v>
      </c>
    </row>
    <row r="70" spans="1:10" x14ac:dyDescent="0.4">
      <c r="A70" s="18" t="s">
        <v>3</v>
      </c>
      <c r="B70" s="28">
        <f t="shared" ref="B70:J70" si="1">AVERAGE(B19:B64)</f>
        <v>2.7608695652173911</v>
      </c>
      <c r="C70" s="28">
        <f t="shared" si="1"/>
        <v>2.5434782608695654</v>
      </c>
      <c r="D70" s="28">
        <f t="shared" si="1"/>
        <v>2.5652173913043477</v>
      </c>
      <c r="E70" s="28">
        <f t="shared" si="1"/>
        <v>2.1304347826086958</v>
      </c>
      <c r="F70" s="28">
        <f t="shared" si="1"/>
        <v>2.6304347826086958</v>
      </c>
      <c r="G70" s="28">
        <f t="shared" si="1"/>
        <v>2.5652173913043477</v>
      </c>
      <c r="H70" s="28">
        <f t="shared" si="1"/>
        <v>2.5869565217391304</v>
      </c>
      <c r="I70" s="28">
        <f t="shared" si="1"/>
        <v>2.3695652173913042</v>
      </c>
      <c r="J70" s="28">
        <f t="shared" si="1"/>
        <v>2.4130434782608696</v>
      </c>
    </row>
    <row r="71" spans="1:10" x14ac:dyDescent="0.4">
      <c r="A71" s="17" t="s">
        <v>4</v>
      </c>
      <c r="B71" s="29">
        <f t="shared" ref="B71:J71" si="2">STDEV(B19:B64)</f>
        <v>0.41818563707179168</v>
      </c>
      <c r="C71" s="29">
        <f t="shared" si="2"/>
        <v>0.72131120542555272</v>
      </c>
      <c r="D71" s="29">
        <f t="shared" si="2"/>
        <v>0.54373906785612081</v>
      </c>
      <c r="E71" s="29">
        <f t="shared" si="2"/>
        <v>0.88465173692938259</v>
      </c>
      <c r="F71" s="29">
        <f t="shared" si="2"/>
        <v>0.53160953307119463</v>
      </c>
      <c r="G71" s="29">
        <f t="shared" si="2"/>
        <v>0.62011374988943113</v>
      </c>
      <c r="H71" s="29">
        <f t="shared" si="2"/>
        <v>0.58027146737144597</v>
      </c>
      <c r="I71" s="29">
        <f t="shared" si="2"/>
        <v>0.67851785048733348</v>
      </c>
      <c r="J71" s="29">
        <f t="shared" si="2"/>
        <v>0.68560069222452247</v>
      </c>
    </row>
    <row r="72" spans="1:10" x14ac:dyDescent="0.4">
      <c r="A72" s="18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4">
      <c r="A73" s="18" t="s">
        <v>19</v>
      </c>
      <c r="B73" s="7">
        <f>AVERAGE(B70:J70)</f>
        <v>2.5072463768115942</v>
      </c>
      <c r="C73" s="5"/>
      <c r="D73" s="5"/>
      <c r="E73" s="5"/>
      <c r="F73" s="5"/>
      <c r="G73" s="5"/>
      <c r="H73" s="5"/>
      <c r="I73" s="5"/>
      <c r="J73" s="5"/>
    </row>
    <row r="74" spans="1:10" x14ac:dyDescent="0.4">
      <c r="A74" s="17"/>
      <c r="B74" s="14"/>
      <c r="C74" s="14"/>
      <c r="D74" s="14"/>
      <c r="E74" s="14"/>
      <c r="F74" s="14"/>
      <c r="G74" s="14"/>
      <c r="H74" s="14"/>
      <c r="I74" s="14"/>
      <c r="J74" s="14"/>
    </row>
    <row r="75" spans="1:10" x14ac:dyDescent="0.4">
      <c r="A75" s="18"/>
      <c r="B75" s="5"/>
      <c r="C75" s="5"/>
      <c r="D75" s="5"/>
      <c r="E75" s="5"/>
      <c r="F75" s="5"/>
      <c r="G75" s="5"/>
      <c r="H75" s="5"/>
      <c r="I75" s="5"/>
      <c r="J75" s="5"/>
    </row>
    <row r="77" spans="1:10" x14ac:dyDescent="0.4">
      <c r="A77" s="8" t="s">
        <v>12</v>
      </c>
      <c r="B77" s="6"/>
      <c r="C77" s="6"/>
      <c r="D77" s="6"/>
      <c r="E77" s="6"/>
      <c r="F77" s="6"/>
      <c r="G77" s="13"/>
      <c r="H77" s="3"/>
      <c r="I77" s="3"/>
    </row>
    <row r="78" spans="1:10" x14ac:dyDescent="0.4">
      <c r="A78" s="8"/>
      <c r="B78" s="31">
        <v>1</v>
      </c>
      <c r="C78" s="31">
        <v>2</v>
      </c>
      <c r="D78" s="31">
        <v>4</v>
      </c>
      <c r="E78" s="31">
        <v>5</v>
      </c>
      <c r="F78" s="21">
        <v>6</v>
      </c>
      <c r="G78" s="21">
        <v>7</v>
      </c>
      <c r="H78" s="3"/>
      <c r="I78" s="3"/>
    </row>
    <row r="79" spans="1:10" x14ac:dyDescent="0.4">
      <c r="A79" s="6" t="s">
        <v>6</v>
      </c>
      <c r="B79" s="32">
        <f>AVERAGE(G70,H70,I70,J70)</f>
        <v>2.4836956521739131</v>
      </c>
      <c r="C79" s="32">
        <f>AVERAGE(G70)</f>
        <v>2.5652173913043477</v>
      </c>
      <c r="D79" s="32">
        <f>AVERAGE(C70,D70,E70)</f>
        <v>2.4130434782608696</v>
      </c>
      <c r="E79" s="32">
        <f>AVERAGE(F70)</f>
        <v>2.6304347826086958</v>
      </c>
      <c r="F79" s="32">
        <f>AVERAGE(I70)</f>
        <v>2.3695652173913042</v>
      </c>
      <c r="G79" s="32">
        <f>AVERAGE(B70)</f>
        <v>2.7608695652173911</v>
      </c>
      <c r="H79" s="3"/>
      <c r="I79" s="34"/>
    </row>
    <row r="80" spans="1:10" x14ac:dyDescent="0.4">
      <c r="A80" s="6" t="s">
        <v>7</v>
      </c>
      <c r="B80" s="32">
        <f>STDEV(G70,H70,I70,J70)</f>
        <v>0.10851434153530387</v>
      </c>
      <c r="C80" s="32" t="s">
        <v>18</v>
      </c>
      <c r="D80" s="32">
        <f>STDEV(C70,D70,E70)</f>
        <v>0.24498755803444872</v>
      </c>
      <c r="E80" s="32" t="s">
        <v>18</v>
      </c>
      <c r="F80" s="33" t="s">
        <v>18</v>
      </c>
      <c r="G80" s="33" t="s">
        <v>18</v>
      </c>
      <c r="H80" s="3"/>
      <c r="I80" s="34"/>
    </row>
    <row r="82" spans="2:2" x14ac:dyDescent="0.4">
      <c r="B82" s="30"/>
    </row>
    <row r="125" spans="1:1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4">
      <c r="A136" s="3"/>
      <c r="B136" s="3"/>
      <c r="C136" s="3"/>
      <c r="D136" s="3"/>
      <c r="E136" s="3"/>
      <c r="F136" s="3"/>
      <c r="G136" s="3"/>
      <c r="H136" s="9"/>
      <c r="I136" s="9"/>
      <c r="J136" s="9"/>
      <c r="K136" s="3"/>
    </row>
    <row r="137" spans="1:1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x14ac:dyDescent="0.4">
      <c r="A158" s="3"/>
      <c r="B158" s="10"/>
      <c r="C158" s="3"/>
      <c r="D158" s="3"/>
      <c r="E158" s="3"/>
      <c r="F158" s="3"/>
      <c r="G158" s="3"/>
      <c r="H158" s="3"/>
      <c r="I158" s="3"/>
      <c r="J158" s="3"/>
      <c r="K158" s="3"/>
    </row>
    <row r="159" spans="1:11" x14ac:dyDescent="0.4">
      <c r="A159" s="3"/>
      <c r="B159" s="10"/>
      <c r="C159" s="3"/>
      <c r="D159" s="3"/>
      <c r="E159" s="3"/>
      <c r="F159" s="3"/>
      <c r="G159" s="3"/>
      <c r="H159" s="3"/>
      <c r="I159" s="3"/>
      <c r="J159" s="3"/>
      <c r="K159" s="3"/>
    </row>
    <row r="160" spans="1:11" x14ac:dyDescent="0.4">
      <c r="A160" s="3"/>
      <c r="B160" s="10"/>
      <c r="C160" s="3"/>
      <c r="D160" s="3"/>
      <c r="E160" s="3"/>
      <c r="F160" s="3"/>
      <c r="G160" s="3"/>
      <c r="H160" s="3"/>
      <c r="I160" s="3"/>
      <c r="J160" s="3"/>
      <c r="K160" s="3"/>
    </row>
    <row r="161" spans="1:11" x14ac:dyDescent="0.4">
      <c r="A161" s="3"/>
      <c r="B161" s="10"/>
      <c r="C161" s="3"/>
      <c r="D161" s="3"/>
      <c r="E161" s="3"/>
      <c r="F161" s="3"/>
      <c r="G161" s="3"/>
      <c r="H161" s="3"/>
      <c r="I161" s="3"/>
      <c r="J161" s="3"/>
      <c r="K161" s="3"/>
    </row>
    <row r="162" spans="1:1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x14ac:dyDescent="0.4">
      <c r="A163" s="11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Fall 19</vt:lpstr>
      <vt:lpstr>Fall 18</vt:lpstr>
      <vt:lpstr>Fall 17</vt:lpstr>
      <vt:lpstr>Fall 16</vt:lpstr>
      <vt:lpstr>Spring 16 </vt:lpstr>
      <vt:lpstr>Spring 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2020-08-31T03:24:56Z</dcterms:modified>
</cp:coreProperties>
</file>