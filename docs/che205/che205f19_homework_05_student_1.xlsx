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oZhen/Desktop/CHE205_Fall19/strong/hw5/"/>
    </mc:Choice>
  </mc:AlternateContent>
  <xr:revisionPtr revIDLastSave="0" documentId="13_ncr:1_{AEB73E92-5FF9-164D-BD5A-B9AE65EFA397}" xr6:coauthVersionLast="41" xr6:coauthVersionMax="45" xr10:uidLastSave="{00000000-0000-0000-0000-000000000000}"/>
  <bookViews>
    <workbookView xWindow="-120" yWindow="460" windowWidth="22440" windowHeight="15540" xr2:uid="{D2261859-33C7-4CDE-A885-D9F9FEE27569}"/>
  </bookViews>
  <sheets>
    <sheet name="4.1" sheetId="2" r:id="rId1"/>
    <sheet name="4.4" sheetId="3" r:id="rId2"/>
    <sheet name="4.5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3" l="1"/>
  <c r="B12" i="3"/>
  <c r="B11" i="3"/>
  <c r="B10" i="3"/>
  <c r="B9" i="3"/>
  <c r="B8" i="3"/>
  <c r="B7" i="3"/>
  <c r="B6" i="3"/>
  <c r="B5" i="3"/>
  <c r="B4" i="3"/>
  <c r="C14" i="3" s="1"/>
  <c r="B3" i="3"/>
  <c r="L17" i="3"/>
  <c r="N17" i="3" s="1"/>
  <c r="K18" i="3"/>
  <c r="L18" i="3"/>
  <c r="N18" i="3"/>
  <c r="L19" i="3"/>
  <c r="N19" i="3"/>
  <c r="K20" i="3"/>
  <c r="L20" i="3"/>
  <c r="N20" i="3" s="1"/>
  <c r="L10" i="3"/>
  <c r="N10" i="3" s="1"/>
  <c r="L11" i="3"/>
  <c r="N11" i="3"/>
  <c r="K12" i="3"/>
  <c r="L12" i="3" s="1"/>
  <c r="N12" i="3" s="1"/>
  <c r="L4" i="3"/>
  <c r="N4" i="3"/>
  <c r="N6" i="3" s="1"/>
  <c r="L5" i="3"/>
  <c r="N5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9" i="3"/>
  <c r="D120" i="3" s="1"/>
  <c r="P8" i="2"/>
  <c r="P10" i="2"/>
  <c r="P12" i="2"/>
  <c r="P14" i="2"/>
  <c r="P16" i="2"/>
  <c r="P17" i="2"/>
  <c r="P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3" i="2"/>
  <c r="C17" i="2"/>
  <c r="C5" i="2"/>
  <c r="P5" i="2" s="1"/>
  <c r="C6" i="2"/>
  <c r="P6" i="2" s="1"/>
  <c r="C7" i="2"/>
  <c r="P7" i="2" s="1"/>
  <c r="C8" i="2"/>
  <c r="C9" i="2"/>
  <c r="P9" i="2" s="1"/>
  <c r="C10" i="2"/>
  <c r="C11" i="2"/>
  <c r="P11" i="2" s="1"/>
  <c r="C12" i="2"/>
  <c r="C13" i="2"/>
  <c r="P13" i="2" s="1"/>
  <c r="C14" i="2"/>
  <c r="C15" i="2"/>
  <c r="P15" i="2" s="1"/>
  <c r="C16" i="2"/>
  <c r="C4" i="2"/>
  <c r="C3" i="2"/>
  <c r="D147" i="1"/>
  <c r="D148" i="1"/>
  <c r="D149" i="1"/>
  <c r="E149" i="1" s="1"/>
  <c r="D150" i="1"/>
  <c r="D151" i="1"/>
  <c r="D152" i="1"/>
  <c r="D153" i="1"/>
  <c r="D154" i="1"/>
  <c r="D155" i="1"/>
  <c r="D156" i="1"/>
  <c r="D157" i="1"/>
  <c r="D158" i="1"/>
  <c r="D159" i="1"/>
  <c r="D160" i="1"/>
  <c r="D161" i="1"/>
  <c r="E161" i="1" s="1"/>
  <c r="D162" i="1"/>
  <c r="D163" i="1"/>
  <c r="D164" i="1"/>
  <c r="D165" i="1"/>
  <c r="E165" i="1" s="1"/>
  <c r="D166" i="1"/>
  <c r="D167" i="1"/>
  <c r="D168" i="1"/>
  <c r="D169" i="1"/>
  <c r="D170" i="1"/>
  <c r="D171" i="1"/>
  <c r="D172" i="1"/>
  <c r="D173" i="1"/>
  <c r="D174" i="1"/>
  <c r="D175" i="1"/>
  <c r="D176" i="1"/>
  <c r="D177" i="1"/>
  <c r="E177" i="1" s="1"/>
  <c r="D178" i="1"/>
  <c r="D179" i="1"/>
  <c r="D180" i="1"/>
  <c r="D181" i="1"/>
  <c r="E181" i="1" s="1"/>
  <c r="D182" i="1"/>
  <c r="D183" i="1"/>
  <c r="D184" i="1"/>
  <c r="D185" i="1"/>
  <c r="D186" i="1"/>
  <c r="D187" i="1"/>
  <c r="D188" i="1"/>
  <c r="D189" i="1"/>
  <c r="D190" i="1"/>
  <c r="D191" i="1"/>
  <c r="D192" i="1"/>
  <c r="D193" i="1"/>
  <c r="E193" i="1" s="1"/>
  <c r="D194" i="1"/>
  <c r="D195" i="1"/>
  <c r="D196" i="1"/>
  <c r="D197" i="1"/>
  <c r="E197" i="1" s="1"/>
  <c r="D198" i="1"/>
  <c r="D199" i="1"/>
  <c r="D200" i="1"/>
  <c r="D201" i="1"/>
  <c r="D202" i="1"/>
  <c r="D203" i="1"/>
  <c r="D204" i="1"/>
  <c r="D205" i="1"/>
  <c r="D206" i="1"/>
  <c r="D207" i="1"/>
  <c r="D208" i="1"/>
  <c r="D209" i="1"/>
  <c r="E209" i="1" s="1"/>
  <c r="D210" i="1"/>
  <c r="D211" i="1"/>
  <c r="D212" i="1"/>
  <c r="D213" i="1"/>
  <c r="E213" i="1" s="1"/>
  <c r="D214" i="1"/>
  <c r="D215" i="1"/>
  <c r="D216" i="1"/>
  <c r="D217" i="1"/>
  <c r="D218" i="1"/>
  <c r="D219" i="1"/>
  <c r="D220" i="1"/>
  <c r="D221" i="1"/>
  <c r="D222" i="1"/>
  <c r="D223" i="1"/>
  <c r="D224" i="1"/>
  <c r="D225" i="1"/>
  <c r="E225" i="1" s="1"/>
  <c r="D226" i="1"/>
  <c r="D227" i="1"/>
  <c r="D228" i="1"/>
  <c r="D229" i="1"/>
  <c r="E229" i="1" s="1"/>
  <c r="D230" i="1"/>
  <c r="D231" i="1"/>
  <c r="D232" i="1"/>
  <c r="D233" i="1"/>
  <c r="D234" i="1"/>
  <c r="D235" i="1"/>
  <c r="D236" i="1"/>
  <c r="D237" i="1"/>
  <c r="D238" i="1"/>
  <c r="D239" i="1"/>
  <c r="D240" i="1"/>
  <c r="D241" i="1"/>
  <c r="E241" i="1" s="1"/>
  <c r="D242" i="1"/>
  <c r="D243" i="1"/>
  <c r="D244" i="1"/>
  <c r="D245" i="1"/>
  <c r="E245" i="1" s="1"/>
  <c r="D246" i="1"/>
  <c r="D146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C247" i="1" s="1"/>
  <c r="D131" i="1"/>
  <c r="D132" i="1"/>
  <c r="D133" i="1"/>
  <c r="D134" i="1"/>
  <c r="D135" i="1"/>
  <c r="D136" i="1"/>
  <c r="D137" i="1"/>
  <c r="D138" i="1"/>
  <c r="D139" i="1"/>
  <c r="D130" i="1"/>
  <c r="B139" i="1"/>
  <c r="B138" i="1"/>
  <c r="B137" i="1"/>
  <c r="B136" i="1"/>
  <c r="B135" i="1"/>
  <c r="B134" i="1"/>
  <c r="B133" i="1"/>
  <c r="B132" i="1"/>
  <c r="B131" i="1"/>
  <c r="B130" i="1"/>
  <c r="B129" i="1"/>
  <c r="D129" i="1"/>
  <c r="E116" i="1"/>
  <c r="C24" i="1"/>
  <c r="E24" i="1" s="1"/>
  <c r="C32" i="1"/>
  <c r="E32" i="1" s="1"/>
  <c r="C40" i="1"/>
  <c r="E40" i="1" s="1"/>
  <c r="C48" i="1"/>
  <c r="E48" i="1" s="1"/>
  <c r="C56" i="1"/>
  <c r="E56" i="1" s="1"/>
  <c r="C64" i="1"/>
  <c r="E64" i="1" s="1"/>
  <c r="C72" i="1"/>
  <c r="E72" i="1" s="1"/>
  <c r="C80" i="1"/>
  <c r="E80" i="1" s="1"/>
  <c r="C88" i="1"/>
  <c r="E88" i="1" s="1"/>
  <c r="C96" i="1"/>
  <c r="E96" i="1" s="1"/>
  <c r="C104" i="1"/>
  <c r="E104" i="1" s="1"/>
  <c r="C110" i="1"/>
  <c r="C116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E90" i="1" s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9" i="1"/>
  <c r="F3" i="1"/>
  <c r="B20" i="1"/>
  <c r="B21" i="1"/>
  <c r="B22" i="1"/>
  <c r="B23" i="1"/>
  <c r="C22" i="1" s="1"/>
  <c r="E22" i="1" s="1"/>
  <c r="B24" i="1"/>
  <c r="C23" i="1" s="1"/>
  <c r="E23" i="1" s="1"/>
  <c r="B25" i="1"/>
  <c r="B26" i="1"/>
  <c r="B27" i="1"/>
  <c r="C26" i="1" s="1"/>
  <c r="E26" i="1" s="1"/>
  <c r="B28" i="1"/>
  <c r="C27" i="1" s="1"/>
  <c r="E27" i="1" s="1"/>
  <c r="B29" i="1"/>
  <c r="B30" i="1"/>
  <c r="B31" i="1"/>
  <c r="C30" i="1" s="1"/>
  <c r="B32" i="1"/>
  <c r="C31" i="1" s="1"/>
  <c r="E31" i="1" s="1"/>
  <c r="B33" i="1"/>
  <c r="B34" i="1"/>
  <c r="B35" i="1"/>
  <c r="C34" i="1" s="1"/>
  <c r="B36" i="1"/>
  <c r="C35" i="1" s="1"/>
  <c r="E35" i="1" s="1"/>
  <c r="B37" i="1"/>
  <c r="B38" i="1"/>
  <c r="B39" i="1"/>
  <c r="C38" i="1" s="1"/>
  <c r="E38" i="1" s="1"/>
  <c r="B40" i="1"/>
  <c r="C39" i="1" s="1"/>
  <c r="E39" i="1" s="1"/>
  <c r="B41" i="1"/>
  <c r="B42" i="1"/>
  <c r="B43" i="1"/>
  <c r="C42" i="1" s="1"/>
  <c r="E42" i="1" s="1"/>
  <c r="B44" i="1"/>
  <c r="C43" i="1" s="1"/>
  <c r="E43" i="1" s="1"/>
  <c r="B45" i="1"/>
  <c r="B46" i="1"/>
  <c r="B47" i="1"/>
  <c r="C46" i="1" s="1"/>
  <c r="B48" i="1"/>
  <c r="C47" i="1" s="1"/>
  <c r="E47" i="1" s="1"/>
  <c r="B49" i="1"/>
  <c r="B50" i="1"/>
  <c r="B51" i="1"/>
  <c r="C50" i="1" s="1"/>
  <c r="B52" i="1"/>
  <c r="C51" i="1" s="1"/>
  <c r="E51" i="1" s="1"/>
  <c r="B53" i="1"/>
  <c r="B54" i="1"/>
  <c r="B55" i="1"/>
  <c r="C54" i="1" s="1"/>
  <c r="E54" i="1" s="1"/>
  <c r="B56" i="1"/>
  <c r="C55" i="1" s="1"/>
  <c r="E55" i="1" s="1"/>
  <c r="B57" i="1"/>
  <c r="B58" i="1"/>
  <c r="B59" i="1"/>
  <c r="C58" i="1" s="1"/>
  <c r="E58" i="1" s="1"/>
  <c r="B60" i="1"/>
  <c r="C59" i="1" s="1"/>
  <c r="E59" i="1" s="1"/>
  <c r="B61" i="1"/>
  <c r="B62" i="1"/>
  <c r="B63" i="1"/>
  <c r="C62" i="1" s="1"/>
  <c r="B64" i="1"/>
  <c r="C63" i="1" s="1"/>
  <c r="E63" i="1" s="1"/>
  <c r="B65" i="1"/>
  <c r="B66" i="1"/>
  <c r="B67" i="1"/>
  <c r="C66" i="1" s="1"/>
  <c r="B68" i="1"/>
  <c r="C67" i="1" s="1"/>
  <c r="E67" i="1" s="1"/>
  <c r="B69" i="1"/>
  <c r="B70" i="1"/>
  <c r="B71" i="1"/>
  <c r="C70" i="1" s="1"/>
  <c r="E70" i="1" s="1"/>
  <c r="B72" i="1"/>
  <c r="C71" i="1" s="1"/>
  <c r="E71" i="1" s="1"/>
  <c r="B73" i="1"/>
  <c r="B74" i="1"/>
  <c r="B75" i="1"/>
  <c r="C74" i="1" s="1"/>
  <c r="E74" i="1" s="1"/>
  <c r="B76" i="1"/>
  <c r="C75" i="1" s="1"/>
  <c r="E75" i="1" s="1"/>
  <c r="B77" i="1"/>
  <c r="B78" i="1"/>
  <c r="B79" i="1"/>
  <c r="C78" i="1" s="1"/>
  <c r="B80" i="1"/>
  <c r="C79" i="1" s="1"/>
  <c r="E79" i="1" s="1"/>
  <c r="B81" i="1"/>
  <c r="B82" i="1"/>
  <c r="B83" i="1"/>
  <c r="C82" i="1" s="1"/>
  <c r="B84" i="1"/>
  <c r="C83" i="1" s="1"/>
  <c r="E83" i="1" s="1"/>
  <c r="B85" i="1"/>
  <c r="B86" i="1"/>
  <c r="B87" i="1"/>
  <c r="C86" i="1" s="1"/>
  <c r="E86" i="1" s="1"/>
  <c r="B88" i="1"/>
  <c r="C87" i="1" s="1"/>
  <c r="E87" i="1" s="1"/>
  <c r="B89" i="1"/>
  <c r="B90" i="1"/>
  <c r="B91" i="1"/>
  <c r="C90" i="1" s="1"/>
  <c r="B92" i="1"/>
  <c r="C91" i="1" s="1"/>
  <c r="E91" i="1" s="1"/>
  <c r="B93" i="1"/>
  <c r="B94" i="1"/>
  <c r="B95" i="1"/>
  <c r="C94" i="1" s="1"/>
  <c r="B96" i="1"/>
  <c r="C95" i="1" s="1"/>
  <c r="E95" i="1" s="1"/>
  <c r="B97" i="1"/>
  <c r="B98" i="1"/>
  <c r="B99" i="1"/>
  <c r="C98" i="1" s="1"/>
  <c r="B100" i="1"/>
  <c r="C99" i="1" s="1"/>
  <c r="E99" i="1" s="1"/>
  <c r="B101" i="1"/>
  <c r="B102" i="1"/>
  <c r="B103" i="1"/>
  <c r="C102" i="1" s="1"/>
  <c r="B104" i="1"/>
  <c r="C103" i="1" s="1"/>
  <c r="E103" i="1" s="1"/>
  <c r="B105" i="1"/>
  <c r="B106" i="1"/>
  <c r="B107" i="1"/>
  <c r="C106" i="1" s="1"/>
  <c r="B108" i="1"/>
  <c r="C107" i="1" s="1"/>
  <c r="E107" i="1" s="1"/>
  <c r="B109" i="1"/>
  <c r="B110" i="1"/>
  <c r="B111" i="1"/>
  <c r="B112" i="1"/>
  <c r="C111" i="1" s="1"/>
  <c r="E111" i="1" s="1"/>
  <c r="B113" i="1"/>
  <c r="C112" i="1" s="1"/>
  <c r="E112" i="1" s="1"/>
  <c r="B114" i="1"/>
  <c r="B115" i="1"/>
  <c r="C114" i="1" s="1"/>
  <c r="E114" i="1" s="1"/>
  <c r="B116" i="1"/>
  <c r="C115" i="1" s="1"/>
  <c r="E115" i="1" s="1"/>
  <c r="B117" i="1"/>
  <c r="B118" i="1"/>
  <c r="B119" i="1"/>
  <c r="C119" i="1" s="1"/>
  <c r="E119" i="1" s="1"/>
  <c r="B19" i="1"/>
  <c r="C19" i="1" s="1"/>
  <c r="E19" i="1" s="1"/>
  <c r="B3" i="1"/>
  <c r="A4" i="1"/>
  <c r="C113" i="1" l="1"/>
  <c r="E113" i="1" s="1"/>
  <c r="C105" i="1"/>
  <c r="E105" i="1" s="1"/>
  <c r="C97" i="1"/>
  <c r="E97" i="1" s="1"/>
  <c r="C89" i="1"/>
  <c r="E89" i="1" s="1"/>
  <c r="C81" i="1"/>
  <c r="E81" i="1" s="1"/>
  <c r="C73" i="1"/>
  <c r="E73" i="1" s="1"/>
  <c r="C65" i="1"/>
  <c r="E65" i="1" s="1"/>
  <c r="C57" i="1"/>
  <c r="E57" i="1" s="1"/>
  <c r="C49" i="1"/>
  <c r="E49" i="1" s="1"/>
  <c r="C41" i="1"/>
  <c r="E41" i="1" s="1"/>
  <c r="C33" i="1"/>
  <c r="E33" i="1" s="1"/>
  <c r="C25" i="1"/>
  <c r="E25" i="1" s="1"/>
  <c r="E151" i="1"/>
  <c r="E167" i="1"/>
  <c r="E183" i="1"/>
  <c r="E199" i="1"/>
  <c r="E215" i="1"/>
  <c r="E231" i="1"/>
  <c r="E146" i="1"/>
  <c r="E147" i="1"/>
  <c r="E158" i="1"/>
  <c r="E163" i="1"/>
  <c r="E174" i="1"/>
  <c r="E179" i="1"/>
  <c r="E190" i="1"/>
  <c r="E195" i="1"/>
  <c r="E206" i="1"/>
  <c r="E211" i="1"/>
  <c r="E222" i="1"/>
  <c r="E227" i="1"/>
  <c r="E243" i="1"/>
  <c r="E155" i="1"/>
  <c r="E166" i="1"/>
  <c r="E187" i="1"/>
  <c r="E198" i="1"/>
  <c r="E219" i="1"/>
  <c r="E230" i="1"/>
  <c r="E159" i="1"/>
  <c r="E170" i="1"/>
  <c r="E191" i="1"/>
  <c r="E202" i="1"/>
  <c r="E223" i="1"/>
  <c r="E234" i="1"/>
  <c r="E150" i="1"/>
  <c r="E171" i="1"/>
  <c r="E182" i="1"/>
  <c r="E203" i="1"/>
  <c r="E214" i="1"/>
  <c r="E235" i="1"/>
  <c r="E246" i="1"/>
  <c r="E154" i="1"/>
  <c r="E175" i="1"/>
  <c r="E186" i="1"/>
  <c r="E207" i="1"/>
  <c r="E218" i="1"/>
  <c r="E239" i="1"/>
  <c r="A5" i="1"/>
  <c r="F4" i="1"/>
  <c r="E110" i="1"/>
  <c r="C117" i="1"/>
  <c r="E117" i="1" s="1"/>
  <c r="C109" i="1"/>
  <c r="E109" i="1" s="1"/>
  <c r="C101" i="1"/>
  <c r="E101" i="1" s="1"/>
  <c r="C93" i="1"/>
  <c r="E93" i="1" s="1"/>
  <c r="C85" i="1"/>
  <c r="E85" i="1" s="1"/>
  <c r="C77" i="1"/>
  <c r="E77" i="1" s="1"/>
  <c r="C69" i="1"/>
  <c r="E69" i="1" s="1"/>
  <c r="C61" i="1"/>
  <c r="E61" i="1" s="1"/>
  <c r="C53" i="1"/>
  <c r="E53" i="1" s="1"/>
  <c r="C45" i="1"/>
  <c r="E45" i="1" s="1"/>
  <c r="C37" i="1"/>
  <c r="E37" i="1" s="1"/>
  <c r="C29" i="1"/>
  <c r="E29" i="1" s="1"/>
  <c r="C21" i="1"/>
  <c r="E21" i="1" s="1"/>
  <c r="B4" i="1"/>
  <c r="E98" i="1"/>
  <c r="E62" i="1"/>
  <c r="E50" i="1"/>
  <c r="E30" i="1"/>
  <c r="C118" i="1"/>
  <c r="E118" i="1" s="1"/>
  <c r="C108" i="1"/>
  <c r="E108" i="1" s="1"/>
  <c r="C100" i="1"/>
  <c r="E100" i="1" s="1"/>
  <c r="C92" i="1"/>
  <c r="E92" i="1" s="1"/>
  <c r="C84" i="1"/>
  <c r="E84" i="1" s="1"/>
  <c r="C68" i="1"/>
  <c r="E68" i="1" s="1"/>
  <c r="C60" i="1"/>
  <c r="E60" i="1" s="1"/>
  <c r="C52" i="1"/>
  <c r="E52" i="1" s="1"/>
  <c r="C44" i="1"/>
  <c r="E44" i="1" s="1"/>
  <c r="C36" i="1"/>
  <c r="E36" i="1" s="1"/>
  <c r="C20" i="1"/>
  <c r="E20" i="1" s="1"/>
  <c r="P4" i="2"/>
  <c r="C18" i="2"/>
  <c r="E242" i="1"/>
  <c r="E238" i="1"/>
  <c r="E226" i="1"/>
  <c r="E210" i="1"/>
  <c r="E194" i="1"/>
  <c r="E178" i="1"/>
  <c r="E162" i="1"/>
  <c r="D9" i="3"/>
  <c r="E9" i="3" s="1"/>
  <c r="E102" i="1"/>
  <c r="E82" i="1"/>
  <c r="E66" i="1"/>
  <c r="E46" i="1"/>
  <c r="E34" i="1"/>
  <c r="E237" i="1"/>
  <c r="E233" i="1"/>
  <c r="E221" i="1"/>
  <c r="E217" i="1"/>
  <c r="E205" i="1"/>
  <c r="E201" i="1"/>
  <c r="E189" i="1"/>
  <c r="E185" i="1"/>
  <c r="E173" i="1"/>
  <c r="E169" i="1"/>
  <c r="E157" i="1"/>
  <c r="E153" i="1"/>
  <c r="E21" i="3"/>
  <c r="D21" i="3"/>
  <c r="O10" i="3"/>
  <c r="N13" i="3"/>
  <c r="O11" i="3" s="1"/>
  <c r="O17" i="3"/>
  <c r="N21" i="3"/>
  <c r="O19" i="3" s="1"/>
  <c r="E106" i="1"/>
  <c r="E94" i="1"/>
  <c r="E78" i="1"/>
  <c r="C76" i="1"/>
  <c r="E76" i="1" s="1"/>
  <c r="C28" i="1"/>
  <c r="E28" i="1" s="1"/>
  <c r="E244" i="1"/>
  <c r="E240" i="1"/>
  <c r="E236" i="1"/>
  <c r="E232" i="1"/>
  <c r="E228" i="1"/>
  <c r="E224" i="1"/>
  <c r="E220" i="1"/>
  <c r="E216" i="1"/>
  <c r="E212" i="1"/>
  <c r="E208" i="1"/>
  <c r="E204" i="1"/>
  <c r="E200" i="1"/>
  <c r="E196" i="1"/>
  <c r="E192" i="1"/>
  <c r="E188" i="1"/>
  <c r="E184" i="1"/>
  <c r="E180" i="1"/>
  <c r="E176" i="1"/>
  <c r="E172" i="1"/>
  <c r="E168" i="1"/>
  <c r="E164" i="1"/>
  <c r="E160" i="1"/>
  <c r="E156" i="1"/>
  <c r="E152" i="1"/>
  <c r="E148" i="1"/>
  <c r="O12" i="3"/>
  <c r="O18" i="3"/>
  <c r="O20" i="3"/>
  <c r="O4" i="3"/>
  <c r="D23" i="3"/>
  <c r="E23" i="3" s="1"/>
  <c r="D5" i="3"/>
  <c r="E5" i="3" s="1"/>
  <c r="C140" i="1"/>
  <c r="E138" i="1" s="1"/>
  <c r="O5" i="3"/>
  <c r="D7" i="3"/>
  <c r="E7" i="3" s="1"/>
  <c r="F5" i="1" l="1"/>
  <c r="B5" i="1"/>
  <c r="A6" i="1"/>
  <c r="D11" i="3"/>
  <c r="E134" i="1"/>
  <c r="D25" i="3"/>
  <c r="E130" i="1"/>
  <c r="E135" i="1"/>
  <c r="E129" i="1"/>
  <c r="E136" i="1"/>
  <c r="E133" i="1"/>
  <c r="E137" i="1"/>
  <c r="E139" i="1"/>
  <c r="E132" i="1"/>
  <c r="E131" i="1"/>
  <c r="E11" i="3" l="1"/>
  <c r="D13" i="3"/>
  <c r="E13" i="3" s="1"/>
  <c r="A7" i="1"/>
  <c r="B6" i="1"/>
  <c r="C5" i="1" s="1"/>
  <c r="E5" i="1" s="1"/>
  <c r="F6" i="1"/>
  <c r="D27" i="3"/>
  <c r="E25" i="3"/>
  <c r="C4" i="1"/>
  <c r="E4" i="1" s="1"/>
  <c r="C3" i="1"/>
  <c r="E3" i="1" s="1"/>
  <c r="B7" i="1" l="1"/>
  <c r="C6" i="1" s="1"/>
  <c r="E6" i="1" s="1"/>
  <c r="F7" i="1"/>
  <c r="A8" i="1"/>
  <c r="E27" i="3"/>
  <c r="D29" i="3"/>
  <c r="E29" i="3" l="1"/>
  <c r="D31" i="3"/>
  <c r="F8" i="1"/>
  <c r="A9" i="1"/>
  <c r="B8" i="1"/>
  <c r="C7" i="1" s="1"/>
  <c r="E7" i="1" s="1"/>
  <c r="B9" i="1" l="1"/>
  <c r="C8" i="1" s="1"/>
  <c r="E8" i="1" s="1"/>
  <c r="F9" i="1"/>
  <c r="A10" i="1"/>
  <c r="E31" i="3"/>
  <c r="D33" i="3"/>
  <c r="D35" i="3" l="1"/>
  <c r="E33" i="3"/>
  <c r="A11" i="1"/>
  <c r="B10" i="1"/>
  <c r="C9" i="1" s="1"/>
  <c r="E9" i="1" s="1"/>
  <c r="F10" i="1"/>
  <c r="A12" i="1" l="1"/>
  <c r="F11" i="1"/>
  <c r="B11" i="1"/>
  <c r="C10" i="1" s="1"/>
  <c r="E10" i="1" s="1"/>
  <c r="D37" i="3"/>
  <c r="E35" i="3"/>
  <c r="A13" i="1" l="1"/>
  <c r="F12" i="1"/>
  <c r="B12" i="1"/>
  <c r="C11" i="1" s="1"/>
  <c r="E11" i="1" s="1"/>
  <c r="D39" i="3"/>
  <c r="E37" i="3"/>
  <c r="D41" i="3" l="1"/>
  <c r="E39" i="3"/>
  <c r="F13" i="1"/>
  <c r="B13" i="1"/>
  <c r="C12" i="1" l="1"/>
  <c r="E12" i="1" s="1"/>
  <c r="C13" i="1"/>
  <c r="E13" i="1" s="1"/>
  <c r="E41" i="3"/>
  <c r="D43" i="3"/>
  <c r="D45" i="3" l="1"/>
  <c r="E43" i="3"/>
  <c r="E45" i="3" l="1"/>
  <c r="D47" i="3"/>
  <c r="D49" i="3" l="1"/>
  <c r="E47" i="3"/>
  <c r="D51" i="3" l="1"/>
  <c r="E49" i="3"/>
  <c r="E51" i="3" l="1"/>
  <c r="D53" i="3"/>
  <c r="D55" i="3" l="1"/>
  <c r="E53" i="3"/>
  <c r="D57" i="3" l="1"/>
  <c r="E55" i="3"/>
  <c r="D59" i="3" l="1"/>
  <c r="E57" i="3"/>
  <c r="D61" i="3" l="1"/>
  <c r="E59" i="3"/>
  <c r="E61" i="3" l="1"/>
  <c r="D63" i="3"/>
  <c r="E63" i="3" l="1"/>
  <c r="D65" i="3"/>
  <c r="E65" i="3" l="1"/>
  <c r="D67" i="3"/>
  <c r="E67" i="3" l="1"/>
  <c r="D69" i="3"/>
  <c r="D71" i="3" l="1"/>
  <c r="E69" i="3"/>
  <c r="D73" i="3" l="1"/>
  <c r="E71" i="3"/>
  <c r="E73" i="3" l="1"/>
  <c r="D75" i="3"/>
  <c r="D77" i="3" l="1"/>
  <c r="E75" i="3"/>
  <c r="E77" i="3" l="1"/>
  <c r="D79" i="3"/>
  <c r="D81" i="3" l="1"/>
  <c r="E79" i="3"/>
  <c r="D83" i="3" l="1"/>
  <c r="E81" i="3"/>
  <c r="E83" i="3" l="1"/>
  <c r="D85" i="3"/>
  <c r="D87" i="3" l="1"/>
  <c r="E85" i="3"/>
  <c r="E87" i="3" l="1"/>
  <c r="D89" i="3"/>
  <c r="D91" i="3" l="1"/>
  <c r="E89" i="3"/>
  <c r="D93" i="3" l="1"/>
  <c r="E91" i="3"/>
  <c r="D95" i="3" l="1"/>
  <c r="E93" i="3"/>
  <c r="E95" i="3" l="1"/>
  <c r="D97" i="3"/>
  <c r="E97" i="3" l="1"/>
  <c r="D99" i="3"/>
  <c r="D101" i="3" l="1"/>
  <c r="E99" i="3"/>
  <c r="D103" i="3" l="1"/>
  <c r="E101" i="3"/>
  <c r="D105" i="3" l="1"/>
  <c r="E103" i="3"/>
  <c r="E105" i="3" l="1"/>
  <c r="D107" i="3"/>
  <c r="D109" i="3" l="1"/>
  <c r="E107" i="3"/>
  <c r="E109" i="3" l="1"/>
  <c r="D111" i="3"/>
  <c r="D113" i="3" l="1"/>
  <c r="E111" i="3"/>
  <c r="D115" i="3" l="1"/>
  <c r="E113" i="3"/>
  <c r="E115" i="3" l="1"/>
  <c r="D117" i="3"/>
  <c r="E117" i="3" l="1"/>
  <c r="D119" i="3"/>
  <c r="E119" i="3" s="1"/>
</calcChain>
</file>

<file path=xl/sharedStrings.xml><?xml version="1.0" encoding="utf-8"?>
<sst xmlns="http://schemas.openxmlformats.org/spreadsheetml/2006/main" count="74" uniqueCount="37">
  <si>
    <t>x</t>
  </si>
  <si>
    <t>f(x)</t>
  </si>
  <si>
    <t>error (%)</t>
  </si>
  <si>
    <t>exact f'(x)</t>
  </si>
  <si>
    <t>2nd order, CD, f'(x)</t>
  </si>
  <si>
    <t>4.5A</t>
  </si>
  <si>
    <t>4.5B)</t>
  </si>
  <si>
    <r>
      <t>Trapezoidal Rule (</t>
    </r>
    <r>
      <rPr>
        <b/>
        <sz val="12"/>
        <rFont val="Symbol"/>
        <family val="1"/>
      </rPr>
      <t>D</t>
    </r>
    <r>
      <rPr>
        <b/>
        <sz val="12"/>
        <rFont val="Arial"/>
        <family val="2"/>
      </rPr>
      <t>h=0.1)</t>
    </r>
  </si>
  <si>
    <t>integral</t>
  </si>
  <si>
    <t>% error</t>
  </si>
  <si>
    <t>Coeff</t>
  </si>
  <si>
    <r>
      <t>Trapezoidal Rule (</t>
    </r>
    <r>
      <rPr>
        <b/>
        <sz val="12"/>
        <rFont val="Symbol"/>
        <family val="1"/>
      </rPr>
      <t>D</t>
    </r>
    <r>
      <rPr>
        <b/>
        <sz val="12"/>
        <rFont val="Arial"/>
        <family val="2"/>
      </rPr>
      <t>h=0.01)</t>
    </r>
  </si>
  <si>
    <t>Exact Intergral</t>
  </si>
  <si>
    <t>Exact Integral</t>
  </si>
  <si>
    <t>H(KJ/mol)</t>
  </si>
  <si>
    <t>Cp</t>
  </si>
  <si>
    <t>Average</t>
  </si>
  <si>
    <t>Temp(C)</t>
  </si>
  <si>
    <t>From Chart</t>
  </si>
  <si>
    <t>4.1a</t>
  </si>
  <si>
    <t>4.1b</t>
  </si>
  <si>
    <t>4.1c</t>
  </si>
  <si>
    <t>nist data</t>
  </si>
  <si>
    <t>nist data/1000</t>
  </si>
  <si>
    <t>error</t>
  </si>
  <si>
    <t>EXACT</t>
  </si>
  <si>
    <t>Gauss Integration</t>
  </si>
  <si>
    <t>2 points</t>
  </si>
  <si>
    <t>z</t>
  </si>
  <si>
    <t>3 points</t>
  </si>
  <si>
    <t>4 points</t>
  </si>
  <si>
    <t>f(z)</t>
  </si>
  <si>
    <t>wt</t>
  </si>
  <si>
    <t>wt*f(z)</t>
  </si>
  <si>
    <t>sum:</t>
  </si>
  <si>
    <r>
      <t>Simpsons (</t>
    </r>
    <r>
      <rPr>
        <b/>
        <sz val="12"/>
        <rFont val="Symbol"/>
        <family val="1"/>
      </rPr>
      <t>D</t>
    </r>
    <r>
      <rPr>
        <b/>
        <sz val="12"/>
        <rFont val="Arial"/>
        <family val="2"/>
      </rPr>
      <t>h=0.1)</t>
    </r>
  </si>
  <si>
    <r>
      <t>Simpsons (</t>
    </r>
    <r>
      <rPr>
        <b/>
        <sz val="12"/>
        <rFont val="Symbol"/>
        <family val="1"/>
      </rPr>
      <t>D</t>
    </r>
    <r>
      <rPr>
        <b/>
        <sz val="12"/>
        <rFont val="Arial"/>
        <family val="2"/>
      </rPr>
      <t>h=0.01)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</si>
</sst>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.000"/>
    <numFmt numFmtId="178" formatCode="0.000000"/>
  </numFmts>
  <fonts count="7">
    <font>
      <sz val="11"/>
      <color theme="1"/>
      <name val="等线"/>
      <family val="2"/>
      <scheme val="minor"/>
    </font>
    <font>
      <b/>
      <sz val="18"/>
      <color theme="1"/>
      <name val="等线"/>
      <family val="2"/>
      <scheme val="minor"/>
    </font>
    <font>
      <b/>
      <sz val="12"/>
      <name val="Arial"/>
      <family val="2"/>
    </font>
    <font>
      <b/>
      <sz val="12"/>
      <name val="Symbol"/>
      <family val="1"/>
    </font>
    <font>
      <b/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2" fontId="0" fillId="0" borderId="0" xfId="0" applyNumberFormat="1" applyFont="1"/>
    <xf numFmtId="0" fontId="0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2" fontId="5" fillId="0" borderId="0" xfId="0" applyNumberFormat="1" applyFont="1"/>
    <xf numFmtId="1" fontId="5" fillId="0" borderId="0" xfId="0" applyNumberFormat="1" applyFont="1"/>
    <xf numFmtId="176" fontId="5" fillId="0" borderId="0" xfId="0" applyNumberFormat="1" applyFont="1"/>
    <xf numFmtId="0" fontId="2" fillId="0" borderId="0" xfId="0" applyFont="1"/>
    <xf numFmtId="177" fontId="5" fillId="0" borderId="0" xfId="0" applyNumberFormat="1" applyFont="1"/>
    <xf numFmtId="177" fontId="5" fillId="0" borderId="0" xfId="0" applyNumberFormat="1" applyFont="1" applyFill="1"/>
    <xf numFmtId="176" fontId="5" fillId="0" borderId="0" xfId="0" applyNumberFormat="1" applyFont="1" applyFill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0441797900262467"/>
                  <c:y val="-2.109288422280548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'4.1'!$A$3:$A$17</c:f>
              <c:numCache>
                <c:formatCode>General</c:formatCode>
                <c:ptCount val="15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650</c:v>
                </c:pt>
                <c:pt idx="12">
                  <c:v>700</c:v>
                </c:pt>
                <c:pt idx="13">
                  <c:v>750</c:v>
                </c:pt>
                <c:pt idx="14">
                  <c:v>800</c:v>
                </c:pt>
              </c:numCache>
            </c:numRef>
          </c:xVal>
          <c:yVal>
            <c:numRef>
              <c:f>'4.1'!$B$3:$B$17</c:f>
              <c:numCache>
                <c:formatCode>General</c:formatCode>
                <c:ptCount val="15"/>
                <c:pt idx="0">
                  <c:v>25.186</c:v>
                </c:pt>
                <c:pt idx="1">
                  <c:v>27.254000000000001</c:v>
                </c:pt>
                <c:pt idx="2">
                  <c:v>29.408000000000001</c:v>
                </c:pt>
                <c:pt idx="3">
                  <c:v>31.64</c:v>
                </c:pt>
                <c:pt idx="4">
                  <c:v>33.942</c:v>
                </c:pt>
                <c:pt idx="5">
                  <c:v>36.307000000000002</c:v>
                </c:pt>
                <c:pt idx="6">
                  <c:v>38.731999999999999</c:v>
                </c:pt>
                <c:pt idx="7">
                  <c:v>41.209000000000003</c:v>
                </c:pt>
                <c:pt idx="8">
                  <c:v>43.735999999999997</c:v>
                </c:pt>
                <c:pt idx="9">
                  <c:v>46.307000000000002</c:v>
                </c:pt>
                <c:pt idx="10">
                  <c:v>48.918999999999997</c:v>
                </c:pt>
                <c:pt idx="11">
                  <c:v>51.567999999999998</c:v>
                </c:pt>
                <c:pt idx="12">
                  <c:v>54.252000000000002</c:v>
                </c:pt>
                <c:pt idx="13">
                  <c:v>58.966000000000001</c:v>
                </c:pt>
                <c:pt idx="14">
                  <c:v>59.71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15-419C-BD70-2B7365144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510576"/>
        <c:axId val="421510904"/>
      </c:scatterChart>
      <c:valAx>
        <c:axId val="42151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510904"/>
        <c:crosses val="autoZero"/>
        <c:crossBetween val="midCat"/>
      </c:valAx>
      <c:valAx>
        <c:axId val="421510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510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6350</xdr:rowOff>
    </xdr:from>
    <xdr:to>
      <xdr:col>7</xdr:col>
      <xdr:colOff>415925</xdr:colOff>
      <xdr:row>34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151C83-2A69-4BAA-A312-B4CBAF0120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8</xdr:col>
      <xdr:colOff>549139</xdr:colOff>
      <xdr:row>16</xdr:row>
      <xdr:rowOff>13785</xdr:rowOff>
    </xdr:from>
    <xdr:ext cx="1886222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9DFB8C7-BE90-174D-BEF3-739A3E390329}"/>
            </a:ext>
          </a:extLst>
        </xdr:cNvPr>
        <xdr:cNvSpPr/>
      </xdr:nvSpPr>
      <xdr:spPr>
        <a:xfrm>
          <a:off x="6035539" y="3061785"/>
          <a:ext cx="1886222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18/18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336550</xdr:colOff>
      <xdr:row>2</xdr:row>
      <xdr:rowOff>6350</xdr:rowOff>
    </xdr:from>
    <xdr:to>
      <xdr:col>7</xdr:col>
      <xdr:colOff>526874</xdr:colOff>
      <xdr:row>6</xdr:row>
      <xdr:rowOff>9426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387578-ABDA-4973-8047-04BF06CC1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9800" y="400050"/>
          <a:ext cx="1409524" cy="7904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254000</xdr:colOff>
      <xdr:row>1</xdr:row>
      <xdr:rowOff>228600</xdr:rowOff>
    </xdr:from>
    <xdr:to>
      <xdr:col>13</xdr:col>
      <xdr:colOff>319562</xdr:colOff>
      <xdr:row>5</xdr:row>
      <xdr:rowOff>34966</xdr:rowOff>
    </xdr:to>
    <xdr:pic>
      <xdr:nvPicPr>
        <xdr:cNvPr id="2" name="i_0100_1" descr="d\/dx(x^2 cos(x)) = x (2 cos(x)-x sin(x))">
          <a:extLst>
            <a:ext uri="{FF2B5EF4-FFF2-40B4-BE49-F238E27FC236}">
              <a16:creationId xmlns:a16="http://schemas.microsoft.com/office/drawing/2014/main" id="{41D657E4-352A-40BC-96E2-B16C8AC8C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228600"/>
          <a:ext cx="4129562" cy="6572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234950</xdr:colOff>
      <xdr:row>127</xdr:row>
      <xdr:rowOff>146050</xdr:rowOff>
    </xdr:from>
    <xdr:to>
      <xdr:col>13</xdr:col>
      <xdr:colOff>208969</xdr:colOff>
      <xdr:row>131</xdr:row>
      <xdr:rowOff>120555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8E9AB9-AA6C-4E36-BCAF-EC709056B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27850" y="23774400"/>
          <a:ext cx="4647619" cy="7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33497-8CF0-4516-959A-A6E23A5F5D94}">
  <dimension ref="A1:P20"/>
  <sheetViews>
    <sheetView tabSelected="1" workbookViewId="0">
      <selection activeCell="L8" sqref="L8"/>
    </sheetView>
  </sheetViews>
  <sheetFormatPr baseColWidth="10" defaultColWidth="8.83203125" defaultRowHeight="15"/>
  <cols>
    <col min="2" max="2" width="10.1640625" bestFit="1" customWidth="1"/>
    <col min="14" max="14" width="9.83203125" bestFit="1" customWidth="1"/>
    <col min="15" max="15" width="12.83203125" bestFit="1" customWidth="1"/>
  </cols>
  <sheetData>
    <row r="1" spans="1:16">
      <c r="A1" t="s">
        <v>19</v>
      </c>
      <c r="L1" t="s">
        <v>21</v>
      </c>
    </row>
    <row r="2" spans="1:16">
      <c r="A2" t="s">
        <v>17</v>
      </c>
      <c r="B2" t="s">
        <v>14</v>
      </c>
      <c r="C2" t="s">
        <v>15</v>
      </c>
      <c r="M2" t="s">
        <v>15</v>
      </c>
      <c r="N2" t="s">
        <v>22</v>
      </c>
      <c r="O2" t="s">
        <v>23</v>
      </c>
      <c r="P2" t="s">
        <v>24</v>
      </c>
    </row>
    <row r="3" spans="1:16">
      <c r="A3">
        <v>100</v>
      </c>
      <c r="B3">
        <v>25.186</v>
      </c>
      <c r="C3">
        <f>(-3*B3+4*B4-B5)/(2*(A4-A3))</f>
        <v>4.0500000000000112E-2</v>
      </c>
      <c r="M3">
        <v>4.0500000000000112E-2</v>
      </c>
      <c r="N3">
        <v>40.460999999999999</v>
      </c>
      <c r="O3">
        <f>N3/1000</f>
        <v>4.0460999999999997E-2</v>
      </c>
      <c r="P3">
        <f>ABS(C3-O3)/O3*100</f>
        <v>9.6389115444787163E-2</v>
      </c>
    </row>
    <row r="4" spans="1:16">
      <c r="A4">
        <v>150</v>
      </c>
      <c r="B4">
        <v>27.254000000000001</v>
      </c>
      <c r="C4">
        <f>(B5-B3)/100</f>
        <v>4.2220000000000014E-2</v>
      </c>
      <c r="M4">
        <v>4.2220000000000014E-2</v>
      </c>
      <c r="N4">
        <v>42.256</v>
      </c>
      <c r="O4">
        <f t="shared" ref="O4:O17" si="0">N4/1000</f>
        <v>4.2256000000000002E-2</v>
      </c>
      <c r="P4">
        <f t="shared" ref="P4:P17" si="1">ABS(C4-O4)/O4*100</f>
        <v>8.5195001893192512E-2</v>
      </c>
    </row>
    <row r="5" spans="1:16">
      <c r="A5">
        <v>200</v>
      </c>
      <c r="B5">
        <v>29.408000000000001</v>
      </c>
      <c r="C5">
        <f t="shared" ref="C5:C16" si="2">(B6-B4)/100</f>
        <v>4.3859999999999989E-2</v>
      </c>
      <c r="M5">
        <v>4.3859999999999989E-2</v>
      </c>
      <c r="N5">
        <v>43.881</v>
      </c>
      <c r="O5">
        <f t="shared" si="0"/>
        <v>4.3881000000000003E-2</v>
      </c>
      <c r="P5">
        <f t="shared" si="1"/>
        <v>4.7856703356837955E-2</v>
      </c>
    </row>
    <row r="6" spans="1:16">
      <c r="A6">
        <v>250</v>
      </c>
      <c r="B6">
        <v>31.64</v>
      </c>
      <c r="C6">
        <f t="shared" si="2"/>
        <v>4.5339999999999991E-2</v>
      </c>
      <c r="M6">
        <v>4.5339999999999991E-2</v>
      </c>
      <c r="N6">
        <v>45.354999999999997</v>
      </c>
      <c r="O6">
        <f t="shared" si="0"/>
        <v>4.5354999999999999E-2</v>
      </c>
      <c r="P6">
        <f t="shared" si="1"/>
        <v>3.3072428618692674E-2</v>
      </c>
    </row>
    <row r="7" spans="1:16">
      <c r="A7">
        <v>300</v>
      </c>
      <c r="B7">
        <v>33.942</v>
      </c>
      <c r="C7">
        <f t="shared" si="2"/>
        <v>4.6670000000000017E-2</v>
      </c>
      <c r="M7">
        <v>4.6670000000000017E-2</v>
      </c>
      <c r="N7">
        <v>46.695</v>
      </c>
      <c r="O7">
        <f t="shared" si="0"/>
        <v>4.6695E-2</v>
      </c>
      <c r="P7">
        <f t="shared" si="1"/>
        <v>5.353892279683771E-2</v>
      </c>
    </row>
    <row r="8" spans="1:16">
      <c r="A8">
        <v>350</v>
      </c>
      <c r="B8">
        <v>36.307000000000002</v>
      </c>
      <c r="C8">
        <f t="shared" si="2"/>
        <v>4.7899999999999991E-2</v>
      </c>
      <c r="M8">
        <v>4.7899999999999991E-2</v>
      </c>
      <c r="N8">
        <v>47.917000000000002</v>
      </c>
      <c r="O8">
        <f t="shared" si="0"/>
        <v>4.7917000000000001E-2</v>
      </c>
      <c r="P8">
        <f t="shared" si="1"/>
        <v>3.5478014066010102E-2</v>
      </c>
    </row>
    <row r="9" spans="1:16">
      <c r="A9">
        <v>400</v>
      </c>
      <c r="B9">
        <v>38.731999999999999</v>
      </c>
      <c r="C9">
        <f t="shared" si="2"/>
        <v>4.9020000000000008E-2</v>
      </c>
      <c r="M9">
        <v>4.9020000000000008E-2</v>
      </c>
      <c r="N9">
        <v>49.033999999999999</v>
      </c>
      <c r="O9">
        <f t="shared" si="0"/>
        <v>4.9034000000000001E-2</v>
      </c>
      <c r="P9">
        <f t="shared" si="1"/>
        <v>2.8551617245162919E-2</v>
      </c>
    </row>
    <row r="10" spans="1:16">
      <c r="A10">
        <v>450</v>
      </c>
      <c r="B10">
        <v>41.209000000000003</v>
      </c>
      <c r="C10">
        <f t="shared" si="2"/>
        <v>5.003999999999998E-2</v>
      </c>
      <c r="M10">
        <v>5.003999999999998E-2</v>
      </c>
      <c r="N10">
        <v>50.055</v>
      </c>
      <c r="O10">
        <f t="shared" si="0"/>
        <v>5.0055000000000002E-2</v>
      </c>
      <c r="P10">
        <f t="shared" si="1"/>
        <v>2.9967036260157707E-2</v>
      </c>
    </row>
    <row r="11" spans="1:16">
      <c r="A11">
        <v>500</v>
      </c>
      <c r="B11">
        <v>43.735999999999997</v>
      </c>
      <c r="C11">
        <f t="shared" si="2"/>
        <v>5.0979999999999991E-2</v>
      </c>
      <c r="M11">
        <v>5.0979999999999991E-2</v>
      </c>
      <c r="N11">
        <v>50.988999999999997</v>
      </c>
      <c r="O11">
        <f t="shared" si="0"/>
        <v>5.0989E-2</v>
      </c>
      <c r="P11">
        <f t="shared" si="1"/>
        <v>1.7650865873049093E-2</v>
      </c>
    </row>
    <row r="12" spans="1:16">
      <c r="A12">
        <v>550</v>
      </c>
      <c r="B12">
        <v>46.307000000000002</v>
      </c>
      <c r="C12">
        <f t="shared" si="2"/>
        <v>5.1830000000000001E-2</v>
      </c>
      <c r="M12">
        <v>5.1830000000000001E-2</v>
      </c>
      <c r="N12">
        <v>51.843000000000004</v>
      </c>
      <c r="O12">
        <f t="shared" si="0"/>
        <v>5.1843E-2</v>
      </c>
      <c r="P12">
        <f t="shared" si="1"/>
        <v>2.5075709353237899E-2</v>
      </c>
    </row>
    <row r="13" spans="1:16">
      <c r="A13">
        <v>600</v>
      </c>
      <c r="B13">
        <v>48.918999999999997</v>
      </c>
      <c r="C13">
        <f t="shared" si="2"/>
        <v>5.2609999999999955E-2</v>
      </c>
      <c r="M13">
        <v>5.2609999999999955E-2</v>
      </c>
      <c r="N13">
        <v>52.624000000000002</v>
      </c>
      <c r="O13">
        <f t="shared" si="0"/>
        <v>5.2624000000000004E-2</v>
      </c>
      <c r="P13">
        <f t="shared" si="1"/>
        <v>2.6603830951749573E-2</v>
      </c>
    </row>
    <row r="14" spans="1:16">
      <c r="A14">
        <v>650</v>
      </c>
      <c r="B14">
        <v>51.567999999999998</v>
      </c>
      <c r="C14">
        <f t="shared" si="2"/>
        <v>5.3330000000000058E-2</v>
      </c>
      <c r="M14">
        <v>5.3330000000000058E-2</v>
      </c>
      <c r="N14">
        <v>53.338999999999999</v>
      </c>
      <c r="O14">
        <f t="shared" si="0"/>
        <v>5.3338999999999998E-2</v>
      </c>
      <c r="P14">
        <f t="shared" si="1"/>
        <v>1.6873207221619477E-2</v>
      </c>
    </row>
    <row r="15" spans="1:16">
      <c r="A15">
        <v>700</v>
      </c>
      <c r="B15">
        <v>54.252000000000002</v>
      </c>
      <c r="C15">
        <f t="shared" si="2"/>
        <v>7.3980000000000032E-2</v>
      </c>
      <c r="M15">
        <v>7.3980000000000032E-2</v>
      </c>
      <c r="N15">
        <v>53.994</v>
      </c>
      <c r="O15">
        <f t="shared" si="0"/>
        <v>5.3994E-2</v>
      </c>
      <c r="P15">
        <f t="shared" si="1"/>
        <v>37.015223913768253</v>
      </c>
    </row>
    <row r="16" spans="1:16">
      <c r="A16">
        <v>750</v>
      </c>
      <c r="B16">
        <v>58.966000000000001</v>
      </c>
      <c r="C16">
        <f t="shared" si="2"/>
        <v>5.4579999999999983E-2</v>
      </c>
      <c r="M16">
        <v>5.4579999999999983E-2</v>
      </c>
      <c r="N16">
        <v>54.593000000000004</v>
      </c>
      <c r="O16">
        <f t="shared" si="0"/>
        <v>5.4593000000000003E-2</v>
      </c>
      <c r="P16">
        <f t="shared" si="1"/>
        <v>2.3812576704009561E-2</v>
      </c>
    </row>
    <row r="17" spans="1:16">
      <c r="A17">
        <v>800</v>
      </c>
      <c r="B17">
        <v>59.71</v>
      </c>
      <c r="C17">
        <f>(3*B17-4*B16+B15)/100</f>
        <v>-2.4820000000000064E-2</v>
      </c>
      <c r="M17">
        <v>-2.4820000000000064E-2</v>
      </c>
      <c r="N17">
        <v>55.143999999999998</v>
      </c>
      <c r="O17">
        <f t="shared" si="0"/>
        <v>5.5143999999999999E-2</v>
      </c>
      <c r="P17">
        <f t="shared" si="1"/>
        <v>145.00942985637616</v>
      </c>
    </row>
    <row r="18" spans="1:16">
      <c r="B18" t="s">
        <v>16</v>
      </c>
      <c r="C18">
        <f>AVERAGE(C3:C17)</f>
        <v>4.5202666666666676E-2</v>
      </c>
    </row>
    <row r="19" spans="1:16">
      <c r="B19" t="s">
        <v>18</v>
      </c>
      <c r="C19">
        <v>5.04E-2</v>
      </c>
    </row>
    <row r="20" spans="1:16">
      <c r="A20" t="s">
        <v>20</v>
      </c>
    </row>
  </sheetData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2289-12C1-4665-B84F-C0B433D8E20F}">
  <dimension ref="A1:O120"/>
  <sheetViews>
    <sheetView topLeftCell="A103" workbookViewId="0">
      <selection activeCell="G118" sqref="G118"/>
    </sheetView>
  </sheetViews>
  <sheetFormatPr baseColWidth="10" defaultColWidth="8.83203125" defaultRowHeight="15"/>
  <cols>
    <col min="3" max="3" width="11.6640625" customWidth="1"/>
    <col min="11" max="11" width="19.83203125" bestFit="1" customWidth="1"/>
  </cols>
  <sheetData>
    <row r="1" spans="1:15" ht="16">
      <c r="A1" s="17" t="s">
        <v>35</v>
      </c>
      <c r="B1" s="18"/>
      <c r="C1" s="18"/>
      <c r="D1" s="7"/>
      <c r="E1" s="7"/>
      <c r="K1" s="13" t="s">
        <v>26</v>
      </c>
      <c r="L1" s="9"/>
      <c r="M1" s="9"/>
      <c r="N1" s="9"/>
      <c r="O1" s="9"/>
    </row>
    <row r="2" spans="1:15" ht="16">
      <c r="A2" s="8" t="s">
        <v>0</v>
      </c>
      <c r="B2" s="8" t="s">
        <v>1</v>
      </c>
      <c r="C2" s="8" t="s">
        <v>10</v>
      </c>
      <c r="D2" s="8" t="s">
        <v>8</v>
      </c>
      <c r="E2" s="8" t="s">
        <v>9</v>
      </c>
      <c r="K2" s="8" t="s">
        <v>27</v>
      </c>
      <c r="L2" s="9"/>
      <c r="M2" s="9"/>
      <c r="N2" s="9"/>
      <c r="O2" s="9"/>
    </row>
    <row r="3" spans="1:15" ht="16">
      <c r="A3" s="9">
        <v>0</v>
      </c>
      <c r="B3" s="10">
        <f>SQRT(A3)</f>
        <v>0</v>
      </c>
      <c r="C3" s="10">
        <v>1</v>
      </c>
      <c r="D3" s="9"/>
      <c r="E3" s="9"/>
      <c r="K3" s="8" t="s">
        <v>28</v>
      </c>
      <c r="L3" s="8" t="s">
        <v>31</v>
      </c>
      <c r="M3" s="8" t="s">
        <v>32</v>
      </c>
      <c r="N3" s="8" t="s">
        <v>33</v>
      </c>
      <c r="O3" s="8" t="s">
        <v>9</v>
      </c>
    </row>
    <row r="4" spans="1:15" ht="16">
      <c r="A4" s="9">
        <v>0.1</v>
      </c>
      <c r="B4" s="10">
        <f t="shared" ref="B4:B13" si="0">SQRT(A4)</f>
        <v>0.31622776601683794</v>
      </c>
      <c r="C4" s="10">
        <v>4</v>
      </c>
      <c r="D4" s="9"/>
      <c r="E4" s="9"/>
      <c r="K4" s="9">
        <v>0.57735027000000005</v>
      </c>
      <c r="L4" s="9">
        <f>SQRT((K4+1)/2)*0.5</f>
        <v>0.44403691710262111</v>
      </c>
      <c r="M4" s="9">
        <v>1</v>
      </c>
      <c r="N4" s="9">
        <f>L4*M4</f>
        <v>0.44403691710262111</v>
      </c>
      <c r="O4" s="9">
        <f>ABS(N4-$N$6)/$N$6*100</f>
        <v>34.108137739479375</v>
      </c>
    </row>
    <row r="5" spans="1:15" ht="16">
      <c r="A5" s="9">
        <v>0.2</v>
      </c>
      <c r="B5" s="10">
        <f t="shared" si="0"/>
        <v>0.44721359549995793</v>
      </c>
      <c r="C5" s="10">
        <v>2</v>
      </c>
      <c r="D5" s="9">
        <f>(B5+4*B4+B3)/3*(A5-A4)</f>
        <v>5.7070821985576996E-2</v>
      </c>
      <c r="E5" s="9">
        <f>ABS(D5-$C$14)/$C$14*100</f>
        <v>91.406285613514143</v>
      </c>
      <c r="K5" s="9">
        <v>-0.57735026899999997</v>
      </c>
      <c r="L5" s="9">
        <f>SQRT((K5+1)/2)*0.5</f>
        <v>0.22985042174205381</v>
      </c>
      <c r="M5" s="9">
        <v>1</v>
      </c>
      <c r="N5" s="9">
        <f>L5*M5</f>
        <v>0.22985042174205381</v>
      </c>
      <c r="O5" s="9">
        <f>ABS(N5-$N$6)/$N$6*100</f>
        <v>65.891862260520611</v>
      </c>
    </row>
    <row r="6" spans="1:15" ht="16">
      <c r="A6" s="9">
        <v>0.3</v>
      </c>
      <c r="B6" s="10">
        <f t="shared" si="0"/>
        <v>0.54772255750516607</v>
      </c>
      <c r="C6" s="10">
        <v>4</v>
      </c>
      <c r="D6" s="9"/>
      <c r="E6" s="9"/>
      <c r="K6" s="9"/>
      <c r="L6" s="9"/>
      <c r="M6" s="9" t="s">
        <v>34</v>
      </c>
      <c r="N6" s="15">
        <f>N4+N5</f>
        <v>0.67388733884467489</v>
      </c>
      <c r="O6" s="14"/>
    </row>
    <row r="7" spans="1:15" ht="16">
      <c r="A7" s="9">
        <v>0.4</v>
      </c>
      <c r="B7" s="10">
        <f t="shared" si="0"/>
        <v>0.63245553203367588</v>
      </c>
      <c r="C7" s="10">
        <v>2</v>
      </c>
      <c r="D7" s="9">
        <f>(B7+4*B6+B5)/3*(A7-A6)+D5</f>
        <v>0.16608946723738696</v>
      </c>
      <c r="E7" s="9">
        <f t="shared" ref="E7" si="1">ABS(D7-$C$14)/$C$14*100</f>
        <v>74.990277091112901</v>
      </c>
      <c r="K7" s="9"/>
      <c r="L7" s="9"/>
      <c r="M7" s="9"/>
      <c r="N7" s="15"/>
      <c r="O7" s="9"/>
    </row>
    <row r="8" spans="1:15" ht="16">
      <c r="A8" s="9">
        <v>0.5</v>
      </c>
      <c r="B8" s="10">
        <f t="shared" si="0"/>
        <v>0.70710678118654757</v>
      </c>
      <c r="C8" s="10">
        <v>4</v>
      </c>
      <c r="D8" s="9"/>
      <c r="E8" s="9"/>
      <c r="K8" s="8" t="s">
        <v>29</v>
      </c>
      <c r="L8" s="8"/>
      <c r="M8" s="8"/>
      <c r="N8" s="8"/>
      <c r="O8" s="9"/>
    </row>
    <row r="9" spans="1:15" ht="16">
      <c r="A9" s="9">
        <v>0.6</v>
      </c>
      <c r="B9" s="10">
        <f t="shared" si="0"/>
        <v>0.7745966692414834</v>
      </c>
      <c r="C9" s="10">
        <v>2</v>
      </c>
      <c r="D9" s="9">
        <f t="shared" ref="D9" si="2">(B9+4*B8+B7)/3*(A9-A8)+D7</f>
        <v>0.30727211143809857</v>
      </c>
      <c r="E9" s="9">
        <f t="shared" ref="E9" si="3">ABS(D9-$C$14)/$C$14*100</f>
        <v>53.731019236085132</v>
      </c>
      <c r="K9" s="8" t="s">
        <v>28</v>
      </c>
      <c r="L9" s="8" t="s">
        <v>31</v>
      </c>
      <c r="M9" s="8" t="s">
        <v>32</v>
      </c>
      <c r="N9" s="8" t="s">
        <v>33</v>
      </c>
      <c r="O9" s="8" t="s">
        <v>9</v>
      </c>
    </row>
    <row r="10" spans="1:15" ht="16">
      <c r="A10" s="9">
        <v>0.7</v>
      </c>
      <c r="B10" s="10">
        <f t="shared" si="0"/>
        <v>0.83666002653407556</v>
      </c>
      <c r="C10" s="10">
        <v>4</v>
      </c>
      <c r="D10" s="9"/>
      <c r="E10" s="9"/>
      <c r="K10" s="9">
        <v>0</v>
      </c>
      <c r="L10" s="9">
        <f>SQRT((K10+1)/2)*0.5</f>
        <v>0.35355339059327379</v>
      </c>
      <c r="M10" s="9">
        <v>0.88888800000000001</v>
      </c>
      <c r="N10" s="9">
        <f>L10*M10</f>
        <v>0.31426936625767393</v>
      </c>
      <c r="O10" s="9">
        <f>ABS(N10-$N$13)/$N$13*100</f>
        <v>53.036596665267957</v>
      </c>
    </row>
    <row r="11" spans="1:15" ht="16">
      <c r="A11" s="9">
        <v>0.8</v>
      </c>
      <c r="B11" s="10">
        <f t="shared" si="0"/>
        <v>0.89442719099991586</v>
      </c>
      <c r="C11" s="10">
        <v>2</v>
      </c>
      <c r="D11" s="9">
        <f t="shared" ref="D11" si="4">(B11+4*B10+B9)/3*(A11-A10)+D9</f>
        <v>0.47446091031735543</v>
      </c>
      <c r="E11" s="9">
        <f t="shared" ref="E11" si="5">ABS(D11-$C$14)/$C$14*100</f>
        <v>28.555759160961941</v>
      </c>
      <c r="K11" s="9">
        <v>0.77459666900000002</v>
      </c>
      <c r="L11" s="9">
        <f>SQRT((K11+1)/2)*0.5</f>
        <v>0.47098257252790154</v>
      </c>
      <c r="M11" s="9">
        <v>0.55555549999999998</v>
      </c>
      <c r="N11" s="9">
        <f>L11*M11</f>
        <v>0.26165695857202459</v>
      </c>
      <c r="O11" s="9">
        <f t="shared" ref="O11:O12" si="6">ABS(N11-$N$13)/$N$13*100</f>
        <v>60.898825656835065</v>
      </c>
    </row>
    <row r="12" spans="1:15" ht="16">
      <c r="A12" s="9">
        <v>0.9</v>
      </c>
      <c r="B12" s="10">
        <f t="shared" si="0"/>
        <v>0.94868329805051377</v>
      </c>
      <c r="C12" s="10">
        <v>4</v>
      </c>
      <c r="D12" s="9"/>
      <c r="E12" s="9"/>
      <c r="K12" s="9">
        <f>-K11</f>
        <v>-0.77459666900000002</v>
      </c>
      <c r="L12" s="9">
        <f>SQRT((K12+1)/2)*0.5</f>
        <v>0.16785534359977938</v>
      </c>
      <c r="M12" s="9">
        <v>0.55555549999999998</v>
      </c>
      <c r="N12" s="9">
        <f>L12*M12</f>
        <v>9.3252959341247235E-2</v>
      </c>
      <c r="O12" s="9">
        <f t="shared" si="6"/>
        <v>86.064577677896963</v>
      </c>
    </row>
    <row r="13" spans="1:15" ht="16">
      <c r="A13" s="9">
        <v>1</v>
      </c>
      <c r="B13" s="10">
        <f t="shared" si="0"/>
        <v>1</v>
      </c>
      <c r="C13" s="10">
        <v>1</v>
      </c>
      <c r="D13" s="9">
        <f t="shared" ref="D13" si="7">(B13+4*B12+B11)/3*(A13-A12)+D11</f>
        <v>0.66409958975742112</v>
      </c>
      <c r="E13" s="9">
        <f t="shared" ref="E13" si="8">ABS(D13-$C$14)/$C$14*100</f>
        <v>5.0153156623573296E-14</v>
      </c>
      <c r="K13" s="9"/>
      <c r="L13" s="9"/>
      <c r="M13" s="9" t="s">
        <v>34</v>
      </c>
      <c r="N13" s="15">
        <f>SUM(N10:N12)</f>
        <v>0.66917928417094574</v>
      </c>
      <c r="O13" s="14"/>
    </row>
    <row r="14" spans="1:15" ht="16">
      <c r="A14" s="9"/>
      <c r="B14" s="9" t="s">
        <v>25</v>
      </c>
      <c r="C14" s="9">
        <f>SUMPRODUCT(B3:B13,C3:C13)/3*(A13-A12)</f>
        <v>0.66409958975742078</v>
      </c>
      <c r="D14" s="9"/>
      <c r="E14" s="9"/>
      <c r="K14" s="9"/>
      <c r="L14" s="9"/>
      <c r="M14" s="9"/>
      <c r="N14" s="9"/>
      <c r="O14" s="9"/>
    </row>
    <row r="15" spans="1:15" ht="16">
      <c r="K15" s="8" t="s">
        <v>30</v>
      </c>
      <c r="L15" s="8"/>
      <c r="M15" s="8"/>
      <c r="N15" s="8"/>
      <c r="O15" s="9"/>
    </row>
    <row r="16" spans="1:15" ht="16">
      <c r="K16" s="8" t="s">
        <v>28</v>
      </c>
      <c r="L16" s="8" t="s">
        <v>31</v>
      </c>
      <c r="M16" s="8" t="s">
        <v>32</v>
      </c>
      <c r="N16" s="8" t="s">
        <v>33</v>
      </c>
      <c r="O16" s="8" t="s">
        <v>9</v>
      </c>
    </row>
    <row r="17" spans="1:15" ht="16">
      <c r="A17" s="17" t="s">
        <v>36</v>
      </c>
      <c r="B17" s="18"/>
      <c r="C17" s="18"/>
      <c r="D17" s="7"/>
      <c r="E17" s="7"/>
      <c r="K17" s="9">
        <v>0.33998104299999998</v>
      </c>
      <c r="L17" s="9">
        <f>SQRT((K17+1)/2)*0.5</f>
        <v>0.40926474362568782</v>
      </c>
      <c r="M17" s="9">
        <v>0.65214515500000003</v>
      </c>
      <c r="N17" s="9">
        <f>L17*M17</f>
        <v>0.26690001966780946</v>
      </c>
      <c r="O17" s="12">
        <f>ABS(N17-$N$21)/$N$21*100</f>
        <v>60.034596902700102</v>
      </c>
    </row>
    <row r="18" spans="1:15" ht="16">
      <c r="A18" s="8" t="s">
        <v>0</v>
      </c>
      <c r="B18" s="8" t="s">
        <v>1</v>
      </c>
      <c r="C18" s="8" t="s">
        <v>10</v>
      </c>
      <c r="D18" s="8" t="s">
        <v>8</v>
      </c>
      <c r="E18" s="8" t="s">
        <v>9</v>
      </c>
      <c r="K18" s="9">
        <f>-K17</f>
        <v>-0.33998104299999998</v>
      </c>
      <c r="L18" s="9">
        <f>SQRT((K18+1)/2)*0.5</f>
        <v>0.28723225728493657</v>
      </c>
      <c r="M18" s="9">
        <v>0.65214515500000003</v>
      </c>
      <c r="N18" s="9">
        <f>L18*M18</f>
        <v>0.18731712494808483</v>
      </c>
      <c r="O18" s="12">
        <f t="shared" ref="O18:O20" si="9">ABS(N18-$N$21)/$N$21*100</f>
        <v>71.95127817939084</v>
      </c>
    </row>
    <row r="19" spans="1:15" ht="16">
      <c r="A19">
        <v>0</v>
      </c>
      <c r="B19">
        <f>SQRT(A19)</f>
        <v>0</v>
      </c>
      <c r="C19">
        <v>1</v>
      </c>
      <c r="K19" s="9">
        <v>0.86113611999999995</v>
      </c>
      <c r="L19" s="9">
        <f>SQRT((K19+1)/2)*0.5</f>
        <v>0.48232977826379325</v>
      </c>
      <c r="M19" s="9">
        <v>0.34785484500000002</v>
      </c>
      <c r="N19" s="9">
        <f>L19*M19</f>
        <v>0.16778075025683617</v>
      </c>
      <c r="O19" s="12">
        <f t="shared" si="9"/>
        <v>74.876639858147627</v>
      </c>
    </row>
    <row r="20" spans="1:15" ht="16">
      <c r="A20">
        <v>0.01</v>
      </c>
      <c r="B20">
        <f t="shared" ref="B20:B83" si="10">SQRT(A20)</f>
        <v>0.1</v>
      </c>
      <c r="C20">
        <v>4</v>
      </c>
      <c r="K20" s="9">
        <f>-K19</f>
        <v>-0.86113611999999995</v>
      </c>
      <c r="L20" s="9">
        <f>SQRT((K20+1)/2)*0.5</f>
        <v>0.13174970588202467</v>
      </c>
      <c r="M20" s="9">
        <v>0.34785484500000002</v>
      </c>
      <c r="N20" s="9">
        <f>L20*M20</f>
        <v>4.5829773518387282E-2</v>
      </c>
      <c r="O20" s="12">
        <f t="shared" si="9"/>
        <v>93.137485059761445</v>
      </c>
    </row>
    <row r="21" spans="1:15" ht="16">
      <c r="A21">
        <v>0.02</v>
      </c>
      <c r="B21">
        <f t="shared" si="10"/>
        <v>0.1414213562373095</v>
      </c>
      <c r="C21">
        <v>2</v>
      </c>
      <c r="D21">
        <f>(B21+4*B20+B19)/3*(A20-A19)</f>
        <v>1.8047378541243653E-3</v>
      </c>
      <c r="E21">
        <f>ABS($D$120-D21)/$D$120*100</f>
        <v>99.729256351559158</v>
      </c>
      <c r="K21" s="12"/>
      <c r="L21" s="12"/>
      <c r="M21" s="12" t="s">
        <v>34</v>
      </c>
      <c r="N21" s="16">
        <f>SUM(N17:N20)</f>
        <v>0.66782766839111773</v>
      </c>
      <c r="O21" s="12"/>
    </row>
    <row r="22" spans="1:15" ht="16">
      <c r="A22">
        <v>0.03</v>
      </c>
      <c r="B22">
        <f t="shared" si="10"/>
        <v>0.17320508075688773</v>
      </c>
      <c r="C22">
        <v>4</v>
      </c>
      <c r="K22" s="9"/>
      <c r="L22" s="9"/>
      <c r="M22" s="9"/>
      <c r="N22" s="9"/>
      <c r="O22" s="9"/>
    </row>
    <row r="23" spans="1:15">
      <c r="A23">
        <v>0.04</v>
      </c>
      <c r="B23">
        <f t="shared" si="10"/>
        <v>0.2</v>
      </c>
      <c r="C23">
        <v>2</v>
      </c>
      <c r="D23">
        <f>(B23+4*B22+B21)/3*(A23-A22)+D21</f>
        <v>5.2522101183405667E-3</v>
      </c>
      <c r="E23">
        <f t="shared" ref="E23" si="11">ABS($D$120-D23)/$D$120*100</f>
        <v>99.21207253088437</v>
      </c>
    </row>
    <row r="24" spans="1:15">
      <c r="A24">
        <v>0.05</v>
      </c>
      <c r="B24">
        <f t="shared" si="10"/>
        <v>0.22360679774997896</v>
      </c>
      <c r="C24">
        <v>4</v>
      </c>
    </row>
    <row r="25" spans="1:15">
      <c r="A25">
        <v>0.06</v>
      </c>
      <c r="B25">
        <f t="shared" si="10"/>
        <v>0.2449489742783178</v>
      </c>
      <c r="C25">
        <v>2</v>
      </c>
      <c r="D25">
        <f>(B25+4*B24+B23)/3*(A25-A24)+D23</f>
        <v>9.7167973359346769E-3</v>
      </c>
      <c r="E25">
        <f t="shared" ref="E25" si="12">ABS($D$120-D25)/$D$120*100</f>
        <v>98.54230288577422</v>
      </c>
    </row>
    <row r="26" spans="1:15">
      <c r="A26">
        <v>7.0000000000000007E-2</v>
      </c>
      <c r="B26">
        <f t="shared" si="10"/>
        <v>0.26457513110645908</v>
      </c>
      <c r="C26">
        <v>4</v>
      </c>
    </row>
    <row r="27" spans="1:15">
      <c r="A27">
        <v>0.08</v>
      </c>
      <c r="B27">
        <f t="shared" si="10"/>
        <v>0.28284271247461901</v>
      </c>
      <c r="C27">
        <v>2</v>
      </c>
      <c r="D27">
        <f>(B27+4*B26+B25)/3*(A27-A26)+D25</f>
        <v>1.5003771373197252E-2</v>
      </c>
      <c r="E27">
        <f t="shared" ref="E27" si="13">ABS($D$120-D27)/$D$120*100</f>
        <v>97.749160193726595</v>
      </c>
    </row>
    <row r="28" spans="1:15">
      <c r="A28">
        <v>0.09</v>
      </c>
      <c r="B28">
        <f t="shared" si="10"/>
        <v>0.3</v>
      </c>
      <c r="C28">
        <v>4</v>
      </c>
    </row>
    <row r="29" spans="1:15">
      <c r="A29">
        <v>0.1</v>
      </c>
      <c r="B29">
        <f t="shared" si="10"/>
        <v>0.31622776601683794</v>
      </c>
      <c r="C29">
        <v>2</v>
      </c>
      <c r="D29">
        <f t="shared" ref="D29" si="14">(B29+4*B28+B27)/3*(A29-A28)+D27</f>
        <v>2.1000672968168779E-2</v>
      </c>
      <c r="E29">
        <f t="shared" ref="E29" si="15">ABS($D$120-D29)/$D$120*100</f>
        <v>96.849515398526691</v>
      </c>
    </row>
    <row r="30" spans="1:15">
      <c r="A30">
        <v>0.11</v>
      </c>
      <c r="B30">
        <f t="shared" si="10"/>
        <v>0.33166247903553997</v>
      </c>
      <c r="C30">
        <v>4</v>
      </c>
    </row>
    <row r="31" spans="1:15">
      <c r="A31">
        <v>0.12</v>
      </c>
      <c r="B31">
        <f t="shared" si="10"/>
        <v>0.34641016151377546</v>
      </c>
      <c r="C31">
        <v>2</v>
      </c>
      <c r="D31">
        <f t="shared" ref="D31" si="16">(B31+4*B30+B29)/3*(A31-A30)+D29</f>
        <v>2.763163244707802E-2</v>
      </c>
      <c r="E31">
        <f t="shared" ref="E31" si="17">ABS($D$120-D31)/$D$120*100</f>
        <v>95.854750337285012</v>
      </c>
    </row>
    <row r="32" spans="1:15">
      <c r="A32">
        <v>0.13</v>
      </c>
      <c r="B32">
        <f t="shared" si="10"/>
        <v>0.36055512754639896</v>
      </c>
      <c r="C32">
        <v>4</v>
      </c>
    </row>
    <row r="33" spans="1:5">
      <c r="A33">
        <v>0.14000000000000001</v>
      </c>
      <c r="B33">
        <f t="shared" si="10"/>
        <v>0.37416573867739417</v>
      </c>
      <c r="C33">
        <v>2</v>
      </c>
      <c r="D33">
        <f t="shared" ref="D33" si="18">(B33+4*B32+B31)/3*(A33-A32)+D31</f>
        <v>3.4840953815000575E-2</v>
      </c>
      <c r="E33">
        <f t="shared" ref="E33" si="19">ABS($D$120-D33)/$D$120*100</f>
        <v>94.773220426736955</v>
      </c>
    </row>
    <row r="34" spans="1:5">
      <c r="A34">
        <v>0.15</v>
      </c>
      <c r="B34">
        <f t="shared" si="10"/>
        <v>0.3872983346207417</v>
      </c>
      <c r="C34">
        <v>4</v>
      </c>
    </row>
    <row r="35" spans="1:5">
      <c r="A35">
        <v>0.16</v>
      </c>
      <c r="B35">
        <f t="shared" si="10"/>
        <v>0.4</v>
      </c>
      <c r="C35">
        <v>2</v>
      </c>
      <c r="D35">
        <f t="shared" ref="D35" si="20">(B35+4*B34+B33)/3*(A35-A34)+D33</f>
        <v>4.2585484072201786E-2</v>
      </c>
      <c r="E35">
        <f t="shared" ref="E35" si="21">ABS($D$120-D35)/$D$120*100</f>
        <v>93.611399405194518</v>
      </c>
    </row>
    <row r="36" spans="1:5">
      <c r="A36">
        <v>0.17</v>
      </c>
      <c r="B36">
        <f t="shared" si="10"/>
        <v>0.41231056256176607</v>
      </c>
      <c r="C36">
        <v>4</v>
      </c>
    </row>
    <row r="37" spans="1:5">
      <c r="A37">
        <v>0.18</v>
      </c>
      <c r="B37">
        <f t="shared" si="10"/>
        <v>0.42426406871192851</v>
      </c>
      <c r="C37">
        <v>2</v>
      </c>
      <c r="D37">
        <f t="shared" ref="D37" si="22">(B37+4*B36+B35)/3*(A37-A36)+D35</f>
        <v>5.0830505135398413E-2</v>
      </c>
      <c r="E37">
        <f t="shared" ref="E37" si="23">ABS($D$120-D37)/$D$120*100</f>
        <v>92.374495619406488</v>
      </c>
    </row>
    <row r="38" spans="1:5">
      <c r="A38">
        <v>0.19</v>
      </c>
      <c r="B38">
        <f t="shared" si="10"/>
        <v>0.43588989435406733</v>
      </c>
      <c r="C38">
        <v>4</v>
      </c>
    </row>
    <row r="39" spans="1:5">
      <c r="A39">
        <v>0.2</v>
      </c>
      <c r="B39">
        <f t="shared" si="10"/>
        <v>0.44721359549995793</v>
      </c>
      <c r="C39">
        <v>2</v>
      </c>
      <c r="D39">
        <f t="shared" ref="D39" si="24">(B39+4*B38+B37)/3*(A39-A38)+D37</f>
        <v>5.9547295940825605E-2</v>
      </c>
      <c r="E39">
        <f t="shared" ref="E39" si="25">ABS($D$120-D39)/$D$120*100</f>
        <v>91.066817753635831</v>
      </c>
    </row>
    <row r="40" spans="1:5">
      <c r="A40">
        <v>0.21</v>
      </c>
      <c r="B40">
        <f t="shared" si="10"/>
        <v>0.45825756949558399</v>
      </c>
      <c r="C40">
        <v>4</v>
      </c>
    </row>
    <row r="41" spans="1:5">
      <c r="A41">
        <v>0.22</v>
      </c>
      <c r="B41">
        <f t="shared" si="10"/>
        <v>0.46904157598234297</v>
      </c>
      <c r="C41">
        <v>2</v>
      </c>
      <c r="D41">
        <f t="shared" ref="D41" si="26">(B41+4*B40+B39)/3*(A41-A40)+D39</f>
        <v>6.8711580772374409E-2</v>
      </c>
      <c r="E41">
        <f t="shared" ref="E41" si="27">ABS($D$120-D41)/$D$120*100</f>
        <v>89.692007608786113</v>
      </c>
    </row>
    <row r="42" spans="1:5">
      <c r="A42">
        <v>0.23</v>
      </c>
      <c r="B42">
        <f t="shared" si="10"/>
        <v>0.47958315233127197</v>
      </c>
      <c r="C42">
        <v>4</v>
      </c>
    </row>
    <row r="43" spans="1:5">
      <c r="A43">
        <v>0.24</v>
      </c>
      <c r="B43">
        <f t="shared" si="10"/>
        <v>0.4898979485566356</v>
      </c>
      <c r="C43">
        <v>2</v>
      </c>
      <c r="D43">
        <f t="shared" ref="D43:D85" si="28">(B43+4*B42+B41)/3*(A43-A42)+D41</f>
        <v>7.830248788525461E-2</v>
      </c>
      <c r="E43">
        <f t="shared" ref="E43" si="29">ABS($D$120-D43)/$D$120*100</f>
        <v>88.253196327876722</v>
      </c>
    </row>
    <row r="44" spans="1:5">
      <c r="A44">
        <v>0.25</v>
      </c>
      <c r="B44">
        <f t="shared" si="10"/>
        <v>0.5</v>
      </c>
      <c r="C44">
        <v>4</v>
      </c>
    </row>
    <row r="45" spans="1:5">
      <c r="A45">
        <v>0.26</v>
      </c>
      <c r="B45">
        <f t="shared" si="10"/>
        <v>0.50990195135927852</v>
      </c>
      <c r="C45">
        <v>2</v>
      </c>
      <c r="D45">
        <f t="shared" ref="D45:D73" si="30">(B45+4*B44+B43)/3*(A45-A44)+D43</f>
        <v>8.8301820884974333E-2</v>
      </c>
      <c r="E45">
        <f t="shared" ref="E45" si="31">ABS($D$120-D45)/$D$120*100</f>
        <v>86.753113702507051</v>
      </c>
    </row>
    <row r="46" spans="1:5">
      <c r="A46">
        <v>0.27</v>
      </c>
      <c r="B46">
        <f t="shared" si="10"/>
        <v>0.51961524227066325</v>
      </c>
      <c r="C46">
        <v>4</v>
      </c>
    </row>
    <row r="47" spans="1:5">
      <c r="A47">
        <v>0.28000000000000003</v>
      </c>
      <c r="B47">
        <f t="shared" si="10"/>
        <v>0.52915026221291817</v>
      </c>
      <c r="C47">
        <v>2</v>
      </c>
      <c r="D47">
        <f t="shared" ref="D47:D75" si="32">(B47+4*B46+B45)/3*(A47-A46)+D45</f>
        <v>9.8693531493823844E-2</v>
      </c>
      <c r="E47">
        <f t="shared" ref="E47" si="33">ABS($D$120-D47)/$D$120*100</f>
        <v>85.194167267515624</v>
      </c>
    </row>
    <row r="48" spans="1:5">
      <c r="A48">
        <v>0.28999999999999998</v>
      </c>
      <c r="B48">
        <f t="shared" si="10"/>
        <v>0.53851648071345037</v>
      </c>
      <c r="C48">
        <v>4</v>
      </c>
    </row>
    <row r="49" spans="1:5">
      <c r="A49">
        <v>0.3</v>
      </c>
      <c r="B49">
        <f t="shared" si="10"/>
        <v>0.54772255750516607</v>
      </c>
      <c r="C49">
        <v>2</v>
      </c>
      <c r="D49">
        <f t="shared" ref="D49:D77" si="34">(B49+4*B48+B47)/3*(A49-A48)+D47</f>
        <v>0.1094633273023968</v>
      </c>
      <c r="E49">
        <f t="shared" ref="E49" si="35">ABS($D$120-D49)/$D$120*100</f>
        <v>83.578501145418045</v>
      </c>
    </row>
    <row r="50" spans="1:5">
      <c r="A50">
        <v>0.31</v>
      </c>
      <c r="B50">
        <f t="shared" si="10"/>
        <v>0.55677643628300222</v>
      </c>
      <c r="C50">
        <v>4</v>
      </c>
    </row>
    <row r="51" spans="1:5">
      <c r="A51">
        <v>0.32</v>
      </c>
      <c r="B51">
        <f t="shared" si="10"/>
        <v>0.56568542494923801</v>
      </c>
      <c r="C51">
        <v>2</v>
      </c>
      <c r="D51">
        <f t="shared" ref="D51" si="36">(B51+4*B50+B49)/3*(A51-A50)+D49</f>
        <v>0.12059837306101819</v>
      </c>
      <c r="E51">
        <f t="shared" ref="E51" si="37">ABS($D$120-D51)/$D$120*100</f>
        <v>81.908040858149619</v>
      </c>
    </row>
    <row r="52" spans="1:5">
      <c r="A52">
        <v>0.33</v>
      </c>
      <c r="B52">
        <f t="shared" si="10"/>
        <v>0.57445626465380284</v>
      </c>
      <c r="C52">
        <v>4</v>
      </c>
    </row>
    <row r="53" spans="1:5">
      <c r="A53">
        <v>0.34</v>
      </c>
      <c r="B53">
        <f t="shared" si="10"/>
        <v>0.5830951894845301</v>
      </c>
      <c r="C53">
        <v>2</v>
      </c>
      <c r="D53">
        <f t="shared" ref="D53" si="38">(B53+4*B52+B51)/3*(A53-A52)+D51</f>
        <v>0.13208705863784811</v>
      </c>
      <c r="E53">
        <f t="shared" ref="E53" si="39">ABS($D$120-D53)/$D$120*100</f>
        <v>80.184528137589055</v>
      </c>
    </row>
    <row r="54" spans="1:5">
      <c r="A54">
        <v>0.35</v>
      </c>
      <c r="B54">
        <f t="shared" si="10"/>
        <v>0.59160797830996159</v>
      </c>
      <c r="C54">
        <v>4</v>
      </c>
    </row>
    <row r="55" spans="1:5">
      <c r="A55">
        <v>0.36</v>
      </c>
      <c r="B55">
        <f t="shared" si="10"/>
        <v>0.6</v>
      </c>
      <c r="C55">
        <v>2</v>
      </c>
      <c r="D55">
        <f t="shared" ref="D55" si="40">(B55+4*B54+B53)/3*(A55-A54)+D53</f>
        <v>0.14391881564692938</v>
      </c>
      <c r="E55">
        <f t="shared" ref="E55" si="41">ABS($D$120-D55)/$D$120*100</f>
        <v>78.40954843470125</v>
      </c>
    </row>
    <row r="56" spans="1:5">
      <c r="A56">
        <v>0.37</v>
      </c>
      <c r="B56">
        <f t="shared" si="10"/>
        <v>0.60827625302982191</v>
      </c>
      <c r="C56">
        <v>4</v>
      </c>
    </row>
    <row r="57" spans="1:5">
      <c r="A57">
        <v>0.38</v>
      </c>
      <c r="B57">
        <f t="shared" si="10"/>
        <v>0.61644140029689765</v>
      </c>
      <c r="C57">
        <v>2</v>
      </c>
      <c r="D57">
        <f t="shared" si="28"/>
        <v>0.15608397035498334</v>
      </c>
      <c r="E57">
        <f t="shared" ref="E57" si="42">ABS($D$120-D57)/$D$120*100</f>
        <v>76.584552986205082</v>
      </c>
    </row>
    <row r="58" spans="1:5">
      <c r="A58">
        <v>0.39</v>
      </c>
      <c r="B58">
        <f t="shared" si="10"/>
        <v>0.62449979983983983</v>
      </c>
      <c r="C58">
        <v>4</v>
      </c>
    </row>
    <row r="59" spans="1:5">
      <c r="A59">
        <v>0.4</v>
      </c>
      <c r="B59">
        <f t="shared" si="10"/>
        <v>0.63245553203367588</v>
      </c>
      <c r="C59">
        <v>2</v>
      </c>
      <c r="D59">
        <f t="shared" si="30"/>
        <v>0.16857362412728313</v>
      </c>
      <c r="E59">
        <f t="shared" ref="E59" si="43">ABS($D$120-D59)/$D$120*100</f>
        <v>74.710876749876604</v>
      </c>
    </row>
    <row r="60" spans="1:5">
      <c r="A60">
        <v>0.41</v>
      </c>
      <c r="B60">
        <f t="shared" si="10"/>
        <v>0.6403124237432849</v>
      </c>
      <c r="C60">
        <v>4</v>
      </c>
    </row>
    <row r="61" spans="1:5">
      <c r="A61">
        <v>0.42</v>
      </c>
      <c r="B61">
        <f t="shared" si="10"/>
        <v>0.64807406984078597</v>
      </c>
      <c r="C61">
        <v>2</v>
      </c>
      <c r="D61">
        <f t="shared" si="32"/>
        <v>0.18137955511677514</v>
      </c>
      <c r="E61">
        <f t="shared" ref="E61" si="44">ABS($D$120-D61)/$D$120*100</f>
        <v>72.789753152976829</v>
      </c>
    </row>
    <row r="62" spans="1:5">
      <c r="A62">
        <v>0.43</v>
      </c>
      <c r="B62">
        <f t="shared" si="10"/>
        <v>0.65574385243020006</v>
      </c>
      <c r="C62">
        <v>4</v>
      </c>
    </row>
    <row r="63" spans="1:5">
      <c r="A63">
        <v>0.44</v>
      </c>
      <c r="B63">
        <f t="shared" si="10"/>
        <v>0.66332495807107994</v>
      </c>
      <c r="C63">
        <v>2</v>
      </c>
      <c r="D63">
        <f t="shared" si="34"/>
        <v>0.1944941365755507</v>
      </c>
      <c r="E63">
        <f t="shared" ref="E63" si="45">ABS($D$120-D63)/$D$120*100</f>
        <v>70.82232634702325</v>
      </c>
    </row>
    <row r="64" spans="1:5">
      <c r="A64">
        <v>0.45</v>
      </c>
      <c r="B64">
        <f t="shared" si="10"/>
        <v>0.67082039324993692</v>
      </c>
      <c r="C64">
        <v>4</v>
      </c>
    </row>
    <row r="65" spans="1:5">
      <c r="A65">
        <v>0.46</v>
      </c>
      <c r="B65">
        <f t="shared" si="10"/>
        <v>0.67823299831252681</v>
      </c>
      <c r="C65">
        <v>2</v>
      </c>
      <c r="D65">
        <f t="shared" ref="D65" si="46">(B65+4*B64+B63)/3*(A65-A64)+D63</f>
        <v>0.20791026834016191</v>
      </c>
      <c r="E65">
        <f t="shared" ref="E65" si="47">ABS($D$120-D65)/$D$120*100</f>
        <v>68.809661486244266</v>
      </c>
    </row>
    <row r="66" spans="1:5">
      <c r="A66">
        <v>0.47</v>
      </c>
      <c r="B66">
        <f t="shared" si="10"/>
        <v>0.68556546004010444</v>
      </c>
      <c r="C66">
        <v>4</v>
      </c>
    </row>
    <row r="67" spans="1:5">
      <c r="A67">
        <v>0.48</v>
      </c>
      <c r="B67">
        <f t="shared" si="10"/>
        <v>0.69282032302755092</v>
      </c>
      <c r="C67">
        <v>2</v>
      </c>
      <c r="D67">
        <f t="shared" ref="D67" si="48">(B67+4*B66+B65)/3*(A67-A66)+D65</f>
        <v>0.2216213188784969</v>
      </c>
      <c r="E67">
        <f t="shared" ref="E67" si="49">ABS($D$120-D67)/$D$120*100</f>
        <v>66.752753421606499</v>
      </c>
    </row>
    <row r="68" spans="1:5">
      <c r="A68">
        <v>0.49</v>
      </c>
      <c r="B68">
        <f t="shared" si="10"/>
        <v>0.7</v>
      </c>
      <c r="C68">
        <v>4</v>
      </c>
    </row>
    <row r="69" spans="1:5">
      <c r="A69">
        <v>0.5</v>
      </c>
      <c r="B69">
        <f t="shared" si="10"/>
        <v>0.70710678118654757</v>
      </c>
      <c r="C69">
        <v>2</v>
      </c>
      <c r="D69">
        <f t="shared" ref="D69" si="50">(B69+4*B68+B67)/3*(A69-A68)+D67</f>
        <v>0.23562107589254391</v>
      </c>
      <c r="E69">
        <f t="shared" ref="E69" si="51">ABS($D$120-D69)/$D$120*100</f>
        <v>64.6525341113027</v>
      </c>
    </row>
    <row r="70" spans="1:5">
      <c r="A70">
        <v>0.51</v>
      </c>
      <c r="B70">
        <f t="shared" si="10"/>
        <v>0.71414284285428498</v>
      </c>
      <c r="C70">
        <v>4</v>
      </c>
    </row>
    <row r="71" spans="1:5">
      <c r="A71">
        <v>0.52</v>
      </c>
      <c r="B71">
        <f t="shared" si="10"/>
        <v>0.72111025509279791</v>
      </c>
      <c r="C71">
        <v>2</v>
      </c>
      <c r="D71">
        <f t="shared" si="28"/>
        <v>0.24990370391819888</v>
      </c>
      <c r="E71">
        <f t="shared" ref="E71" si="52">ABS($D$120-D71)/$D$120*100</f>
        <v>62.509878981555168</v>
      </c>
    </row>
    <row r="72" spans="1:5">
      <c r="A72">
        <v>0.53</v>
      </c>
      <c r="B72">
        <f t="shared" si="10"/>
        <v>0.72801098892805183</v>
      </c>
      <c r="C72">
        <v>4</v>
      </c>
    </row>
    <row r="73" spans="1:5">
      <c r="A73">
        <v>0.54</v>
      </c>
      <c r="B73">
        <f t="shared" si="10"/>
        <v>0.73484692283495345</v>
      </c>
      <c r="C73">
        <v>2</v>
      </c>
      <c r="D73">
        <f t="shared" si="30"/>
        <v>0.26446370769699878</v>
      </c>
      <c r="E73">
        <f t="shared" ref="E73" si="53">ABS($D$120-D73)/$D$120*100</f>
        <v>60.325612421524923</v>
      </c>
    </row>
    <row r="74" spans="1:5">
      <c r="A74">
        <v>0.55000000000000004</v>
      </c>
      <c r="B74">
        <f t="shared" si="10"/>
        <v>0.74161984870956632</v>
      </c>
      <c r="C74">
        <v>4</v>
      </c>
    </row>
    <row r="75" spans="1:5">
      <c r="A75">
        <v>0.56000000000000005</v>
      </c>
      <c r="B75">
        <f t="shared" si="10"/>
        <v>0.74833147735478833</v>
      </c>
      <c r="C75">
        <v>2</v>
      </c>
      <c r="D75">
        <f t="shared" si="32"/>
        <v>0.27929590034709217</v>
      </c>
      <c r="E75">
        <f t="shared" ref="E75" si="54">ABS($D$120-D75)/$D$120*100</f>
        <v>58.100512558247566</v>
      </c>
    </row>
    <row r="76" spans="1:5">
      <c r="A76">
        <v>0.56999999999999995</v>
      </c>
      <c r="B76">
        <f t="shared" si="10"/>
        <v>0.75498344352707492</v>
      </c>
      <c r="C76">
        <v>4</v>
      </c>
    </row>
    <row r="77" spans="1:5">
      <c r="A77">
        <v>0.57999999999999996</v>
      </c>
      <c r="B77">
        <f t="shared" si="10"/>
        <v>0.76157731058639078</v>
      </c>
      <c r="C77">
        <v>2</v>
      </c>
      <c r="D77">
        <f t="shared" si="34"/>
        <v>0.29439537555392375</v>
      </c>
      <c r="E77">
        <f t="shared" ref="E77" si="55">ABS($D$120-D77)/$D$120*100</f>
        <v>55.835315428538678</v>
      </c>
    </row>
    <row r="78" spans="1:5">
      <c r="A78">
        <v>0.59</v>
      </c>
      <c r="B78">
        <f t="shared" si="10"/>
        <v>0.76811457478686085</v>
      </c>
      <c r="C78">
        <v>4</v>
      </c>
    </row>
    <row r="79" spans="1:5">
      <c r="A79">
        <v>0.6</v>
      </c>
      <c r="B79">
        <f t="shared" si="10"/>
        <v>0.7745966692414834</v>
      </c>
      <c r="C79">
        <v>2</v>
      </c>
      <c r="D79">
        <f t="shared" ref="D79" si="56">(B79+4*B78+B77)/3*(A79-A78)+D77</f>
        <v>0.30975748315050816</v>
      </c>
      <c r="E79">
        <f t="shared" ref="E79" si="57">ABS($D$120-D79)/$D$120*100</f>
        <v>53.530718642398853</v>
      </c>
    </row>
    <row r="80" spans="1:5">
      <c r="A80">
        <v>0.61</v>
      </c>
      <c r="B80">
        <f t="shared" si="10"/>
        <v>0.78102496759066542</v>
      </c>
      <c r="C80">
        <v>4</v>
      </c>
    </row>
    <row r="81" spans="1:5">
      <c r="A81">
        <v>0.62</v>
      </c>
      <c r="B81">
        <f t="shared" si="10"/>
        <v>0.78740078740118113</v>
      </c>
      <c r="C81">
        <v>2</v>
      </c>
      <c r="D81">
        <f t="shared" ref="D81" si="58">(B81+4*B80+B79)/3*(A81-A80)+D79</f>
        <v>0.32537780757385926</v>
      </c>
      <c r="E81">
        <f t="shared" ref="E81" si="59">ABS($D$120-D81)/$D$120*100</f>
        <v>51.187384614942864</v>
      </c>
    </row>
    <row r="82" spans="1:5">
      <c r="A82">
        <v>0.63</v>
      </c>
      <c r="B82">
        <f t="shared" si="10"/>
        <v>0.79372539331937719</v>
      </c>
      <c r="C82">
        <v>4</v>
      </c>
    </row>
    <row r="83" spans="1:5">
      <c r="A83">
        <v>0.64</v>
      </c>
      <c r="B83">
        <f t="shared" si="10"/>
        <v>0.8</v>
      </c>
      <c r="C83">
        <v>2</v>
      </c>
      <c r="D83">
        <f t="shared" ref="D83" si="60">(B83+4*B82+B81)/3*(A83-A82)+D81</f>
        <v>0.34125214877612159</v>
      </c>
      <c r="E83">
        <f t="shared" ref="E83" si="61">ABS($D$120-D83)/$D$120*100</f>
        <v>48.805943430078699</v>
      </c>
    </row>
    <row r="84" spans="1:5">
      <c r="A84">
        <v>0.65</v>
      </c>
      <c r="B84">
        <f t="shared" ref="B84:B119" si="62">SQRT(A84)</f>
        <v>0.80622577482985502</v>
      </c>
      <c r="C84">
        <v>4</v>
      </c>
    </row>
    <row r="85" spans="1:5">
      <c r="A85">
        <v>0.66</v>
      </c>
      <c r="B85">
        <f t="shared" si="62"/>
        <v>0.81240384046359604</v>
      </c>
      <c r="C85">
        <v>2</v>
      </c>
      <c r="D85">
        <f t="shared" si="28"/>
        <v>0.35737650524206499</v>
      </c>
      <c r="E85">
        <f t="shared" ref="E85" si="63">ABS($D$120-D85)/$D$120*100</f>
        <v>46.38699538819359</v>
      </c>
    </row>
    <row r="86" spans="1:5">
      <c r="A86">
        <v>0.67</v>
      </c>
      <c r="B86">
        <f t="shared" si="62"/>
        <v>0.81853527718724506</v>
      </c>
      <c r="C86">
        <v>4</v>
      </c>
    </row>
    <row r="87" spans="1:5">
      <c r="A87">
        <v>0.68</v>
      </c>
      <c r="B87">
        <f t="shared" si="62"/>
        <v>0.82462112512353214</v>
      </c>
      <c r="C87">
        <v>2</v>
      </c>
      <c r="D87">
        <f>(B87+4*B86+B85)/3*(A87-A86)+D85</f>
        <v>0.37374705882318537</v>
      </c>
      <c r="E87">
        <f t="shared" ref="E87" si="64">ABS($D$120-D87)/$D$120*100</f>
        <v>43.931113281316009</v>
      </c>
    </row>
    <row r="88" spans="1:5">
      <c r="A88">
        <v>0.69</v>
      </c>
      <c r="B88">
        <f t="shared" si="62"/>
        <v>0.83066238629180744</v>
      </c>
      <c r="C88">
        <v>4</v>
      </c>
    </row>
    <row r="89" spans="1:5">
      <c r="A89">
        <v>0.7</v>
      </c>
      <c r="B89">
        <f t="shared" si="62"/>
        <v>0.83666002653407556</v>
      </c>
      <c r="C89">
        <v>2</v>
      </c>
      <c r="D89">
        <f>(B89+4*B88+B87)/3*(A89-A88)+D87</f>
        <v>0.39036016114593486</v>
      </c>
      <c r="E89">
        <f t="shared" ref="E89" si="65">ABS($D$120-D89)/$D$120*100</f>
        <v>41.438844432129379</v>
      </c>
    </row>
    <row r="90" spans="1:5">
      <c r="A90">
        <v>0.71</v>
      </c>
      <c r="B90">
        <f t="shared" si="62"/>
        <v>0.84261497731763579</v>
      </c>
      <c r="C90">
        <v>4</v>
      </c>
    </row>
    <row r="91" spans="1:5">
      <c r="A91">
        <v>0.72</v>
      </c>
      <c r="B91">
        <f t="shared" si="62"/>
        <v>0.84852813742385702</v>
      </c>
      <c r="C91">
        <v>2</v>
      </c>
      <c r="D91">
        <f>(B91+4*B90+B89)/3*(A91-A90)+D89</f>
        <v>0.40721232139002977</v>
      </c>
      <c r="E91">
        <f t="shared" ref="E91" si="66">ABS($D$120-D91)/$D$120*100</f>
        <v>38.91071252744922</v>
      </c>
    </row>
    <row r="92" spans="1:5">
      <c r="A92">
        <v>0.73</v>
      </c>
      <c r="B92">
        <f t="shared" si="62"/>
        <v>0.8544003745317531</v>
      </c>
      <c r="C92">
        <v>4</v>
      </c>
    </row>
    <row r="93" spans="1:5">
      <c r="A93">
        <v>0.74</v>
      </c>
      <c r="B93">
        <f t="shared" si="62"/>
        <v>0.86023252670426265</v>
      </c>
      <c r="C93">
        <v>2</v>
      </c>
      <c r="D93">
        <f t="shared" ref="D93" si="67">(B93+4*B92+B91)/3*(A93-A92)+D91</f>
        <v>0.42430019526421359</v>
      </c>
      <c r="E93">
        <f t="shared" ref="E93" si="68">ABS($D$120-D93)/$D$120*100</f>
        <v>36.347219272060052</v>
      </c>
    </row>
    <row r="94" spans="1:5">
      <c r="A94">
        <v>0.75</v>
      </c>
      <c r="B94">
        <f t="shared" si="62"/>
        <v>0.8660254037844386</v>
      </c>
      <c r="C94">
        <v>4</v>
      </c>
    </row>
    <row r="95" spans="1:5">
      <c r="A95">
        <v>0.76</v>
      </c>
      <c r="B95">
        <f t="shared" si="62"/>
        <v>0.87177978870813466</v>
      </c>
      <c r="C95">
        <v>2</v>
      </c>
      <c r="D95">
        <f t="shared" ref="D95" si="69">(B95+4*B94+B93)/3*(A95-A94)+D93</f>
        <v>0.44162057503271412</v>
      </c>
      <c r="E95">
        <f t="shared" ref="E95" si="70">ABS($D$120-D95)/$D$120*100</f>
        <v>33.748845884929075</v>
      </c>
    </row>
    <row r="96" spans="1:5">
      <c r="A96">
        <v>0.77</v>
      </c>
      <c r="B96">
        <f t="shared" si="62"/>
        <v>0.87749643873921224</v>
      </c>
      <c r="C96">
        <v>4</v>
      </c>
    </row>
    <row r="97" spans="1:5">
      <c r="A97">
        <v>0.78</v>
      </c>
      <c r="B97">
        <f t="shared" si="62"/>
        <v>0.88317608663278468</v>
      </c>
      <c r="C97">
        <v>2</v>
      </c>
      <c r="D97">
        <f t="shared" ref="D97" si="71">(B97+4*B96+B95)/3*(A97-A96)+D95</f>
        <v>0.45917038046704006</v>
      </c>
      <c r="E97">
        <f t="shared" ref="E97" si="72">ABS($D$120-D97)/$D$120*100</f>
        <v>31.116054456601926</v>
      </c>
    </row>
    <row r="98" spans="1:5">
      <c r="A98">
        <v>0.79</v>
      </c>
      <c r="B98">
        <f t="shared" si="62"/>
        <v>0.88881944173155891</v>
      </c>
      <c r="C98">
        <v>4</v>
      </c>
    </row>
    <row r="99" spans="1:5">
      <c r="A99">
        <v>0.8</v>
      </c>
      <c r="B99">
        <f t="shared" si="62"/>
        <v>0.89442719099991586</v>
      </c>
      <c r="C99">
        <v>2</v>
      </c>
      <c r="D99">
        <f t="shared" ref="D99" si="73">(B99+4*B98+B97)/3*(A99-A98)+D97</f>
        <v>0.47694665061556984</v>
      </c>
      <c r="E99">
        <f t="shared" ref="E99" si="74">ABS($D$120-D99)/$D$120*100</f>
        <v>28.449289183914754</v>
      </c>
    </row>
    <row r="100" spans="1:5">
      <c r="A100">
        <v>0.81</v>
      </c>
      <c r="B100">
        <f t="shared" si="62"/>
        <v>0.9</v>
      </c>
      <c r="C100">
        <v>4</v>
      </c>
    </row>
    <row r="101" spans="1:5">
      <c r="A101">
        <v>0.82</v>
      </c>
      <c r="B101">
        <f t="shared" si="62"/>
        <v>0.90553851381374162</v>
      </c>
      <c r="C101">
        <v>2</v>
      </c>
      <c r="D101">
        <f t="shared" ref="D101" si="75">(B101+4*B100+B99)/3*(A101-A100)+D99</f>
        <v>0.49494653629828184</v>
      </c>
      <c r="E101">
        <f t="shared" ref="E101" si="76">ABS($D$120-D101)/$D$120*100</f>
        <v>25.748977495921793</v>
      </c>
    </row>
    <row r="102" spans="1:5">
      <c r="A102">
        <v>0.83</v>
      </c>
      <c r="B102">
        <f t="shared" si="62"/>
        <v>0.91104335791442992</v>
      </c>
      <c r="C102">
        <v>4</v>
      </c>
    </row>
    <row r="103" spans="1:5">
      <c r="A103">
        <v>0.84</v>
      </c>
      <c r="B103">
        <f t="shared" si="62"/>
        <v>0.91651513899116799</v>
      </c>
      <c r="C103">
        <v>2</v>
      </c>
      <c r="D103">
        <f t="shared" ref="D103" si="77">(B103+4*B102+B101)/3*(A103-A102)+D101</f>
        <v>0.51316729324649057</v>
      </c>
      <c r="E103">
        <f t="shared" ref="E103" si="78">ABS($D$120-D103)/$D$120*100</f>
        <v>23.015531083060242</v>
      </c>
    </row>
    <row r="104" spans="1:5">
      <c r="A104">
        <v>0.85</v>
      </c>
      <c r="B104">
        <f t="shared" si="62"/>
        <v>0.92195444572928875</v>
      </c>
      <c r="C104">
        <v>4</v>
      </c>
    </row>
    <row r="105" spans="1:5">
      <c r="A105">
        <v>0.86</v>
      </c>
      <c r="B105">
        <f t="shared" si="62"/>
        <v>0.92736184954957035</v>
      </c>
      <c r="C105">
        <v>2</v>
      </c>
      <c r="D105">
        <f t="shared" ref="D105" si="79">(B105+4*B104+B103)/3*(A105-A104)+D103</f>
        <v>0.53160627581801689</v>
      </c>
      <c r="E105">
        <f t="shared" ref="E105" si="80">ABS($D$120-D105)/$D$120*100</f>
        <v>20.249346839989585</v>
      </c>
    </row>
    <row r="106" spans="1:5">
      <c r="A106">
        <v>0.87</v>
      </c>
      <c r="B106">
        <f t="shared" si="62"/>
        <v>0.93273790530888145</v>
      </c>
      <c r="C106">
        <v>4</v>
      </c>
    </row>
    <row r="107" spans="1:5">
      <c r="A107">
        <v>0.88</v>
      </c>
      <c r="B107">
        <f t="shared" si="62"/>
        <v>0.93808315196468595</v>
      </c>
      <c r="C107">
        <v>2</v>
      </c>
      <c r="D107">
        <f t="shared" ref="D107" si="81">(B107+4*B106+B105)/3*(A107-A106)+D105</f>
        <v>0.55026093122718289</v>
      </c>
      <c r="E107">
        <f t="shared" ref="E107" si="82">ABS($D$120-D107)/$D$120*100</f>
        <v>17.450807731197731</v>
      </c>
    </row>
    <row r="108" spans="1:5">
      <c r="A108">
        <v>0.89</v>
      </c>
      <c r="B108">
        <f t="shared" si="62"/>
        <v>0.94339811320566036</v>
      </c>
      <c r="C108">
        <v>4</v>
      </c>
    </row>
    <row r="109" spans="1:5">
      <c r="A109">
        <v>0.9</v>
      </c>
      <c r="B109">
        <f t="shared" si="62"/>
        <v>0.94868329805051377</v>
      </c>
      <c r="C109">
        <v>2</v>
      </c>
      <c r="D109">
        <f t="shared" ref="D109" si="83">(B109+4*B108+B107)/3*(A109-A108)+D107</f>
        <v>0.56912879423664242</v>
      </c>
      <c r="E109">
        <f t="shared" ref="E109" si="84">ABS($D$120-D109)/$D$120*100</f>
        <v>14.620283587323431</v>
      </c>
    </row>
    <row r="110" spans="1:5">
      <c r="A110">
        <v>0.91</v>
      </c>
      <c r="B110">
        <f t="shared" si="62"/>
        <v>0.95393920141694566</v>
      </c>
      <c r="C110">
        <v>4</v>
      </c>
    </row>
    <row r="111" spans="1:5">
      <c r="A111">
        <v>0.92</v>
      </c>
      <c r="B111">
        <f t="shared" si="62"/>
        <v>0.95916630466254393</v>
      </c>
      <c r="C111">
        <v>2</v>
      </c>
      <c r="D111">
        <f t="shared" ref="D111" si="85">(B111+4*B110+B109)/3*(A111-A110)+D109</f>
        <v>0.58820748226457853</v>
      </c>
      <c r="E111">
        <f t="shared" ref="E111" si="86">ABS($D$120-D111)/$D$120*100</f>
        <v>11.758131839166044</v>
      </c>
    </row>
    <row r="112" spans="1:5">
      <c r="A112">
        <v>0.93</v>
      </c>
      <c r="B112">
        <f t="shared" si="62"/>
        <v>0.96436507609929556</v>
      </c>
      <c r="C112">
        <v>4</v>
      </c>
    </row>
    <row r="113" spans="1:5">
      <c r="A113">
        <v>0.94</v>
      </c>
      <c r="B113">
        <f t="shared" si="62"/>
        <v>0.96953597148326576</v>
      </c>
      <c r="C113">
        <v>2</v>
      </c>
      <c r="D113">
        <f t="shared" ref="D113" si="87">(B113+4*B112+B111)/3*(A113-A112)+D111</f>
        <v>0.6074946908663883</v>
      </c>
      <c r="E113">
        <f t="shared" ref="E113" si="88">ABS($D$120-D113)/$D$120*100</f>
        <v>8.8646981955153503</v>
      </c>
    </row>
    <row r="114" spans="1:5">
      <c r="A114">
        <v>0.95</v>
      </c>
      <c r="B114">
        <f t="shared" si="62"/>
        <v>0.97467943448089633</v>
      </c>
      <c r="C114">
        <v>4</v>
      </c>
    </row>
    <row r="115" spans="1:5">
      <c r="A115">
        <v>0.96</v>
      </c>
      <c r="B115">
        <f t="shared" si="62"/>
        <v>0.9797958971132712</v>
      </c>
      <c r="C115">
        <v>2</v>
      </c>
      <c r="D115">
        <f t="shared" ref="D115" si="89">(B115+4*B114+B113)/3*(A115-A114)+D113</f>
        <v>0.62698818955478874</v>
      </c>
      <c r="E115">
        <f t="shared" ref="E115" si="90">ABS($D$120-D115)/$D$120*100</f>
        <v>5.9403172702120335</v>
      </c>
    </row>
    <row r="116" spans="1:5">
      <c r="A116">
        <v>0.97</v>
      </c>
      <c r="B116">
        <f t="shared" si="62"/>
        <v>0.98488578017961048</v>
      </c>
      <c r="C116">
        <v>4</v>
      </c>
    </row>
    <row r="117" spans="1:5">
      <c r="A117">
        <v>0.98</v>
      </c>
      <c r="B117">
        <f t="shared" si="62"/>
        <v>0.98994949366116658</v>
      </c>
      <c r="C117">
        <v>2</v>
      </c>
      <c r="D117">
        <f>(B117+4*B116+B115)/3*(A117-A116)+D115</f>
        <v>0.64668581792643165</v>
      </c>
      <c r="E117">
        <f t="shared" ref="E117" si="91">ABS($D$120-D117)/$D$120*100</f>
        <v>2.9853131632262184</v>
      </c>
    </row>
    <row r="118" spans="1:5">
      <c r="A118">
        <v>0.99</v>
      </c>
      <c r="B118">
        <f t="shared" si="62"/>
        <v>0.99498743710661997</v>
      </c>
      <c r="C118">
        <v>4</v>
      </c>
    </row>
    <row r="119" spans="1:5">
      <c r="A119">
        <v>1</v>
      </c>
      <c r="B119">
        <f t="shared" si="62"/>
        <v>1</v>
      </c>
      <c r="C119">
        <v>1</v>
      </c>
      <c r="D119">
        <f>(B119+4*B118+B117)/3*(A119-A118)+D117</f>
        <v>0.66658548206672386</v>
      </c>
      <c r="E119">
        <f t="shared" ref="E119" si="92">ABS($D$120-D119)/$D$120*100</f>
        <v>9.9932241654854204E-14</v>
      </c>
    </row>
    <row r="120" spans="1:5">
      <c r="C120" t="s">
        <v>25</v>
      </c>
      <c r="D120">
        <f>SUMPRODUCT(B19:B119,C19:C119)/3*(A119-A118)</f>
        <v>0.66658548206672452</v>
      </c>
    </row>
  </sheetData>
  <mergeCells count="2">
    <mergeCell ref="A1:C1"/>
    <mergeCell ref="A17:C17"/>
  </mergeCells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8555C-35E3-435A-8F13-751C71031CD2}">
  <dimension ref="A1:G247"/>
  <sheetViews>
    <sheetView topLeftCell="A42" workbookViewId="0">
      <selection activeCell="C141" sqref="C141"/>
    </sheetView>
  </sheetViews>
  <sheetFormatPr baseColWidth="10" defaultColWidth="8.83203125" defaultRowHeight="15"/>
  <cols>
    <col min="1" max="1" width="6.83203125" bestFit="1" customWidth="1"/>
    <col min="2" max="2" width="13.6640625" bestFit="1" customWidth="1"/>
    <col min="3" max="3" width="25.83203125" bestFit="1" customWidth="1"/>
    <col min="4" max="4" width="25.83203125" customWidth="1"/>
    <col min="5" max="5" width="13.33203125" bestFit="1" customWidth="1"/>
    <col min="6" max="6" width="14.6640625" bestFit="1" customWidth="1"/>
    <col min="8" max="8" width="14.5" bestFit="1" customWidth="1"/>
  </cols>
  <sheetData>
    <row r="1" spans="1:7">
      <c r="A1" t="s">
        <v>5</v>
      </c>
    </row>
    <row r="2" spans="1:7" ht="23">
      <c r="A2" s="1" t="s">
        <v>0</v>
      </c>
      <c r="B2" s="1" t="s">
        <v>1</v>
      </c>
      <c r="C2" s="1" t="s">
        <v>4</v>
      </c>
      <c r="D2" s="1"/>
      <c r="E2" s="1" t="s">
        <v>2</v>
      </c>
      <c r="F2" s="1" t="s">
        <v>3</v>
      </c>
      <c r="G2" s="1"/>
    </row>
    <row r="3" spans="1:7">
      <c r="A3">
        <v>0</v>
      </c>
      <c r="B3" s="3">
        <f>A3^2*COS(A3)</f>
        <v>0</v>
      </c>
      <c r="C3" s="3">
        <f>(-3*B3+4*B4-B5)/(2*(A4-A3))</f>
        <v>2.9875174873568444E-3</v>
      </c>
      <c r="D3" s="3"/>
      <c r="E3" s="3" t="e">
        <f>ABS(C3-F3)/F3*100</f>
        <v>#DIV/0!</v>
      </c>
      <c r="F3" s="3">
        <f>A3*(2*COS(A3)-A3*SIN(A3))</f>
        <v>0</v>
      </c>
    </row>
    <row r="4" spans="1:7">
      <c r="A4">
        <f>A3+0.1</f>
        <v>0.1</v>
      </c>
      <c r="B4" s="3">
        <f t="shared" ref="B4:B13" si="0">A4^2*COS(A4)</f>
        <v>9.9500416527802601E-3</v>
      </c>
      <c r="C4" s="3">
        <f>(B5-B3)/(2*(A4-A3))</f>
        <v>0.19601331556824836</v>
      </c>
      <c r="D4" s="3"/>
      <c r="E4" s="3">
        <f t="shared" ref="E4:E13" si="1">ABS(C4-F4)/F4*100</f>
        <v>1.0046253618255101</v>
      </c>
      <c r="F4" s="3">
        <f t="shared" ref="F4:F13" si="2">A4*(2*COS(A4)-A4*SIN(A4))</f>
        <v>0.1980024988891369</v>
      </c>
    </row>
    <row r="5" spans="1:7">
      <c r="A5">
        <f t="shared" ref="A5:A12" si="3">A4+0.1</f>
        <v>0.2</v>
      </c>
      <c r="B5" s="3">
        <f t="shared" si="0"/>
        <v>3.9202663113649672E-2</v>
      </c>
      <c r="C5" s="3">
        <f t="shared" ref="C5:C12" si="4">(B6-B4)/(2*(A5-A4))</f>
        <v>0.38015121184262146</v>
      </c>
      <c r="D5" s="3"/>
      <c r="E5" s="3">
        <f t="shared" si="1"/>
        <v>1.0228721921282391</v>
      </c>
      <c r="F5" s="3">
        <f t="shared" si="2"/>
        <v>0.38407985790469423</v>
      </c>
    </row>
    <row r="6" spans="1:7">
      <c r="A6">
        <f t="shared" si="3"/>
        <v>0.30000000000000004</v>
      </c>
      <c r="B6" s="3">
        <f t="shared" si="0"/>
        <v>8.5980284021304559E-2</v>
      </c>
      <c r="C6" s="3">
        <f t="shared" si="4"/>
        <v>0.54083547963405976</v>
      </c>
      <c r="D6" s="3"/>
      <c r="E6" s="3">
        <f t="shared" si="1"/>
        <v>1.0555326884028378</v>
      </c>
      <c r="F6" s="3">
        <f t="shared" si="2"/>
        <v>0.54660507487584309</v>
      </c>
    </row>
    <row r="7" spans="1:7">
      <c r="A7">
        <f t="shared" si="3"/>
        <v>0.4</v>
      </c>
      <c r="B7" s="3">
        <f t="shared" si="0"/>
        <v>0.14736975904046165</v>
      </c>
      <c r="C7" s="3">
        <f t="shared" si="4"/>
        <v>0.66707678225644329</v>
      </c>
      <c r="D7" s="3"/>
      <c r="E7" s="3">
        <f t="shared" si="1"/>
        <v>1.1066886451924076</v>
      </c>
      <c r="F7" s="3">
        <f t="shared" si="2"/>
        <v>0.67454186043292408</v>
      </c>
    </row>
    <row r="8" spans="1:7">
      <c r="A8">
        <f t="shared" si="3"/>
        <v>0.5</v>
      </c>
      <c r="B8" s="3">
        <f t="shared" si="0"/>
        <v>0.21939564047259319</v>
      </c>
      <c r="C8" s="3">
        <f t="shared" si="4"/>
        <v>0.74875531163511289</v>
      </c>
      <c r="D8" s="3"/>
      <c r="E8" s="3">
        <f t="shared" si="1"/>
        <v>1.1839191879173712</v>
      </c>
      <c r="F8" s="3">
        <f t="shared" si="2"/>
        <v>0.75772617723932201</v>
      </c>
    </row>
    <row r="9" spans="1:7">
      <c r="A9">
        <f t="shared" si="3"/>
        <v>0.6</v>
      </c>
      <c r="B9" s="3">
        <f t="shared" si="0"/>
        <v>0.29712082136748419</v>
      </c>
      <c r="C9" s="3">
        <f t="shared" si="4"/>
        <v>0.77688515648403089</v>
      </c>
      <c r="D9" s="3"/>
      <c r="E9" s="3">
        <f t="shared" si="1"/>
        <v>1.3017255273324146</v>
      </c>
      <c r="F9" s="3">
        <f t="shared" si="2"/>
        <v>0.78713144746940122</v>
      </c>
    </row>
    <row r="10" spans="1:7">
      <c r="A10">
        <f t="shared" si="3"/>
        <v>0.7</v>
      </c>
      <c r="B10" s="3">
        <f t="shared" si="0"/>
        <v>0.37477267176939932</v>
      </c>
      <c r="C10" s="3">
        <f t="shared" si="4"/>
        <v>0.74385736307350836</v>
      </c>
      <c r="D10" s="3"/>
      <c r="E10" s="3">
        <f t="shared" si="1"/>
        <v>1.4905108757448728</v>
      </c>
      <c r="F10" s="3">
        <f t="shared" si="2"/>
        <v>0.7551123954518153</v>
      </c>
    </row>
    <row r="11" spans="1:7">
      <c r="A11">
        <f t="shared" si="3"/>
        <v>0.79999999999999993</v>
      </c>
      <c r="B11" s="3">
        <f t="shared" si="0"/>
        <v>0.44589229398218583</v>
      </c>
      <c r="C11" s="3">
        <f t="shared" si="4"/>
        <v>0.64365701264919428</v>
      </c>
      <c r="D11" s="3"/>
      <c r="E11" s="3">
        <f t="shared" si="1"/>
        <v>1.8251078911998664</v>
      </c>
      <c r="F11" s="3">
        <f t="shared" si="2"/>
        <v>0.65562283677977029</v>
      </c>
    </row>
    <row r="12" spans="1:7">
      <c r="A12">
        <f t="shared" si="3"/>
        <v>0.89999999999999991</v>
      </c>
      <c r="B12" s="3">
        <f t="shared" si="0"/>
        <v>0.50350407429923816</v>
      </c>
      <c r="C12" s="3">
        <f t="shared" si="4"/>
        <v>0.47205005942976924</v>
      </c>
      <c r="D12" s="3"/>
      <c r="E12" s="3">
        <f t="shared" si="1"/>
        <v>2.5501664799050294</v>
      </c>
      <c r="F12" s="3">
        <f t="shared" si="2"/>
        <v>0.48440314608893464</v>
      </c>
    </row>
    <row r="13" spans="1:7">
      <c r="A13">
        <f>A12+0.1</f>
        <v>0.99999999999999989</v>
      </c>
      <c r="B13" s="3">
        <f t="shared" si="0"/>
        <v>0.54030230586813965</v>
      </c>
      <c r="C13" s="3">
        <f>(3*B13-4*B12+B11)/(2*(A4-A3))</f>
        <v>0.26391457194826023</v>
      </c>
      <c r="D13" s="3"/>
      <c r="E13" s="3">
        <f t="shared" si="1"/>
        <v>10.362802311905101</v>
      </c>
      <c r="F13" s="3">
        <f t="shared" si="2"/>
        <v>0.23913362692838322</v>
      </c>
    </row>
    <row r="18" spans="1:6" ht="23">
      <c r="A18" s="1" t="s">
        <v>0</v>
      </c>
      <c r="B18" s="1" t="s">
        <v>1</v>
      </c>
      <c r="C18" s="1" t="s">
        <v>4</v>
      </c>
      <c r="D18" s="1"/>
      <c r="E18" s="1" t="s">
        <v>2</v>
      </c>
      <c r="F18" s="1" t="s">
        <v>3</v>
      </c>
    </row>
    <row r="19" spans="1:6">
      <c r="A19" s="5">
        <v>0</v>
      </c>
      <c r="B19" s="2">
        <f>A19^2*COS(A19)</f>
        <v>0</v>
      </c>
      <c r="C19" s="4">
        <f>(-3*B19+4*B20-B21)/(2*(A20-A19))</f>
        <v>2.9998750017499326E-6</v>
      </c>
      <c r="D19" s="4"/>
      <c r="E19" s="4" t="e">
        <f>ABS(C19-F19)/F19*100</f>
        <v>#DIV/0!</v>
      </c>
      <c r="F19" s="4">
        <f>A19*(2*COS(A19)-A19*SIN(A19))</f>
        <v>0</v>
      </c>
    </row>
    <row r="20" spans="1:6">
      <c r="A20" s="5">
        <v>0.01</v>
      </c>
      <c r="B20" s="2">
        <f t="shared" ref="B20:B83" si="5">A20^2*COS(A20)</f>
        <v>9.9995000041666534E-5</v>
      </c>
      <c r="C20" s="4">
        <f>(B21-B19)/(2*(A20-A19))</f>
        <v>1.9996000133331557E-2</v>
      </c>
      <c r="D20" s="4"/>
      <c r="E20" s="4">
        <f t="shared" ref="E20:E83" si="6">ABS(C20-F20)/F20*100</f>
        <v>1.0000458374996865E-2</v>
      </c>
      <c r="F20" s="4">
        <f t="shared" ref="F20:F83" si="7">A20*(2*COS(A20)-A20*SIN(A20))</f>
        <v>1.9998000024999889E-2</v>
      </c>
    </row>
    <row r="21" spans="1:6">
      <c r="A21" s="5">
        <v>0.02</v>
      </c>
      <c r="B21" s="2">
        <f t="shared" si="5"/>
        <v>3.9992000266663114E-4</v>
      </c>
      <c r="C21" s="4">
        <f t="shared" ref="C21:C84" si="8">(B22-B20)/(2*(A21-A20))</f>
        <v>3.9980001516621115E-2</v>
      </c>
      <c r="D21" s="4"/>
      <c r="E21" s="4">
        <f t="shared" si="6"/>
        <v>1.000220909525411E-2</v>
      </c>
      <c r="F21" s="4">
        <f t="shared" si="7"/>
        <v>3.9984000799985778E-2</v>
      </c>
    </row>
    <row r="22" spans="1:6">
      <c r="A22" s="5">
        <v>0.03</v>
      </c>
      <c r="B22" s="2">
        <f t="shared" si="5"/>
        <v>8.9959503037408876E-4</v>
      </c>
      <c r="C22" s="4">
        <f t="shared" si="8"/>
        <v>5.9940008399546683E-2</v>
      </c>
      <c r="D22" s="4"/>
      <c r="E22" s="4">
        <f t="shared" si="6"/>
        <v>1.0005128953610885E-2</v>
      </c>
      <c r="F22" s="4">
        <f t="shared" si="7"/>
        <v>5.9946006074757002E-2</v>
      </c>
    </row>
    <row r="23" spans="1:6">
      <c r="A23" s="5">
        <v>0.04</v>
      </c>
      <c r="B23" s="2">
        <f t="shared" si="5"/>
        <v>1.5987201706575648E-3</v>
      </c>
      <c r="C23" s="4">
        <f t="shared" si="8"/>
        <v>7.986403103066636E-2</v>
      </c>
      <c r="D23" s="4"/>
      <c r="E23" s="4">
        <f t="shared" si="6"/>
        <v>1.0009220942354687E-2</v>
      </c>
      <c r="F23" s="4">
        <f t="shared" si="7"/>
        <v>7.9872025598179616E-2</v>
      </c>
    </row>
    <row r="24" spans="1:6">
      <c r="A24" s="5">
        <v>0.05</v>
      </c>
      <c r="B24" s="2">
        <f t="shared" si="5"/>
        <v>2.4968756509874163E-3</v>
      </c>
      <c r="C24" s="4">
        <f t="shared" si="8"/>
        <v>9.9740088655458498E-2</v>
      </c>
      <c r="D24" s="4"/>
      <c r="E24" s="4">
        <f t="shared" si="6"/>
        <v>1.0014489261637886E-2</v>
      </c>
      <c r="F24" s="4">
        <f t="shared" si="7"/>
        <v>9.9750078116319932E-2</v>
      </c>
    </row>
    <row r="25" spans="1:6">
      <c r="A25" s="5">
        <v>0.06</v>
      </c>
      <c r="B25" s="2">
        <f t="shared" si="5"/>
        <v>3.593521943766735E-3</v>
      </c>
      <c r="C25" s="4">
        <f t="shared" si="8"/>
        <v>0.11955621251268279</v>
      </c>
      <c r="D25" s="4"/>
      <c r="E25" s="4">
        <f t="shared" si="6"/>
        <v>1.0020939330016639E-2</v>
      </c>
      <c r="F25" s="4">
        <f t="shared" si="7"/>
        <v>0.1195681943688985</v>
      </c>
    </row>
    <row r="26" spans="1:6">
      <c r="A26" s="5">
        <v>7.0000000000000007E-2</v>
      </c>
      <c r="B26" s="2">
        <f t="shared" si="5"/>
        <v>4.887999901241071E-3</v>
      </c>
      <c r="C26" s="4">
        <f t="shared" si="8"/>
        <v>0.13930044882850137</v>
      </c>
      <c r="D26" s="4"/>
      <c r="E26" s="4">
        <f t="shared" si="6"/>
        <v>1.0028577799416774E-2</v>
      </c>
      <c r="F26" s="4">
        <f t="shared" si="7"/>
        <v>0.13931442008350525</v>
      </c>
    </row>
    <row r="27" spans="1:6">
      <c r="A27" s="5">
        <v>0.08</v>
      </c>
      <c r="B27" s="2">
        <f t="shared" si="5"/>
        <v>6.3795309203367647E-3</v>
      </c>
      <c r="C27" s="4">
        <f t="shared" si="8"/>
        <v>0.15896086180780417</v>
      </c>
      <c r="D27" s="4"/>
      <c r="E27" s="4">
        <f t="shared" si="6"/>
        <v>1.0037412571167571E-2</v>
      </c>
      <c r="F27" s="4">
        <f t="shared" si="7"/>
        <v>0.1589768189670164</v>
      </c>
    </row>
    <row r="28" spans="1:6">
      <c r="A28" s="5">
        <v>0.09</v>
      </c>
      <c r="B28" s="2">
        <f t="shared" si="5"/>
        <v>8.0672171373971525E-3</v>
      </c>
      <c r="C28" s="4">
        <f t="shared" si="8"/>
        <v>0.17852553662217485</v>
      </c>
      <c r="D28" s="4"/>
      <c r="E28" s="4">
        <f t="shared" si="6"/>
        <v>1.0047452818150074E-2</v>
      </c>
      <c r="F28" s="4">
        <f t="shared" si="7"/>
        <v>0.17854347569365506</v>
      </c>
    </row>
    <row r="29" spans="1:6">
      <c r="A29" s="5">
        <v>0.1</v>
      </c>
      <c r="B29" s="2">
        <f t="shared" si="5"/>
        <v>9.9500416527802601E-3</v>
      </c>
      <c r="C29" s="4">
        <f t="shared" si="8"/>
        <v>0.19798258239394376</v>
      </c>
      <c r="D29" s="4"/>
      <c r="E29" s="4">
        <f t="shared" si="6"/>
        <v>1.0058709008665893E-2</v>
      </c>
      <c r="F29" s="4">
        <f t="shared" si="7"/>
        <v>0.1980024988891369</v>
      </c>
    </row>
    <row r="30" spans="1:6">
      <c r="A30" s="5">
        <v>0.11</v>
      </c>
      <c r="B30" s="2">
        <f t="shared" si="5"/>
        <v>1.2026868785276031E-2</v>
      </c>
      <c r="C30" s="4">
        <f t="shared" si="8"/>
        <v>0.21732013517577078</v>
      </c>
      <c r="D30" s="4"/>
      <c r="E30" s="4">
        <f t="shared" si="6"/>
        <v>1.0071192933037904E-2</v>
      </c>
      <c r="F30" s="4">
        <f t="shared" si="7"/>
        <v>0.21734202411034351</v>
      </c>
    </row>
    <row r="31" spans="1:6">
      <c r="A31" s="5">
        <v>0.12</v>
      </c>
      <c r="B31" s="2">
        <f t="shared" si="5"/>
        <v>1.4296444356295674E-2</v>
      </c>
      <c r="C31" s="4">
        <f t="shared" si="8"/>
        <v>0.23652636092519463</v>
      </c>
      <c r="D31" s="4"/>
      <c r="E31" s="4">
        <f t="shared" si="6"/>
        <v>1.0084917736932191E-2</v>
      </c>
      <c r="F31" s="4">
        <f t="shared" si="7"/>
        <v>0.23655021681996746</v>
      </c>
    </row>
    <row r="32" spans="1:6">
      <c r="A32" s="5">
        <v>0.13</v>
      </c>
      <c r="B32" s="2">
        <f t="shared" si="5"/>
        <v>1.6757396003779922E-2</v>
      </c>
      <c r="C32" s="4">
        <f t="shared" si="8"/>
        <v>0.25558945847360059</v>
      </c>
      <c r="D32" s="4"/>
      <c r="E32" s="4">
        <f t="shared" si="6"/>
        <v>1.0099897956231191E-2</v>
      </c>
      <c r="F32" s="4">
        <f t="shared" si="7"/>
        <v>0.25561527535557205</v>
      </c>
    </row>
    <row r="33" spans="1:6">
      <c r="A33" s="5">
        <v>0.14000000000000001</v>
      </c>
      <c r="B33" s="2">
        <f t="shared" si="5"/>
        <v>1.940823352576769E-2</v>
      </c>
      <c r="C33" s="4">
        <f t="shared" si="8"/>
        <v>0.27449766248905116</v>
      </c>
      <c r="D33" s="4"/>
      <c r="E33" s="4">
        <f t="shared" si="6"/>
        <v>1.0116149555415383E-2</v>
      </c>
      <c r="F33" s="4">
        <f t="shared" si="7"/>
        <v>0.27452543389251138</v>
      </c>
    </row>
    <row r="34" spans="1:6">
      <c r="A34" s="5">
        <v>0.15</v>
      </c>
      <c r="B34" s="2">
        <f t="shared" si="5"/>
        <v>2.224734925356095E-2</v>
      </c>
      <c r="C34" s="4">
        <f t="shared" si="8"/>
        <v>0.29323924643241861</v>
      </c>
      <c r="D34" s="4"/>
      <c r="E34" s="4">
        <f t="shared" si="6"/>
        <v>1.0133689972110626E-2</v>
      </c>
      <c r="F34" s="4">
        <f t="shared" si="7"/>
        <v>0.29326896540015668</v>
      </c>
    </row>
    <row r="35" spans="1:6">
      <c r="A35" s="5">
        <v>0.16</v>
      </c>
      <c r="B35" s="2">
        <f t="shared" si="5"/>
        <v>2.5273018454416051E-2</v>
      </c>
      <c r="C35" s="4">
        <f t="shared" si="8"/>
        <v>0.3118025255062678</v>
      </c>
      <c r="D35" s="4"/>
      <c r="E35" s="4">
        <f t="shared" si="6"/>
        <v>1.0152538166927396E-2</v>
      </c>
      <c r="F35" s="4">
        <f t="shared" si="7"/>
        <v>0.31183418459087592</v>
      </c>
    </row>
    <row r="36" spans="1:6">
      <c r="A36" s="5">
        <v>0.17</v>
      </c>
      <c r="B36" s="2">
        <f t="shared" si="5"/>
        <v>2.8483399763686312E-2</v>
      </c>
      <c r="C36" s="4">
        <f t="shared" si="8"/>
        <v>0.33017585959595391</v>
      </c>
      <c r="D36" s="4"/>
      <c r="E36" s="4">
        <f t="shared" si="6"/>
        <v>1.0172714673363182E-2</v>
      </c>
      <c r="F36" s="4">
        <f t="shared" si="7"/>
        <v>0.3302094508612145</v>
      </c>
    </row>
    <row r="37" spans="1:6">
      <c r="A37" s="5">
        <v>0.18</v>
      </c>
      <c r="B37" s="2">
        <f t="shared" si="5"/>
        <v>3.1876535646335136E-2</v>
      </c>
      <c r="C37" s="4">
        <f t="shared" si="8"/>
        <v>0.34834765620235808</v>
      </c>
      <c r="D37" s="4"/>
      <c r="E37" s="4">
        <f t="shared" si="6"/>
        <v>1.019424165756181E-2</v>
      </c>
      <c r="F37" s="4">
        <f t="shared" si="7"/>
        <v>0.34838317122472701</v>
      </c>
    </row>
    <row r="38" spans="1:6">
      <c r="A38" s="5">
        <v>0.19</v>
      </c>
      <c r="B38" s="2">
        <f t="shared" si="5"/>
        <v>3.5450352887733461E-2</v>
      </c>
      <c r="C38" s="4">
        <f t="shared" si="8"/>
        <v>0.36630637336572647</v>
      </c>
      <c r="D38" s="4"/>
      <c r="E38" s="4">
        <f t="shared" si="6"/>
        <v>1.0217142982616636E-2</v>
      </c>
      <c r="F38" s="4">
        <f t="shared" si="7"/>
        <v>0.36634380323591104</v>
      </c>
    </row>
    <row r="39" spans="1:6">
      <c r="A39" s="5">
        <v>0.2</v>
      </c>
      <c r="B39" s="2">
        <f t="shared" si="5"/>
        <v>3.9202663113649672E-2</v>
      </c>
      <c r="C39" s="4">
        <f t="shared" si="8"/>
        <v>0.38404052258007337</v>
      </c>
      <c r="D39" s="4"/>
      <c r="E39" s="4">
        <f t="shared" si="6"/>
        <v>1.0241444275533999E-2</v>
      </c>
      <c r="F39" s="4">
        <f t="shared" si="7"/>
        <v>0.38407985790469423</v>
      </c>
    </row>
    <row r="40" spans="1:6">
      <c r="A40" s="5">
        <v>0.21</v>
      </c>
      <c r="B40" s="2">
        <f t="shared" si="5"/>
        <v>4.3131163339334935E-2</v>
      </c>
      <c r="C40" s="4">
        <f t="shared" si="8"/>
        <v>0.40153867169758256</v>
      </c>
      <c r="D40" s="4"/>
      <c r="E40" s="4">
        <f t="shared" si="6"/>
        <v>1.0267173003339196E-2</v>
      </c>
      <c r="F40" s="4">
        <f t="shared" si="7"/>
        <v>0.40157990260092924</v>
      </c>
    </row>
    <row r="41" spans="1:6">
      <c r="A41" s="5">
        <v>0.22</v>
      </c>
      <c r="B41" s="2">
        <f t="shared" si="5"/>
        <v>4.7233436547601308E-2</v>
      </c>
      <c r="C41" s="4">
        <f t="shared" si="8"/>
        <v>0.41878944782246968</v>
      </c>
      <c r="D41" s="4"/>
      <c r="E41" s="4">
        <f t="shared" si="6"/>
        <v>1.0294358556136444E-2</v>
      </c>
      <c r="F41" s="4">
        <f t="shared" si="7"/>
        <v>0.41883256394835239</v>
      </c>
    </row>
    <row r="42" spans="1:6">
      <c r="A42" s="5">
        <v>0.23</v>
      </c>
      <c r="B42" s="2">
        <f t="shared" si="5"/>
        <v>5.1506952295784336E-2</v>
      </c>
      <c r="C42" s="4">
        <f t="shared" si="8"/>
        <v>0.43578154019377963</v>
      </c>
      <c r="D42" s="4"/>
      <c r="E42" s="4">
        <f t="shared" si="6"/>
        <v>1.0323032333154729E-2</v>
      </c>
      <c r="F42" s="4">
        <f t="shared" si="7"/>
        <v>0.43582653070746102</v>
      </c>
    </row>
    <row r="43" spans="1:6">
      <c r="A43" s="5">
        <v>0.24</v>
      </c>
      <c r="B43" s="2">
        <f t="shared" si="5"/>
        <v>5.5949067351476908E-2</v>
      </c>
      <c r="C43" s="4">
        <f t="shared" si="8"/>
        <v>0.45250370305654886</v>
      </c>
      <c r="D43" s="4"/>
      <c r="E43" s="4">
        <f t="shared" si="6"/>
        <v>1.0353227840343794E-2</v>
      </c>
      <c r="F43" s="4">
        <f t="shared" si="7"/>
        <v>0.45255055664677124</v>
      </c>
    </row>
    <row r="44" spans="1:6">
      <c r="A44" s="5">
        <v>0.25</v>
      </c>
      <c r="B44" s="2">
        <f t="shared" si="5"/>
        <v>6.0557026356915296E-2</v>
      </c>
      <c r="C44" s="4">
        <f t="shared" si="8"/>
        <v>0.46894475852080925</v>
      </c>
      <c r="D44" s="4"/>
      <c r="E44" s="4">
        <f t="shared" si="6"/>
        <v>1.0384980795282984E-2</v>
      </c>
      <c r="F44" s="4">
        <f t="shared" si="7"/>
        <v>0.46899346340191467</v>
      </c>
    </row>
    <row r="45" spans="1:6">
      <c r="A45" s="5">
        <v>0.26</v>
      </c>
      <c r="B45" s="2">
        <f t="shared" si="5"/>
        <v>6.5327962521893101E-2</v>
      </c>
      <c r="C45" s="4">
        <f t="shared" si="8"/>
        <v>0.4850935994079062</v>
      </c>
      <c r="D45" s="4"/>
      <c r="E45" s="4">
        <f t="shared" si="6"/>
        <v>1.0418329238173698E-2</v>
      </c>
      <c r="F45" s="4">
        <f t="shared" si="7"/>
        <v>0.4851441433220372</v>
      </c>
    </row>
    <row r="46" spans="1:6">
      <c r="A46" s="5">
        <v>0.27</v>
      </c>
      <c r="B46" s="2">
        <f t="shared" si="5"/>
        <v>7.0258898345073428E-2</v>
      </c>
      <c r="C46" s="4">
        <f t="shared" si="8"/>
        <v>0.50093919208356685</v>
      </c>
      <c r="D46" s="4"/>
      <c r="E46" s="4">
        <f t="shared" si="6"/>
        <v>1.0453313656135232E-2</v>
      </c>
      <c r="F46" s="4">
        <f t="shared" si="7"/>
        <v>0.50099156230296515</v>
      </c>
    </row>
    <row r="47" spans="1:6">
      <c r="A47" s="5">
        <v>0.28000000000000003</v>
      </c>
      <c r="B47" s="2">
        <f t="shared" si="5"/>
        <v>7.5346746363564449E-2</v>
      </c>
      <c r="C47" s="4">
        <f t="shared" si="8"/>
        <v>0.51647057927721962</v>
      </c>
      <c r="D47" s="4"/>
      <c r="E47" s="4">
        <f t="shared" si="6"/>
        <v>1.0489977113996921E-2</v>
      </c>
      <c r="F47" s="4">
        <f t="shared" si="7"/>
        <v>0.51652476260660518</v>
      </c>
    </row>
    <row r="48" spans="1:6">
      <c r="A48" s="5">
        <v>0.28999999999999998</v>
      </c>
      <c r="B48" s="2">
        <f t="shared" si="5"/>
        <v>8.058830993061783E-2</v>
      </c>
      <c r="C48" s="4">
        <f t="shared" si="8"/>
        <v>0.53167688288700665</v>
      </c>
      <c r="D48" s="4"/>
      <c r="E48" s="4">
        <f t="shared" si="6"/>
        <v>1.0528365398467503E-2</v>
      </c>
      <c r="F48" s="4">
        <f t="shared" si="7"/>
        <v>0.53173286566604772</v>
      </c>
    </row>
    <row r="49" spans="1:6">
      <c r="A49" s="5">
        <v>0.3</v>
      </c>
      <c r="B49" s="2">
        <f t="shared" si="5"/>
        <v>8.5980284021304532E-2</v>
      </c>
      <c r="C49" s="4">
        <f t="shared" si="8"/>
        <v>0.54654730676996099</v>
      </c>
      <c r="D49" s="4"/>
      <c r="E49" s="4">
        <f t="shared" si="6"/>
        <v>1.056852717569536E-2</v>
      </c>
      <c r="F49" s="4">
        <f t="shared" si="7"/>
        <v>0.54660507487584298</v>
      </c>
    </row>
    <row r="50" spans="1:6">
      <c r="A50" s="5">
        <v>0.31</v>
      </c>
      <c r="B50" s="2">
        <f t="shared" si="5"/>
        <v>9.151925606601706E-2</v>
      </c>
      <c r="C50" s="4">
        <f t="shared" si="8"/>
        <v>0.56107113951687027</v>
      </c>
      <c r="D50" s="4"/>
      <c r="E50" s="4">
        <f t="shared" si="6"/>
        <v>1.0610514155156835E-2</v>
      </c>
      <c r="F50" s="4">
        <f t="shared" si="7"/>
        <v>0.56113067836692732</v>
      </c>
    </row>
    <row r="51" spans="1:6">
      <c r="A51" s="5">
        <v>0.32</v>
      </c>
      <c r="B51" s="2">
        <f t="shared" si="5"/>
        <v>9.7201706811641947E-2</v>
      </c>
      <c r="C51" s="4">
        <f t="shared" si="8"/>
        <v>0.57523775721121406</v>
      </c>
      <c r="D51" s="4"/>
      <c r="E51" s="4">
        <f t="shared" si="6"/>
        <v>1.0654381276932422E-2</v>
      </c>
      <c r="F51" s="4">
        <f t="shared" si="7"/>
        <v>0.57529905176567175</v>
      </c>
    </row>
    <row r="52" spans="1:6">
      <c r="A52" s="5">
        <v>0.33</v>
      </c>
      <c r="B52" s="2">
        <f t="shared" si="5"/>
        <v>0.10302401121024135</v>
      </c>
      <c r="C52" s="4">
        <f t="shared" si="8"/>
        <v>0.58903662617174424</v>
      </c>
      <c r="D52" s="4"/>
      <c r="E52" s="4">
        <f t="shared" si="6"/>
        <v>1.0700186907232479E-2</v>
      </c>
      <c r="F52" s="4">
        <f t="shared" si="7"/>
        <v>0.58909966093653432</v>
      </c>
    </row>
    <row r="53" spans="1:6">
      <c r="A53" s="5">
        <v>0.34</v>
      </c>
      <c r="B53" s="2">
        <f t="shared" si="5"/>
        <v>0.10898243933507684</v>
      </c>
      <c r="C53" s="4">
        <f t="shared" si="8"/>
        <v>0.60245730567812672</v>
      </c>
      <c r="D53" s="4"/>
      <c r="E53" s="4">
        <f t="shared" si="6"/>
        <v>1.0747993055163973E-2</v>
      </c>
      <c r="F53" s="4">
        <f t="shared" si="7"/>
        <v>0.60252206470779734</v>
      </c>
    </row>
    <row r="54" spans="1:6">
      <c r="A54" s="5">
        <v>0.35</v>
      </c>
      <c r="B54" s="2">
        <f t="shared" si="5"/>
        <v>0.1150731573238039</v>
      </c>
      <c r="C54" s="4">
        <f t="shared" si="8"/>
        <v>0.61548945067917771</v>
      </c>
      <c r="D54" s="4"/>
      <c r="E54" s="4">
        <f t="shared" si="6"/>
        <v>1.0797865603501123E-2</v>
      </c>
      <c r="F54" s="4">
        <f t="shared" si="7"/>
        <v>0.61555591757987238</v>
      </c>
    </row>
    <row r="55" spans="1:6">
      <c r="A55" s="5">
        <v>0.36</v>
      </c>
      <c r="B55" s="2">
        <f t="shared" si="5"/>
        <v>0.12129222834866034</v>
      </c>
      <c r="C55" s="4">
        <f t="shared" si="8"/>
        <v>0.62812281448311069</v>
      </c>
      <c r="D55" s="4"/>
      <c r="E55" s="4">
        <f t="shared" si="6"/>
        <v>1.0849874567373153E-2</v>
      </c>
      <c r="F55" s="4">
        <f t="shared" si="7"/>
        <v>0.62819097241566135</v>
      </c>
    </row>
    <row r="56" spans="1:6">
      <c r="A56" s="5">
        <v>0.37</v>
      </c>
      <c r="B56" s="2">
        <f t="shared" si="5"/>
        <v>0.12763561361346612</v>
      </c>
      <c r="C56" s="4">
        <f t="shared" si="8"/>
        <v>0.64034725142938664</v>
      </c>
      <c r="D56" s="4"/>
      <c r="E56" s="4">
        <f t="shared" si="6"/>
        <v>1.0904094365521831E-2</v>
      </c>
      <c r="F56" s="4">
        <f t="shared" si="7"/>
        <v>0.64041708311246215</v>
      </c>
    </row>
    <row r="57" spans="1:6">
      <c r="A57" s="5">
        <v>0.38</v>
      </c>
      <c r="B57" s="2">
        <f t="shared" si="5"/>
        <v>0.13409917337724808</v>
      </c>
      <c r="C57" s="4">
        <f t="shared" si="8"/>
        <v>0.6521527195415594</v>
      </c>
      <c r="D57" s="4"/>
      <c r="E57" s="4">
        <f t="shared" si="6"/>
        <v>1.0960604123331186E-2</v>
      </c>
      <c r="F57" s="4">
        <f t="shared" si="7"/>
        <v>0.65222420725491315</v>
      </c>
    </row>
    <row r="58" spans="1:6">
      <c r="A58" s="5">
        <v>0.39</v>
      </c>
      <c r="B58" s="2">
        <f t="shared" si="5"/>
        <v>0.14067866800429732</v>
      </c>
      <c r="C58" s="4">
        <f t="shared" si="8"/>
        <v>0.66352928316067783</v>
      </c>
      <c r="D58" s="4"/>
      <c r="E58" s="4">
        <f t="shared" si="6"/>
        <v>1.1019487999073244E-2</v>
      </c>
      <c r="F58" s="4">
        <f t="shared" si="7"/>
        <v>0.66360240874847143</v>
      </c>
    </row>
    <row r="59" spans="1:6">
      <c r="A59" s="5">
        <v>0.4</v>
      </c>
      <c r="B59" s="2">
        <f t="shared" si="5"/>
        <v>0.14736975904046165</v>
      </c>
      <c r="C59" s="4">
        <f t="shared" si="8"/>
        <v>0.67446711555869754</v>
      </c>
      <c r="D59" s="4"/>
      <c r="E59" s="4">
        <f t="shared" si="6"/>
        <v>1.1080835543485525E-2</v>
      </c>
      <c r="F59" s="4">
        <f t="shared" si="7"/>
        <v>0.67454186043292408</v>
      </c>
    </row>
    <row r="60" spans="1:6">
      <c r="A60" s="5">
        <v>0.41</v>
      </c>
      <c r="B60" s="2">
        <f t="shared" si="5"/>
        <v>0.15416801031547128</v>
      </c>
      <c r="C60" s="4">
        <f t="shared" si="8"/>
        <v>0.68495650153147836</v>
      </c>
      <c r="D60" s="4"/>
      <c r="E60" s="4">
        <f t="shared" si="6"/>
        <v>1.1144742084526786E-2</v>
      </c>
      <c r="F60" s="4">
        <f t="shared" si="7"/>
        <v>0.68503284667543463</v>
      </c>
    </row>
    <row r="61" spans="1:6">
      <c r="A61" s="5">
        <v>0.42</v>
      </c>
      <c r="B61" s="2">
        <f t="shared" si="5"/>
        <v>0.16106888907109115</v>
      </c>
      <c r="C61" s="4">
        <f t="shared" si="8"/>
        <v>0.69498783997074753</v>
      </c>
      <c r="D61" s="4"/>
      <c r="E61" s="4">
        <f t="shared" si="6"/>
        <v>1.1211309159714191E-2</v>
      </c>
      <c r="F61" s="4">
        <f t="shared" si="7"/>
        <v>0.6950657659426307</v>
      </c>
    </row>
    <row r="62" spans="1:6">
      <c r="A62" s="5">
        <v>0.43</v>
      </c>
      <c r="B62" s="2">
        <f t="shared" si="5"/>
        <v>0.16806776711488625</v>
      </c>
      <c r="C62" s="4">
        <f t="shared" si="8"/>
        <v>0.70455164641468693</v>
      </c>
      <c r="D62" s="4"/>
      <c r="E62" s="4">
        <f t="shared" si="6"/>
        <v>1.1280644977351461E-2</v>
      </c>
      <c r="F62" s="4">
        <f t="shared" si="7"/>
        <v>0.70463113335124017</v>
      </c>
    </row>
    <row r="63" spans="1:6">
      <c r="A63" s="5">
        <v>0.44</v>
      </c>
      <c r="B63" s="2">
        <f t="shared" si="5"/>
        <v>0.1751599219993849</v>
      </c>
      <c r="C63" s="4">
        <f t="shared" si="8"/>
        <v>0.71363855557654088</v>
      </c>
      <c r="D63" s="4"/>
      <c r="E63" s="4">
        <f t="shared" si="6"/>
        <v>1.1352864928601283E-2</v>
      </c>
      <c r="F63" s="4">
        <f t="shared" si="7"/>
        <v>0.71371958319679019</v>
      </c>
    </row>
    <row r="64" spans="1:6">
      <c r="A64" s="5">
        <v>0.45</v>
      </c>
      <c r="B64" s="2">
        <f t="shared" si="5"/>
        <v>0.18234053822641708</v>
      </c>
      <c r="C64" s="4">
        <f t="shared" si="8"/>
        <v>0.72223932385081169</v>
      </c>
      <c r="D64" s="4"/>
      <c r="E64" s="4">
        <f t="shared" si="6"/>
        <v>1.1428092147702755E-2</v>
      </c>
      <c r="F64" s="4">
        <f t="shared" si="7"/>
        <v>0.72232187145988513</v>
      </c>
    </row>
    <row r="65" spans="1:6">
      <c r="A65" s="5">
        <v>0.46</v>
      </c>
      <c r="B65" s="2">
        <f t="shared" si="5"/>
        <v>0.18960470847640115</v>
      </c>
      <c r="C65" s="4">
        <f t="shared" si="8"/>
        <v>0.73034483179655263</v>
      </c>
      <c r="D65" s="4"/>
      <c r="E65" s="4">
        <f t="shared" si="6"/>
        <v>1.150645812682443E-2</v>
      </c>
      <c r="F65" s="4">
        <f t="shared" si="7"/>
        <v>0.73042887828957925</v>
      </c>
    </row>
    <row r="66" spans="1:6">
      <c r="A66" s="5">
        <v>0.47</v>
      </c>
      <c r="B66" s="2">
        <f t="shared" si="5"/>
        <v>0.19694743486234814</v>
      </c>
      <c r="C66" s="4">
        <f t="shared" si="8"/>
        <v>0.73794608659729843</v>
      </c>
      <c r="D66" s="4"/>
      <c r="E66" s="4">
        <f t="shared" si="6"/>
        <v>1.1588103390425993E-2</v>
      </c>
      <c r="F66" s="4">
        <f t="shared" si="7"/>
        <v>0.73803161046337296</v>
      </c>
    </row>
    <row r="67" spans="1:6">
      <c r="A67" s="5">
        <v>0.48</v>
      </c>
      <c r="B67" s="2">
        <f t="shared" si="5"/>
        <v>0.20436363020834705</v>
      </c>
      <c r="C67" s="4">
        <f t="shared" si="8"/>
        <v>0.74503422449709944</v>
      </c>
      <c r="D67" s="4"/>
      <c r="E67" s="4">
        <f t="shared" si="6"/>
        <v>1.1673178243937914E-2</v>
      </c>
      <c r="F67" s="4">
        <f t="shared" si="7"/>
        <v>0.74512120382335512</v>
      </c>
    </row>
    <row r="68" spans="1:6">
      <c r="A68" s="5">
        <v>0.49</v>
      </c>
      <c r="B68" s="2">
        <f t="shared" si="5"/>
        <v>0.21184811935229014</v>
      </c>
      <c r="C68" s="4">
        <f t="shared" si="8"/>
        <v>0.75160051321230614</v>
      </c>
      <c r="D68" s="4"/>
      <c r="E68" s="4">
        <f t="shared" si="6"/>
        <v>1.1761843589335358E-2</v>
      </c>
      <c r="F68" s="4">
        <f t="shared" si="7"/>
        <v>0.75168892568802392</v>
      </c>
    </row>
    <row r="69" spans="1:6">
      <c r="A69" s="5">
        <v>0.5</v>
      </c>
      <c r="B69" s="2">
        <f t="shared" si="5"/>
        <v>0.21939564047259319</v>
      </c>
      <c r="C69" s="4">
        <f t="shared" si="8"/>
        <v>0.75763635431848819</v>
      </c>
      <c r="D69" s="4"/>
      <c r="E69" s="4">
        <f t="shared" si="6"/>
        <v>1.1854271837495907E-2</v>
      </c>
      <c r="F69" s="4">
        <f t="shared" si="7"/>
        <v>0.75772617723932201</v>
      </c>
    </row>
    <row r="70" spans="1:6">
      <c r="A70" s="5">
        <v>0.51</v>
      </c>
      <c r="B70" s="2">
        <f t="shared" si="5"/>
        <v>0.22700084643865992</v>
      </c>
      <c r="C70" s="4">
        <f t="shared" si="8"/>
        <v>0.76313328561216709</v>
      </c>
      <c r="D70" s="4"/>
      <c r="E70" s="4">
        <f t="shared" si="6"/>
        <v>1.1950647908556758E-2</v>
      </c>
      <c r="F70" s="4">
        <f t="shared" si="7"/>
        <v>0.76322449588442209</v>
      </c>
    </row>
    <row r="71" spans="1:6">
      <c r="A71" s="5">
        <v>0.52</v>
      </c>
      <c r="B71" s="2">
        <f t="shared" si="5"/>
        <v>0.23465830618483655</v>
      </c>
      <c r="C71" s="4">
        <f t="shared" si="8"/>
        <v>0.7680829834468238</v>
      </c>
      <c r="D71" s="4"/>
      <c r="E71" s="4">
        <f t="shared" si="6"/>
        <v>1.2051170343907021E-2</v>
      </c>
      <c r="F71" s="4">
        <f t="shared" si="7"/>
        <v>0.76817555759180944</v>
      </c>
    </row>
    <row r="72" spans="1:6">
      <c r="A72" s="5">
        <v>0.53</v>
      </c>
      <c r="B72" s="2">
        <f t="shared" si="5"/>
        <v>0.24236250610759641</v>
      </c>
      <c r="C72" s="4">
        <f t="shared" si="8"/>
        <v>0.77247726504272929</v>
      </c>
      <c r="D72" s="4"/>
      <c r="E72" s="4">
        <f t="shared" si="6"/>
        <v>1.2156052543019951E-2</v>
      </c>
      <c r="F72" s="4">
        <f t="shared" si="7"/>
        <v>0.77257117920120522</v>
      </c>
    </row>
    <row r="73" spans="1:6">
      <c r="A73" s="5">
        <v>0.54</v>
      </c>
      <c r="B73" s="2">
        <f t="shared" si="5"/>
        <v>0.25010785148569115</v>
      </c>
      <c r="C73" s="4">
        <f t="shared" si="8"/>
        <v>0.77630809077020513</v>
      </c>
      <c r="D73" s="4"/>
      <c r="E73" s="4">
        <f t="shared" si="6"/>
        <v>1.2265524133822151E-2</v>
      </c>
      <c r="F73" s="4">
        <f t="shared" si="7"/>
        <v>0.77640332070688223</v>
      </c>
    </row>
    <row r="74" spans="1:6">
      <c r="A74" s="5">
        <v>0.55000000000000004</v>
      </c>
      <c r="B74" s="2">
        <f t="shared" si="5"/>
        <v>0.25788866792300053</v>
      </c>
      <c r="C74" s="4">
        <f t="shared" si="8"/>
        <v>0.77956756640580815</v>
      </c>
      <c r="D74" s="4"/>
      <c r="E74" s="4">
        <f t="shared" si="6"/>
        <v>1.2379832503446365E-2</v>
      </c>
      <c r="F74" s="4">
        <f t="shared" si="7"/>
        <v>0.7796640875139319</v>
      </c>
    </row>
    <row r="75" spans="1:6">
      <c r="A75" s="5">
        <v>0.56000000000000005</v>
      </c>
      <c r="B75" s="2">
        <f t="shared" si="5"/>
        <v>0.26569920281380732</v>
      </c>
      <c r="C75" s="4">
        <f t="shared" si="8"/>
        <v>0.78224794536102749</v>
      </c>
      <c r="D75" s="4"/>
      <c r="E75" s="4">
        <f t="shared" si="6"/>
        <v>1.2499244506167739E-2</v>
      </c>
      <c r="F75" s="4">
        <f t="shared" si="7"/>
        <v>0.78234573266703711</v>
      </c>
    </row>
    <row r="76" spans="1:6">
      <c r="A76" s="5">
        <v>0.56999999999999995</v>
      </c>
      <c r="B76" s="2">
        <f t="shared" si="5"/>
        <v>0.27353362683022109</v>
      </c>
      <c r="C76" s="4">
        <f t="shared" si="8"/>
        <v>0.78434163088308384</v>
      </c>
      <c r="D76" s="4"/>
      <c r="E76" s="4">
        <f t="shared" si="6"/>
        <v>1.2624048370425883E-2</v>
      </c>
      <c r="F76" s="4">
        <f t="shared" si="7"/>
        <v>0.78444065905131977</v>
      </c>
    </row>
    <row r="77" spans="1:6">
      <c r="A77" s="5">
        <v>0.57999999999999996</v>
      </c>
      <c r="B77" s="2">
        <f t="shared" si="5"/>
        <v>0.28138603543146884</v>
      </c>
      <c r="C77" s="4">
        <f t="shared" si="8"/>
        <v>0.7858411782272916</v>
      </c>
      <c r="D77" s="4"/>
      <c r="E77" s="4">
        <f t="shared" si="6"/>
        <v>1.2754555847088248E-2</v>
      </c>
      <c r="F77" s="4">
        <f t="shared" si="7"/>
        <v>0.78594142156483049</v>
      </c>
    </row>
    <row r="78" spans="1:6">
      <c r="A78" s="5">
        <v>0.59</v>
      </c>
      <c r="B78" s="2">
        <f t="shared" si="5"/>
        <v>0.28925045039476693</v>
      </c>
      <c r="C78" s="4">
        <f t="shared" si="8"/>
        <v>0.78673929680076682</v>
      </c>
      <c r="D78" s="4"/>
      <c r="E78" s="4">
        <f t="shared" si="6"/>
        <v>1.2891104605272243E-2</v>
      </c>
      <c r="F78" s="4">
        <f t="shared" si="7"/>
        <v>0.7868407292622529</v>
      </c>
    </row>
    <row r="79" spans="1:6">
      <c r="A79" s="5">
        <v>0.6</v>
      </c>
      <c r="B79" s="2">
        <f t="shared" si="5"/>
        <v>0.29712082136748419</v>
      </c>
      <c r="C79" s="4">
        <f t="shared" si="8"/>
        <v>0.78702885227679642</v>
      </c>
      <c r="D79" s="4"/>
      <c r="E79" s="4">
        <f t="shared" si="6"/>
        <v>1.3034060948097538E-2</v>
      </c>
      <c r="F79" s="4">
        <f t="shared" si="7"/>
        <v>0.78713144746940122</v>
      </c>
    </row>
    <row r="80" spans="1:6">
      <c r="A80" s="5">
        <v>0.61</v>
      </c>
      <c r="B80" s="2">
        <f t="shared" si="5"/>
        <v>0.30499102744030288</v>
      </c>
      <c r="C80" s="4">
        <f t="shared" si="8"/>
        <v>0.78670286867969164</v>
      </c>
      <c r="D80" s="4"/>
      <c r="E80" s="4">
        <f t="shared" si="6"/>
        <v>1.3183822863410457E-2</v>
      </c>
      <c r="F80" s="4">
        <f t="shared" si="7"/>
        <v>0.78680659986809587</v>
      </c>
    </row>
    <row r="81" spans="1:6">
      <c r="A81" s="5">
        <v>0.62</v>
      </c>
      <c r="B81" s="2">
        <f t="shared" si="5"/>
        <v>0.31285487874107804</v>
      </c>
      <c r="C81" s="4">
        <f t="shared" si="8"/>
        <v>0.78575453043951071</v>
      </c>
      <c r="D81" s="4"/>
      <c r="E81" s="4">
        <f t="shared" si="6"/>
        <v>1.3340823488272133E-2</v>
      </c>
      <c r="F81" s="4">
        <f t="shared" si="7"/>
        <v>0.78585937055100197</v>
      </c>
    </row>
    <row r="82" spans="1:6">
      <c r="A82" s="5">
        <v>0.63</v>
      </c>
      <c r="B82" s="2">
        <f t="shared" si="5"/>
        <v>0.3207061180490931</v>
      </c>
      <c r="C82" s="4">
        <f t="shared" si="8"/>
        <v>0.78417718441641182</v>
      </c>
      <c r="D82" s="4"/>
      <c r="E82" s="4">
        <f t="shared" si="6"/>
        <v>1.350553502889603E-2</v>
      </c>
      <c r="F82" s="4">
        <f t="shared" si="7"/>
        <v>0.78428310604602458</v>
      </c>
    </row>
    <row r="83" spans="1:6">
      <c r="A83" s="5">
        <v>0.64</v>
      </c>
      <c r="B83" s="2">
        <f t="shared" si="5"/>
        <v>0.32853842242940628</v>
      </c>
      <c r="C83" s="4">
        <f t="shared" si="8"/>
        <v>0.78196434189415009</v>
      </c>
      <c r="D83" s="4"/>
      <c r="E83" s="4">
        <f t="shared" si="6"/>
        <v>1.3678473221172344E-2</v>
      </c>
      <c r="F83" s="4">
        <f t="shared" si="7"/>
        <v>0.78207131730985879</v>
      </c>
    </row>
    <row r="84" spans="1:6">
      <c r="A84" s="5">
        <v>0.65</v>
      </c>
      <c r="B84" s="2">
        <f t="shared" ref="B84:B119" si="9">A84^2*COS(A84)</f>
        <v>0.33634540488697612</v>
      </c>
      <c r="C84" s="4">
        <f t="shared" si="8"/>
        <v>0.7791096805422969</v>
      </c>
      <c r="D84" s="4"/>
      <c r="E84" s="4">
        <f t="shared" ref="E84:E119" si="10">ABS(C84-F84)/F84*100</f>
        <v>1.3860202423135307E-2</v>
      </c>
      <c r="F84" s="4">
        <f t="shared" ref="F84:F119" si="11">A84*(2*COS(A84)-A84*SIN(A84))</f>
        <v>0.77921768169029604</v>
      </c>
    </row>
    <row r="85" spans="1:6">
      <c r="A85" s="5">
        <v>0.66</v>
      </c>
      <c r="B85" s="2">
        <f t="shared" si="9"/>
        <v>0.34412061604025224</v>
      </c>
      <c r="C85" s="4">
        <f t="shared" ref="C85:C118" si="12">(B86-B84)/(2*(A85-A84))</f>
        <v>0.77560704634685662</v>
      </c>
      <c r="D85" s="4"/>
      <c r="E85" s="4">
        <f t="shared" si="10"/>
        <v>1.4051341436125421E-2</v>
      </c>
      <c r="F85" s="4">
        <f t="shared" si="11"/>
        <v>0.77571604485689427</v>
      </c>
    </row>
    <row r="86" spans="1:6">
      <c r="A86" s="5">
        <v>0.67</v>
      </c>
      <c r="B86" s="2">
        <f t="shared" si="9"/>
        <v>0.35185754581391326</v>
      </c>
      <c r="C86" s="4">
        <f t="shared" si="12"/>
        <v>0.77145045550884517</v>
      </c>
      <c r="D86" s="4"/>
      <c r="E86" s="4">
        <f t="shared" si="10"/>
        <v>1.4252570187115367E-2</v>
      </c>
      <c r="F86" s="4">
        <f t="shared" si="11"/>
        <v>0.77156042269962644</v>
      </c>
    </row>
    <row r="87" spans="1:6">
      <c r="A87" s="5">
        <v>0.68</v>
      </c>
      <c r="B87" s="2">
        <f t="shared" si="9"/>
        <v>0.35954962515042915</v>
      </c>
      <c r="C87" s="4">
        <f t="shared" si="12"/>
        <v>0.76663409631045554</v>
      </c>
      <c r="D87" s="4"/>
      <c r="E87" s="4">
        <f t="shared" si="10"/>
        <v>1.4464637422412484E-2</v>
      </c>
      <c r="F87" s="4">
        <f t="shared" si="11"/>
        <v>0.76674500319512218</v>
      </c>
    </row>
    <row r="88" spans="1:6">
      <c r="A88" s="5">
        <v>0.69</v>
      </c>
      <c r="B88" s="2">
        <f t="shared" si="9"/>
        <v>0.36719022774012239</v>
      </c>
      <c r="C88" s="4">
        <f t="shared" si="12"/>
        <v>0.76115233094851631</v>
      </c>
      <c r="D88" s="4"/>
      <c r="E88" s="4">
        <f t="shared" si="10"/>
        <v>1.4688369585039805E-2</v>
      </c>
      <c r="F88" s="4">
        <f t="shared" si="11"/>
        <v>0.76126414824012822</v>
      </c>
    </row>
    <row r="89" spans="1:6">
      <c r="A89" s="5">
        <v>0.7</v>
      </c>
      <c r="B89" s="2">
        <f t="shared" si="9"/>
        <v>0.37477267176939932</v>
      </c>
      <c r="C89" s="4">
        <f t="shared" si="12"/>
        <v>0.75499969733464001</v>
      </c>
      <c r="D89" s="4"/>
      <c r="E89" s="4">
        <f t="shared" si="10"/>
        <v>1.4924681127484294E-2</v>
      </c>
      <c r="F89" s="4">
        <f t="shared" si="11"/>
        <v>0.7551123954518153</v>
      </c>
    </row>
    <row r="90" spans="1:6">
      <c r="A90" s="5">
        <v>0.71</v>
      </c>
      <c r="B90" s="2">
        <f t="shared" si="9"/>
        <v>0.3822902216868152</v>
      </c>
      <c r="C90" s="4">
        <f t="shared" si="12"/>
        <v>0.74817091086203313</v>
      </c>
      <c r="D90" s="4"/>
      <c r="E90" s="4">
        <f t="shared" si="10"/>
        <v>1.5174586485712261E-2</v>
      </c>
      <c r="F90" s="4">
        <f t="shared" si="11"/>
        <v>0.74828445993456505</v>
      </c>
    </row>
    <row r="91" spans="1:6">
      <c r="A91" s="5">
        <v>0.72</v>
      </c>
      <c r="B91" s="2">
        <f t="shared" si="9"/>
        <v>0.38973608998664</v>
      </c>
      <c r="C91" s="4">
        <f t="shared" si="12"/>
        <v>0.74066086613830895</v>
      </c>
      <c r="D91" s="4"/>
      <c r="E91" s="4">
        <f t="shared" si="10"/>
        <v>1.5439214083860932E-2</v>
      </c>
      <c r="F91" s="4">
        <f t="shared" si="11"/>
        <v>0.7407752360128772</v>
      </c>
    </row>
    <row r="92" spans="1:6">
      <c r="A92" s="5">
        <v>0.73</v>
      </c>
      <c r="B92" s="2">
        <f t="shared" si="9"/>
        <v>0.39710343900958139</v>
      </c>
      <c r="C92" s="4">
        <f t="shared" si="12"/>
        <v>0.73246463868411538</v>
      </c>
      <c r="D92" s="4"/>
      <c r="E92" s="4">
        <f t="shared" si="10"/>
        <v>1.5719822754194816E-2</v>
      </c>
      <c r="F92" s="4">
        <f t="shared" si="11"/>
        <v>0.73257979893004022</v>
      </c>
    </row>
    <row r="93" spans="1:6">
      <c r="A93" s="5">
        <v>0.74</v>
      </c>
      <c r="B93" s="2">
        <f t="shared" si="9"/>
        <v>0.40438538276032232</v>
      </c>
      <c r="C93" s="4">
        <f t="shared" si="12"/>
        <v>0.72357748659714272</v>
      </c>
      <c r="D93" s="4"/>
      <c r="E93" s="4">
        <f t="shared" si="10"/>
        <v>1.6017821087229309E-2</v>
      </c>
      <c r="F93" s="4">
        <f t="shared" si="11"/>
        <v>0.72369340651221792</v>
      </c>
    </row>
    <row r="94" spans="1:6">
      <c r="A94" s="5">
        <v>0.75</v>
      </c>
      <c r="B94" s="2">
        <f t="shared" si="9"/>
        <v>0.41157498874152426</v>
      </c>
      <c r="C94" s="4">
        <f t="shared" si="12"/>
        <v>0.71399485218122605</v>
      </c>
      <c r="D94" s="4"/>
      <c r="E94" s="4">
        <f t="shared" si="10"/>
        <v>1.6334790330297968E-2</v>
      </c>
      <c r="F94" s="4">
        <f t="shared" si="11"/>
        <v>0.71411150079760588</v>
      </c>
    </row>
    <row r="95" spans="1:6">
      <c r="A95" s="5">
        <v>0.76</v>
      </c>
      <c r="B95" s="2">
        <f t="shared" si="9"/>
        <v>0.41866527980394685</v>
      </c>
      <c r="C95" s="4">
        <f t="shared" si="12"/>
        <v>0.70371236354020084</v>
      </c>
      <c r="D95" s="4"/>
      <c r="E95" s="4">
        <f t="shared" si="10"/>
        <v>1.6672511619656057E-2</v>
      </c>
      <c r="F95" s="4">
        <f t="shared" si="11"/>
        <v>0.70382970963032154</v>
      </c>
    </row>
    <row r="96" spans="1:6">
      <c r="A96" s="5">
        <v>0.77</v>
      </c>
      <c r="B96" s="2">
        <f t="shared" si="9"/>
        <v>0.42564923601232829</v>
      </c>
      <c r="C96" s="4">
        <f t="shared" si="12"/>
        <v>0.69272583613613425</v>
      </c>
      <c r="D96" s="4"/>
      <c r="E96" s="4">
        <f t="shared" si="10"/>
        <v>1.7032998541026641E-2</v>
      </c>
      <c r="F96" s="4">
        <f t="shared" si="11"/>
        <v>0.69284384821869294</v>
      </c>
    </row>
    <row r="97" spans="1:6">
      <c r="A97" s="5">
        <v>0.78</v>
      </c>
      <c r="B97" s="2">
        <f t="shared" si="9"/>
        <v>0.43251979652666955</v>
      </c>
      <c r="C97" s="4">
        <f t="shared" si="12"/>
        <v>0.68103127431161592</v>
      </c>
      <c r="D97" s="4"/>
      <c r="E97" s="4">
        <f t="shared" si="10"/>
        <v>1.7418536273565675E-2</v>
      </c>
      <c r="F97" s="4">
        <f t="shared" si="11"/>
        <v>0.68114992065762303</v>
      </c>
    </row>
    <row r="98" spans="1:6">
      <c r="A98" s="5">
        <v>0.79</v>
      </c>
      <c r="B98" s="2">
        <f t="shared" si="9"/>
        <v>0.43926986149856062</v>
      </c>
      <c r="C98" s="4">
        <f t="shared" si="12"/>
        <v>0.66862487277581872</v>
      </c>
      <c r="D98" s="4"/>
      <c r="E98" s="4">
        <f t="shared" si="10"/>
        <v>1.783172891792642E-2</v>
      </c>
      <c r="F98" s="4">
        <f t="shared" si="11"/>
        <v>0.66874412141470396</v>
      </c>
    </row>
    <row r="99" spans="1:6">
      <c r="A99" s="5">
        <v>0.8</v>
      </c>
      <c r="B99" s="2">
        <f t="shared" si="9"/>
        <v>0.44589229398218594</v>
      </c>
      <c r="C99" s="4">
        <f t="shared" si="12"/>
        <v>0.65550301805403166</v>
      </c>
      <c r="D99" s="4"/>
      <c r="E99" s="4">
        <f t="shared" si="10"/>
        <v>1.8275557075913117E-2</v>
      </c>
      <c r="F99" s="4">
        <f t="shared" si="11"/>
        <v>0.65562283677977007</v>
      </c>
    </row>
    <row r="100" spans="1:6">
      <c r="A100" s="5">
        <v>0.81</v>
      </c>
      <c r="B100" s="2">
        <f t="shared" si="9"/>
        <v>0.45237992185964127</v>
      </c>
      <c r="C100" s="4">
        <f t="shared" si="12"/>
        <v>0.6416622899002683</v>
      </c>
      <c r="D100" s="4"/>
      <c r="E100" s="4">
        <f t="shared" si="10"/>
        <v>1.8753448384637408E-2</v>
      </c>
      <c r="F100" s="4">
        <f t="shared" si="11"/>
        <v>0.64178264627757953</v>
      </c>
    </row>
    <row r="101" spans="1:6">
      <c r="A101" s="5">
        <v>0.82</v>
      </c>
      <c r="B101" s="2">
        <f t="shared" si="9"/>
        <v>0.45872553978019132</v>
      </c>
      <c r="C101" s="4">
        <f t="shared" si="12"/>
        <v>0.62709946267273753</v>
      </c>
      <c r="D101" s="4"/>
      <c r="E101" s="4">
        <f t="shared" si="10"/>
        <v>1.9269364520104946E-2</v>
      </c>
      <c r="F101" s="4">
        <f t="shared" si="11"/>
        <v>0.62722032404332162</v>
      </c>
    </row>
    <row r="102" spans="1:6">
      <c r="A102" s="5">
        <v>0.83</v>
      </c>
      <c r="B102" s="2">
        <f t="shared" si="9"/>
        <v>0.46492191111309589</v>
      </c>
      <c r="C102" s="4">
        <f t="shared" si="12"/>
        <v>0.61181150667177997</v>
      </c>
      <c r="D102" s="4"/>
      <c r="E102" s="4">
        <f t="shared" si="10"/>
        <v>1.9827909356583927E-2</v>
      </c>
      <c r="F102" s="4">
        <f t="shared" si="11"/>
        <v>0.61193284016065019</v>
      </c>
    </row>
    <row r="103" spans="1:6">
      <c r="A103" s="5">
        <v>0.84</v>
      </c>
      <c r="B103" s="2">
        <f t="shared" si="9"/>
        <v>0.47096176991362693</v>
      </c>
      <c r="C103" s="4">
        <f t="shared" si="12"/>
        <v>0.59579558944018396</v>
      </c>
      <c r="D103" s="4"/>
      <c r="E103" s="4">
        <f t="shared" si="10"/>
        <v>2.0434464499314006E-2</v>
      </c>
      <c r="F103" s="4">
        <f t="shared" si="11"/>
        <v>0.59591736196195932</v>
      </c>
    </row>
    <row r="104" spans="1:6">
      <c r="A104" s="5">
        <v>0.85</v>
      </c>
      <c r="B104" s="2">
        <f t="shared" si="9"/>
        <v>0.47683782290189958</v>
      </c>
      <c r="C104" s="4">
        <f t="shared" si="12"/>
        <v>0.57904907702528929</v>
      </c>
      <c r="D104" s="4"/>
      <c r="E104" s="4">
        <f t="shared" si="10"/>
        <v>2.1095360690440594E-2</v>
      </c>
      <c r="F104" s="4">
        <f t="shared" si="11"/>
        <v>0.5791712552906082</v>
      </c>
    </row>
    <row r="105" spans="1:6">
      <c r="A105" s="5">
        <v>0.86</v>
      </c>
      <c r="B105" s="2">
        <f t="shared" si="9"/>
        <v>0.48254275145413272</v>
      </c>
      <c r="C105" s="4">
        <f t="shared" si="12"/>
        <v>0.56156953520286834</v>
      </c>
      <c r="D105" s="4"/>
      <c r="E105" s="4">
        <f t="shared" si="10"/>
        <v>2.181809661710787E-2</v>
      </c>
      <c r="F105" s="4">
        <f t="shared" si="11"/>
        <v>0.56169208572482243</v>
      </c>
    </row>
    <row r="106" spans="1:6">
      <c r="A106" s="5">
        <v>0.87</v>
      </c>
      <c r="B106" s="2">
        <f t="shared" si="9"/>
        <v>0.48806921360595695</v>
      </c>
      <c r="C106" s="4">
        <f t="shared" si="12"/>
        <v>0.54335473066238715</v>
      </c>
      <c r="D106" s="4"/>
      <c r="E106" s="4">
        <f t="shared" si="10"/>
        <v>2.2611621185761412E-2</v>
      </c>
      <c r="F106" s="4">
        <f t="shared" si="11"/>
        <v>0.54347761976299735</v>
      </c>
    </row>
    <row r="107" spans="1:6">
      <c r="A107" s="5">
        <v>0.88</v>
      </c>
      <c r="B107" s="2">
        <f t="shared" si="9"/>
        <v>0.49340984606738048</v>
      </c>
      <c r="C107" s="4">
        <f t="shared" si="12"/>
        <v>0.52440263215341687</v>
      </c>
      <c r="D107" s="4"/>
      <c r="E107" s="4">
        <f t="shared" si="10"/>
        <v>2.3486701821512721E-2</v>
      </c>
      <c r="F107" s="4">
        <f t="shared" si="11"/>
        <v>0.5245258259701393</v>
      </c>
    </row>
    <row r="108" spans="1:6">
      <c r="A108" s="5">
        <v>0.89</v>
      </c>
      <c r="B108" s="2">
        <f t="shared" si="9"/>
        <v>0.4985572662490253</v>
      </c>
      <c r="C108" s="4">
        <f t="shared" si="12"/>
        <v>0.50471141159288369</v>
      </c>
      <c r="D108" s="4"/>
      <c r="E108" s="4">
        <f t="shared" si="10"/>
        <v>2.445641102632037E-2</v>
      </c>
      <c r="F108" s="4">
        <f t="shared" si="11"/>
        <v>0.50483487608518329</v>
      </c>
    </row>
    <row r="109" spans="1:6">
      <c r="A109" s="5">
        <v>0.9</v>
      </c>
      <c r="B109" s="2">
        <f t="shared" si="9"/>
        <v>0.50350407429923816</v>
      </c>
      <c r="C109" s="4">
        <f t="shared" si="12"/>
        <v>0.4842794451329786</v>
      </c>
      <c r="D109" s="4"/>
      <c r="E109" s="4">
        <f t="shared" si="10"/>
        <v>2.5536777982238142E-2</v>
      </c>
      <c r="F109" s="4">
        <f t="shared" si="11"/>
        <v>0.48440314608893431</v>
      </c>
    </row>
    <row r="110" spans="1:6">
      <c r="A110" s="5">
        <v>0.91</v>
      </c>
      <c r="B110" s="2">
        <f t="shared" si="9"/>
        <v>0.50824285515168488</v>
      </c>
      <c r="C110" s="4">
        <f t="shared" si="12"/>
        <v>0.46310531418943773</v>
      </c>
      <c r="D110" s="4"/>
      <c r="E110" s="4">
        <f t="shared" si="10"/>
        <v>2.6747674443240332E-2</v>
      </c>
      <c r="F110" s="4">
        <f t="shared" si="11"/>
        <v>0.46322921723238902</v>
      </c>
    </row>
    <row r="111" spans="1:6">
      <c r="A111" s="5">
        <v>0.92</v>
      </c>
      <c r="B111" s="2">
        <f t="shared" si="9"/>
        <v>0.51276618058302692</v>
      </c>
      <c r="C111" s="4">
        <f t="shared" si="12"/>
        <v>0.44118780642997085</v>
      </c>
      <c r="D111" s="4"/>
      <c r="E111" s="4">
        <f t="shared" si="10"/>
        <v>2.8114039453627115E-2</v>
      </c>
      <c r="F111" s="4">
        <f t="shared" si="11"/>
        <v>0.44131187702519126</v>
      </c>
    </row>
    <row r="112" spans="1:6">
      <c r="A112" s="5">
        <v>0.93</v>
      </c>
      <c r="B112" s="2">
        <f t="shared" si="9"/>
        <v>0.51706661128028431</v>
      </c>
      <c r="C112" s="4">
        <f t="shared" si="12"/>
        <v>0.41852591672257261</v>
      </c>
      <c r="D112" s="4"/>
      <c r="E112" s="4">
        <f t="shared" si="10"/>
        <v>2.9667604387305493E-2</v>
      </c>
      <c r="F112" s="4">
        <f t="shared" si="11"/>
        <v>0.41865012018399578</v>
      </c>
    </row>
    <row r="113" spans="1:6">
      <c r="A113" s="5">
        <v>0.94</v>
      </c>
      <c r="B113" s="2">
        <f t="shared" si="9"/>
        <v>0.52113669891747838</v>
      </c>
      <c r="C113" s="4">
        <f t="shared" si="12"/>
        <v>0.39511884804353375</v>
      </c>
      <c r="D113" s="4"/>
      <c r="E113" s="4">
        <f t="shared" si="10"/>
        <v>3.1449374167934717E-2</v>
      </c>
      <c r="F113" s="4">
        <f t="shared" si="11"/>
        <v>0.39524314954050588</v>
      </c>
    </row>
    <row r="114" spans="1:6">
      <c r="A114" s="5">
        <v>0.95</v>
      </c>
      <c r="B114" s="2">
        <f t="shared" si="9"/>
        <v>0.5249689882411549</v>
      </c>
      <c r="C114" s="4">
        <f t="shared" si="12"/>
        <v>0.37096601234488624</v>
      </c>
      <c r="D114" s="4"/>
      <c r="E114" s="4">
        <f t="shared" si="10"/>
        <v>3.351328189070122E-2</v>
      </c>
      <c r="F114" s="4">
        <f t="shared" si="11"/>
        <v>0.37109037690896901</v>
      </c>
    </row>
    <row r="115" spans="1:6">
      <c r="A115" s="5">
        <v>0.96</v>
      </c>
      <c r="B115" s="2">
        <f t="shared" si="9"/>
        <v>0.52855601916437611</v>
      </c>
      <c r="C115" s="4">
        <f t="shared" si="12"/>
        <v>0.34606703138112505</v>
      </c>
      <c r="D115" s="4"/>
      <c r="E115" s="4">
        <f t="shared" si="10"/>
        <v>3.5931719620862689E-2</v>
      </c>
      <c r="F115" s="4">
        <f t="shared" si="11"/>
        <v>0.34619142391291691</v>
      </c>
    </row>
    <row r="116" spans="1:6">
      <c r="A116" s="5">
        <v>0.97</v>
      </c>
      <c r="B116" s="2">
        <f t="shared" si="9"/>
        <v>0.53189032886877741</v>
      </c>
      <c r="C116" s="4">
        <f t="shared" si="12"/>
        <v>0.32042173749494668</v>
      </c>
      <c r="D116" s="4"/>
      <c r="E116" s="4">
        <f t="shared" si="10"/>
        <v>3.8804174237996411E-2</v>
      </c>
      <c r="F116" s="4">
        <f t="shared" si="11"/>
        <v>0.32054612277093986</v>
      </c>
    </row>
    <row r="117" spans="1:6">
      <c r="A117" s="5">
        <v>0.98</v>
      </c>
      <c r="B117" s="2">
        <f t="shared" si="9"/>
        <v>0.53496445391427505</v>
      </c>
      <c r="C117" s="4">
        <f t="shared" si="12"/>
        <v>0.29403017436182538</v>
      </c>
      <c r="D117" s="4"/>
      <c r="E117" s="4">
        <f t="shared" si="10"/>
        <v>4.2271211988455633E-2</v>
      </c>
      <c r="F117" s="4">
        <f t="shared" si="11"/>
        <v>0.29415451704129753</v>
      </c>
    </row>
    <row r="118" spans="1:6">
      <c r="A118" s="5">
        <v>0.99</v>
      </c>
      <c r="B118" s="2">
        <f t="shared" si="9"/>
        <v>0.53777093235601392</v>
      </c>
      <c r="C118" s="4">
        <f t="shared" si="12"/>
        <v>0.26689259769323548</v>
      </c>
      <c r="D118" s="4"/>
      <c r="E118" s="4">
        <f t="shared" si="10"/>
        <v>4.6538121546168293E-2</v>
      </c>
      <c r="F118" s="4">
        <f t="shared" si="11"/>
        <v>0.26701686232517313</v>
      </c>
    </row>
    <row r="119" spans="1:6">
      <c r="A119" s="5">
        <v>1</v>
      </c>
      <c r="B119" s="2">
        <f t="shared" si="9"/>
        <v>0.54030230586813977</v>
      </c>
      <c r="C119" s="4">
        <f>(3*B119-4*B118+B117)/(2*(A20-A19))</f>
        <v>0.23938210473193333</v>
      </c>
      <c r="D119" s="4"/>
      <c r="E119" s="4">
        <f t="shared" si="10"/>
        <v>0.1039075126078868</v>
      </c>
      <c r="F119" s="4">
        <f t="shared" si="11"/>
        <v>0.23913362692838303</v>
      </c>
    </row>
    <row r="120" spans="1:6">
      <c r="A120" s="6"/>
    </row>
    <row r="121" spans="1:6">
      <c r="A121" s="6"/>
    </row>
    <row r="124" spans="1:6">
      <c r="A124" t="s">
        <v>6</v>
      </c>
    </row>
    <row r="127" spans="1:6" ht="16">
      <c r="A127" s="17" t="s">
        <v>7</v>
      </c>
      <c r="B127" s="18"/>
      <c r="C127" s="18"/>
      <c r="D127" s="7"/>
      <c r="E127" s="7"/>
    </row>
    <row r="128" spans="1:6" ht="16">
      <c r="A128" s="8" t="s">
        <v>0</v>
      </c>
      <c r="B128" s="8" t="s">
        <v>1</v>
      </c>
      <c r="C128" s="8" t="s">
        <v>10</v>
      </c>
      <c r="D128" s="8" t="s">
        <v>8</v>
      </c>
      <c r="E128" s="8" t="s">
        <v>9</v>
      </c>
    </row>
    <row r="129" spans="1:5" ht="16">
      <c r="A129" s="9">
        <v>0</v>
      </c>
      <c r="B129" s="3">
        <f>A129^2*COS(A129)</f>
        <v>0</v>
      </c>
      <c r="C129" s="9">
        <v>1</v>
      </c>
      <c r="D129" s="12">
        <f>2*A129*COS(A129)+((A129^2)-2)*SIN(A129)</f>
        <v>0</v>
      </c>
      <c r="E129" s="10">
        <f>ABS(D129-$C$140)/$C$140*100</f>
        <v>100</v>
      </c>
    </row>
    <row r="130" spans="1:5" ht="16">
      <c r="A130" s="9">
        <v>0.1</v>
      </c>
      <c r="B130" s="3">
        <f t="shared" ref="B130:B139" si="13">A130^2*COS(A130)</f>
        <v>9.9500416527802601E-3</v>
      </c>
      <c r="C130" s="9">
        <v>2</v>
      </c>
      <c r="D130" s="12">
        <f>2*A130*COS(A130)+((A130^2)-2)*SIN(A130)</f>
        <v>3.3233392841713894E-4</v>
      </c>
      <c r="E130" s="10">
        <f t="shared" ref="E130:E139" si="14">ABS(D130-$C$140)/$C$140*100</f>
        <v>99.861142164772488</v>
      </c>
    </row>
    <row r="131" spans="1:5" ht="16">
      <c r="A131" s="9">
        <v>0.2</v>
      </c>
      <c r="B131" s="3">
        <f t="shared" si="13"/>
        <v>3.9202663113649672E-2</v>
      </c>
      <c r="C131" s="9">
        <v>2</v>
      </c>
      <c r="D131" s="12">
        <f t="shared" ref="D131:D139" si="15">2*A131*COS(A131)+((A131^2)-2)*SIN(A131)</f>
        <v>2.6347427781766575E-3</v>
      </c>
      <c r="E131" s="10">
        <f t="shared" si="14"/>
        <v>98.899135335650314</v>
      </c>
    </row>
    <row r="132" spans="1:5" ht="16">
      <c r="A132" s="9">
        <v>0.3</v>
      </c>
      <c r="B132" s="3">
        <f t="shared" si="13"/>
        <v>8.5980284021304532E-2</v>
      </c>
      <c r="C132" s="9">
        <v>2</v>
      </c>
      <c r="D132" s="12">
        <f t="shared" si="15"/>
        <v>8.7582987522050182E-3</v>
      </c>
      <c r="E132" s="10">
        <f t="shared" si="14"/>
        <v>96.340552976942632</v>
      </c>
    </row>
    <row r="133" spans="1:5" ht="16">
      <c r="A133" s="9">
        <v>0.4</v>
      </c>
      <c r="B133" s="3">
        <f t="shared" si="13"/>
        <v>0.14736975904046165</v>
      </c>
      <c r="C133" s="9">
        <v>2</v>
      </c>
      <c r="D133" s="12">
        <f t="shared" si="15"/>
        <v>2.0319045354391219E-2</v>
      </c>
      <c r="E133" s="10">
        <f t="shared" si="14"/>
        <v>91.510169710210647</v>
      </c>
    </row>
    <row r="134" spans="1:5" ht="16">
      <c r="A134" s="9">
        <v>0.5</v>
      </c>
      <c r="B134" s="3">
        <f t="shared" si="13"/>
        <v>0.21939564047259319</v>
      </c>
      <c r="C134" s="9">
        <v>2</v>
      </c>
      <c r="D134" s="12">
        <f t="shared" si="15"/>
        <v>3.8587869333017499E-2</v>
      </c>
      <c r="E134" s="10">
        <f t="shared" si="14"/>
        <v>83.876975705894267</v>
      </c>
    </row>
    <row r="135" spans="1:5" ht="16">
      <c r="A135" s="9">
        <v>0.6</v>
      </c>
      <c r="B135" s="3">
        <f t="shared" si="13"/>
        <v>0.29712082136748419</v>
      </c>
      <c r="C135" s="9">
        <v>2</v>
      </c>
      <c r="D135" s="12">
        <f t="shared" si="15"/>
        <v>6.4389081523755887E-2</v>
      </c>
      <c r="E135" s="10">
        <f t="shared" si="14"/>
        <v>73.096552268192056</v>
      </c>
    </row>
    <row r="136" spans="1:5" ht="16">
      <c r="A136" s="9">
        <v>0.7</v>
      </c>
      <c r="B136" s="3">
        <f t="shared" si="13"/>
        <v>0.37477267176939932</v>
      </c>
      <c r="C136" s="9">
        <v>2</v>
      </c>
      <c r="D136" s="12">
        <f t="shared" si="15"/>
        <v>9.8010354469370342E-2</v>
      </c>
      <c r="E136" s="10">
        <f t="shared" si="14"/>
        <v>59.04870226064898</v>
      </c>
    </row>
    <row r="137" spans="1:5" ht="16">
      <c r="A137" s="9">
        <v>0.8</v>
      </c>
      <c r="B137" s="3">
        <f t="shared" si="13"/>
        <v>0.44589229398218594</v>
      </c>
      <c r="C137" s="9">
        <v>2</v>
      </c>
      <c r="D137" s="12">
        <f t="shared" si="15"/>
        <v>0.13912645133211377</v>
      </c>
      <c r="E137" s="10">
        <f t="shared" si="14"/>
        <v>41.86931816779375</v>
      </c>
    </row>
    <row r="138" spans="1:5" ht="16">
      <c r="A138" s="9">
        <v>0.9</v>
      </c>
      <c r="B138" s="3">
        <f t="shared" si="13"/>
        <v>0.50350407429923816</v>
      </c>
      <c r="C138" s="9">
        <v>2</v>
      </c>
      <c r="D138" s="12">
        <f t="shared" si="15"/>
        <v>0.18673892043049067</v>
      </c>
      <c r="E138" s="10">
        <f t="shared" si="14"/>
        <v>21.975579300002785</v>
      </c>
    </row>
    <row r="139" spans="1:5" ht="16">
      <c r="A139" s="9">
        <v>1</v>
      </c>
      <c r="B139" s="3">
        <f t="shared" si="13"/>
        <v>0.54030230586813977</v>
      </c>
      <c r="C139" s="11">
        <v>1</v>
      </c>
      <c r="D139" s="12">
        <f t="shared" si="15"/>
        <v>0.23913362692838303</v>
      </c>
      <c r="E139" s="10">
        <f t="shared" si="14"/>
        <v>8.3696168086958248E-2</v>
      </c>
    </row>
    <row r="140" spans="1:5" ht="16">
      <c r="A140" s="9"/>
      <c r="B140" s="9" t="s">
        <v>12</v>
      </c>
      <c r="C140" s="10">
        <f>SUMPRODUCT(B129:B139,C129:C139)/2*(A139-A138)</f>
        <v>0.23933394026531662</v>
      </c>
      <c r="D140" s="9"/>
      <c r="E140" s="9"/>
    </row>
    <row r="144" spans="1:5" ht="16">
      <c r="A144" s="17" t="s">
        <v>11</v>
      </c>
      <c r="B144" s="18"/>
      <c r="C144" s="18"/>
      <c r="D144" s="7"/>
      <c r="E144" s="7"/>
    </row>
    <row r="145" spans="1:5" ht="16">
      <c r="A145" s="8" t="s">
        <v>0</v>
      </c>
      <c r="B145" s="8" t="s">
        <v>1</v>
      </c>
      <c r="C145" s="8" t="s">
        <v>10</v>
      </c>
      <c r="D145" s="8" t="s">
        <v>8</v>
      </c>
      <c r="E145" s="8" t="s">
        <v>9</v>
      </c>
    </row>
    <row r="146" spans="1:5">
      <c r="A146" s="5">
        <v>0</v>
      </c>
      <c r="B146" s="2">
        <f>A146^2*COS(A146)</f>
        <v>0</v>
      </c>
      <c r="C146">
        <v>1</v>
      </c>
      <c r="D146">
        <f>2*A146*COS(A146)+((A146^2)-2)*SIN(A146)</f>
        <v>0</v>
      </c>
      <c r="E146">
        <f>ABS(D146-$C$247)/$C$247*100</f>
        <v>100</v>
      </c>
    </row>
    <row r="147" spans="1:5">
      <c r="A147" s="5">
        <v>0.01</v>
      </c>
      <c r="B147" s="2">
        <f t="shared" ref="B147:B210" si="16">A147^2*COS(A147)</f>
        <v>9.9995000041666534E-5</v>
      </c>
      <c r="C147">
        <v>2</v>
      </c>
      <c r="D147">
        <f t="shared" ref="D147:D210" si="17">2*A147*COS(A147)+((A147^2)-2)*SIN(A147)</f>
        <v>3.3332333339297637E-7</v>
      </c>
      <c r="E147">
        <f t="shared" ref="E147:E210" si="18">ABS(D147-$C$247)/$C$247*100</f>
        <v>99.999860613264701</v>
      </c>
    </row>
    <row r="148" spans="1:5">
      <c r="A148" s="5">
        <v>0.02</v>
      </c>
      <c r="B148" s="2">
        <f t="shared" si="16"/>
        <v>3.9992000266663114E-4</v>
      </c>
      <c r="C148">
        <v>2</v>
      </c>
      <c r="D148">
        <f t="shared" si="17"/>
        <v>2.6663466742779529E-6</v>
      </c>
      <c r="E148">
        <f t="shared" si="18"/>
        <v>99.998885006476073</v>
      </c>
    </row>
    <row r="149" spans="1:5">
      <c r="A149" s="5">
        <v>0.03</v>
      </c>
      <c r="B149" s="2">
        <f t="shared" si="16"/>
        <v>8.9959503037408876E-4</v>
      </c>
      <c r="C149">
        <v>2</v>
      </c>
      <c r="D149">
        <f t="shared" si="17"/>
        <v>8.9975701301689415E-6</v>
      </c>
      <c r="E149">
        <f t="shared" si="18"/>
        <v>99.996237461346311</v>
      </c>
    </row>
    <row r="150" spans="1:5">
      <c r="A150" s="5">
        <v>0.04</v>
      </c>
      <c r="B150" s="2">
        <f t="shared" si="16"/>
        <v>1.5987201706575648E-3</v>
      </c>
      <c r="C150">
        <v>2</v>
      </c>
      <c r="D150">
        <f t="shared" si="17"/>
        <v>2.1323094308522972E-5</v>
      </c>
      <c r="E150">
        <f t="shared" si="18"/>
        <v>99.991083262993072</v>
      </c>
    </row>
    <row r="151" spans="1:5">
      <c r="A151" s="5">
        <v>0.05</v>
      </c>
      <c r="B151" s="2">
        <f t="shared" si="16"/>
        <v>2.4968756509874163E-3</v>
      </c>
      <c r="C151">
        <v>2</v>
      </c>
      <c r="D151">
        <f t="shared" si="17"/>
        <v>4.1635421316660315E-5</v>
      </c>
      <c r="E151">
        <f t="shared" si="18"/>
        <v>99.982589201328778</v>
      </c>
    </row>
    <row r="152" spans="1:5">
      <c r="A152" s="5">
        <v>0.06</v>
      </c>
      <c r="B152" s="2">
        <f t="shared" si="16"/>
        <v>3.593521943766735E-3</v>
      </c>
      <c r="C152">
        <v>2</v>
      </c>
      <c r="D152">
        <f t="shared" si="17"/>
        <v>7.1922256661319239E-5</v>
      </c>
      <c r="E152">
        <f t="shared" si="18"/>
        <v>99.969924072073482</v>
      </c>
    </row>
    <row r="153" spans="1:5">
      <c r="A153" s="5">
        <v>7.0000000000000007E-2</v>
      </c>
      <c r="B153" s="2">
        <f t="shared" si="16"/>
        <v>4.887999901241071E-3</v>
      </c>
      <c r="C153">
        <v>2</v>
      </c>
      <c r="D153">
        <f t="shared" si="17"/>
        <v>1.1416531234750837E-4</v>
      </c>
      <c r="E153">
        <f t="shared" si="18"/>
        <v>99.952259177266342</v>
      </c>
    </row>
    <row r="154" spans="1:5">
      <c r="A154" s="5">
        <v>0.08</v>
      </c>
      <c r="B154" s="2">
        <f t="shared" si="16"/>
        <v>6.3795309203367647E-3</v>
      </c>
      <c r="C154">
        <v>2</v>
      </c>
      <c r="D154">
        <f t="shared" si="17"/>
        <v>1.7033911147643077E-4</v>
      </c>
      <c r="E154">
        <f t="shared" si="18"/>
        <v>99.928768825150229</v>
      </c>
    </row>
    <row r="155" spans="1:5">
      <c r="A155" s="5">
        <v>0.09</v>
      </c>
      <c r="B155" s="2">
        <f t="shared" si="16"/>
        <v>8.0672171373971525E-3</v>
      </c>
      <c r="C155">
        <v>2</v>
      </c>
      <c r="D155">
        <f t="shared" si="17"/>
        <v>2.4240979464076884E-4</v>
      </c>
      <c r="E155">
        <f t="shared" si="18"/>
        <v>99.898630829304608</v>
      </c>
    </row>
    <row r="156" spans="1:5">
      <c r="A156" s="5">
        <v>0.1</v>
      </c>
      <c r="B156" s="2">
        <f t="shared" si="16"/>
        <v>9.9500416527802601E-3</v>
      </c>
      <c r="C156">
        <v>2</v>
      </c>
      <c r="D156">
        <f t="shared" si="17"/>
        <v>3.3233392841713894E-4</v>
      </c>
      <c r="E156">
        <f t="shared" si="18"/>
        <v>99.861027006901651</v>
      </c>
    </row>
    <row r="157" spans="1:5">
      <c r="A157" s="5">
        <v>0.11</v>
      </c>
      <c r="B157" s="2">
        <f t="shared" si="16"/>
        <v>1.2026868785276031E-2</v>
      </c>
      <c r="C157">
        <v>2</v>
      </c>
      <c r="D157">
        <f t="shared" si="17"/>
        <v>4.4205731625349132E-4</v>
      </c>
      <c r="E157">
        <f t="shared" si="18"/>
        <v>99.81514367596057</v>
      </c>
    </row>
    <row r="158" spans="1:5">
      <c r="A158" s="5">
        <v>0.12</v>
      </c>
      <c r="B158" s="2">
        <f t="shared" si="16"/>
        <v>1.4296444356295674E-2</v>
      </c>
      <c r="C158">
        <v>2</v>
      </c>
      <c r="D158">
        <f t="shared" si="17"/>
        <v>5.7351381204959195E-4</v>
      </c>
      <c r="E158">
        <f t="shared" si="18"/>
        <v>99.760172151476084</v>
      </c>
    </row>
    <row r="159" spans="1:5">
      <c r="A159" s="5">
        <v>0.13</v>
      </c>
      <c r="B159" s="2">
        <f t="shared" si="16"/>
        <v>1.6757396003779922E-2</v>
      </c>
      <c r="C159">
        <v>2</v>
      </c>
      <c r="D159">
        <f t="shared" si="17"/>
        <v>7.2862413672802884E-4</v>
      </c>
      <c r="E159">
        <f t="shared" si="18"/>
        <v>99.695309240296098</v>
      </c>
    </row>
    <row r="160" spans="1:5">
      <c r="A160" s="5">
        <v>0.14000000000000001</v>
      </c>
      <c r="B160" s="2">
        <f t="shared" si="16"/>
        <v>1.940823352576769E-2</v>
      </c>
      <c r="C160">
        <v>2</v>
      </c>
      <c r="D160">
        <f t="shared" si="17"/>
        <v>9.0929469809247765E-4</v>
      </c>
      <c r="E160">
        <f t="shared" si="18"/>
        <v>99.619757734624784</v>
      </c>
    </row>
    <row r="161" spans="1:5">
      <c r="A161" s="5">
        <v>0.15</v>
      </c>
      <c r="B161" s="2">
        <f t="shared" si="16"/>
        <v>2.224734925356095E-2</v>
      </c>
      <c r="C161">
        <v>2</v>
      </c>
      <c r="D161">
        <f t="shared" si="17"/>
        <v>1.1174164142702114E-3</v>
      </c>
      <c r="E161">
        <f t="shared" si="18"/>
        <v>99.532726904026944</v>
      </c>
    </row>
    <row r="162" spans="1:5">
      <c r="A162" s="5">
        <v>0.16</v>
      </c>
      <c r="B162" s="2">
        <f t="shared" si="16"/>
        <v>2.5273018454416051E-2</v>
      </c>
      <c r="C162">
        <v>2</v>
      </c>
      <c r="D162">
        <f t="shared" si="17"/>
        <v>1.3548635410334242E-3</v>
      </c>
      <c r="E162">
        <f t="shared" si="18"/>
        <v>99.433432985810228</v>
      </c>
    </row>
    <row r="163" spans="1:5">
      <c r="A163" s="5">
        <v>0.17</v>
      </c>
      <c r="B163" s="2">
        <f t="shared" si="16"/>
        <v>2.8483399763686312E-2</v>
      </c>
      <c r="C163">
        <v>2</v>
      </c>
      <c r="D163">
        <f t="shared" si="17"/>
        <v>1.6234925032947989E-3</v>
      </c>
      <c r="E163">
        <f t="shared" si="18"/>
        <v>99.321099673661891</v>
      </c>
    </row>
    <row r="164" spans="1:5">
      <c r="A164" s="5">
        <v>0.18</v>
      </c>
      <c r="B164" s="2">
        <f t="shared" si="16"/>
        <v>3.1876535646335136E-2</v>
      </c>
      <c r="C164">
        <v>2</v>
      </c>
      <c r="D164">
        <f t="shared" si="17"/>
        <v>1.9251407310720836E-3</v>
      </c>
      <c r="E164">
        <f t="shared" si="18"/>
        <v>99.194958604416598</v>
      </c>
    </row>
    <row r="165" spans="1:5">
      <c r="A165" s="5">
        <v>0.19</v>
      </c>
      <c r="B165" s="2">
        <f t="shared" si="16"/>
        <v>3.5450352887733461E-2</v>
      </c>
      <c r="C165">
        <v>2</v>
      </c>
      <c r="D165">
        <f t="shared" si="17"/>
        <v>2.261625500213249E-3</v>
      </c>
      <c r="E165">
        <f t="shared" si="18"/>
        <v>99.054249842833698</v>
      </c>
    </row>
    <row r="166" spans="1:5">
      <c r="A166" s="5">
        <v>0.2</v>
      </c>
      <c r="B166" s="2">
        <f t="shared" si="16"/>
        <v>3.9202663113649672E-2</v>
      </c>
      <c r="C166">
        <v>2</v>
      </c>
      <c r="D166">
        <f t="shared" si="17"/>
        <v>2.6347427781766575E-3</v>
      </c>
      <c r="E166">
        <f t="shared" si="18"/>
        <v>98.898222364260405</v>
      </c>
    </row>
    <row r="167" spans="1:5">
      <c r="A167" s="5">
        <v>0.21</v>
      </c>
      <c r="B167" s="2">
        <f t="shared" si="16"/>
        <v>4.3131163339334935E-2</v>
      </c>
      <c r="C167">
        <v>2</v>
      </c>
      <c r="D167">
        <f t="shared" si="17"/>
        <v>3.0462660751561232E-3</v>
      </c>
      <c r="E167">
        <f t="shared" si="18"/>
        <v>98.726134535060012</v>
      </c>
    </row>
    <row r="168" spans="1:5">
      <c r="A168" s="5">
        <v>0.22</v>
      </c>
      <c r="B168" s="2">
        <f t="shared" si="16"/>
        <v>4.7233436547601308E-2</v>
      </c>
      <c r="C168">
        <v>2</v>
      </c>
      <c r="D168">
        <f t="shared" si="17"/>
        <v>3.4979453008418537E-3</v>
      </c>
      <c r="E168">
        <f t="shared" si="18"/>
        <v>98.537254590683389</v>
      </c>
    </row>
    <row r="169" spans="1:5">
      <c r="A169" s="5">
        <v>0.23</v>
      </c>
      <c r="B169" s="2">
        <f t="shared" si="16"/>
        <v>5.1506952295784336E-2</v>
      </c>
      <c r="C169">
        <v>2</v>
      </c>
      <c r="D169">
        <f t="shared" si="17"/>
        <v>3.9915056271070948E-3</v>
      </c>
      <c r="E169">
        <f t="shared" si="18"/>
        <v>98.330861111262337</v>
      </c>
    </row>
    <row r="170" spans="1:5">
      <c r="A170" s="5">
        <v>0.24</v>
      </c>
      <c r="B170" s="2">
        <f t="shared" si="16"/>
        <v>5.5949067351476908E-2</v>
      </c>
      <c r="C170">
        <v>2</v>
      </c>
      <c r="D170">
        <f t="shared" si="17"/>
        <v>4.5286463569080837E-3</v>
      </c>
      <c r="E170">
        <f t="shared" si="18"/>
        <v>98.10624349460484</v>
      </c>
    </row>
    <row r="171" spans="1:5">
      <c r="A171" s="5">
        <v>0.25</v>
      </c>
      <c r="B171" s="2">
        <f t="shared" si="16"/>
        <v>6.0557026356915296E-2</v>
      </c>
      <c r="C171">
        <v>2</v>
      </c>
      <c r="D171">
        <f t="shared" si="17"/>
        <v>5.1110397996841916E-3</v>
      </c>
      <c r="E171">
        <f t="shared" si="18"/>
        <v>97.862702426472126</v>
      </c>
    </row>
    <row r="172" spans="1:5">
      <c r="A172" s="5">
        <v>0.26</v>
      </c>
      <c r="B172" s="2">
        <f t="shared" si="16"/>
        <v>6.5327962521893101E-2</v>
      </c>
      <c r="C172">
        <v>2</v>
      </c>
      <c r="D172">
        <f t="shared" si="17"/>
        <v>5.7403301535464135E-3</v>
      </c>
      <c r="E172">
        <f t="shared" si="18"/>
        <v>97.599550348016905</v>
      </c>
    </row>
    <row r="173" spans="1:5">
      <c r="A173" s="5">
        <v>0.27</v>
      </c>
      <c r="B173" s="2">
        <f t="shared" si="16"/>
        <v>7.0258898345073428E-2</v>
      </c>
      <c r="C173">
        <v>2</v>
      </c>
      <c r="D173">
        <f t="shared" si="17"/>
        <v>6.4181323945343705E-3</v>
      </c>
      <c r="E173">
        <f t="shared" si="18"/>
        <v>97.316111920265897</v>
      </c>
    </row>
    <row r="174" spans="1:5">
      <c r="A174" s="5">
        <v>0.28000000000000003</v>
      </c>
      <c r="B174" s="2">
        <f t="shared" si="16"/>
        <v>7.5346746363564449E-2</v>
      </c>
      <c r="C174">
        <v>2</v>
      </c>
      <c r="D174">
        <f t="shared" si="17"/>
        <v>7.1460311732307602E-3</v>
      </c>
      <c r="E174">
        <f t="shared" si="18"/>
        <v>97.011724485525548</v>
      </c>
    </row>
    <row r="175" spans="1:5">
      <c r="A175" s="5">
        <v>0.28999999999999998</v>
      </c>
      <c r="B175" s="2">
        <f t="shared" si="16"/>
        <v>8.058830993061783E-2</v>
      </c>
      <c r="C175">
        <v>2</v>
      </c>
      <c r="D175">
        <f t="shared" si="17"/>
        <v>7.9255797190099786E-3</v>
      </c>
      <c r="E175">
        <f t="shared" si="18"/>
        <v>96.68573852559544</v>
      </c>
    </row>
    <row r="176" spans="1:5">
      <c r="A176" s="5">
        <v>0.3</v>
      </c>
      <c r="B176" s="2">
        <f t="shared" si="16"/>
        <v>8.5980284021304532E-2</v>
      </c>
      <c r="C176">
        <v>2</v>
      </c>
      <c r="D176">
        <f t="shared" si="17"/>
        <v>8.7582987522050182E-3</v>
      </c>
      <c r="E176">
        <f t="shared" si="18"/>
        <v>96.337518116670381</v>
      </c>
    </row>
    <row r="177" spans="1:5">
      <c r="A177" s="5">
        <v>0.31</v>
      </c>
      <c r="B177" s="2">
        <f t="shared" si="16"/>
        <v>9.151925606601706E-2</v>
      </c>
      <c r="C177">
        <v>2</v>
      </c>
      <c r="D177">
        <f t="shared" si="17"/>
        <v>9.6456754044702553E-3</v>
      </c>
      <c r="E177">
        <f t="shared" si="18"/>
        <v>95.966441380815382</v>
      </c>
    </row>
    <row r="178" spans="1:5">
      <c r="A178" s="5">
        <v>0.32</v>
      </c>
      <c r="B178" s="2">
        <f t="shared" si="16"/>
        <v>9.7201706811641947E-2</v>
      </c>
      <c r="C178">
        <v>2</v>
      </c>
      <c r="D178">
        <f t="shared" si="17"/>
        <v>1.0589162147617071E-2</v>
      </c>
      <c r="E178">
        <f t="shared" si="18"/>
        <v>95.571900933897325</v>
      </c>
    </row>
    <row r="179" spans="1:5">
      <c r="A179" s="5">
        <v>0.33</v>
      </c>
      <c r="B179" s="2">
        <f t="shared" si="16"/>
        <v>0.10302401121024135</v>
      </c>
      <c r="C179">
        <v>2</v>
      </c>
      <c r="D179">
        <f t="shared" si="17"/>
        <v>1.1590175731199803E-2</v>
      </c>
      <c r="E179">
        <f t="shared" si="18"/>
        <v>95.153304329857562</v>
      </c>
    </row>
    <row r="180" spans="1:5">
      <c r="A180" s="5">
        <v>0.34</v>
      </c>
      <c r="B180" s="2">
        <f t="shared" si="16"/>
        <v>0.10898243933507684</v>
      </c>
      <c r="C180">
        <v>2</v>
      </c>
      <c r="D180">
        <f t="shared" si="17"/>
        <v>1.265009612912471E-2</v>
      </c>
      <c r="E180">
        <f t="shared" si="18"/>
        <v>94.710074501211423</v>
      </c>
    </row>
    <row r="181" spans="1:5">
      <c r="A181" s="5">
        <v>0.35</v>
      </c>
      <c r="B181" s="2">
        <f t="shared" si="16"/>
        <v>0.1150731573238039</v>
      </c>
      <c r="C181">
        <v>2</v>
      </c>
      <c r="D181">
        <f t="shared" si="17"/>
        <v>1.3770265495555267E-2</v>
      </c>
      <c r="E181">
        <f t="shared" si="18"/>
        <v>94.2416501956601</v>
      </c>
    </row>
    <row r="182" spans="1:5">
      <c r="A182" s="5">
        <v>0.36</v>
      </c>
      <c r="B182" s="2">
        <f t="shared" si="16"/>
        <v>0.12129222834866034</v>
      </c>
      <c r="C182">
        <v>2</v>
      </c>
      <c r="D182">
        <f t="shared" si="17"/>
        <v>1.4951987130384814E-2</v>
      </c>
      <c r="E182">
        <f t="shared" si="18"/>
        <v>93.747486408701789</v>
      </c>
    </row>
    <row r="183" spans="1:5">
      <c r="A183" s="5">
        <v>0.37</v>
      </c>
      <c r="B183" s="2">
        <f t="shared" si="16"/>
        <v>0.12763561361346612</v>
      </c>
      <c r="C183">
        <v>2</v>
      </c>
      <c r="D183">
        <f t="shared" si="17"/>
        <v>1.6196524454544781E-2</v>
      </c>
      <c r="E183">
        <f t="shared" si="18"/>
        <v>93.227054812129921</v>
      </c>
    </row>
    <row r="184" spans="1:5">
      <c r="A184" s="5">
        <v>0.38</v>
      </c>
      <c r="B184" s="2">
        <f t="shared" si="16"/>
        <v>0.13409917337724808</v>
      </c>
      <c r="C184">
        <v>2</v>
      </c>
      <c r="D184">
        <f t="shared" si="17"/>
        <v>1.7505099995417162E-2</v>
      </c>
      <c r="E184">
        <f t="shared" si="18"/>
        <v>92.679844178305999</v>
      </c>
    </row>
    <row r="185" spans="1:5">
      <c r="A185" s="5">
        <v>0.39</v>
      </c>
      <c r="B185" s="2">
        <f t="shared" si="16"/>
        <v>0.14067866800429732</v>
      </c>
      <c r="C185">
        <v>2</v>
      </c>
      <c r="D185">
        <f t="shared" si="17"/>
        <v>1.8878894382614142E-2</v>
      </c>
      <c r="E185">
        <f t="shared" si="18"/>
        <v>92.105360800097174</v>
      </c>
    </row>
    <row r="186" spans="1:5">
      <c r="A186" s="5">
        <v>0.4</v>
      </c>
      <c r="B186" s="2">
        <f t="shared" si="16"/>
        <v>0.14736975904046165</v>
      </c>
      <c r="C186">
        <v>2</v>
      </c>
      <c r="D186">
        <f t="shared" si="17"/>
        <v>2.0319045354391219E-2</v>
      </c>
      <c r="E186">
        <f t="shared" si="18"/>
        <v>91.503128906367238</v>
      </c>
    </row>
    <row r="187" spans="1:5">
      <c r="A187" s="5">
        <v>0.41</v>
      </c>
      <c r="B187" s="2">
        <f t="shared" si="16"/>
        <v>0.15416801031547128</v>
      </c>
      <c r="C187">
        <v>2</v>
      </c>
      <c r="D187">
        <f t="shared" si="17"/>
        <v>2.182664677495183E-2</v>
      </c>
      <c r="E187">
        <f t="shared" si="18"/>
        <v>90.872691072912986</v>
      </c>
    </row>
    <row r="188" spans="1:5">
      <c r="A188" s="5">
        <v>0.42</v>
      </c>
      <c r="B188" s="2">
        <f t="shared" si="16"/>
        <v>0.16106888907109115</v>
      </c>
      <c r="C188">
        <v>2</v>
      </c>
      <c r="D188">
        <f t="shared" si="17"/>
        <v>2.3402747662906731E-2</v>
      </c>
      <c r="E188">
        <f t="shared" si="18"/>
        <v>90.213608628736111</v>
      </c>
    </row>
    <row r="189" spans="1:5">
      <c r="A189" s="5">
        <v>0.43</v>
      </c>
      <c r="B189" s="2">
        <f t="shared" si="16"/>
        <v>0.16806776711488625</v>
      </c>
      <c r="C189">
        <v>2</v>
      </c>
      <c r="D189">
        <f t="shared" si="17"/>
        <v>2.5048351231140686E-2</v>
      </c>
      <c r="E189">
        <f t="shared" si="18"/>
        <v>89.525462057544743</v>
      </c>
    </row>
    <row r="190" spans="1:5">
      <c r="A190" s="5">
        <v>0.44</v>
      </c>
      <c r="B190" s="2">
        <f t="shared" si="16"/>
        <v>0.1751599219993849</v>
      </c>
      <c r="C190">
        <v>2</v>
      </c>
      <c r="D190">
        <f t="shared" si="17"/>
        <v>2.6764413938346054E-2</v>
      </c>
      <c r="E190">
        <f t="shared" si="18"/>
        <v>88.807851394376286</v>
      </c>
    </row>
    <row r="191" spans="1:5">
      <c r="A191" s="5">
        <v>0.45</v>
      </c>
      <c r="B191" s="2">
        <f t="shared" si="16"/>
        <v>0.18234053822641708</v>
      </c>
      <c r="C191">
        <v>2</v>
      </c>
      <c r="D191">
        <f t="shared" si="17"/>
        <v>2.8551844552472838E-2</v>
      </c>
      <c r="E191">
        <f t="shared" si="18"/>
        <v>88.060396617237075</v>
      </c>
    </row>
    <row r="192" spans="1:5">
      <c r="A192" s="5">
        <v>0.46</v>
      </c>
      <c r="B192" s="2">
        <f t="shared" si="16"/>
        <v>0.18960470847640115</v>
      </c>
      <c r="C192">
        <v>2</v>
      </c>
      <c r="D192">
        <f t="shared" si="17"/>
        <v>3.0411503226347558E-2</v>
      </c>
      <c r="E192">
        <f t="shared" si="18"/>
        <v>87.282738033653345</v>
      </c>
    </row>
    <row r="193" spans="1:5">
      <c r="A193" s="5">
        <v>0.47</v>
      </c>
      <c r="B193" s="2">
        <f t="shared" si="16"/>
        <v>0.19694743486234814</v>
      </c>
      <c r="C193">
        <v>2</v>
      </c>
      <c r="D193">
        <f t="shared" si="17"/>
        <v>3.2344200585708749E-2</v>
      </c>
      <c r="E193">
        <f t="shared" si="18"/>
        <v>86.474536662029976</v>
      </c>
    </row>
    <row r="194" spans="1:5">
      <c r="A194" s="5">
        <v>0.48</v>
      </c>
      <c r="B194" s="2">
        <f t="shared" si="16"/>
        <v>0.20436363020834705</v>
      </c>
      <c r="C194">
        <v>2</v>
      </c>
      <c r="D194">
        <f t="shared" si="17"/>
        <v>3.4350696829904548E-2</v>
      </c>
      <c r="E194">
        <f t="shared" si="18"/>
        <v>85.635474607714244</v>
      </c>
    </row>
    <row r="195" spans="1:5">
      <c r="A195" s="5">
        <v>0.49</v>
      </c>
      <c r="B195" s="2">
        <f t="shared" si="16"/>
        <v>0.21184811935229014</v>
      </c>
      <c r="C195">
        <v>2</v>
      </c>
      <c r="D195">
        <f t="shared" si="17"/>
        <v>3.6431700845497961E-2</v>
      </c>
      <c r="E195">
        <f t="shared" si="18"/>
        <v>84.765255433661963</v>
      </c>
    </row>
    <row r="196" spans="1:5">
      <c r="A196" s="5">
        <v>0.5</v>
      </c>
      <c r="B196" s="2">
        <f t="shared" si="16"/>
        <v>0.21939564047259319</v>
      </c>
      <c r="C196">
        <v>2</v>
      </c>
      <c r="D196">
        <f t="shared" si="17"/>
        <v>3.8587869333017499E-2</v>
      </c>
      <c r="E196">
        <f t="shared" si="18"/>
        <v>83.863604525606505</v>
      </c>
    </row>
    <row r="197" spans="1:5">
      <c r="A197" s="5">
        <v>0.51</v>
      </c>
      <c r="B197" s="2">
        <f t="shared" si="16"/>
        <v>0.22700084643865992</v>
      </c>
      <c r="C197">
        <v>2</v>
      </c>
      <c r="D197">
        <f t="shared" si="17"/>
        <v>4.0819805947095555E-2</v>
      </c>
      <c r="E197">
        <f t="shared" si="18"/>
        <v>82.930269451629627</v>
      </c>
    </row>
    <row r="198" spans="1:5">
      <c r="A198" s="5">
        <v>0.52</v>
      </c>
      <c r="B198" s="2">
        <f t="shared" si="16"/>
        <v>0.23465830618483655</v>
      </c>
      <c r="C198">
        <v>2</v>
      </c>
      <c r="D198">
        <f t="shared" si="17"/>
        <v>4.3128060450228767E-2</v>
      </c>
      <c r="E198">
        <f t="shared" si="18"/>
        <v>81.965020316035677</v>
      </c>
    </row>
    <row r="199" spans="1:5">
      <c r="A199" s="5">
        <v>0.53</v>
      </c>
      <c r="B199" s="2">
        <f t="shared" si="16"/>
        <v>0.24236250610759641</v>
      </c>
      <c r="C199">
        <v>2</v>
      </c>
      <c r="D199">
        <f t="shared" si="17"/>
        <v>4.55131278803943E-2</v>
      </c>
      <c r="E199">
        <f t="shared" si="18"/>
        <v>80.967650107431908</v>
      </c>
    </row>
    <row r="200" spans="1:5">
      <c r="A200" s="5">
        <v>0.54</v>
      </c>
      <c r="B200" s="2">
        <f t="shared" si="16"/>
        <v>0.25010785148569115</v>
      </c>
      <c r="C200">
        <v>2</v>
      </c>
      <c r="D200">
        <f t="shared" si="17"/>
        <v>4.7975447732751642E-2</v>
      </c>
      <c r="E200">
        <f t="shared" si="18"/>
        <v>79.937975040918431</v>
      </c>
    </row>
    <row r="201" spans="1:5">
      <c r="A201" s="5">
        <v>0.55000000000000004</v>
      </c>
      <c r="B201" s="2">
        <f t="shared" si="16"/>
        <v>0.25788866792300053</v>
      </c>
      <c r="C201">
        <v>2</v>
      </c>
      <c r="D201">
        <f t="shared" si="17"/>
        <v>5.0515403155662386E-2</v>
      </c>
      <c r="E201">
        <f t="shared" si="18"/>
        <v>78.875834894290833</v>
      </c>
    </row>
    <row r="202" spans="1:5">
      <c r="A202" s="5">
        <v>0.56000000000000005</v>
      </c>
      <c r="B202" s="2">
        <f t="shared" si="16"/>
        <v>0.26569920281380732</v>
      </c>
      <c r="C202">
        <v>2</v>
      </c>
      <c r="D202">
        <f t="shared" si="17"/>
        <v>5.3133320161248387E-2</v>
      </c>
      <c r="E202">
        <f t="shared" si="18"/>
        <v>77.781093338163231</v>
      </c>
    </row>
    <row r="203" spans="1:5">
      <c r="A203" s="5">
        <v>0.56999999999999995</v>
      </c>
      <c r="B203" s="2">
        <f t="shared" si="16"/>
        <v>0.27353362683022109</v>
      </c>
      <c r="C203">
        <v>2</v>
      </c>
      <c r="D203">
        <f t="shared" si="17"/>
        <v>5.5829466850714549E-2</v>
      </c>
      <c r="E203">
        <f t="shared" si="18"/>
        <v>76.653638259917258</v>
      </c>
    </row>
    <row r="204" spans="1:5">
      <c r="A204" s="5">
        <v>0.57999999999999996</v>
      </c>
      <c r="B204" s="2">
        <f t="shared" si="16"/>
        <v>0.28138603543146884</v>
      </c>
      <c r="C204">
        <v>2</v>
      </c>
      <c r="D204">
        <f t="shared" si="17"/>
        <v>5.8604052654655958E-2</v>
      </c>
      <c r="E204">
        <f t="shared" si="18"/>
        <v>75.493382081384809</v>
      </c>
    </row>
    <row r="205" spans="1:5">
      <c r="A205" s="5">
        <v>0.59</v>
      </c>
      <c r="B205" s="2">
        <f t="shared" si="16"/>
        <v>0.28925045039476693</v>
      </c>
      <c r="C205">
        <v>2</v>
      </c>
      <c r="D205">
        <f t="shared" si="17"/>
        <v>6.1457227588565533E-2</v>
      </c>
      <c r="E205">
        <f t="shared" si="18"/>
        <v>74.300262070174512</v>
      </c>
    </row>
    <row r="206" spans="1:5">
      <c r="A206" s="5">
        <v>0.6</v>
      </c>
      <c r="B206" s="2">
        <f t="shared" si="16"/>
        <v>0.29712082136748419</v>
      </c>
      <c r="C206">
        <v>2</v>
      </c>
      <c r="D206">
        <f t="shared" si="17"/>
        <v>6.4389081523755887E-2</v>
      </c>
      <c r="E206">
        <f t="shared" si="18"/>
        <v>73.074240644552319</v>
      </c>
    </row>
    <row r="207" spans="1:5">
      <c r="A207" s="5">
        <v>0.61</v>
      </c>
      <c r="B207" s="2">
        <f t="shared" si="16"/>
        <v>0.30499102744030288</v>
      </c>
      <c r="C207">
        <v>2</v>
      </c>
      <c r="D207">
        <f t="shared" si="17"/>
        <v>6.7399643473911475E-2</v>
      </c>
      <c r="E207">
        <f t="shared" si="18"/>
        <v>71.815305671786021</v>
      </c>
    </row>
    <row r="208" spans="1:5">
      <c r="A208" s="5">
        <v>0.62</v>
      </c>
      <c r="B208" s="2">
        <f t="shared" si="16"/>
        <v>0.31285487874107804</v>
      </c>
      <c r="C208">
        <v>2</v>
      </c>
      <c r="D208">
        <f t="shared" si="17"/>
        <v>7.0488880897471962E-2</v>
      </c>
      <c r="E208">
        <f t="shared" si="18"/>
        <v>70.523470759869411</v>
      </c>
    </row>
    <row r="209" spans="1:5">
      <c r="A209" s="5">
        <v>0.63</v>
      </c>
      <c r="B209" s="2">
        <f t="shared" si="16"/>
        <v>0.3207061180490931</v>
      </c>
      <c r="C209">
        <v>2</v>
      </c>
      <c r="D209">
        <f t="shared" si="17"/>
        <v>7.3656699016059091E-2</v>
      </c>
      <c r="E209">
        <f t="shared" si="18"/>
        <v>69.19877554253766</v>
      </c>
    </row>
    <row r="210" spans="1:5">
      <c r="A210" s="5">
        <v>0.64</v>
      </c>
      <c r="B210" s="2">
        <f t="shared" si="16"/>
        <v>0.32853842242940628</v>
      </c>
      <c r="C210">
        <v>2</v>
      </c>
      <c r="D210">
        <f t="shared" si="17"/>
        <v>7.6902940149146226E-2</v>
      </c>
      <c r="E210">
        <f t="shared" si="18"/>
        <v>67.841285957490356</v>
      </c>
    </row>
    <row r="211" spans="1:5">
      <c r="A211" s="5">
        <v>0.65</v>
      </c>
      <c r="B211" s="2">
        <f t="shared" ref="B211:B246" si="19">A211^2*COS(A211)</f>
        <v>0.33634540488697612</v>
      </c>
      <c r="C211">
        <v>2</v>
      </c>
      <c r="D211">
        <f t="shared" ref="D211:D246" si="20">2*A211*COS(A211)+((A211^2)-2)*SIN(A211)</f>
        <v>8.0227383065170299E-2</v>
      </c>
      <c r="E211">
        <f t="shared" ref="E211:E246" si="21">ABS(D211-$C$247)/$C$247*100</f>
        <v>66.451094517738866</v>
      </c>
    </row>
    <row r="212" spans="1:5">
      <c r="A212" s="5">
        <v>0.66</v>
      </c>
      <c r="B212" s="2">
        <f t="shared" si="19"/>
        <v>0.34412061604025224</v>
      </c>
      <c r="C212">
        <v>2</v>
      </c>
      <c r="D212">
        <f t="shared" si="20"/>
        <v>8.3629742349282221E-2</v>
      </c>
      <c r="E212">
        <f t="shared" si="21"/>
        <v>65.028320575995778</v>
      </c>
    </row>
    <row r="213" spans="1:5">
      <c r="A213" s="5">
        <v>0.67</v>
      </c>
      <c r="B213" s="2">
        <f t="shared" si="19"/>
        <v>0.35185754581391326</v>
      </c>
      <c r="C213">
        <v>2</v>
      </c>
      <c r="D213">
        <f t="shared" si="20"/>
        <v>8.7109667787930278E-2</v>
      </c>
      <c r="E213">
        <f t="shared" si="21"/>
        <v>63.573110582025471</v>
      </c>
    </row>
    <row r="214" spans="1:5">
      <c r="A214" s="5">
        <v>0.68</v>
      </c>
      <c r="B214" s="2">
        <f t="shared" si="19"/>
        <v>0.35954962515042915</v>
      </c>
      <c r="C214">
        <v>2</v>
      </c>
      <c r="D214">
        <f t="shared" si="20"/>
        <v>9.0666743770464797E-2</v>
      </c>
      <c r="E214">
        <f t="shared" si="21"/>
        <v>62.08563833287667</v>
      </c>
    </row>
    <row r="215" spans="1:5">
      <c r="A215" s="5">
        <v>0.69</v>
      </c>
      <c r="B215" s="2">
        <f t="shared" si="19"/>
        <v>0.36719022774012239</v>
      </c>
      <c r="C215">
        <v>2</v>
      </c>
      <c r="D215">
        <f t="shared" si="20"/>
        <v>9.430048870795027E-2</v>
      </c>
      <c r="E215">
        <f t="shared" si="21"/>
        <v>60.566105215919372</v>
      </c>
    </row>
    <row r="216" spans="1:5">
      <c r="A216" s="5">
        <v>0.7</v>
      </c>
      <c r="B216" s="2">
        <f t="shared" si="19"/>
        <v>0.37477267176939932</v>
      </c>
      <c r="C216">
        <v>2</v>
      </c>
      <c r="D216">
        <f t="shared" si="20"/>
        <v>9.8010354469370342E-2</v>
      </c>
      <c r="E216">
        <f t="shared" si="21"/>
        <v>59.014740444608606</v>
      </c>
    </row>
    <row r="217" spans="1:5">
      <c r="A217" s="5">
        <v>0.71</v>
      </c>
      <c r="B217" s="2">
        <f t="shared" si="19"/>
        <v>0.3822902216868152</v>
      </c>
      <c r="C217">
        <v>2</v>
      </c>
      <c r="D217">
        <f t="shared" si="20"/>
        <v>0.10179572583540497</v>
      </c>
      <c r="E217">
        <f t="shared" si="21"/>
        <v>57.431801286899919</v>
      </c>
    </row>
    <row r="218" spans="1:5">
      <c r="A218" s="5">
        <v>0.72</v>
      </c>
      <c r="B218" s="2">
        <f t="shared" si="19"/>
        <v>0.38973608998664</v>
      </c>
      <c r="C218">
        <v>2</v>
      </c>
      <c r="D218">
        <f t="shared" si="20"/>
        <v>0.10565591996995427</v>
      </c>
      <c r="E218">
        <f t="shared" si="21"/>
        <v>55.817573286243658</v>
      </c>
    </row>
    <row r="219" spans="1:5">
      <c r="A219" s="5">
        <v>0.73</v>
      </c>
      <c r="B219" s="2">
        <f t="shared" si="19"/>
        <v>0.39710343900958139</v>
      </c>
      <c r="C219">
        <v>2</v>
      </c>
      <c r="D219">
        <f t="shared" si="20"/>
        <v>0.10959018590958558</v>
      </c>
      <c r="E219">
        <f t="shared" si="21"/>
        <v>54.172370475084385</v>
      </c>
    </row>
    <row r="220" spans="1:5">
      <c r="A220" s="5">
        <v>0.74</v>
      </c>
      <c r="B220" s="2">
        <f t="shared" si="19"/>
        <v>0.40438538276032232</v>
      </c>
      <c r="C220">
        <v>2</v>
      </c>
      <c r="D220">
        <f t="shared" si="20"/>
        <v>0.11359770407107228</v>
      </c>
      <c r="E220">
        <f t="shared" si="21"/>
        <v>52.496535580794642</v>
      </c>
    </row>
    <row r="221" spans="1:5">
      <c r="A221" s="5">
        <v>0.75</v>
      </c>
      <c r="B221" s="2">
        <f t="shared" si="19"/>
        <v>0.41157498874152426</v>
      </c>
      <c r="C221">
        <v>2</v>
      </c>
      <c r="D221">
        <f t="shared" si="20"/>
        <v>0.11767758577718845</v>
      </c>
      <c r="E221">
        <f t="shared" si="21"/>
        <v>50.790440223974755</v>
      </c>
    </row>
    <row r="222" spans="1:5">
      <c r="A222" s="5">
        <v>0.76</v>
      </c>
      <c r="B222" s="2">
        <f t="shared" si="19"/>
        <v>0.41866527980394685</v>
      </c>
      <c r="C222">
        <v>2</v>
      </c>
      <c r="D222">
        <f t="shared" si="20"/>
        <v>0.12182887280092758</v>
      </c>
      <c r="E222">
        <f t="shared" si="21"/>
        <v>49.054485109048116</v>
      </c>
    </row>
    <row r="223" spans="1:5">
      <c r="A223" s="5">
        <v>0.77</v>
      </c>
      <c r="B223" s="2">
        <f t="shared" si="19"/>
        <v>0.42564923601232829</v>
      </c>
      <c r="C223">
        <v>2</v>
      </c>
      <c r="D223">
        <f t="shared" si="20"/>
        <v>0.12605053692829904</v>
      </c>
      <c r="E223">
        <f t="shared" si="21"/>
        <v>47.289100207087806</v>
      </c>
    </row>
    <row r="224" spans="1:5">
      <c r="A224" s="5">
        <v>0.78</v>
      </c>
      <c r="B224" s="2">
        <f t="shared" si="19"/>
        <v>0.43251979652666955</v>
      </c>
      <c r="C224">
        <v>2</v>
      </c>
      <c r="D224">
        <f t="shared" si="20"/>
        <v>0.13034147953986197</v>
      </c>
      <c r="E224">
        <f t="shared" si="21"/>
        <v>45.494744930807727</v>
      </c>
    </row>
    <row r="225" spans="1:5">
      <c r="A225" s="5">
        <v>0.79</v>
      </c>
      <c r="B225" s="2">
        <f t="shared" si="19"/>
        <v>0.43926986149856062</v>
      </c>
      <c r="C225">
        <v>2</v>
      </c>
      <c r="D225">
        <f t="shared" si="20"/>
        <v>0.13470053121114656</v>
      </c>
      <c r="E225">
        <f t="shared" si="21"/>
        <v>43.671908301655506</v>
      </c>
    </row>
    <row r="226" spans="1:5">
      <c r="A226" s="5">
        <v>0.8</v>
      </c>
      <c r="B226" s="2">
        <f t="shared" si="19"/>
        <v>0.44589229398218594</v>
      </c>
      <c r="C226">
        <v>2</v>
      </c>
      <c r="D226">
        <f t="shared" si="20"/>
        <v>0.13912645133211377</v>
      </c>
      <c r="E226">
        <f t="shared" si="21"/>
        <v>41.821109108944093</v>
      </c>
    </row>
    <row r="227" spans="1:5">
      <c r="A227" s="5">
        <v>0.81</v>
      </c>
      <c r="B227" s="2">
        <f t="shared" si="19"/>
        <v>0.45237992185964127</v>
      </c>
      <c r="C227">
        <v>2</v>
      </c>
      <c r="D227">
        <f t="shared" si="20"/>
        <v>0.14361792774579574</v>
      </c>
      <c r="E227">
        <f t="shared" si="21"/>
        <v>39.942896060962482</v>
      </c>
    </row>
    <row r="228" spans="1:5">
      <c r="A228" s="5">
        <v>0.82</v>
      </c>
      <c r="B228" s="2">
        <f t="shared" si="19"/>
        <v>0.45872553978019132</v>
      </c>
      <c r="C228">
        <v>2</v>
      </c>
      <c r="D228">
        <f t="shared" si="20"/>
        <v>0.14817357640625928</v>
      </c>
      <c r="E228">
        <f t="shared" si="21"/>
        <v>38.037847928006073</v>
      </c>
    </row>
    <row r="229" spans="1:5">
      <c r="A229" s="5">
        <v>0.83</v>
      </c>
      <c r="B229" s="2">
        <f t="shared" si="19"/>
        <v>0.46492191111309589</v>
      </c>
      <c r="C229">
        <v>2</v>
      </c>
      <c r="D229">
        <f t="shared" si="20"/>
        <v>0.15279194105603111</v>
      </c>
      <c r="E229">
        <f t="shared" si="21"/>
        <v>36.106573677268649</v>
      </c>
    </row>
    <row r="230" spans="1:5">
      <c r="A230" s="5">
        <v>0.84</v>
      </c>
      <c r="B230" s="2">
        <f t="shared" si="19"/>
        <v>0.47096176991362693</v>
      </c>
      <c r="C230">
        <v>2</v>
      </c>
      <c r="D230">
        <f t="shared" si="20"/>
        <v>0.15747149292311724</v>
      </c>
      <c r="E230">
        <f t="shared" si="21"/>
        <v>34.149712599540585</v>
      </c>
    </row>
    <row r="231" spans="1:5">
      <c r="A231" s="5">
        <v>0.85</v>
      </c>
      <c r="B231" s="2">
        <f t="shared" si="19"/>
        <v>0.47683782290189958</v>
      </c>
      <c r="C231">
        <v>2</v>
      </c>
      <c r="D231">
        <f t="shared" si="20"/>
        <v>0.16221063043774575</v>
      </c>
      <c r="E231">
        <f t="shared" si="21"/>
        <v>32.16793442765934</v>
      </c>
    </row>
    <row r="232" spans="1:5">
      <c r="A232" s="5">
        <v>0.86</v>
      </c>
      <c r="B232" s="2">
        <f t="shared" si="19"/>
        <v>0.48254275145413272</v>
      </c>
      <c r="C232">
        <v>2</v>
      </c>
      <c r="D232">
        <f t="shared" si="20"/>
        <v>0.16700767896896196</v>
      </c>
      <c r="E232">
        <f t="shared" si="21"/>
        <v>30.161939446658142</v>
      </c>
    </row>
    <row r="233" spans="1:5">
      <c r="A233" s="5">
        <v>0.87</v>
      </c>
      <c r="B233" s="2">
        <f t="shared" si="19"/>
        <v>0.48806921360595695</v>
      </c>
      <c r="C233">
        <v>2</v>
      </c>
      <c r="D233">
        <f t="shared" si="20"/>
        <v>0.17186089058119669</v>
      </c>
      <c r="E233">
        <f t="shared" si="21"/>
        <v>28.132458595562532</v>
      </c>
    </row>
    <row r="234" spans="1:5">
      <c r="A234" s="5">
        <v>0.88</v>
      </c>
      <c r="B234" s="2">
        <f t="shared" si="19"/>
        <v>0.49340984606738048</v>
      </c>
      <c r="C234">
        <v>2</v>
      </c>
      <c r="D234">
        <f t="shared" si="20"/>
        <v>0.17676844381092427</v>
      </c>
      <c r="E234">
        <f t="shared" si="21"/>
        <v>26.080253560785899</v>
      </c>
    </row>
    <row r="235" spans="1:5">
      <c r="A235" s="5">
        <v>0.89</v>
      </c>
      <c r="B235" s="2">
        <f t="shared" si="19"/>
        <v>0.4985572662490253</v>
      </c>
      <c r="C235">
        <v>2</v>
      </c>
      <c r="D235">
        <f t="shared" si="20"/>
        <v>0.18172844346353001</v>
      </c>
      <c r="E235">
        <f t="shared" si="21"/>
        <v>24.006116861073959</v>
      </c>
    </row>
    <row r="236" spans="1:5">
      <c r="A236" s="5">
        <v>0.9</v>
      </c>
      <c r="B236" s="2">
        <f t="shared" si="19"/>
        <v>0.50350407429923816</v>
      </c>
      <c r="C236">
        <v>2</v>
      </c>
      <c r="D236">
        <f t="shared" si="20"/>
        <v>0.18673892043049067</v>
      </c>
      <c r="E236">
        <f t="shared" si="21"/>
        <v>21.910871923954893</v>
      </c>
    </row>
    <row r="237" spans="1:5">
      <c r="A237" s="5">
        <v>0.91</v>
      </c>
      <c r="B237" s="2">
        <f t="shared" si="19"/>
        <v>0.50824285515168488</v>
      </c>
      <c r="C237">
        <v>2</v>
      </c>
      <c r="D237">
        <f t="shared" si="20"/>
        <v>0.19179783152698404</v>
      </c>
      <c r="E237">
        <f t="shared" si="21"/>
        <v>19.795373153646629</v>
      </c>
    </row>
    <row r="238" spans="1:5">
      <c r="A238" s="5">
        <v>0.92</v>
      </c>
      <c r="B238" s="2">
        <f t="shared" si="19"/>
        <v>0.51276618058302692</v>
      </c>
      <c r="C238">
        <v>2</v>
      </c>
      <c r="D238">
        <f t="shared" si="20"/>
        <v>0.19690305935001984</v>
      </c>
      <c r="E238">
        <f t="shared" si="21"/>
        <v>17.660505990382585</v>
      </c>
    </row>
    <row r="239" spans="1:5">
      <c r="A239" s="5">
        <v>0.93</v>
      </c>
      <c r="B239" s="2">
        <f t="shared" si="19"/>
        <v>0.51706661128028431</v>
      </c>
      <c r="C239">
        <v>2</v>
      </c>
      <c r="D239">
        <f t="shared" si="20"/>
        <v>0.20205241215719927</v>
      </c>
      <c r="E239">
        <f t="shared" si="21"/>
        <v>15.507186961111167</v>
      </c>
    </row>
    <row r="240" spans="1:5">
      <c r="A240" s="5">
        <v>0.94</v>
      </c>
      <c r="B240" s="2">
        <f t="shared" si="19"/>
        <v>0.52113669891747838</v>
      </c>
      <c r="C240">
        <v>2</v>
      </c>
      <c r="D240">
        <f t="shared" si="20"/>
        <v>0.20724362376619521</v>
      </c>
      <c r="E240">
        <f t="shared" si="21"/>
        <v>13.336363721530384</v>
      </c>
    </row>
    <row r="241" spans="1:5">
      <c r="A241" s="5">
        <v>0.95</v>
      </c>
      <c r="B241" s="2">
        <f t="shared" si="19"/>
        <v>0.5249689882411549</v>
      </c>
      <c r="C241">
        <v>2</v>
      </c>
      <c r="D241">
        <f t="shared" si="20"/>
        <v>0.21247435347504084</v>
      </c>
      <c r="E241">
        <f t="shared" si="21"/>
        <v>11.149015089420976</v>
      </c>
    </row>
    <row r="242" spans="1:5">
      <c r="A242" s="5">
        <v>0.96</v>
      </c>
      <c r="B242" s="2">
        <f t="shared" si="19"/>
        <v>0.52855601916437611</v>
      </c>
      <c r="C242">
        <v>2</v>
      </c>
      <c r="D242">
        <f t="shared" si="20"/>
        <v>0.21774218600332029</v>
      </c>
      <c r="E242">
        <f t="shared" si="21"/>
        <v>8.9461510692389048</v>
      </c>
    </row>
    <row r="243" spans="1:5">
      <c r="A243" s="5">
        <v>0.97</v>
      </c>
      <c r="B243" s="2">
        <f t="shared" si="19"/>
        <v>0.53189032886877741</v>
      </c>
      <c r="C243">
        <v>2</v>
      </c>
      <c r="D243">
        <f t="shared" si="20"/>
        <v>0.22304463145433506</v>
      </c>
      <c r="E243">
        <f t="shared" si="21"/>
        <v>6.7288128679362975</v>
      </c>
    </row>
    <row r="244" spans="1:5">
      <c r="A244" s="5">
        <v>0.98</v>
      </c>
      <c r="B244" s="2">
        <f t="shared" si="19"/>
        <v>0.53496445391427505</v>
      </c>
      <c r="C244">
        <v>2</v>
      </c>
      <c r="D244">
        <f t="shared" si="20"/>
        <v>0.22837912529833337</v>
      </c>
      <c r="E244">
        <f t="shared" si="21"/>
        <v>4.4980729019744849</v>
      </c>
    </row>
    <row r="245" spans="1:5">
      <c r="A245" s="5">
        <v>0.99</v>
      </c>
      <c r="B245" s="2">
        <f t="shared" si="19"/>
        <v>0.53777093235601392</v>
      </c>
      <c r="C245">
        <v>2</v>
      </c>
      <c r="D245">
        <f t="shared" si="20"/>
        <v>0.23374302837687244</v>
      </c>
      <c r="E245">
        <f t="shared" si="21"/>
        <v>2.2550347954998258</v>
      </c>
    </row>
    <row r="246" spans="1:5">
      <c r="A246" s="5">
        <v>1</v>
      </c>
      <c r="B246" s="2">
        <f t="shared" si="19"/>
        <v>0.54030230586813977</v>
      </c>
      <c r="C246">
        <v>1</v>
      </c>
      <c r="D246">
        <f t="shared" si="20"/>
        <v>0.23913362692838303</v>
      </c>
      <c r="E246">
        <f t="shared" si="21"/>
        <v>8.3336965329885624E-4</v>
      </c>
    </row>
    <row r="247" spans="1:5">
      <c r="B247" t="s">
        <v>13</v>
      </c>
      <c r="C247">
        <f>SUMPRODUCT(B146:B246,C146:C246)/2*(A147-A146)</f>
        <v>0.23913561981206877</v>
      </c>
    </row>
  </sheetData>
  <mergeCells count="2">
    <mergeCell ref="A127:C127"/>
    <mergeCell ref="A144:C144"/>
  </mergeCells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4.1</vt:lpstr>
      <vt:lpstr>4.4</vt:lpstr>
      <vt:lpstr>4.5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</dc:creator>
  <cp:lastModifiedBy>Zhen Luo</cp:lastModifiedBy>
  <dcterms:created xsi:type="dcterms:W3CDTF">2019-10-10T01:40:24Z</dcterms:created>
  <dcterms:modified xsi:type="dcterms:W3CDTF">2020-05-13T01:58:10Z</dcterms:modified>
</cp:coreProperties>
</file>