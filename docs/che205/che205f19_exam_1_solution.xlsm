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8C4F1C90-05EB-6A55-5F09-09C24B55AC0B}"/>
  <workbookPr codeName="ThisWorkbook" autoCompressPictures="0"/>
  <bookViews>
    <workbookView xWindow="0" yWindow="0" windowWidth="27040" windowHeight="16060"/>
  </bookViews>
  <sheets>
    <sheet name="Sheet1" sheetId="1" r:id="rId1"/>
    <sheet name="Sheet2" sheetId="2" r:id="rId2"/>
    <sheet name="Sheet3" sheetId="3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8" i="1" l="1"/>
  <c r="G18" i="1"/>
  <c r="H18" i="1"/>
  <c r="I18" i="1"/>
  <c r="O18" i="1"/>
  <c r="J18" i="1"/>
  <c r="K18" i="1"/>
  <c r="L18" i="1"/>
  <c r="M18" i="1"/>
  <c r="P18" i="1"/>
  <c r="N19" i="1"/>
  <c r="F19" i="1"/>
  <c r="G19" i="1"/>
  <c r="H19" i="1"/>
  <c r="I19" i="1"/>
  <c r="O19" i="1"/>
  <c r="J19" i="1"/>
  <c r="K19" i="1"/>
  <c r="L19" i="1"/>
  <c r="M19" i="1"/>
  <c r="P19" i="1"/>
  <c r="N20" i="1"/>
  <c r="F20" i="1"/>
  <c r="G20" i="1"/>
  <c r="H20" i="1"/>
  <c r="I20" i="1"/>
  <c r="O20" i="1"/>
  <c r="J20" i="1"/>
  <c r="K20" i="1"/>
  <c r="L20" i="1"/>
  <c r="M20" i="1"/>
  <c r="P20" i="1"/>
  <c r="N21" i="1"/>
  <c r="F21" i="1"/>
  <c r="G21" i="1"/>
  <c r="H21" i="1"/>
  <c r="I21" i="1"/>
  <c r="O21" i="1"/>
  <c r="J21" i="1"/>
  <c r="K21" i="1"/>
  <c r="L21" i="1"/>
  <c r="M21" i="1"/>
  <c r="P21" i="1"/>
  <c r="N22" i="1"/>
  <c r="F22" i="1"/>
  <c r="G22" i="1"/>
  <c r="H22" i="1"/>
  <c r="I22" i="1"/>
  <c r="O22" i="1"/>
  <c r="J22" i="1"/>
  <c r="K22" i="1"/>
  <c r="L22" i="1"/>
  <c r="M22" i="1"/>
  <c r="P22" i="1"/>
  <c r="N23" i="1"/>
  <c r="J23" i="1"/>
  <c r="K23" i="1"/>
  <c r="L23" i="1"/>
  <c r="M23" i="1"/>
  <c r="P23" i="1"/>
  <c r="F23" i="1"/>
  <c r="G23" i="1"/>
  <c r="H23" i="1"/>
  <c r="I23" i="1"/>
  <c r="O23" i="1"/>
  <c r="N24" i="1"/>
  <c r="J24" i="1"/>
  <c r="K24" i="1"/>
  <c r="L24" i="1"/>
  <c r="M24" i="1"/>
  <c r="P24" i="1"/>
  <c r="F24" i="1"/>
  <c r="G24" i="1"/>
  <c r="H24" i="1"/>
  <c r="I24" i="1"/>
  <c r="O24" i="1"/>
  <c r="N25" i="1"/>
  <c r="J25" i="1"/>
  <c r="K25" i="1"/>
  <c r="L25" i="1"/>
  <c r="M25" i="1"/>
  <c r="P25" i="1"/>
  <c r="F25" i="1"/>
  <c r="G25" i="1"/>
  <c r="H25" i="1"/>
  <c r="I25" i="1"/>
  <c r="O25" i="1"/>
  <c r="N26" i="1"/>
  <c r="J26" i="1"/>
  <c r="K26" i="1"/>
  <c r="L26" i="1"/>
  <c r="M26" i="1"/>
  <c r="P26" i="1"/>
  <c r="F26" i="1"/>
  <c r="G26" i="1"/>
  <c r="H26" i="1"/>
  <c r="I26" i="1"/>
  <c r="O26" i="1"/>
  <c r="C10" i="1"/>
  <c r="G10" i="1"/>
  <c r="D10" i="1"/>
  <c r="H10" i="1"/>
  <c r="E10" i="1"/>
  <c r="I10" i="1"/>
  <c r="B10" i="1"/>
  <c r="F10" i="1"/>
  <c r="O10" i="1"/>
  <c r="E18" i="1"/>
  <c r="D18" i="1"/>
  <c r="C18" i="1"/>
  <c r="B18" i="1"/>
</calcChain>
</file>

<file path=xl/sharedStrings.xml><?xml version="1.0" encoding="utf-8"?>
<sst xmlns="http://schemas.openxmlformats.org/spreadsheetml/2006/main" count="38" uniqueCount="27">
  <si>
    <t>A</t>
  </si>
  <si>
    <t>B</t>
  </si>
  <si>
    <t>C</t>
  </si>
  <si>
    <t>P (atm)</t>
  </si>
  <si>
    <t>k1</t>
  </si>
  <si>
    <t>k2</t>
  </si>
  <si>
    <t>k3</t>
  </si>
  <si>
    <t>k4</t>
  </si>
  <si>
    <t>Ethylene</t>
  </si>
  <si>
    <t>Ethane</t>
  </si>
  <si>
    <t>Propane</t>
  </si>
  <si>
    <t>n-Butane</t>
  </si>
  <si>
    <t>Alpha</t>
  </si>
  <si>
    <t>f(Alpha)</t>
  </si>
  <si>
    <t>Temp (C)=</t>
  </si>
  <si>
    <t xml:space="preserve">z </t>
  </si>
  <si>
    <t>f'(Alpha)</t>
  </si>
  <si>
    <t>w1</t>
  </si>
  <si>
    <t>w2</t>
  </si>
  <si>
    <t>w3</t>
  </si>
  <si>
    <t>w4</t>
  </si>
  <si>
    <t>u1</t>
  </si>
  <si>
    <t>u2</t>
  </si>
  <si>
    <t>u3</t>
  </si>
  <si>
    <t>u4</t>
  </si>
  <si>
    <t>part a</t>
  </si>
  <si>
    <t>part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</si>
</sst>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"/>
    <numFmt numFmtId="166" formatCode="0.0000"/>
    <numFmt numFmtId="167" formatCode="0.000E+00"/>
  </numFmts>
  <fonts count="6" x14ac:knownFonts="1"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2"/>
      <name val="Arial"/>
    </font>
    <font>
      <b/>
      <sz val="12"/>
      <name val="Arial"/>
      <family val="2"/>
    </font>
    <font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3" fillId="0" borderId="0" xfId="0" applyFont="1" applyBorder="1"/>
    <xf numFmtId="0" fontId="4" fillId="0" borderId="0" xfId="0" applyFont="1" applyBorder="1"/>
    <xf numFmtId="164" fontId="3" fillId="0" borderId="0" xfId="0" applyNumberFormat="1" applyFont="1" applyBorder="1"/>
    <xf numFmtId="0" fontId="3" fillId="0" borderId="0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2" fontId="3" fillId="0" borderId="0" xfId="0" applyNumberFormat="1" applyFont="1" applyBorder="1"/>
    <xf numFmtId="165" fontId="3" fillId="0" borderId="0" xfId="0" applyNumberFormat="1" applyFont="1" applyBorder="1"/>
    <xf numFmtId="167" fontId="3" fillId="0" borderId="0" xfId="0" applyNumberFormat="1" applyFont="1" applyBorder="1"/>
    <xf numFmtId="166" fontId="3" fillId="0" borderId="0" xfId="0" applyNumberFormat="1" applyFont="1" applyBorder="1"/>
    <xf numFmtId="164" fontId="4" fillId="0" borderId="0" xfId="0" applyNumberFormat="1" applyFont="1" applyBorder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26"/>
  <sheetViews>
    <sheetView tabSelected="1" zoomScale="150" zoomScaleNormal="150" zoomScalePageLayoutView="150" workbookViewId="0">
      <selection activeCell="P14" sqref="P14"/>
    </sheetView>
  </sheetViews>
  <sheetFormatPr baseColWidth="10" defaultColWidth="8.83203125" defaultRowHeight="15" x14ac:dyDescent="0"/>
  <cols>
    <col min="1" max="1" width="10.6640625" style="1" bestFit="1" customWidth="1"/>
    <col min="2" max="2" width="9.6640625" style="1" bestFit="1" customWidth="1"/>
    <col min="3" max="4" width="9.33203125" style="1" bestFit="1" customWidth="1"/>
    <col min="5" max="5" width="10" style="1" bestFit="1" customWidth="1"/>
    <col min="6" max="13" width="8" style="1" bestFit="1" customWidth="1"/>
    <col min="14" max="14" width="11.33203125" style="1" bestFit="1" customWidth="1"/>
    <col min="15" max="15" width="11.1640625" style="1" bestFit="1" customWidth="1"/>
    <col min="16" max="16" width="15.33203125" style="1" bestFit="1" customWidth="1"/>
    <col min="17" max="17" width="9" style="1" bestFit="1" customWidth="1"/>
    <col min="18" max="18" width="8.83203125" style="1"/>
    <col min="19" max="19" width="11.83203125" style="1" customWidth="1"/>
    <col min="20" max="16384" width="8.83203125" style="1"/>
  </cols>
  <sheetData>
    <row r="1" spans="1:20">
      <c r="A1" s="1" t="s">
        <v>14</v>
      </c>
      <c r="B1" s="1">
        <v>0</v>
      </c>
    </row>
    <row r="2" spans="1:20">
      <c r="B2" s="2" t="s">
        <v>8</v>
      </c>
      <c r="C2" s="2" t="s">
        <v>9</v>
      </c>
      <c r="D2" s="2" t="s">
        <v>10</v>
      </c>
      <c r="E2" s="2" t="s">
        <v>11</v>
      </c>
      <c r="F2" s="2"/>
    </row>
    <row r="3" spans="1:20">
      <c r="A3" s="3" t="s">
        <v>0</v>
      </c>
      <c r="B3" s="4">
        <v>3.867</v>
      </c>
      <c r="C3" s="4">
        <v>3.9329999999999998</v>
      </c>
      <c r="D3" s="4">
        <v>3.9769999999999999</v>
      </c>
      <c r="E3" s="4">
        <v>3.8439999999999999</v>
      </c>
      <c r="J3" s="5"/>
      <c r="K3" s="5"/>
      <c r="L3" s="5"/>
    </row>
    <row r="4" spans="1:20">
      <c r="A4" s="3" t="s">
        <v>1</v>
      </c>
      <c r="B4" s="4">
        <v>584.14599999999996</v>
      </c>
      <c r="C4" s="4">
        <v>659.73900000000003</v>
      </c>
      <c r="D4" s="4">
        <v>819.29600000000005</v>
      </c>
      <c r="E4" s="4">
        <v>909.65</v>
      </c>
      <c r="J4" s="5"/>
      <c r="K4" s="5"/>
      <c r="L4" s="5"/>
    </row>
    <row r="5" spans="1:20">
      <c r="A5" s="3" t="s">
        <v>2</v>
      </c>
      <c r="B5" s="4">
        <v>-18.306999999999999</v>
      </c>
      <c r="C5" s="4">
        <v>-16.719000000000001</v>
      </c>
      <c r="D5" s="4">
        <v>-24.417000000000002</v>
      </c>
      <c r="E5" s="4">
        <v>-36.146000000000001</v>
      </c>
      <c r="J5" s="5"/>
      <c r="K5" s="5"/>
      <c r="L5" s="5"/>
    </row>
    <row r="6" spans="1:20">
      <c r="A6" s="3" t="s">
        <v>15</v>
      </c>
      <c r="B6" s="6">
        <v>0.1</v>
      </c>
      <c r="C6" s="6">
        <v>0.3</v>
      </c>
      <c r="D6" s="6">
        <v>0.4</v>
      </c>
      <c r="E6" s="6">
        <v>0.2</v>
      </c>
      <c r="F6" s="6"/>
      <c r="G6" s="6"/>
      <c r="H6" s="6"/>
      <c r="J6" s="5"/>
      <c r="K6" s="5"/>
      <c r="L6" s="5"/>
      <c r="M6" s="5"/>
      <c r="N6" s="5"/>
      <c r="O6" s="5"/>
    </row>
    <row r="7" spans="1:20">
      <c r="A7" s="3"/>
      <c r="B7" s="6"/>
      <c r="C7" s="6"/>
      <c r="D7" s="6"/>
      <c r="E7" s="6"/>
      <c r="F7" s="6"/>
      <c r="G7" s="6"/>
      <c r="H7" s="6"/>
      <c r="J7" s="5"/>
      <c r="K7" s="5"/>
      <c r="L7" s="5"/>
      <c r="M7" s="5"/>
      <c r="N7" s="5"/>
      <c r="O7" s="5"/>
    </row>
    <row r="8" spans="1:20">
      <c r="A8" s="10" t="s">
        <v>25</v>
      </c>
      <c r="B8" s="6"/>
      <c r="C8" s="7"/>
    </row>
    <row r="9" spans="1:20" s="2" customFormat="1">
      <c r="A9" s="2" t="s">
        <v>3</v>
      </c>
      <c r="B9" s="2" t="s">
        <v>4</v>
      </c>
      <c r="C9" s="2" t="s">
        <v>5</v>
      </c>
      <c r="D9" s="2" t="s">
        <v>6</v>
      </c>
      <c r="E9" s="2" t="s">
        <v>7</v>
      </c>
      <c r="F9" s="2" t="s">
        <v>21</v>
      </c>
      <c r="G9" s="2" t="s">
        <v>22</v>
      </c>
      <c r="H9" s="2" t="s">
        <v>23</v>
      </c>
      <c r="I9" s="2" t="s">
        <v>24</v>
      </c>
      <c r="N9" s="2" t="s">
        <v>12</v>
      </c>
      <c r="O9" s="2" t="s">
        <v>13</v>
      </c>
    </row>
    <row r="10" spans="1:20" s="2" customFormat="1">
      <c r="A10" s="1">
        <v>18</v>
      </c>
      <c r="B10" s="7">
        <f>(10^(B$3-B$4/(B$5+$B$1+273)))/$A10</f>
        <v>2.0806433243832472</v>
      </c>
      <c r="C10" s="7">
        <f>(10^(C$3-C$4/(C$5+$B$1+273)))/$A10</f>
        <v>1.2689593218846316</v>
      </c>
      <c r="D10" s="7">
        <f>(10^(D$3-D$4/(D$5+$B$1+273)))/$A10</f>
        <v>0.26660146543917218</v>
      </c>
      <c r="E10" s="7">
        <f>(10^(E$3-E$4/(E$5+$B$1+273)))/$A10</f>
        <v>5.5998440367748009E-2</v>
      </c>
      <c r="F10" s="7">
        <f>(1-B10)*B$6/(1+$N10*(B10-1))</f>
        <v>-0.24561665796977622</v>
      </c>
      <c r="G10" s="7">
        <f t="shared" ref="G10:I10" si="0">(1-C10)*C$6/(1+$N10*(C10-1))</f>
        <v>-9.375591361676397E-2</v>
      </c>
      <c r="H10" s="7">
        <f t="shared" si="0"/>
        <v>0.21256793792931852</v>
      </c>
      <c r="I10" s="7">
        <f t="shared" si="0"/>
        <v>0.12677834506871774</v>
      </c>
      <c r="J10" s="7"/>
      <c r="K10" s="7"/>
      <c r="L10" s="7"/>
      <c r="M10" s="7"/>
      <c r="N10" s="7">
        <v>-0.51823619794210263</v>
      </c>
      <c r="O10" s="8">
        <f>SUM(F10:I10)-SUM(J10:M10)</f>
        <v>-2.6288588503953214E-5</v>
      </c>
      <c r="P10" s="7"/>
      <c r="Q10" s="7"/>
      <c r="T10" s="7"/>
    </row>
    <row r="11" spans="1:20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P11" s="7"/>
      <c r="Q11" s="7"/>
      <c r="T11" s="7"/>
    </row>
    <row r="12" spans="1:20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P12" s="7"/>
      <c r="Q12" s="7"/>
      <c r="T12" s="7"/>
    </row>
    <row r="13" spans="1:20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8"/>
      <c r="P13" s="7"/>
      <c r="Q13" s="7"/>
      <c r="T13" s="7"/>
    </row>
    <row r="14" spans="1:20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P14" s="7"/>
      <c r="Q14" s="7"/>
      <c r="T14" s="7"/>
    </row>
    <row r="15" spans="1:20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9"/>
      <c r="S15" s="8"/>
    </row>
    <row r="16" spans="1:20">
      <c r="A16" s="2" t="s">
        <v>26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9"/>
      <c r="S16" s="8"/>
    </row>
    <row r="17" spans="1:16">
      <c r="A17" s="2" t="s">
        <v>3</v>
      </c>
      <c r="B17" s="2" t="s">
        <v>4</v>
      </c>
      <c r="C17" s="2" t="s">
        <v>5</v>
      </c>
      <c r="D17" s="2" t="s">
        <v>6</v>
      </c>
      <c r="E17" s="2" t="s">
        <v>7</v>
      </c>
      <c r="F17" s="2" t="s">
        <v>21</v>
      </c>
      <c r="G17" s="2" t="s">
        <v>22</v>
      </c>
      <c r="H17" s="2" t="s">
        <v>23</v>
      </c>
      <c r="I17" s="2" t="s">
        <v>24</v>
      </c>
      <c r="J17" s="2" t="s">
        <v>17</v>
      </c>
      <c r="K17" s="2" t="s">
        <v>18</v>
      </c>
      <c r="L17" s="2" t="s">
        <v>19</v>
      </c>
      <c r="M17" s="2" t="s">
        <v>20</v>
      </c>
      <c r="N17" s="2" t="s">
        <v>12</v>
      </c>
      <c r="O17" s="2" t="s">
        <v>13</v>
      </c>
      <c r="P17" s="2" t="s">
        <v>16</v>
      </c>
    </row>
    <row r="18" spans="1:16">
      <c r="A18" s="1">
        <v>18</v>
      </c>
      <c r="B18" s="7">
        <f>(10^(B$3-B$4/(B$5+$B$1+273)))/$A18</f>
        <v>2.0806433243832472</v>
      </c>
      <c r="C18" s="7">
        <f>(10^(C$3-C$4/(C$5+$B$1+273)))/$A18</f>
        <v>1.2689593218846316</v>
      </c>
      <c r="D18" s="7">
        <f>(10^(D$3-D$4/(D$5+$B$1+273)))/$A18</f>
        <v>0.26660146543917218</v>
      </c>
      <c r="E18" s="7">
        <f>(10^(E$3-E$4/(E$5+$B$1+273)))/$A18</f>
        <v>5.5998440367748009E-2</v>
      </c>
      <c r="F18" s="7">
        <f t="shared" ref="F18:I22" si="1">(1-B$10)*B$6/(1+$N18*(B$10-1))</f>
        <v>-9.7525323462516217E-2</v>
      </c>
      <c r="G18" s="7">
        <f t="shared" si="1"/>
        <v>-7.8574463133213646E-2</v>
      </c>
      <c r="H18" s="7">
        <f t="shared" si="1"/>
        <v>0.31657713447421676</v>
      </c>
      <c r="I18" s="7">
        <f t="shared" si="1"/>
        <v>0.20848094571754761</v>
      </c>
      <c r="J18" s="7">
        <f t="shared" ref="J18:M22" si="2">(1-B$10)^2*B$6/(1+$N18*(B$10-1))^2</f>
        <v>9.5111887164684134E-2</v>
      </c>
      <c r="K18" s="7">
        <f t="shared" si="2"/>
        <v>2.0579820855575835E-2</v>
      </c>
      <c r="L18" s="7">
        <f t="shared" si="2"/>
        <v>0.25055270517976586</v>
      </c>
      <c r="M18" s="7">
        <f t="shared" si="2"/>
        <v>0.21732152363641513</v>
      </c>
      <c r="N18" s="7">
        <v>0.1</v>
      </c>
      <c r="O18" s="8">
        <f>SUM(F18:I18)</f>
        <v>0.34895829359603447</v>
      </c>
      <c r="P18" s="7">
        <f>SUM(J18:M18)</f>
        <v>0.58356593683644098</v>
      </c>
    </row>
    <row r="19" spans="1:16">
      <c r="B19" s="7"/>
      <c r="C19" s="7"/>
      <c r="D19" s="7"/>
      <c r="E19" s="7"/>
      <c r="F19" s="7">
        <f t="shared" si="1"/>
        <v>-0.2339734438794224</v>
      </c>
      <c r="G19" s="7">
        <f t="shared" si="1"/>
        <v>-9.3166006826816347E-2</v>
      </c>
      <c r="H19" s="7">
        <f t="shared" si="1"/>
        <v>0.21488152228048354</v>
      </c>
      <c r="I19" s="7">
        <f t="shared" si="1"/>
        <v>0.12842773140150468</v>
      </c>
      <c r="J19" s="7">
        <f t="shared" si="2"/>
        <v>0.54743572440797228</v>
      </c>
      <c r="K19" s="7">
        <f t="shared" si="2"/>
        <v>2.8933016093514639E-2</v>
      </c>
      <c r="L19" s="7">
        <f t="shared" si="2"/>
        <v>0.11543517154394488</v>
      </c>
      <c r="M19" s="7">
        <f t="shared" si="2"/>
        <v>8.2468410964685115E-2</v>
      </c>
      <c r="N19" s="7">
        <f>N18-O18/P18</f>
        <v>-0.49797577543296334</v>
      </c>
      <c r="O19" s="8">
        <f t="shared" ref="O19:O22" si="3">SUM(F19:I19)</f>
        <v>1.6169802975749492E-2</v>
      </c>
      <c r="P19" s="7">
        <f t="shared" ref="P19:P26" si="4">SUM(J19:M19)</f>
        <v>0.77427232301011695</v>
      </c>
    </row>
    <row r="20" spans="1:16">
      <c r="B20" s="7"/>
      <c r="C20" s="7"/>
      <c r="D20" s="7"/>
      <c r="E20" s="7"/>
      <c r="F20" s="7">
        <f t="shared" si="1"/>
        <v>-0.24599334568065465</v>
      </c>
      <c r="G20" s="7">
        <f t="shared" si="1"/>
        <v>-9.3774184560773827E-2</v>
      </c>
      <c r="H20" s="7">
        <f t="shared" si="1"/>
        <v>0.21249753480389341</v>
      </c>
      <c r="I20" s="7">
        <f t="shared" si="1"/>
        <v>0.12672826224149389</v>
      </c>
      <c r="J20" s="7">
        <f t="shared" si="2"/>
        <v>0.60512726119162041</v>
      </c>
      <c r="K20" s="7">
        <f t="shared" si="2"/>
        <v>2.9311992300126908E-2</v>
      </c>
      <c r="L20" s="7">
        <f t="shared" si="2"/>
        <v>0.11288800574432972</v>
      </c>
      <c r="M20" s="7">
        <f t="shared" si="2"/>
        <v>8.030026225374419E-2</v>
      </c>
      <c r="N20" s="7">
        <f t="shared" ref="N20:N22" si="5">N19-O19/P19</f>
        <v>-0.51885964599789147</v>
      </c>
      <c r="O20" s="8">
        <f t="shared" si="3"/>
        <v>-5.4173319604117198E-4</v>
      </c>
      <c r="P20" s="7">
        <f t="shared" si="4"/>
        <v>0.82762752148982133</v>
      </c>
    </row>
    <row r="21" spans="1:16">
      <c r="B21" s="7"/>
      <c r="C21" s="7"/>
      <c r="D21" s="7"/>
      <c r="E21" s="7"/>
      <c r="F21" s="7">
        <f t="shared" si="1"/>
        <v>-0.24559788936641383</v>
      </c>
      <c r="G21" s="7">
        <f t="shared" si="1"/>
        <v>-9.3755001980964647E-2</v>
      </c>
      <c r="H21" s="7">
        <f t="shared" si="1"/>
        <v>0.21257145266133207</v>
      </c>
      <c r="I21" s="7">
        <f t="shared" si="1"/>
        <v>0.12678084551906485</v>
      </c>
      <c r="J21" s="7">
        <f t="shared" si="2"/>
        <v>0.60318323261237239</v>
      </c>
      <c r="K21" s="7">
        <f t="shared" si="2"/>
        <v>2.9300001321502279E-2</v>
      </c>
      <c r="L21" s="7">
        <f t="shared" si="2"/>
        <v>0.11296655621637235</v>
      </c>
      <c r="M21" s="7">
        <f t="shared" si="2"/>
        <v>8.0366913952644906E-2</v>
      </c>
      <c r="N21" s="7">
        <f t="shared" si="5"/>
        <v>-0.51820508439623525</v>
      </c>
      <c r="O21" s="8">
        <f t="shared" si="3"/>
        <v>-5.9316698153288883E-7</v>
      </c>
      <c r="P21" s="7">
        <f t="shared" si="4"/>
        <v>0.82581670410289187</v>
      </c>
    </row>
    <row r="22" spans="1:16">
      <c r="B22" s="7"/>
      <c r="C22" s="7"/>
      <c r="D22" s="7"/>
      <c r="E22" s="7"/>
      <c r="F22" s="7">
        <f t="shared" si="1"/>
        <v>-0.24559745611319375</v>
      </c>
      <c r="G22" s="7">
        <f t="shared" si="1"/>
        <v>-9.3754980935387158E-2</v>
      </c>
      <c r="H22" s="7">
        <f t="shared" si="1"/>
        <v>0.2125715338028934</v>
      </c>
      <c r="I22" s="7">
        <f t="shared" si="1"/>
        <v>0.12678090324497573</v>
      </c>
      <c r="J22" s="7">
        <f t="shared" si="2"/>
        <v>0.60318110449272122</v>
      </c>
      <c r="K22" s="7">
        <f t="shared" si="2"/>
        <v>2.9299988167316028E-2</v>
      </c>
      <c r="L22" s="7">
        <f t="shared" si="2"/>
        <v>0.11296664245828661</v>
      </c>
      <c r="M22" s="7">
        <f t="shared" si="2"/>
        <v>8.0366987138059467E-2</v>
      </c>
      <c r="N22" s="7">
        <f t="shared" si="5"/>
        <v>-0.51820436611701104</v>
      </c>
      <c r="O22" s="8">
        <f t="shared" si="3"/>
        <v>-7.1179173666280349E-13</v>
      </c>
      <c r="P22" s="7">
        <f t="shared" si="4"/>
        <v>0.8258147222563833</v>
      </c>
    </row>
    <row r="23" spans="1:16">
      <c r="F23" s="7">
        <f t="shared" ref="F23:F26" si="6">(1-B$10)*B$6/(1+$N23*(B$10-1))</f>
        <v>-0.24559745611267383</v>
      </c>
      <c r="G23" s="7">
        <f t="shared" ref="G23:G26" si="7">(1-C$10)*C$6/(1+$N23*(C$10-1))</f>
        <v>-9.3754980935361901E-2</v>
      </c>
      <c r="H23" s="7">
        <f t="shared" ref="H23:H26" si="8">(1-D$10)*D$6/(1+$N23*(D$10-1))</f>
        <v>0.21257153380299076</v>
      </c>
      <c r="I23" s="7">
        <f t="shared" ref="I23:I26" si="9">(1-E$10)*E$6/(1+$N23*(E$10-1))</f>
        <v>0.12678090324504498</v>
      </c>
      <c r="J23" s="7">
        <f t="shared" ref="J23:J26" si="10">(1-B$10)^2*B$6/(1+$N23*(B$10-1))^2</f>
        <v>0.60318110449016737</v>
      </c>
      <c r="K23" s="7">
        <f t="shared" ref="K23:K26" si="11">(1-C$10)^2*C$6/(1+$N23*(C$10-1))^2</f>
        <v>2.9299988167300242E-2</v>
      </c>
      <c r="L23" s="7">
        <f t="shared" ref="L23:L26" si="12">(1-D$10)^2*D$6/(1+$N23*(D$10-1))^2</f>
        <v>0.11296664245839011</v>
      </c>
      <c r="M23" s="7">
        <f t="shared" ref="M23:M26" si="13">(1-E$10)^2*E$6/(1+$N23*(E$10-1))^2</f>
        <v>8.0366987138147272E-2</v>
      </c>
      <c r="N23" s="7">
        <f t="shared" ref="N23:N26" si="14">N22-O22/P22</f>
        <v>-0.51820436611614906</v>
      </c>
      <c r="O23" s="8">
        <f t="shared" ref="O23:O26" si="15">SUM(F23:I23)</f>
        <v>0</v>
      </c>
      <c r="P23" s="7">
        <f t="shared" si="4"/>
        <v>0.82581472225400498</v>
      </c>
    </row>
    <row r="24" spans="1:16">
      <c r="F24" s="7">
        <f t="shared" si="6"/>
        <v>-0.24559745611267383</v>
      </c>
      <c r="G24" s="7">
        <f t="shared" si="7"/>
        <v>-9.3754980935361901E-2</v>
      </c>
      <c r="H24" s="7">
        <f t="shared" si="8"/>
        <v>0.21257153380299076</v>
      </c>
      <c r="I24" s="7">
        <f t="shared" si="9"/>
        <v>0.12678090324504498</v>
      </c>
      <c r="J24" s="7">
        <f t="shared" si="10"/>
        <v>0.60318110449016737</v>
      </c>
      <c r="K24" s="7">
        <f t="shared" si="11"/>
        <v>2.9299988167300242E-2</v>
      </c>
      <c r="L24" s="7">
        <f t="shared" si="12"/>
        <v>0.11296664245839011</v>
      </c>
      <c r="M24" s="7">
        <f t="shared" si="13"/>
        <v>8.0366987138147272E-2</v>
      </c>
      <c r="N24" s="7">
        <f t="shared" si="14"/>
        <v>-0.51820436611614906</v>
      </c>
      <c r="O24" s="8">
        <f t="shared" si="15"/>
        <v>0</v>
      </c>
      <c r="P24" s="7">
        <f t="shared" si="4"/>
        <v>0.82581472225400498</v>
      </c>
    </row>
    <row r="25" spans="1:16">
      <c r="F25" s="7">
        <f t="shared" si="6"/>
        <v>-0.24559745611267383</v>
      </c>
      <c r="G25" s="7">
        <f t="shared" si="7"/>
        <v>-9.3754980935361901E-2</v>
      </c>
      <c r="H25" s="7">
        <f t="shared" si="8"/>
        <v>0.21257153380299076</v>
      </c>
      <c r="I25" s="7">
        <f t="shared" si="9"/>
        <v>0.12678090324504498</v>
      </c>
      <c r="J25" s="7">
        <f t="shared" si="10"/>
        <v>0.60318110449016737</v>
      </c>
      <c r="K25" s="7">
        <f t="shared" si="11"/>
        <v>2.9299988167300242E-2</v>
      </c>
      <c r="L25" s="7">
        <f t="shared" si="12"/>
        <v>0.11296664245839011</v>
      </c>
      <c r="M25" s="7">
        <f t="shared" si="13"/>
        <v>8.0366987138147272E-2</v>
      </c>
      <c r="N25" s="7">
        <f t="shared" si="14"/>
        <v>-0.51820436611614906</v>
      </c>
      <c r="O25" s="8">
        <f t="shared" si="15"/>
        <v>0</v>
      </c>
      <c r="P25" s="7">
        <f t="shared" si="4"/>
        <v>0.82581472225400498</v>
      </c>
    </row>
    <row r="26" spans="1:16">
      <c r="F26" s="7">
        <f t="shared" si="6"/>
        <v>-0.24559745611267383</v>
      </c>
      <c r="G26" s="7">
        <f t="shared" si="7"/>
        <v>-9.3754980935361901E-2</v>
      </c>
      <c r="H26" s="7">
        <f t="shared" si="8"/>
        <v>0.21257153380299076</v>
      </c>
      <c r="I26" s="7">
        <f t="shared" si="9"/>
        <v>0.12678090324504498</v>
      </c>
      <c r="J26" s="7">
        <f t="shared" si="10"/>
        <v>0.60318110449016737</v>
      </c>
      <c r="K26" s="7">
        <f t="shared" si="11"/>
        <v>2.9299988167300242E-2</v>
      </c>
      <c r="L26" s="7">
        <f t="shared" si="12"/>
        <v>0.11296664245839011</v>
      </c>
      <c r="M26" s="7">
        <f t="shared" si="13"/>
        <v>8.0366987138147272E-2</v>
      </c>
      <c r="N26" s="7">
        <f t="shared" si="14"/>
        <v>-0.51820436611614906</v>
      </c>
      <c r="O26" s="8">
        <f t="shared" si="15"/>
        <v>0</v>
      </c>
      <c r="P26" s="7">
        <f t="shared" si="4"/>
        <v>0.82581472225400498</v>
      </c>
    </row>
  </sheetData>
  <phoneticPr fontId="0" type="noConversion"/>
  <pageMargins left="0.75" right="0.75" top="1" bottom="1" header="0.5" footer="0.5"/>
  <pageSetup scale="80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2" x14ac:dyDescent="0"/>
  <sheetData/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2" x14ac:dyDescent="0"/>
  <sheetData/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Chem.Engr. Dept.  Tulane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J. Law</dc:creator>
  <cp:lastModifiedBy>Shafigh</cp:lastModifiedBy>
  <cp:lastPrinted>2003-07-07T19:57:34Z</cp:lastPrinted>
  <dcterms:created xsi:type="dcterms:W3CDTF">2003-07-07T19:20:49Z</dcterms:created>
  <dcterms:modified xsi:type="dcterms:W3CDTF">2019-10-09T15:07:41Z</dcterms:modified>
</cp:coreProperties>
</file>