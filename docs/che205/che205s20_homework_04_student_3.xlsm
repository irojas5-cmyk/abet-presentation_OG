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pabi\Desktop\"/>
    </mc:Choice>
  </mc:AlternateContent>
  <xr:revisionPtr revIDLastSave="0" documentId="8_{87F5198D-59F7-4D26-9743-C1A1D0BE9F0D}" xr6:coauthVersionLast="45" xr6:coauthVersionMax="45" xr10:uidLastSave="{00000000-0000-0000-0000-000000000000}"/>
  <bookViews>
    <workbookView xWindow="3922" yWindow="2107" windowWidth="16875" windowHeight="10523" activeTab="3" xr2:uid="{50DD7BCE-C7F2-42CF-8A44-3884E3BAA52B}"/>
  </bookViews>
  <sheets>
    <sheet name="205 HW 4 #1" sheetId="1" r:id="rId1"/>
    <sheet name="205 HW 4 #2" sheetId="2" r:id="rId2"/>
    <sheet name="205 HW 4 #3" sheetId="3" r:id="rId3"/>
    <sheet name="205 HW #4=ma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80" i="4" l="1" a="1"/>
  <c r="I80" i="4" s="1"/>
  <c r="B75" i="4" a="1"/>
  <c r="B75" i="4" s="1"/>
  <c r="G69" i="4" a="1"/>
  <c r="G69" i="4" s="1"/>
  <c r="H59" i="4" a="1"/>
  <c r="H59" i="4" s="1"/>
  <c r="N42" i="4" a="1"/>
  <c r="N42" i="4" s="1"/>
  <c r="N31" i="4" a="1"/>
  <c r="N31" i="4" s="1"/>
  <c r="B31" i="4" a="1"/>
  <c r="B31" i="4" s="1"/>
  <c r="G11" i="4" a="1"/>
  <c r="G11" i="4" s="1"/>
  <c r="G7" i="4" a="1"/>
  <c r="G7" i="4" s="1"/>
  <c r="B7" i="4" a="1"/>
  <c r="B7" i="4" s="1"/>
  <c r="F4" i="3"/>
  <c r="F3" i="3"/>
  <c r="F2" i="3"/>
  <c r="H13" i="2" a="1"/>
  <c r="H13" i="2" s="1"/>
  <c r="H8" i="2" a="1"/>
  <c r="H8" i="2" s="1"/>
  <c r="B8" i="2" a="1"/>
  <c r="B8" i="2" s="1"/>
  <c r="H12" i="1" a="1"/>
  <c r="H12" i="1" s="1"/>
  <c r="H7" i="1" a="1"/>
  <c r="H7" i="1" s="1"/>
  <c r="B7" i="1" a="1"/>
  <c r="B7" i="1" s="1"/>
  <c r="K80" i="4" a="1"/>
  <c r="B80" i="4" a="1"/>
  <c r="B69" i="4" a="1"/>
  <c r="B59" i="4" a="1"/>
  <c r="B42" i="4" a="1"/>
  <c r="N20" i="4" a="1"/>
  <c r="B11" i="4" a="1"/>
  <c r="G2" i="4" a="1"/>
  <c r="G2" i="3" a="1"/>
  <c r="B13" i="2" a="1"/>
  <c r="H2" i="2" a="1"/>
  <c r="B12" i="1" a="1"/>
  <c r="F2" i="1" a="1"/>
  <c r="K80" i="4" l="1"/>
  <c r="B80" i="4"/>
  <c r="B69" i="4"/>
  <c r="B59" i="4"/>
  <c r="B42" i="4"/>
  <c r="N20" i="4"/>
  <c r="B11" i="4"/>
  <c r="G2" i="4"/>
  <c r="G2" i="3"/>
  <c r="G3" i="3"/>
  <c r="G4" i="3"/>
  <c r="B13" i="2"/>
  <c r="H2" i="2"/>
  <c r="H3" i="2"/>
  <c r="H4" i="2"/>
  <c r="B12" i="1"/>
  <c r="F2" i="1"/>
  <c r="F3" i="1"/>
  <c r="F4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<sst xmlns="http://schemas.openxmlformats.org/spreadsheetml/2006/main" count="63" uniqueCount="25">
  <si>
    <t>P1</t>
  </si>
  <si>
    <t>P2</t>
  </si>
  <si>
    <t>F2</t>
  </si>
  <si>
    <t>A</t>
  </si>
  <si>
    <t>x</t>
  </si>
  <si>
    <t>b</t>
  </si>
  <si>
    <r>
      <t>A</t>
    </r>
    <r>
      <rPr>
        <vertAlign val="superscript"/>
        <sz val="11"/>
        <color theme="1"/>
        <rFont val="Calibri"/>
        <family val="2"/>
        <scheme val="minor"/>
      </rPr>
      <t>-1</t>
    </r>
  </si>
  <si>
    <r>
      <t>A</t>
    </r>
    <r>
      <rPr>
        <vertAlign val="superscript"/>
        <sz val="11"/>
        <color theme="1"/>
        <rFont val="Calibri"/>
        <family val="2"/>
        <scheme val="minor"/>
      </rPr>
      <t>+</t>
    </r>
  </si>
  <si>
    <r>
      <t>S</t>
    </r>
    <r>
      <rPr>
        <vertAlign val="subscript"/>
        <sz val="11"/>
        <color theme="1"/>
        <rFont val="Calibri"/>
        <family val="2"/>
        <scheme val="minor"/>
      </rPr>
      <t>2</t>
    </r>
  </si>
  <si>
    <r>
      <t>S</t>
    </r>
    <r>
      <rPr>
        <vertAlign val="subscript"/>
        <sz val="11"/>
        <color theme="1"/>
        <rFont val="Calibri"/>
        <family val="2"/>
        <scheme val="minor"/>
      </rPr>
      <t>3</t>
    </r>
  </si>
  <si>
    <r>
      <t>S</t>
    </r>
    <r>
      <rPr>
        <vertAlign val="subscript"/>
        <sz val="11"/>
        <color theme="1"/>
        <rFont val="Calibri"/>
        <family val="2"/>
        <scheme val="minor"/>
      </rPr>
      <t>4</t>
    </r>
  </si>
  <si>
    <t>V1</t>
  </si>
  <si>
    <t>V2</t>
  </si>
  <si>
    <t>L2</t>
  </si>
  <si>
    <t>A(4x3)</t>
  </si>
  <si>
    <t>A(10x10)</t>
  </si>
  <si>
    <t>A(3x3)</t>
  </si>
  <si>
    <t>A(3x4)</t>
  </si>
  <si>
    <t>Base x</t>
  </si>
  <si>
    <r>
      <t>A</t>
    </r>
    <r>
      <rPr>
        <vertAlign val="superscript"/>
        <sz val="11"/>
        <color theme="1"/>
        <rFont val="Calibri"/>
        <family val="2"/>
        <scheme val="minor"/>
      </rPr>
      <t>+</t>
    </r>
    <r>
      <rPr>
        <sz val="11"/>
        <color theme="1"/>
        <rFont val="Calibri"/>
        <family val="2"/>
        <scheme val="minor"/>
      </rPr>
      <t>A</t>
    </r>
  </si>
  <si>
    <t>I</t>
  </si>
  <si>
    <r>
      <t>I-(A</t>
    </r>
    <r>
      <rPr>
        <vertAlign val="superscript"/>
        <sz val="11"/>
        <color theme="1"/>
        <rFont val="Calibri"/>
        <family val="2"/>
        <scheme val="minor"/>
      </rPr>
      <t>+</t>
    </r>
    <r>
      <rPr>
        <sz val="11"/>
        <color theme="1"/>
        <rFont val="Calibri"/>
        <family val="2"/>
        <scheme val="minor"/>
      </rPr>
      <t>A)</t>
    </r>
  </si>
  <si>
    <t>z</t>
  </si>
  <si>
    <t>New Solution</t>
  </si>
  <si>
    <t>Arbitrary Part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</si>
</sst>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201D9-079E-49C2-BF6C-308CE837EA35}">
  <sheetPr codeName="Sheet1"/>
  <dimension ref="A1:H14"/>
  <sheetViews>
    <sheetView workbookViewId="0">
      <selection activeCell="H25" sqref="H25"/>
    </sheetView>
  </sheetViews>
  <sheetFormatPr defaultRowHeight="14.25" x14ac:dyDescent="0.45"/>
  <sheetData>
    <row r="1" spans="1:8" x14ac:dyDescent="0.45">
      <c r="B1" t="s">
        <v>0</v>
      </c>
      <c r="C1" t="s">
        <v>1</v>
      </c>
      <c r="D1" t="s">
        <v>2</v>
      </c>
      <c r="F1" t="s">
        <v>4</v>
      </c>
      <c r="G1" t="s">
        <v>5</v>
      </c>
    </row>
    <row r="2" spans="1:8" x14ac:dyDescent="0.45">
      <c r="A2" t="s">
        <v>3</v>
      </c>
      <c r="B2">
        <v>-1.7000000000000001E-2</v>
      </c>
      <c r="C2">
        <v>-2.2000000000000001E-3</v>
      </c>
      <c r="D2">
        <v>0.02</v>
      </c>
      <c r="F2" s="1">
        <f t="array" ref="F2:F4">_xll.SysLin(B2:D4,G2:G4)</f>
        <v>109.2896174863388</v>
      </c>
      <c r="G2">
        <v>0</v>
      </c>
    </row>
    <row r="3" spans="1:8" x14ac:dyDescent="0.45">
      <c r="B3">
        <v>0</v>
      </c>
      <c r="C3">
        <v>-0.98899999999999999</v>
      </c>
      <c r="D3">
        <v>0.9</v>
      </c>
      <c r="F3" s="1">
        <v>93.939952109044029</v>
      </c>
      <c r="G3">
        <v>0</v>
      </c>
    </row>
    <row r="4" spans="1:8" x14ac:dyDescent="0.45">
      <c r="B4">
        <v>1</v>
      </c>
      <c r="C4">
        <v>1</v>
      </c>
      <c r="D4">
        <v>-1</v>
      </c>
      <c r="F4" s="1">
        <v>103.22956959538283</v>
      </c>
      <c r="G4">
        <v>100</v>
      </c>
    </row>
    <row r="6" spans="1:8" x14ac:dyDescent="0.45">
      <c r="F6" t="s">
        <v>5</v>
      </c>
      <c r="H6" t="s">
        <v>4</v>
      </c>
    </row>
    <row r="7" spans="1:8" ht="15.75" x14ac:dyDescent="0.45">
      <c r="A7" t="s">
        <v>6</v>
      </c>
      <c r="B7" cm="1">
        <f t="array" ref="B7:D9">MINVERSE(B2:D4)</f>
        <v>5.4644808743169406</v>
      </c>
      <c r="C7">
        <v>1.0928961748633879</v>
      </c>
      <c r="D7">
        <v>1.0928961748633879</v>
      </c>
      <c r="F7">
        <v>0</v>
      </c>
      <c r="H7" s="1" cm="1">
        <f t="array" ref="H7:H9">MMULT(_xlfn.ANCHORARRAY(B7),F7:F9)</f>
        <v>109.28961748633878</v>
      </c>
    </row>
    <row r="8" spans="1:8" x14ac:dyDescent="0.45">
      <c r="B8">
        <v>55.258795358261189</v>
      </c>
      <c r="C8">
        <v>-0.18419598452753727</v>
      </c>
      <c r="D8">
        <v>0.93939952109044045</v>
      </c>
      <c r="F8">
        <v>0</v>
      </c>
      <c r="H8" s="1">
        <v>93.939952109044043</v>
      </c>
    </row>
    <row r="9" spans="1:8" x14ac:dyDescent="0.45">
      <c r="B9">
        <v>60.723276232578129</v>
      </c>
      <c r="C9">
        <v>0.9087001903358507</v>
      </c>
      <c r="D9">
        <v>1.0322956959538283</v>
      </c>
      <c r="F9">
        <v>100</v>
      </c>
      <c r="H9" s="1">
        <v>103.22956959538283</v>
      </c>
    </row>
    <row r="11" spans="1:8" x14ac:dyDescent="0.45">
      <c r="F11" t="s">
        <v>5</v>
      </c>
      <c r="H11" t="s">
        <v>4</v>
      </c>
    </row>
    <row r="12" spans="1:8" ht="15.75" x14ac:dyDescent="0.45">
      <c r="A12" t="s">
        <v>7</v>
      </c>
      <c r="B12" cm="1">
        <f t="array" ref="B12:D14">_xll.MPseudoinv(B2:D4)</f>
        <v>5.4644808743169646</v>
      </c>
      <c r="C12">
        <v>1.0928961748633885</v>
      </c>
      <c r="D12">
        <v>1.0928961748633881</v>
      </c>
      <c r="F12">
        <v>0</v>
      </c>
      <c r="H12" s="1" cm="1">
        <f t="array" ref="H12:H14">MMULT(_xlfn.ANCHORARRAY(B12),F12:F14)</f>
        <v>109.28961748633881</v>
      </c>
    </row>
    <row r="13" spans="1:8" x14ac:dyDescent="0.45">
      <c r="B13">
        <v>55.258795358261615</v>
      </c>
      <c r="C13">
        <v>-0.18419598452753327</v>
      </c>
      <c r="D13">
        <v>0.939399521090446</v>
      </c>
      <c r="F13">
        <v>0</v>
      </c>
      <c r="H13" s="1">
        <v>93.939952109044597</v>
      </c>
    </row>
    <row r="14" spans="1:8" x14ac:dyDescent="0.45">
      <c r="B14">
        <v>60.723276232578591</v>
      </c>
      <c r="C14">
        <v>0.90870019033585514</v>
      </c>
      <c r="D14">
        <v>1.0322956959538347</v>
      </c>
      <c r="F14">
        <v>100</v>
      </c>
      <c r="H14" s="1">
        <v>103.22956959538348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96879-2967-4A42-B4F8-C860D5A36887}">
  <sheetPr codeName="Sheet2"/>
  <dimension ref="A1:H15"/>
  <sheetViews>
    <sheetView workbookViewId="0">
      <selection activeCell="F19" sqref="F19"/>
    </sheetView>
  </sheetViews>
  <sheetFormatPr defaultRowHeight="14.25" x14ac:dyDescent="0.45"/>
  <sheetData>
    <row r="1" spans="1:8" ht="15.75" x14ac:dyDescent="0.55000000000000004">
      <c r="B1" t="s">
        <v>8</v>
      </c>
      <c r="C1" t="s">
        <v>9</v>
      </c>
      <c r="D1" t="s">
        <v>10</v>
      </c>
      <c r="F1" t="s">
        <v>5</v>
      </c>
      <c r="H1" t="s">
        <v>4</v>
      </c>
    </row>
    <row r="2" spans="1:8" x14ac:dyDescent="0.45">
      <c r="A2" t="s">
        <v>3</v>
      </c>
      <c r="B2">
        <v>-0.02</v>
      </c>
      <c r="C2">
        <v>8.0000000000000002E-3</v>
      </c>
      <c r="D2">
        <v>5.0000000000000001E-3</v>
      </c>
      <c r="F2">
        <v>0</v>
      </c>
      <c r="H2" s="1">
        <f t="array" ref="H2:H4">_xll.SysLin(B2:D4,F2:F4)</f>
        <v>0.56303317535545028</v>
      </c>
    </row>
    <row r="3" spans="1:8" x14ac:dyDescent="0.45">
      <c r="B3">
        <v>0.98</v>
      </c>
      <c r="C3">
        <v>0</v>
      </c>
      <c r="D3">
        <v>-0.81</v>
      </c>
      <c r="F3">
        <v>0</v>
      </c>
      <c r="H3" s="1">
        <v>0.9818325434439179</v>
      </c>
    </row>
    <row r="4" spans="1:8" x14ac:dyDescent="0.45">
      <c r="B4">
        <v>0</v>
      </c>
      <c r="C4">
        <v>0.99199999999999999</v>
      </c>
      <c r="D4">
        <v>0.185</v>
      </c>
      <c r="F4">
        <v>1.1000000000000001</v>
      </c>
      <c r="H4" s="1">
        <v>0.68120063191153235</v>
      </c>
    </row>
    <row r="7" spans="1:8" x14ac:dyDescent="0.45">
      <c r="F7" t="s">
        <v>5</v>
      </c>
      <c r="H7" t="s">
        <v>4</v>
      </c>
    </row>
    <row r="8" spans="1:8" ht="15.75" x14ac:dyDescent="0.45">
      <c r="A8" t="s">
        <v>6</v>
      </c>
      <c r="B8" cm="1">
        <f t="array" ref="B8:D10">MINVERSE(B2:D4)</f>
        <v>-63.469194312796205</v>
      </c>
      <c r="C8">
        <v>-0.27488151658767768</v>
      </c>
      <c r="D8">
        <v>0.51184834123222744</v>
      </c>
      <c r="F8">
        <v>0</v>
      </c>
      <c r="H8" s="1" cm="1">
        <f t="array" ref="H8:H10">MMULT(_xlfn.ANCHORARRAY(B8),F8:F10)</f>
        <v>0.56303317535545028</v>
      </c>
    </row>
    <row r="9" spans="1:8" x14ac:dyDescent="0.45">
      <c r="B9">
        <v>14.320695102685622</v>
      </c>
      <c r="C9">
        <v>0.29225908372827802</v>
      </c>
      <c r="D9">
        <v>0.89257503949447081</v>
      </c>
      <c r="F9">
        <v>0</v>
      </c>
      <c r="H9" s="1">
        <v>0.98183254344391802</v>
      </c>
    </row>
    <row r="10" spans="1:8" x14ac:dyDescent="0.45">
      <c r="B10">
        <v>-76.789889415481824</v>
      </c>
      <c r="C10">
        <v>-1.5671406003159556</v>
      </c>
      <c r="D10">
        <v>0.61927330173775652</v>
      </c>
      <c r="F10">
        <v>1.1000000000000001</v>
      </c>
      <c r="H10" s="1">
        <v>0.68120063191153224</v>
      </c>
    </row>
    <row r="12" spans="1:8" x14ac:dyDescent="0.45">
      <c r="F12" t="s">
        <v>5</v>
      </c>
      <c r="H12" t="s">
        <v>4</v>
      </c>
    </row>
    <row r="13" spans="1:8" ht="15.75" x14ac:dyDescent="0.45">
      <c r="A13" t="s">
        <v>7</v>
      </c>
      <c r="B13" cm="1">
        <f t="array" ref="B13:D15">_xll.MPseudoinv(B2:D4)</f>
        <v>-63.46919431279688</v>
      </c>
      <c r="C13">
        <v>-0.27488151658767845</v>
      </c>
      <c r="D13">
        <v>0.51184834123222511</v>
      </c>
      <c r="F13">
        <v>0</v>
      </c>
      <c r="H13" s="1" cm="1">
        <f t="array" ref="H13:H15">MMULT(_xlfn.ANCHORARRAY(B13),F13:F15)</f>
        <v>0.56303317535544772</v>
      </c>
    </row>
    <row r="14" spans="1:8" x14ac:dyDescent="0.45">
      <c r="B14">
        <v>14.320695102685775</v>
      </c>
      <c r="C14">
        <v>0.29225908372827836</v>
      </c>
      <c r="D14">
        <v>0.8925750394944717</v>
      </c>
      <c r="F14">
        <v>0</v>
      </c>
      <c r="H14" s="1">
        <v>0.9818325434439189</v>
      </c>
    </row>
    <row r="15" spans="1:8" x14ac:dyDescent="0.45">
      <c r="B15">
        <v>-76.789889415482648</v>
      </c>
      <c r="C15">
        <v>-1.5671406003159574</v>
      </c>
      <c r="D15">
        <v>0.61927330173775375</v>
      </c>
      <c r="F15">
        <v>1.1000000000000001</v>
      </c>
      <c r="H15" s="1">
        <v>0.68120063191152913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A32C7-9E4F-4A03-BCB3-5D5B90271A0A}">
  <sheetPr codeName="Sheet3"/>
  <dimension ref="A1:G4"/>
  <sheetViews>
    <sheetView workbookViewId="0">
      <selection activeCell="F16" sqref="F16"/>
    </sheetView>
  </sheetViews>
  <sheetFormatPr defaultRowHeight="14.25" x14ac:dyDescent="0.45"/>
  <sheetData>
    <row r="1" spans="1:7" x14ac:dyDescent="0.45">
      <c r="B1" t="s">
        <v>11</v>
      </c>
      <c r="C1" t="s">
        <v>12</v>
      </c>
      <c r="D1" t="s">
        <v>13</v>
      </c>
      <c r="F1" t="s">
        <v>5</v>
      </c>
      <c r="G1" t="s">
        <v>4</v>
      </c>
    </row>
    <row r="2" spans="1:7" x14ac:dyDescent="0.45">
      <c r="A2" t="s">
        <v>3</v>
      </c>
      <c r="B2">
        <v>0.71</v>
      </c>
      <c r="C2">
        <v>0.44</v>
      </c>
      <c r="D2">
        <v>0.08</v>
      </c>
      <c r="F2">
        <f>0.3*1000</f>
        <v>300</v>
      </c>
      <c r="G2" s="1">
        <f t="array" ref="G2:G4">_xll.SysLin(B2:D4,F2:F4)</f>
        <v>179.64752700397952</v>
      </c>
    </row>
    <row r="3" spans="1:7" x14ac:dyDescent="0.45">
      <c r="B3">
        <v>0.27</v>
      </c>
      <c r="C3">
        <v>0.55000000000000004</v>
      </c>
      <c r="D3">
        <v>0.39</v>
      </c>
      <c r="F3">
        <f>0.4*1000</f>
        <v>400</v>
      </c>
      <c r="G3" s="1">
        <v>306.70835702103466</v>
      </c>
    </row>
    <row r="4" spans="1:7" x14ac:dyDescent="0.45">
      <c r="B4">
        <v>0.27</v>
      </c>
      <c r="C4">
        <v>0.01</v>
      </c>
      <c r="D4">
        <v>0.53</v>
      </c>
      <c r="F4">
        <f>0.3*1000</f>
        <v>300</v>
      </c>
      <c r="G4" s="1">
        <v>468.73223422399076</v>
      </c>
    </row>
  </sheetData>
  <pageMargins left="0.7" right="0.7" top="0.75" bottom="0.75" header="0.3" footer="0.3"/>
  <ignoredErrors>
    <ignoredError sqref="F3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90278-730B-47F8-8D39-125DBC7B375B}">
  <sheetPr codeName="Sheet4"/>
  <dimension ref="A1:N83"/>
  <sheetViews>
    <sheetView tabSelected="1" topLeftCell="A62" workbookViewId="0">
      <selection activeCell="K80" sqref="K80:K83"/>
    </sheetView>
  </sheetViews>
  <sheetFormatPr defaultRowHeight="14.25" x14ac:dyDescent="0.45"/>
  <sheetData>
    <row r="1" spans="1:7" x14ac:dyDescent="0.45">
      <c r="F1" t="s">
        <v>5</v>
      </c>
      <c r="G1" t="s">
        <v>4</v>
      </c>
    </row>
    <row r="2" spans="1:7" x14ac:dyDescent="0.45">
      <c r="A2" t="s">
        <v>16</v>
      </c>
      <c r="B2">
        <v>-3.28</v>
      </c>
      <c r="C2">
        <v>3.66</v>
      </c>
      <c r="D2">
        <v>-3.99</v>
      </c>
      <c r="F2">
        <v>5.74</v>
      </c>
      <c r="G2" s="1" cm="1">
        <f t="array" ref="G2:G4">_xll.SysLin(B2:D4,F2:F4)</f>
        <v>-0.66706419950405105</v>
      </c>
    </row>
    <row r="3" spans="1:7" x14ac:dyDescent="0.45">
      <c r="B3">
        <v>-6.13</v>
      </c>
      <c r="C3">
        <v>-9.7200000000000006</v>
      </c>
      <c r="D3">
        <v>-7.02</v>
      </c>
      <c r="F3">
        <v>4.34</v>
      </c>
      <c r="G3" s="1">
        <v>0.37121052336232485</v>
      </c>
    </row>
    <row r="4" spans="1:7" x14ac:dyDescent="0.45">
      <c r="B4">
        <v>-2.76</v>
      </c>
      <c r="C4">
        <v>3.87</v>
      </c>
      <c r="D4">
        <v>8.4</v>
      </c>
      <c r="F4">
        <v>-1.34</v>
      </c>
      <c r="G4" s="1">
        <v>-0.54972403762421163</v>
      </c>
    </row>
    <row r="6" spans="1:7" x14ac:dyDescent="0.45">
      <c r="F6" t="s">
        <v>5</v>
      </c>
      <c r="G6" t="s">
        <v>4</v>
      </c>
    </row>
    <row r="7" spans="1:7" ht="15.75" x14ac:dyDescent="0.45">
      <c r="A7" t="s">
        <v>6</v>
      </c>
      <c r="B7" cm="1">
        <f t="array" ref="B7:D9">MINVERSE(B2:D4)</f>
        <v>-8.5157070792023615E-2</v>
      </c>
      <c r="C7">
        <v>-7.2190924139066942E-2</v>
      </c>
      <c r="D7">
        <v>-0.10078059522814574</v>
      </c>
      <c r="F7">
        <v>5.74</v>
      </c>
      <c r="G7" s="1" cm="1">
        <f t="array" ref="G7:G9">MMULT(_xlfn.ANCHORARRAY(B7),F7:F9)</f>
        <v>-0.66706419950405083</v>
      </c>
    </row>
    <row r="8" spans="1:7" x14ac:dyDescent="0.45">
      <c r="B8">
        <v>0.11077049752081469</v>
      </c>
      <c r="C8">
        <v>-6.0278912876361786E-2</v>
      </c>
      <c r="D8">
        <v>2.2400377042846344E-3</v>
      </c>
      <c r="F8">
        <v>4.34</v>
      </c>
      <c r="G8" s="1">
        <v>0.37121052336232485</v>
      </c>
    </row>
    <row r="9" spans="1:7" x14ac:dyDescent="0.45">
      <c r="B9">
        <v>-7.901373104661169E-2</v>
      </c>
      <c r="C9">
        <v>4.0514812152018381E-3</v>
      </c>
      <c r="D9">
        <v>8.4901977530325745E-2</v>
      </c>
      <c r="F9">
        <v>-1.34</v>
      </c>
      <c r="G9" s="1">
        <v>-0.54972403762421163</v>
      </c>
    </row>
    <row r="10" spans="1:7" x14ac:dyDescent="0.45">
      <c r="F10" t="s">
        <v>5</v>
      </c>
      <c r="G10" t="s">
        <v>4</v>
      </c>
    </row>
    <row r="11" spans="1:7" ht="15.75" x14ac:dyDescent="0.45">
      <c r="A11" t="s">
        <v>7</v>
      </c>
      <c r="B11" cm="1">
        <f t="array" ref="B11:D13">_xll.MPseudoinv(B2:D4)</f>
        <v>-8.5157070792023615E-2</v>
      </c>
      <c r="C11">
        <v>-7.2190924139066942E-2</v>
      </c>
      <c r="D11">
        <v>-0.10078059522814575</v>
      </c>
      <c r="F11">
        <v>5.74</v>
      </c>
      <c r="G11" s="1" cm="1">
        <f t="array" ref="G11:G13">MMULT(_xlfn.ANCHORARRAY(B11),F11:F13)</f>
        <v>-0.66706419950405083</v>
      </c>
    </row>
    <row r="12" spans="1:7" x14ac:dyDescent="0.45">
      <c r="B12">
        <v>0.11077049752081464</v>
      </c>
      <c r="C12">
        <v>-6.0278912876361765E-2</v>
      </c>
      <c r="D12">
        <v>2.2400377042846205E-3</v>
      </c>
      <c r="F12">
        <v>4.34</v>
      </c>
      <c r="G12" s="1">
        <v>0.37121052336232457</v>
      </c>
    </row>
    <row r="13" spans="1:7" x14ac:dyDescent="0.45">
      <c r="B13">
        <v>-7.9013731046611663E-2</v>
      </c>
      <c r="C13">
        <v>4.0514812152018607E-3</v>
      </c>
      <c r="D13">
        <v>8.4901977530325773E-2</v>
      </c>
      <c r="F13">
        <v>-1.34</v>
      </c>
      <c r="G13" s="1">
        <v>-0.5497240376242114</v>
      </c>
    </row>
    <row r="19" spans="1:14" x14ac:dyDescent="0.45">
      <c r="M19" t="s">
        <v>5</v>
      </c>
      <c r="N19" t="s">
        <v>4</v>
      </c>
    </row>
    <row r="20" spans="1:14" x14ac:dyDescent="0.45">
      <c r="A20" t="s">
        <v>15</v>
      </c>
      <c r="B20">
        <v>-0.5</v>
      </c>
      <c r="C20">
        <v>-1.53</v>
      </c>
      <c r="D20">
        <v>-3.19</v>
      </c>
      <c r="E20">
        <v>9.5299999999999994</v>
      </c>
      <c r="F20">
        <v>9.85</v>
      </c>
      <c r="G20">
        <v>2.35</v>
      </c>
      <c r="H20">
        <v>-9.32</v>
      </c>
      <c r="I20">
        <v>-4.4000000000000004</v>
      </c>
      <c r="J20">
        <v>6.84</v>
      </c>
      <c r="K20">
        <v>4.05</v>
      </c>
      <c r="M20">
        <v>-5.01</v>
      </c>
      <c r="N20" s="1" cm="1">
        <f t="array" ref="N20:N29">_xll.SysLin(B20:K29,M20:M29)</f>
        <v>0.41449906098167399</v>
      </c>
    </row>
    <row r="21" spans="1:14" x14ac:dyDescent="0.45">
      <c r="B21">
        <v>-8.14</v>
      </c>
      <c r="C21">
        <v>-0.47</v>
      </c>
      <c r="D21">
        <v>-1.1200000000000001</v>
      </c>
      <c r="E21">
        <v>0.64</v>
      </c>
      <c r="F21">
        <v>5.15</v>
      </c>
      <c r="G21">
        <v>-2.29</v>
      </c>
      <c r="H21">
        <v>0.41</v>
      </c>
      <c r="I21">
        <v>-7.82</v>
      </c>
      <c r="J21">
        <v>5.46</v>
      </c>
      <c r="K21">
        <v>-6.73</v>
      </c>
      <c r="M21">
        <v>-7.76</v>
      </c>
      <c r="N21" s="1">
        <v>-0.32561046500996615</v>
      </c>
    </row>
    <row r="22" spans="1:14" x14ac:dyDescent="0.45">
      <c r="B22">
        <v>8.5399999999999991</v>
      </c>
      <c r="C22">
        <v>9.59</v>
      </c>
      <c r="D22">
        <v>1.07</v>
      </c>
      <c r="E22">
        <v>-5.86</v>
      </c>
      <c r="F22">
        <v>6.06</v>
      </c>
      <c r="G22">
        <v>0.8</v>
      </c>
      <c r="H22">
        <v>-2.74</v>
      </c>
      <c r="I22">
        <v>-3.71</v>
      </c>
      <c r="J22">
        <v>-9.34</v>
      </c>
      <c r="K22">
        <v>-4.8600000000000003</v>
      </c>
      <c r="M22">
        <v>-3.97</v>
      </c>
      <c r="N22" s="1">
        <v>0.6730330343143297</v>
      </c>
    </row>
    <row r="23" spans="1:14" x14ac:dyDescent="0.45">
      <c r="B23">
        <v>7.14</v>
      </c>
      <c r="C23">
        <v>-6.76</v>
      </c>
      <c r="D23">
        <v>9.3000000000000007</v>
      </c>
      <c r="E23">
        <v>-0.04</v>
      </c>
      <c r="F23">
        <v>4.6900000000000004</v>
      </c>
      <c r="G23">
        <v>-9.15</v>
      </c>
      <c r="H23">
        <v>9</v>
      </c>
      <c r="I23">
        <v>7.54</v>
      </c>
      <c r="J23">
        <v>9.11</v>
      </c>
      <c r="K23">
        <v>6.3</v>
      </c>
      <c r="M23">
        <v>-8.5299999999999994</v>
      </c>
      <c r="N23" s="1">
        <v>-0.21241756186043287</v>
      </c>
    </row>
    <row r="24" spans="1:14" x14ac:dyDescent="0.45">
      <c r="B24">
        <v>7.75</v>
      </c>
      <c r="C24">
        <v>7.25</v>
      </c>
      <c r="D24">
        <v>6.41</v>
      </c>
      <c r="E24">
        <v>9.4</v>
      </c>
      <c r="F24">
        <v>-2.29</v>
      </c>
      <c r="G24">
        <v>2.88</v>
      </c>
      <c r="H24">
        <v>2.2200000000000002</v>
      </c>
      <c r="I24">
        <v>-4.9400000000000004</v>
      </c>
      <c r="J24">
        <v>0.68</v>
      </c>
      <c r="K24">
        <v>-6.64</v>
      </c>
      <c r="M24">
        <v>4.41</v>
      </c>
      <c r="N24" s="1">
        <v>-1.8511025767305862</v>
      </c>
    </row>
    <row r="25" spans="1:14" x14ac:dyDescent="0.45">
      <c r="B25">
        <v>-4.12</v>
      </c>
      <c r="C25">
        <v>-1.91</v>
      </c>
      <c r="D25">
        <v>2.81</v>
      </c>
      <c r="E25">
        <v>0.56999999999999995</v>
      </c>
      <c r="F25">
        <v>1.75</v>
      </c>
      <c r="G25">
        <v>8.2100000000000009</v>
      </c>
      <c r="H25">
        <v>-0.49</v>
      </c>
      <c r="I25">
        <v>-2.4500000000000002</v>
      </c>
      <c r="J25">
        <v>-8.19</v>
      </c>
      <c r="K25">
        <v>-4.71</v>
      </c>
      <c r="M25">
        <v>-7.27</v>
      </c>
      <c r="N25" s="1">
        <v>-0.7137876728192597</v>
      </c>
    </row>
    <row r="26" spans="1:14" x14ac:dyDescent="0.45">
      <c r="B26">
        <v>3.71</v>
      </c>
      <c r="C26">
        <v>9.84</v>
      </c>
      <c r="D26">
        <v>-9.52</v>
      </c>
      <c r="E26">
        <v>2.9</v>
      </c>
      <c r="F26">
        <v>-3.72</v>
      </c>
      <c r="G26">
        <v>-8.84</v>
      </c>
      <c r="H26">
        <v>6.69</v>
      </c>
      <c r="I26">
        <v>-4.9400000000000004</v>
      </c>
      <c r="J26">
        <v>7.74</v>
      </c>
      <c r="K26">
        <v>-1.74</v>
      </c>
      <c r="M26">
        <v>-2.46</v>
      </c>
      <c r="N26" s="1">
        <v>-1.6005501113642908</v>
      </c>
    </row>
    <row r="27" spans="1:14" x14ac:dyDescent="0.45">
      <c r="B27">
        <v>-7.79</v>
      </c>
      <c r="C27">
        <v>2.2400000000000002</v>
      </c>
      <c r="D27">
        <v>-4.8</v>
      </c>
      <c r="E27">
        <v>-6.89</v>
      </c>
      <c r="F27">
        <v>-5.75</v>
      </c>
      <c r="G27">
        <v>-0.34</v>
      </c>
      <c r="H27">
        <v>-2.41</v>
      </c>
      <c r="I27">
        <v>7.23</v>
      </c>
      <c r="J27">
        <v>-1.75</v>
      </c>
      <c r="K27">
        <v>0.78</v>
      </c>
      <c r="M27">
        <v>4.2699999999999996</v>
      </c>
      <c r="N27" s="1">
        <v>-0.64447419991284072</v>
      </c>
    </row>
    <row r="28" spans="1:14" x14ac:dyDescent="0.45">
      <c r="B28">
        <v>2.09</v>
      </c>
      <c r="C28">
        <v>-3.61</v>
      </c>
      <c r="D28">
        <v>7</v>
      </c>
      <c r="E28">
        <v>9.07</v>
      </c>
      <c r="F28">
        <v>4.8499999999999996</v>
      </c>
      <c r="G28">
        <v>-5.53</v>
      </c>
      <c r="H28">
        <v>-1.06</v>
      </c>
      <c r="I28">
        <v>-3.97</v>
      </c>
      <c r="J28">
        <v>-7.07</v>
      </c>
      <c r="K28">
        <v>-0.41</v>
      </c>
      <c r="M28">
        <v>3.35</v>
      </c>
      <c r="N28" s="1">
        <v>9.3578555864619203E-2</v>
      </c>
    </row>
    <row r="29" spans="1:14" x14ac:dyDescent="0.45">
      <c r="B29">
        <v>-3.27</v>
      </c>
      <c r="C29">
        <v>10.46</v>
      </c>
      <c r="D29">
        <v>-5.48</v>
      </c>
      <c r="E29">
        <v>-8.4700000000000006</v>
      </c>
      <c r="F29">
        <v>-5.89</v>
      </c>
      <c r="G29">
        <v>-1.05</v>
      </c>
      <c r="H29">
        <v>8.35</v>
      </c>
      <c r="I29">
        <v>-3.65</v>
      </c>
      <c r="J29">
        <v>-7.04</v>
      </c>
      <c r="K29">
        <v>9.69</v>
      </c>
      <c r="M29">
        <v>-5.74</v>
      </c>
      <c r="N29" s="1">
        <v>9.5864403776314014E-2</v>
      </c>
    </row>
    <row r="30" spans="1:14" x14ac:dyDescent="0.45">
      <c r="M30" t="s">
        <v>5</v>
      </c>
      <c r="N30" t="s">
        <v>4</v>
      </c>
    </row>
    <row r="31" spans="1:14" ht="15.75" x14ac:dyDescent="0.45">
      <c r="A31" t="s">
        <v>6</v>
      </c>
      <c r="B31" cm="1">
        <f t="array" ref="B31:K40">MINVERSE(B20:K29)</f>
        <v>-2.2474476798740824E-2</v>
      </c>
      <c r="C31">
        <v>-4.5100531959555622E-2</v>
      </c>
      <c r="D31">
        <v>1.7537082953360837E-2</v>
      </c>
      <c r="E31">
        <v>-1.9372527300387576E-2</v>
      </c>
      <c r="F31">
        <v>-2.1949222560088313E-2</v>
      </c>
      <c r="G31">
        <v>-3.0698665888388474E-2</v>
      </c>
      <c r="H31">
        <v>9.2911751938064523E-3</v>
      </c>
      <c r="I31">
        <v>-7.4703418576988145E-2</v>
      </c>
      <c r="J31">
        <v>-1.9063863253733125E-2</v>
      </c>
      <c r="K31">
        <v>-2.3626649189596102E-2</v>
      </c>
      <c r="M31">
        <v>-5.01</v>
      </c>
      <c r="N31" s="1" cm="1">
        <f t="array" ref="N31:N40">MMULT(_xlfn.ANCHORARRAY(B31),M31:M40)</f>
        <v>0.41449906098167372</v>
      </c>
    </row>
    <row r="32" spans="1:14" x14ac:dyDescent="0.45">
      <c r="B32">
        <v>4.4120427707279156E-2</v>
      </c>
      <c r="C32">
        <v>1.548278819030687E-2</v>
      </c>
      <c r="D32">
        <v>2.9808157760253761E-2</v>
      </c>
      <c r="E32">
        <v>3.2493315533767678E-2</v>
      </c>
      <c r="F32">
        <v>6.6206424889885984E-2</v>
      </c>
      <c r="G32">
        <v>1.2054915353041006E-2</v>
      </c>
      <c r="H32">
        <v>2.7024781108800412E-3</v>
      </c>
      <c r="I32">
        <v>9.1310091529381396E-2</v>
      </c>
      <c r="J32">
        <v>-4.5824083260171349E-4</v>
      </c>
      <c r="K32">
        <v>3.0480192519989117E-2</v>
      </c>
      <c r="M32">
        <v>-7.76</v>
      </c>
      <c r="N32" s="1">
        <v>-0.32561046500996615</v>
      </c>
    </row>
    <row r="33" spans="1:14" x14ac:dyDescent="0.45">
      <c r="B33">
        <v>-1.4021008821677127E-2</v>
      </c>
      <c r="C33">
        <v>5.2605864695176613E-2</v>
      </c>
      <c r="D33">
        <v>1.1664611002070801E-4</v>
      </c>
      <c r="E33">
        <v>9.0058276654952397E-3</v>
      </c>
      <c r="F33">
        <v>7.0845362895110328E-2</v>
      </c>
      <c r="G33">
        <v>-8.3095734228615076E-2</v>
      </c>
      <c r="H33">
        <v>-9.1129501797627507E-2</v>
      </c>
      <c r="I33">
        <v>1.6573708835086725E-2</v>
      </c>
      <c r="J33">
        <v>1.0338402686538644E-2</v>
      </c>
      <c r="K33">
        <v>2.7495455254634499E-2</v>
      </c>
      <c r="M33">
        <v>-3.97</v>
      </c>
      <c r="N33" s="1">
        <v>0.6730330343143297</v>
      </c>
    </row>
    <row r="34" spans="1:14" x14ac:dyDescent="0.45">
      <c r="B34">
        <v>4.0469745341318253E-2</v>
      </c>
      <c r="C34">
        <v>-3.6691032783931321E-2</v>
      </c>
      <c r="D34">
        <v>-2.5252969464979739E-2</v>
      </c>
      <c r="E34">
        <v>1.9186813915278277E-2</v>
      </c>
      <c r="F34">
        <v>2.1796593355597527E-2</v>
      </c>
      <c r="G34">
        <v>7.6714750075226337E-2</v>
      </c>
      <c r="H34">
        <v>5.2762414998881679E-2</v>
      </c>
      <c r="I34">
        <v>4.5031977771454686E-2</v>
      </c>
      <c r="J34">
        <v>3.6626732452083484E-2</v>
      </c>
      <c r="K34">
        <v>-7.9138293144575961E-3</v>
      </c>
      <c r="M34">
        <v>-8.5299999999999994</v>
      </c>
      <c r="N34" s="1">
        <v>-0.21241756186043315</v>
      </c>
    </row>
    <row r="35" spans="1:14" x14ac:dyDescent="0.45">
      <c r="B35">
        <v>5.801490815441826E-2</v>
      </c>
      <c r="C35">
        <v>2.136708754040679E-3</v>
      </c>
      <c r="D35">
        <v>4.2302910822136303E-2</v>
      </c>
      <c r="E35">
        <v>6.481486599526981E-2</v>
      </c>
      <c r="F35">
        <v>-2.4073397671926455E-2</v>
      </c>
      <c r="G35">
        <v>0.1086789065480387</v>
      </c>
      <c r="H35">
        <v>4.4399799884165793E-2</v>
      </c>
      <c r="I35">
        <v>4.0273651866073464E-2</v>
      </c>
      <c r="J35">
        <v>-1.485155324797154E-3</v>
      </c>
      <c r="K35">
        <v>-2.6891907457071789E-3</v>
      </c>
      <c r="M35">
        <v>4.41</v>
      </c>
      <c r="N35" s="1">
        <v>-1.851102576730586</v>
      </c>
    </row>
    <row r="36" spans="1:14" x14ac:dyDescent="0.45">
      <c r="B36">
        <v>2.3764584360844981E-2</v>
      </c>
      <c r="C36">
        <v>-2.3930059478776557E-2</v>
      </c>
      <c r="D36">
        <v>-9.0161931341080446E-3</v>
      </c>
      <c r="E36">
        <v>7.5055507952323302E-3</v>
      </c>
      <c r="F36">
        <v>1.4595786459338119E-2</v>
      </c>
      <c r="G36">
        <v>6.925858796078263E-2</v>
      </c>
      <c r="H36">
        <v>-3.8328906112661092E-3</v>
      </c>
      <c r="I36">
        <v>-2.1635238165326823E-2</v>
      </c>
      <c r="J36">
        <v>-5.7863800294767037E-2</v>
      </c>
      <c r="K36">
        <v>6.3164637538154359E-3</v>
      </c>
      <c r="M36">
        <v>-7.27</v>
      </c>
      <c r="N36" s="1">
        <v>-0.7137876728192597</v>
      </c>
    </row>
    <row r="37" spans="1:14" x14ac:dyDescent="0.45">
      <c r="B37">
        <v>4.7694503751874554E-4</v>
      </c>
      <c r="C37">
        <v>-1.7088464886585917E-2</v>
      </c>
      <c r="D37">
        <v>-1.1529248188140244E-2</v>
      </c>
      <c r="E37">
        <v>5.5783311701426558E-2</v>
      </c>
      <c r="F37">
        <v>-1.472880264823522E-2</v>
      </c>
      <c r="G37">
        <v>0.13031088395183513</v>
      </c>
      <c r="H37">
        <v>6.8915091372414125E-2</v>
      </c>
      <c r="I37">
        <v>-2.6154575954371682E-3</v>
      </c>
      <c r="J37">
        <v>-1.3019139706494548E-2</v>
      </c>
      <c r="K37">
        <v>1.1163619861673614E-2</v>
      </c>
      <c r="M37">
        <v>-2.46</v>
      </c>
      <c r="N37" s="1">
        <v>-1.600550111364291</v>
      </c>
    </row>
    <row r="38" spans="1:14" x14ac:dyDescent="0.45">
      <c r="B38">
        <v>3.7421283865163538E-2</v>
      </c>
      <c r="C38">
        <v>-4.8657729322447246E-2</v>
      </c>
      <c r="D38">
        <v>1.4069007044194575E-2</v>
      </c>
      <c r="E38">
        <v>6.4964190621475987E-2</v>
      </c>
      <c r="F38">
        <v>6.773080209630398E-3</v>
      </c>
      <c r="G38">
        <v>0.1054957433636025</v>
      </c>
      <c r="H38">
        <v>5.4589918734846338E-2</v>
      </c>
      <c r="I38">
        <v>0.11254933395545907</v>
      </c>
      <c r="J38">
        <v>1.853949232083409E-3</v>
      </c>
      <c r="K38">
        <v>-2.7874658776207758E-2</v>
      </c>
      <c r="M38">
        <v>4.2699999999999996</v>
      </c>
      <c r="N38" s="1">
        <v>-0.64447419991284138</v>
      </c>
    </row>
    <row r="39" spans="1:14" x14ac:dyDescent="0.45">
      <c r="B39">
        <v>7.3036409457971005E-3</v>
      </c>
      <c r="C39">
        <v>3.4654992168700521E-2</v>
      </c>
      <c r="D39">
        <v>-1.1453241154408255E-2</v>
      </c>
      <c r="E39">
        <v>4.9363035603759778E-3</v>
      </c>
      <c r="F39">
        <v>2.8120440594859641E-2</v>
      </c>
      <c r="G39">
        <v>-5.5030614462469367E-2</v>
      </c>
      <c r="H39">
        <v>-2.6571029573722715E-2</v>
      </c>
      <c r="I39">
        <v>-1.1807616775441872E-2</v>
      </c>
      <c r="J39">
        <v>-4.4711099562650493E-2</v>
      </c>
      <c r="K39">
        <v>-1.1292861443135979E-3</v>
      </c>
      <c r="M39">
        <v>3.35</v>
      </c>
      <c r="N39" s="1">
        <v>9.3578555864619481E-2</v>
      </c>
    </row>
    <row r="40" spans="1:14" x14ac:dyDescent="0.45">
      <c r="B40">
        <v>2.9064587374565562E-2</v>
      </c>
      <c r="C40">
        <v>-1.3973565157522336E-2</v>
      </c>
      <c r="D40">
        <v>-1.6616416645347035E-2</v>
      </c>
      <c r="E40">
        <v>4.4959895639830864E-4</v>
      </c>
      <c r="F40">
        <v>2.8653232639633294E-3</v>
      </c>
      <c r="G40">
        <v>-4.2278783188149746E-2</v>
      </c>
      <c r="H40">
        <v>-3.6752875600319791E-2</v>
      </c>
      <c r="I40">
        <v>-1.6834430632176402E-2</v>
      </c>
      <c r="J40">
        <v>4.1840321995252313E-3</v>
      </c>
      <c r="K40">
        <v>4.9065743292886065E-2</v>
      </c>
      <c r="M40">
        <v>-5.74</v>
      </c>
      <c r="N40" s="1">
        <v>9.5864403776313889E-2</v>
      </c>
    </row>
    <row r="41" spans="1:14" x14ac:dyDescent="0.45">
      <c r="M41" t="s">
        <v>5</v>
      </c>
      <c r="N41" t="s">
        <v>4</v>
      </c>
    </row>
    <row r="42" spans="1:14" ht="15.75" x14ac:dyDescent="0.45">
      <c r="A42" t="s">
        <v>7</v>
      </c>
      <c r="B42" cm="1">
        <f t="array" ref="B42:K51">_xll.MPseudoinv(B20:K29)</f>
        <v>-2.2474476798740761E-2</v>
      </c>
      <c r="C42">
        <v>-4.5100531959555649E-2</v>
      </c>
      <c r="D42">
        <v>1.7537082953360872E-2</v>
      </c>
      <c r="E42">
        <v>-1.9372527300387493E-2</v>
      </c>
      <c r="F42">
        <v>-2.1949222560088334E-2</v>
      </c>
      <c r="G42">
        <v>-3.0698665888388231E-2</v>
      </c>
      <c r="H42">
        <v>9.2911751938065563E-3</v>
      </c>
      <c r="I42">
        <v>-7.4703418576988007E-2</v>
      </c>
      <c r="J42">
        <v>-1.9063863253733094E-2</v>
      </c>
      <c r="K42">
        <v>-2.3626649189596088E-2</v>
      </c>
      <c r="M42">
        <v>-5.01</v>
      </c>
      <c r="N42" s="1" cm="1">
        <f t="array" ref="N42:N51">MMULT(_xlfn.ANCHORARRAY(B42),M42:M51)</f>
        <v>0.41449906098167122</v>
      </c>
    </row>
    <row r="43" spans="1:14" x14ac:dyDescent="0.45">
      <c r="B43">
        <v>4.41204277072791E-2</v>
      </c>
      <c r="C43">
        <v>1.5482788190306905E-2</v>
      </c>
      <c r="D43">
        <v>2.9808157760253678E-2</v>
      </c>
      <c r="E43">
        <v>3.2493315533767587E-2</v>
      </c>
      <c r="F43">
        <v>6.6206424889885998E-2</v>
      </c>
      <c r="G43">
        <v>1.2054915353040749E-2</v>
      </c>
      <c r="H43">
        <v>2.7024781108798968E-3</v>
      </c>
      <c r="I43">
        <v>9.1310091529381271E-2</v>
      </c>
      <c r="J43">
        <v>-4.5824083260174455E-4</v>
      </c>
      <c r="K43">
        <v>3.0480192519989128E-2</v>
      </c>
      <c r="M43">
        <v>-7.76</v>
      </c>
      <c r="N43" s="1">
        <v>-0.32561046500996338</v>
      </c>
    </row>
    <row r="44" spans="1:14" x14ac:dyDescent="0.45">
      <c r="B44">
        <v>-1.4021008821677198E-2</v>
      </c>
      <c r="C44">
        <v>5.2605864695176668E-2</v>
      </c>
      <c r="D44">
        <v>1.166461100206434E-4</v>
      </c>
      <c r="E44">
        <v>9.0058276654952432E-3</v>
      </c>
      <c r="F44">
        <v>7.0845362895110342E-2</v>
      </c>
      <c r="G44">
        <v>-8.3095734228615242E-2</v>
      </c>
      <c r="H44">
        <v>-9.1129501797627632E-2</v>
      </c>
      <c r="I44">
        <v>1.6573708835086673E-2</v>
      </c>
      <c r="J44">
        <v>1.0338402686538642E-2</v>
      </c>
      <c r="K44">
        <v>2.749545525463451E-2</v>
      </c>
      <c r="M44">
        <v>-3.97</v>
      </c>
      <c r="N44" s="1">
        <v>0.67303303431433115</v>
      </c>
    </row>
    <row r="45" spans="1:14" x14ac:dyDescent="0.45">
      <c r="B45">
        <v>4.0469745341318253E-2</v>
      </c>
      <c r="C45">
        <v>-3.6691032783931335E-2</v>
      </c>
      <c r="D45">
        <v>-2.5252969464979753E-2</v>
      </c>
      <c r="E45">
        <v>1.9186813915278211E-2</v>
      </c>
      <c r="F45">
        <v>2.1796593355597502E-2</v>
      </c>
      <c r="G45">
        <v>7.6714750075226268E-2</v>
      </c>
      <c r="H45">
        <v>5.2762414998881638E-2</v>
      </c>
      <c r="I45">
        <v>4.5031977771454568E-2</v>
      </c>
      <c r="J45">
        <v>3.6626732452083477E-2</v>
      </c>
      <c r="K45">
        <v>-7.9138293144576152E-3</v>
      </c>
      <c r="M45">
        <v>-8.5299999999999994</v>
      </c>
      <c r="N45" s="1">
        <v>-0.2124175618604322</v>
      </c>
    </row>
    <row r="46" spans="1:14" x14ac:dyDescent="0.45">
      <c r="B46">
        <v>5.8014908154418267E-2</v>
      </c>
      <c r="C46">
        <v>2.1367087540406469E-3</v>
      </c>
      <c r="D46">
        <v>4.2302910822136289E-2</v>
      </c>
      <c r="E46">
        <v>6.4814865995269769E-2</v>
      </c>
      <c r="F46">
        <v>-2.4073397671926493E-2</v>
      </c>
      <c r="G46">
        <v>0.10867890654803863</v>
      </c>
      <c r="H46">
        <v>4.4399799884165758E-2</v>
      </c>
      <c r="I46">
        <v>4.0273651866073359E-2</v>
      </c>
      <c r="J46">
        <v>-1.4851553247971906E-3</v>
      </c>
      <c r="K46">
        <v>-2.6891907457072131E-3</v>
      </c>
      <c r="M46">
        <v>4.41</v>
      </c>
      <c r="N46" s="1">
        <v>-1.8511025767305855</v>
      </c>
    </row>
    <row r="47" spans="1:14" x14ac:dyDescent="0.45">
      <c r="B47">
        <v>2.3764584360845029E-2</v>
      </c>
      <c r="C47">
        <v>-2.3930059478776584E-2</v>
      </c>
      <c r="D47">
        <v>-9.0161931341080203E-3</v>
      </c>
      <c r="E47">
        <v>7.5055507952323085E-3</v>
      </c>
      <c r="F47">
        <v>1.4595786459338088E-2</v>
      </c>
      <c r="G47">
        <v>6.9258587960782769E-2</v>
      </c>
      <c r="H47">
        <v>-3.8328906112660641E-3</v>
      </c>
      <c r="I47">
        <v>-2.1635238165326851E-2</v>
      </c>
      <c r="J47">
        <v>-5.7863800294767058E-2</v>
      </c>
      <c r="K47">
        <v>6.3164637538154402E-3</v>
      </c>
      <c r="M47">
        <v>-7.27</v>
      </c>
      <c r="N47" s="1">
        <v>-0.71378767281926125</v>
      </c>
    </row>
    <row r="48" spans="1:14" x14ac:dyDescent="0.45">
      <c r="B48">
        <v>4.7694503751880002E-4</v>
      </c>
      <c r="C48">
        <v>-1.7088464886585969E-2</v>
      </c>
      <c r="D48">
        <v>-1.15292481881402E-2</v>
      </c>
      <c r="E48">
        <v>5.5783311701426558E-2</v>
      </c>
      <c r="F48">
        <v>-1.4728802648235244E-2</v>
      </c>
      <c r="G48">
        <v>0.13031088395183518</v>
      </c>
      <c r="H48">
        <v>6.8915091372414181E-2</v>
      </c>
      <c r="I48">
        <v>-2.6154575954371664E-3</v>
      </c>
      <c r="J48">
        <v>-1.3019139706494588E-2</v>
      </c>
      <c r="K48">
        <v>1.1163619861673618E-2</v>
      </c>
      <c r="M48">
        <v>-2.46</v>
      </c>
      <c r="N48" s="1">
        <v>-1.6005501113642921</v>
      </c>
    </row>
    <row r="49" spans="1:14" x14ac:dyDescent="0.45">
      <c r="B49">
        <v>3.7421283865163552E-2</v>
      </c>
      <c r="C49">
        <v>-4.8657729322447309E-2</v>
      </c>
      <c r="D49">
        <v>1.4069007044194531E-2</v>
      </c>
      <c r="E49">
        <v>6.4964190621475931E-2</v>
      </c>
      <c r="F49">
        <v>6.7730802096303156E-3</v>
      </c>
      <c r="G49">
        <v>0.10549574336360243</v>
      </c>
      <c r="H49">
        <v>5.458991873484631E-2</v>
      </c>
      <c r="I49">
        <v>0.11254933395545895</v>
      </c>
      <c r="J49">
        <v>1.8539492320834654E-3</v>
      </c>
      <c r="K49">
        <v>-2.7874658776207782E-2</v>
      </c>
      <c r="M49">
        <v>4.2699999999999996</v>
      </c>
      <c r="N49" s="1">
        <v>-0.64447419991284027</v>
      </c>
    </row>
    <row r="50" spans="1:14" x14ac:dyDescent="0.45">
      <c r="B50">
        <v>7.3036409457970797E-3</v>
      </c>
      <c r="C50">
        <v>3.4654992168700549E-2</v>
      </c>
      <c r="D50">
        <v>-1.1453241154408277E-2</v>
      </c>
      <c r="E50">
        <v>4.9363035603759813E-3</v>
      </c>
      <c r="F50">
        <v>2.8120440594859641E-2</v>
      </c>
      <c r="G50">
        <v>-5.5030614462469395E-2</v>
      </c>
      <c r="H50">
        <v>-2.6571029573722718E-2</v>
      </c>
      <c r="I50">
        <v>-1.1807616775441915E-2</v>
      </c>
      <c r="J50">
        <v>-4.4711099562650486E-2</v>
      </c>
      <c r="K50">
        <v>-1.1292861443135856E-3</v>
      </c>
      <c r="M50">
        <v>3.35</v>
      </c>
      <c r="N50" s="1">
        <v>9.3578555864619439E-2</v>
      </c>
    </row>
    <row r="51" spans="1:14" x14ac:dyDescent="0.45">
      <c r="B51">
        <v>2.9064587374565517E-2</v>
      </c>
      <c r="C51">
        <v>-1.3973565157522331E-2</v>
      </c>
      <c r="D51">
        <v>-1.6616416645347028E-2</v>
      </c>
      <c r="E51">
        <v>4.4959895639833623E-4</v>
      </c>
      <c r="F51">
        <v>2.8653232639633572E-3</v>
      </c>
      <c r="G51">
        <v>-4.227878318814976E-2</v>
      </c>
      <c r="H51">
        <v>-3.6752875600319784E-2</v>
      </c>
      <c r="I51">
        <v>-1.6834430632176368E-2</v>
      </c>
      <c r="J51">
        <v>4.1840321995252078E-3</v>
      </c>
      <c r="K51">
        <v>4.9065743292886044E-2</v>
      </c>
      <c r="M51">
        <v>-5.74</v>
      </c>
      <c r="N51" s="1">
        <v>9.5864403776314278E-2</v>
      </c>
    </row>
    <row r="54" spans="1:14" x14ac:dyDescent="0.45">
      <c r="A54" t="s">
        <v>14</v>
      </c>
      <c r="B54">
        <v>-4.03</v>
      </c>
      <c r="C54">
        <v>-5.14</v>
      </c>
      <c r="D54">
        <v>-4.8600000000000003</v>
      </c>
    </row>
    <row r="55" spans="1:14" x14ac:dyDescent="0.45">
      <c r="B55">
        <v>7.45</v>
      </c>
      <c r="C55">
        <v>3.23</v>
      </c>
      <c r="D55">
        <v>-4.83</v>
      </c>
    </row>
    <row r="56" spans="1:14" x14ac:dyDescent="0.45">
      <c r="B56">
        <v>-3.78</v>
      </c>
      <c r="C56">
        <v>3.35</v>
      </c>
      <c r="D56">
        <v>2.37</v>
      </c>
    </row>
    <row r="57" spans="1:14" x14ac:dyDescent="0.45">
      <c r="B57">
        <v>0.55000000000000004</v>
      </c>
      <c r="C57">
        <v>-2.0299999999999998</v>
      </c>
      <c r="D57">
        <v>-8.27</v>
      </c>
    </row>
    <row r="58" spans="1:14" x14ac:dyDescent="0.45">
      <c r="G58" t="s">
        <v>5</v>
      </c>
      <c r="H58" t="s">
        <v>4</v>
      </c>
    </row>
    <row r="59" spans="1:14" ht="15.75" x14ac:dyDescent="0.45">
      <c r="A59" t="s">
        <v>7</v>
      </c>
      <c r="B59" cm="1">
        <f t="array" ref="B59:E61">_xll.MPseudoinv(B54:D57)</f>
        <v>-4.1028223689786023E-2</v>
      </c>
      <c r="C59">
        <v>4.7222334249370466E-2</v>
      </c>
      <c r="D59">
        <v>-0.13382290343357719</v>
      </c>
      <c r="E59">
        <v>-4.181946655739751E-2</v>
      </c>
      <c r="G59">
        <v>-3.3</v>
      </c>
      <c r="H59" s="1" cm="1">
        <f t="array" ref="H59:H61">MMULT(_xlfn.ANCHORARRAY(B59),G59:G62)</f>
        <v>-0.90548991419069969</v>
      </c>
    </row>
    <row r="60" spans="1:14" x14ac:dyDescent="0.45">
      <c r="B60">
        <v>-5.0538075182221982E-2</v>
      </c>
      <c r="C60">
        <v>6.4115113349534888E-2</v>
      </c>
      <c r="D60">
        <v>0.18691171061165873</v>
      </c>
      <c r="E60">
        <v>4.5818597588509882E-2</v>
      </c>
      <c r="G60">
        <v>-2.46</v>
      </c>
      <c r="H60" s="1">
        <v>1.2905393400059315</v>
      </c>
    </row>
    <row r="61" spans="1:14" x14ac:dyDescent="0.45">
      <c r="B61">
        <v>-3.607221364512192E-2</v>
      </c>
      <c r="C61">
        <v>-4.6335027205767168E-2</v>
      </c>
      <c r="D61">
        <v>-6.6196065649098426E-2</v>
      </c>
      <c r="E61">
        <v>-9.1629448109941392E-2</v>
      </c>
      <c r="G61">
        <v>6.66</v>
      </c>
      <c r="H61" s="1">
        <v>-0.28114688375585906</v>
      </c>
    </row>
    <row r="62" spans="1:14" x14ac:dyDescent="0.45">
      <c r="G62">
        <v>0.8</v>
      </c>
    </row>
    <row r="65" spans="1:11" x14ac:dyDescent="0.45">
      <c r="A65" t="s">
        <v>17</v>
      </c>
      <c r="B65">
        <v>4.16</v>
      </c>
      <c r="C65">
        <v>3.83</v>
      </c>
      <c r="D65">
        <v>-9</v>
      </c>
      <c r="E65">
        <v>1.36</v>
      </c>
    </row>
    <row r="66" spans="1:11" x14ac:dyDescent="0.45">
      <c r="B66">
        <v>-9.6300000000000008</v>
      </c>
      <c r="C66">
        <v>8.9700000000000006</v>
      </c>
      <c r="D66">
        <v>5.46</v>
      </c>
      <c r="E66">
        <v>-0.43</v>
      </c>
    </row>
    <row r="67" spans="1:11" x14ac:dyDescent="0.45">
      <c r="B67">
        <v>2.2000000000000002</v>
      </c>
      <c r="C67">
        <v>1.34</v>
      </c>
      <c r="D67">
        <v>-7.95</v>
      </c>
      <c r="E67">
        <v>7</v>
      </c>
    </row>
    <row r="68" spans="1:11" x14ac:dyDescent="0.45">
      <c r="F68" t="s">
        <v>5</v>
      </c>
      <c r="G68" t="s">
        <v>18</v>
      </c>
    </row>
    <row r="69" spans="1:11" ht="15.75" x14ac:dyDescent="0.45">
      <c r="A69" t="s">
        <v>7</v>
      </c>
      <c r="B69" cm="1">
        <f t="array" ref="B69:D72">_xll.MPseudoinv(B65:E67)</f>
        <v>4.9640266262827096E-2</v>
      </c>
      <c r="C69">
        <v>-4.5505028435656049E-2</v>
      </c>
      <c r="D69">
        <v>-4.2601850532982481E-2</v>
      </c>
      <c r="F69">
        <v>1.31</v>
      </c>
      <c r="G69" cm="1">
        <f t="array" ref="G69:G72">MMULT(_xlfn.ANCHORARRAY(B69),F69:F71)</f>
        <v>-0.54534318524798175</v>
      </c>
    </row>
    <row r="70" spans="1:11" x14ac:dyDescent="0.45">
      <c r="B70">
        <v>8.8746767116142794E-2</v>
      </c>
      <c r="C70">
        <v>5.9583379632626624E-2</v>
      </c>
      <c r="D70">
        <v>-3.2064986516528698E-2</v>
      </c>
      <c r="F70">
        <v>4.07</v>
      </c>
      <c r="G70">
        <v>3.8754054591981002E-2</v>
      </c>
    </row>
    <row r="71" spans="1:11" x14ac:dyDescent="0.45">
      <c r="B71">
        <v>-6.6786050530649205E-2</v>
      </c>
      <c r="C71">
        <v>5.746345403951106E-3</v>
      </c>
      <c r="D71">
        <v>-1.0621756108802387E-2</v>
      </c>
      <c r="F71">
        <v>9.98</v>
      </c>
      <c r="G71">
        <v>-0.17010722636691727</v>
      </c>
    </row>
    <row r="72" spans="1:11" x14ac:dyDescent="0.45">
      <c r="B72">
        <v>-0.10843976506178754</v>
      </c>
      <c r="C72">
        <v>9.4218256874478452E-3</v>
      </c>
      <c r="D72">
        <v>0.15032117029139005</v>
      </c>
      <c r="G72">
        <v>1.3964960178250441</v>
      </c>
    </row>
    <row r="74" spans="1:11" x14ac:dyDescent="0.45">
      <c r="G74" t="s">
        <v>20</v>
      </c>
    </row>
    <row r="75" spans="1:11" ht="15.75" x14ac:dyDescent="0.45">
      <c r="A75" t="s">
        <v>19</v>
      </c>
      <c r="B75" cm="1">
        <f t="array" ref="B75:E78">MMULT(_xlfn.ANCHORARRAY(B69),B65:E67)</f>
        <v>0.55099286031616701</v>
      </c>
      <c r="C75">
        <v>-0.27514436499540357</v>
      </c>
      <c r="D75">
        <v>-0.35653513988691521</v>
      </c>
      <c r="E75">
        <v>-0.2111350293861004</v>
      </c>
      <c r="G75">
        <v>1</v>
      </c>
      <c r="H75">
        <v>0</v>
      </c>
      <c r="I75">
        <v>0</v>
      </c>
      <c r="J75">
        <v>0</v>
      </c>
    </row>
    <row r="76" spans="1:11" x14ac:dyDescent="0.45">
      <c r="B76">
        <v>-0.27514436499540351</v>
      </c>
      <c r="C76">
        <v>0.83139595142733924</v>
      </c>
      <c r="D76">
        <v>-0.21847900844474066</v>
      </c>
      <c r="E76">
        <v>-0.12938015557977611</v>
      </c>
      <c r="G76">
        <v>0</v>
      </c>
      <c r="H76">
        <v>1</v>
      </c>
      <c r="I76">
        <v>0</v>
      </c>
      <c r="J76">
        <v>0</v>
      </c>
    </row>
    <row r="77" spans="1:11" x14ac:dyDescent="0.45">
      <c r="B77">
        <v>-0.35653513988691515</v>
      </c>
      <c r="C77">
        <v>-0.21847900844474022</v>
      </c>
      <c r="D77">
        <v>0.71689246174639487</v>
      </c>
      <c r="E77">
        <v>-0.1676522500069986</v>
      </c>
      <c r="G77">
        <v>0</v>
      </c>
      <c r="H77">
        <v>0</v>
      </c>
      <c r="I77">
        <v>1</v>
      </c>
      <c r="J77">
        <v>0</v>
      </c>
    </row>
    <row r="78" spans="1:11" x14ac:dyDescent="0.45">
      <c r="B78">
        <v>-0.21113502938610085</v>
      </c>
      <c r="C78">
        <v>-0.12938015557977645</v>
      </c>
      <c r="D78">
        <v>-0.1676522500069979</v>
      </c>
      <c r="E78">
        <v>0.90071872651009677</v>
      </c>
      <c r="G78">
        <v>0</v>
      </c>
      <c r="H78">
        <v>0</v>
      </c>
      <c r="I78">
        <v>0</v>
      </c>
      <c r="J78">
        <v>1</v>
      </c>
    </row>
    <row r="79" spans="1:11" x14ac:dyDescent="0.45">
      <c r="G79" t="s">
        <v>22</v>
      </c>
      <c r="I79" t="s">
        <v>24</v>
      </c>
      <c r="J79" t="s">
        <v>18</v>
      </c>
      <c r="K79" t="s">
        <v>23</v>
      </c>
    </row>
    <row r="80" spans="1:11" ht="15.75" x14ac:dyDescent="0.45">
      <c r="A80" t="s">
        <v>21</v>
      </c>
      <c r="B80" cm="1">
        <f t="array" ref="B80:E83">_xll.MSub(G75:J78,_xlfn.ANCHORARRAY(B75))</f>
        <v>0.44900713968383299</v>
      </c>
      <c r="C80">
        <v>0.27514436499540357</v>
      </c>
      <c r="D80">
        <v>0.35653513988691521</v>
      </c>
      <c r="E80">
        <v>0.2111350293861004</v>
      </c>
      <c r="G80">
        <v>1</v>
      </c>
      <c r="I80" cm="1">
        <f t="array" ref="I80:I83">MMULT(_xlfn.ANCHORARRAY(B80),G80:G83)</f>
        <v>1.2918216739522523</v>
      </c>
      <c r="J80">
        <v>-0.54534318524798175</v>
      </c>
      <c r="K80" s="1" cm="1">
        <f t="array" ref="K80:K83">_xll.MAdd(J80:J83,_xlfn.ANCHORARRAY(I80))</f>
        <v>0.74647848870427058</v>
      </c>
    </row>
    <row r="81" spans="2:11" x14ac:dyDescent="0.45">
      <c r="B81">
        <v>0.27514436499540351</v>
      </c>
      <c r="C81">
        <v>0.16860404857266076</v>
      </c>
      <c r="D81">
        <v>0.21847900844474066</v>
      </c>
      <c r="E81">
        <v>0.12938015557977611</v>
      </c>
      <c r="G81">
        <v>1</v>
      </c>
      <c r="I81">
        <v>0.79160757759258105</v>
      </c>
      <c r="J81">
        <v>3.8754054591981002E-2</v>
      </c>
      <c r="K81" s="1">
        <v>0.83036163218456205</v>
      </c>
    </row>
    <row r="82" spans="2:11" x14ac:dyDescent="0.45">
      <c r="B82">
        <v>0.35653513988691515</v>
      </c>
      <c r="C82">
        <v>0.21847900844474022</v>
      </c>
      <c r="D82">
        <v>0.28310753825360513</v>
      </c>
      <c r="E82">
        <v>0.1676522500069986</v>
      </c>
      <c r="G82">
        <v>1</v>
      </c>
      <c r="I82">
        <v>1.0257739365922591</v>
      </c>
      <c r="J82">
        <v>-0.17010722636691727</v>
      </c>
      <c r="K82" s="1">
        <v>0.85566671022534191</v>
      </c>
    </row>
    <row r="83" spans="2:11" x14ac:dyDescent="0.45">
      <c r="B83">
        <v>0.21113502938610085</v>
      </c>
      <c r="C83">
        <v>0.12938015557977645</v>
      </c>
      <c r="D83">
        <v>0.1676522500069979</v>
      </c>
      <c r="E83">
        <v>9.9281273489903232E-2</v>
      </c>
      <c r="G83">
        <v>1</v>
      </c>
      <c r="I83">
        <v>0.60744870846277843</v>
      </c>
      <c r="J83">
        <v>1.3964960178250441</v>
      </c>
      <c r="K83" s="1">
        <v>2.0039447262878225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205 HW 4 #1</vt:lpstr>
      <vt:lpstr>205 HW 4 #2</vt:lpstr>
      <vt:lpstr>205 HW 4 #3</vt:lpstr>
      <vt:lpstr>205 HW #4=ma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Pabilic</dc:creator>
  <cp:lastModifiedBy>Sarah Pabilic</cp:lastModifiedBy>
  <dcterms:created xsi:type="dcterms:W3CDTF">2020-02-22T19:58:26Z</dcterms:created>
  <dcterms:modified xsi:type="dcterms:W3CDTF">2020-02-26T00:09:37Z</dcterms:modified>
</cp:coreProperties>
</file>