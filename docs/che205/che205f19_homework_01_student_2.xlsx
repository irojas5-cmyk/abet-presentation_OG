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strong/hw1/"/>
    </mc:Choice>
  </mc:AlternateContent>
  <xr:revisionPtr revIDLastSave="0" documentId="13_ncr:1_{DD727FA1-B292-9645-B0A5-CE6EBF34DC62}" xr6:coauthVersionLast="41" xr6:coauthVersionMax="44" xr10:uidLastSave="{00000000-0000-0000-0000-000000000000}"/>
  <bookViews>
    <workbookView xWindow="-22580" yWindow="-140" windowWidth="21580" windowHeight="14700" activeTab="3" xr2:uid="{CBAFEE21-2351-4EAC-8870-00FC5A526460}"/>
  </bookViews>
  <sheets>
    <sheet name="EX1.1" sheetId="1" r:id="rId1"/>
    <sheet name="EX1.2" sheetId="2" r:id="rId2"/>
    <sheet name="EX1.3" sheetId="4" r:id="rId3"/>
    <sheet name="EX1.6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9" i="4" l="1"/>
  <c r="B89" i="4"/>
  <c r="C89" i="4"/>
  <c r="D89" i="4"/>
  <c r="E89" i="4"/>
  <c r="A90" i="4"/>
  <c r="B90" i="4"/>
  <c r="C90" i="4"/>
  <c r="D90" i="4"/>
  <c r="E90" i="4"/>
  <c r="A91" i="4"/>
  <c r="B91" i="4"/>
  <c r="C91" i="4"/>
  <c r="D91" i="4"/>
  <c r="E91" i="4"/>
  <c r="A92" i="4"/>
  <c r="B92" i="4"/>
  <c r="C92" i="4"/>
  <c r="D92" i="4"/>
  <c r="E92" i="4"/>
  <c r="A93" i="4"/>
  <c r="B93" i="4"/>
  <c r="C93" i="4"/>
  <c r="D93" i="4"/>
  <c r="E93" i="4"/>
  <c r="A94" i="4"/>
  <c r="B94" i="4"/>
  <c r="C94" i="4"/>
  <c r="D94" i="4"/>
  <c r="E94" i="4"/>
  <c r="A95" i="4"/>
  <c r="B95" i="4"/>
  <c r="C95" i="4"/>
  <c r="D95" i="4"/>
  <c r="E95" i="4"/>
  <c r="A96" i="4"/>
  <c r="B96" i="4"/>
  <c r="C96" i="4"/>
  <c r="D96" i="4"/>
  <c r="E96" i="4"/>
  <c r="A97" i="4"/>
  <c r="B97" i="4"/>
  <c r="C97" i="4"/>
  <c r="D97" i="4"/>
  <c r="E97" i="4"/>
  <c r="C88" i="4"/>
  <c r="D88" i="4"/>
  <c r="E88" i="4"/>
  <c r="B88" i="4"/>
  <c r="A88" i="4"/>
  <c r="E87" i="4"/>
  <c r="D87" i="4"/>
  <c r="C87" i="4"/>
  <c r="I83" i="4"/>
  <c r="I84" i="4"/>
  <c r="I85" i="4"/>
  <c r="I86" i="4"/>
  <c r="I87" i="4"/>
  <c r="I88" i="4"/>
  <c r="I89" i="4"/>
  <c r="I90" i="4"/>
  <c r="I91" i="4"/>
  <c r="I92" i="4"/>
  <c r="I93" i="4"/>
  <c r="I94" i="4"/>
  <c r="I82" i="4"/>
  <c r="A70" i="4"/>
  <c r="B70" i="4"/>
  <c r="C70" i="4"/>
  <c r="D70" i="4"/>
  <c r="E70" i="4"/>
  <c r="A71" i="4"/>
  <c r="B71" i="4"/>
  <c r="C71" i="4"/>
  <c r="D71" i="4"/>
  <c r="E71" i="4"/>
  <c r="A72" i="4"/>
  <c r="B72" i="4"/>
  <c r="C72" i="4"/>
  <c r="D72" i="4"/>
  <c r="E72" i="4"/>
  <c r="A63" i="4"/>
  <c r="B63" i="4"/>
  <c r="C63" i="4"/>
  <c r="D63" i="4"/>
  <c r="E63" i="4"/>
  <c r="A64" i="4"/>
  <c r="B64" i="4"/>
  <c r="C64" i="4"/>
  <c r="D64" i="4"/>
  <c r="E64" i="4"/>
  <c r="A65" i="4"/>
  <c r="B65" i="4"/>
  <c r="C65" i="4"/>
  <c r="D65" i="4"/>
  <c r="E65" i="4"/>
  <c r="A66" i="4"/>
  <c r="B66" i="4"/>
  <c r="C66" i="4"/>
  <c r="D66" i="4"/>
  <c r="E66" i="4"/>
  <c r="A67" i="4"/>
  <c r="B67" i="4"/>
  <c r="C67" i="4"/>
  <c r="D67" i="4"/>
  <c r="E67" i="4"/>
  <c r="A68" i="4"/>
  <c r="B68" i="4"/>
  <c r="C68" i="4"/>
  <c r="D68" i="4"/>
  <c r="E68" i="4"/>
  <c r="A69" i="4"/>
  <c r="B69" i="4"/>
  <c r="C69" i="4"/>
  <c r="D69" i="4"/>
  <c r="E69" i="4"/>
  <c r="C62" i="4"/>
  <c r="D62" i="4"/>
  <c r="E62" i="4"/>
  <c r="B62" i="4"/>
  <c r="A62" i="4"/>
  <c r="E61" i="4"/>
  <c r="D61" i="4"/>
  <c r="C61" i="4"/>
  <c r="I56" i="4"/>
  <c r="I57" i="4"/>
  <c r="I58" i="4"/>
  <c r="I59" i="4"/>
  <c r="I60" i="4"/>
  <c r="I61" i="4"/>
  <c r="I62" i="4"/>
  <c r="I63" i="4"/>
  <c r="I64" i="4"/>
  <c r="I65" i="4"/>
  <c r="I55" i="4"/>
  <c r="A40" i="4"/>
  <c r="B40" i="4"/>
  <c r="C40" i="4"/>
  <c r="D40" i="4"/>
  <c r="E40" i="4"/>
  <c r="A41" i="4"/>
  <c r="B41" i="4"/>
  <c r="C41" i="4"/>
  <c r="D41" i="4"/>
  <c r="E41" i="4"/>
  <c r="A42" i="4"/>
  <c r="B42" i="4"/>
  <c r="C42" i="4"/>
  <c r="D42" i="4"/>
  <c r="E42" i="4"/>
  <c r="A43" i="4"/>
  <c r="B43" i="4"/>
  <c r="C43" i="4"/>
  <c r="D43" i="4"/>
  <c r="E43" i="4"/>
  <c r="A44" i="4"/>
  <c r="B44" i="4"/>
  <c r="C44" i="4"/>
  <c r="D44" i="4"/>
  <c r="E44" i="4"/>
  <c r="A45" i="4"/>
  <c r="B45" i="4"/>
  <c r="C45" i="4"/>
  <c r="D45" i="4"/>
  <c r="E45" i="4"/>
  <c r="A46" i="4"/>
  <c r="B46" i="4"/>
  <c r="C46" i="4"/>
  <c r="D46" i="4"/>
  <c r="E46" i="4"/>
  <c r="A47" i="4"/>
  <c r="B47" i="4"/>
  <c r="C47" i="4"/>
  <c r="D47" i="4"/>
  <c r="E47" i="4"/>
  <c r="C39" i="4"/>
  <c r="D39" i="4"/>
  <c r="E39" i="4"/>
  <c r="B39" i="4"/>
  <c r="A39" i="4"/>
  <c r="E38" i="4"/>
  <c r="D38" i="4"/>
  <c r="C38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A14" i="4"/>
  <c r="B14" i="4"/>
  <c r="C14" i="4"/>
  <c r="D14" i="4"/>
  <c r="E14" i="4"/>
  <c r="A15" i="4"/>
  <c r="B15" i="4"/>
  <c r="C15" i="4"/>
  <c r="D15" i="4"/>
  <c r="E15" i="4"/>
  <c r="A16" i="4"/>
  <c r="B16" i="4"/>
  <c r="C16" i="4"/>
  <c r="D16" i="4"/>
  <c r="E16" i="4"/>
  <c r="A17" i="4"/>
  <c r="B17" i="4"/>
  <c r="C17" i="4"/>
  <c r="D17" i="4"/>
  <c r="E17" i="4"/>
  <c r="A18" i="4"/>
  <c r="B18" i="4"/>
  <c r="C18" i="4"/>
  <c r="D18" i="4"/>
  <c r="E18" i="4"/>
  <c r="A19" i="4"/>
  <c r="B19" i="4"/>
  <c r="C19" i="4"/>
  <c r="D19" i="4"/>
  <c r="E19" i="4"/>
  <c r="A20" i="4"/>
  <c r="B20" i="4"/>
  <c r="C20" i="4"/>
  <c r="D20" i="4"/>
  <c r="E20" i="4"/>
  <c r="C13" i="4"/>
  <c r="D13" i="4"/>
  <c r="E13" i="4"/>
  <c r="B13" i="4"/>
  <c r="A13" i="4"/>
  <c r="E12" i="4"/>
  <c r="D12" i="4"/>
  <c r="C12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4" i="4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B42" i="3"/>
  <c r="C42" i="3"/>
  <c r="A42" i="3"/>
  <c r="C41" i="3"/>
  <c r="B41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B28" i="3"/>
  <c r="C28" i="3"/>
  <c r="A28" i="3"/>
  <c r="C27" i="3"/>
  <c r="B27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B16" i="3"/>
  <c r="C16" i="3"/>
  <c r="A16" i="3"/>
  <c r="C15" i="3"/>
  <c r="B1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B5" i="3"/>
  <c r="C5" i="3"/>
  <c r="A5" i="3"/>
  <c r="C4" i="3"/>
  <c r="B4" i="3"/>
  <c r="E102" i="2"/>
  <c r="F102" i="2"/>
  <c r="C102" i="2"/>
  <c r="A103" i="2"/>
  <c r="D102" i="2"/>
  <c r="B103" i="2"/>
  <c r="E103" i="2"/>
  <c r="F103" i="2"/>
  <c r="C103" i="2"/>
  <c r="A104" i="2"/>
  <c r="C104" i="2"/>
  <c r="D103" i="2"/>
  <c r="B104" i="2"/>
  <c r="D104" i="2"/>
  <c r="E64" i="2"/>
  <c r="F64" i="2"/>
  <c r="C64" i="2"/>
  <c r="A65" i="2"/>
  <c r="D64" i="2"/>
  <c r="B65" i="2"/>
  <c r="E65" i="2"/>
  <c r="F65" i="2"/>
  <c r="C65" i="2"/>
  <c r="A66" i="2"/>
  <c r="D65" i="2"/>
  <c r="B66" i="2"/>
  <c r="E66" i="2"/>
  <c r="F66" i="2"/>
  <c r="C66" i="2"/>
  <c r="D66" i="2"/>
  <c r="E26" i="2"/>
  <c r="F26" i="2"/>
  <c r="C26" i="2"/>
  <c r="A27" i="2"/>
  <c r="D26" i="2"/>
  <c r="B27" i="2"/>
  <c r="E27" i="2"/>
  <c r="F27" i="2"/>
  <c r="C27" i="2"/>
  <c r="A28" i="2"/>
  <c r="D27" i="2"/>
  <c r="B28" i="2"/>
  <c r="E28" i="2"/>
  <c r="F28" i="2"/>
  <c r="C28" i="2"/>
  <c r="A29" i="2"/>
  <c r="D28" i="2"/>
  <c r="B29" i="2"/>
  <c r="E29" i="2"/>
  <c r="F29" i="2"/>
  <c r="C29" i="2"/>
  <c r="A30" i="2"/>
  <c r="D29" i="2"/>
  <c r="B30" i="2"/>
  <c r="E30" i="2"/>
  <c r="F30" i="2"/>
  <c r="C30" i="2"/>
  <c r="A31" i="2"/>
  <c r="D30" i="2"/>
  <c r="B31" i="2"/>
  <c r="E31" i="2"/>
  <c r="F31" i="2"/>
  <c r="C31" i="2"/>
  <c r="A32" i="2"/>
  <c r="D31" i="2"/>
  <c r="B32" i="2"/>
  <c r="E32" i="2"/>
  <c r="F32" i="2"/>
  <c r="C32" i="2"/>
  <c r="A33" i="2"/>
  <c r="D32" i="2"/>
  <c r="B33" i="2"/>
  <c r="E33" i="2"/>
  <c r="F33" i="2"/>
  <c r="C33" i="2"/>
  <c r="A34" i="2"/>
  <c r="D33" i="2"/>
  <c r="B34" i="2"/>
  <c r="E34" i="2"/>
  <c r="F34" i="2"/>
  <c r="C34" i="2"/>
  <c r="A35" i="2"/>
  <c r="D34" i="2"/>
  <c r="B35" i="2"/>
  <c r="E35" i="2"/>
  <c r="F35" i="2"/>
  <c r="C35" i="2"/>
  <c r="A36" i="2"/>
  <c r="D35" i="2"/>
  <c r="B36" i="2"/>
  <c r="E36" i="2"/>
  <c r="F36" i="2"/>
  <c r="C36" i="2"/>
  <c r="A37" i="2"/>
  <c r="D36" i="2"/>
  <c r="B37" i="2"/>
  <c r="E37" i="2"/>
  <c r="F37" i="2"/>
  <c r="C37" i="2"/>
  <c r="A38" i="2"/>
  <c r="D37" i="2"/>
  <c r="B38" i="2"/>
  <c r="E38" i="2"/>
  <c r="F38" i="2"/>
  <c r="C38" i="2"/>
  <c r="A39" i="2"/>
  <c r="D38" i="2"/>
  <c r="B39" i="2"/>
  <c r="E39" i="2"/>
  <c r="F39" i="2"/>
  <c r="C39" i="2"/>
  <c r="A40" i="2"/>
  <c r="D39" i="2"/>
  <c r="B40" i="2"/>
  <c r="E40" i="2"/>
  <c r="F40" i="2"/>
  <c r="C40" i="2"/>
  <c r="A41" i="2"/>
  <c r="D40" i="2"/>
  <c r="B41" i="2"/>
  <c r="E41" i="2"/>
  <c r="F41" i="2"/>
  <c r="C41" i="2"/>
  <c r="A42" i="2"/>
  <c r="D41" i="2"/>
  <c r="B42" i="2"/>
  <c r="E42" i="2"/>
  <c r="F42" i="2"/>
  <c r="C42" i="2"/>
  <c r="A43" i="2"/>
  <c r="D42" i="2"/>
  <c r="B43" i="2"/>
  <c r="E43" i="2"/>
  <c r="F43" i="2"/>
  <c r="C43" i="2"/>
  <c r="A44" i="2"/>
  <c r="D43" i="2"/>
  <c r="B44" i="2"/>
  <c r="E44" i="2"/>
  <c r="F44" i="2"/>
  <c r="C44" i="2"/>
  <c r="A45" i="2"/>
  <c r="C45" i="2"/>
  <c r="D44" i="2"/>
  <c r="B45" i="2"/>
  <c r="D45" i="2"/>
  <c r="E4" i="2"/>
  <c r="F4" i="2"/>
  <c r="C4" i="2"/>
  <c r="A5" i="2"/>
  <c r="D4" i="2"/>
  <c r="B5" i="2"/>
  <c r="E5" i="2"/>
  <c r="F5" i="2"/>
  <c r="C5" i="2"/>
  <c r="A6" i="2"/>
  <c r="D5" i="2"/>
  <c r="B6" i="2"/>
  <c r="E6" i="2"/>
  <c r="F6" i="2"/>
  <c r="D6" i="2"/>
  <c r="E104" i="2"/>
  <c r="F104" i="2"/>
  <c r="B67" i="2"/>
  <c r="D67" i="2"/>
  <c r="A67" i="2"/>
  <c r="E45" i="2"/>
  <c r="F45" i="2"/>
  <c r="B7" i="2"/>
  <c r="D7" i="2"/>
  <c r="C6" i="2"/>
  <c r="A7" i="2"/>
  <c r="B105" i="2"/>
  <c r="D105" i="2"/>
  <c r="A105" i="2"/>
  <c r="E67" i="2"/>
  <c r="F67" i="2"/>
  <c r="C67" i="2"/>
  <c r="A46" i="2"/>
  <c r="B46" i="2"/>
  <c r="D46" i="2"/>
  <c r="C7" i="2"/>
  <c r="E7" i="2"/>
  <c r="F7" i="2"/>
  <c r="C105" i="2"/>
  <c r="E105" i="2"/>
  <c r="F105" i="2"/>
  <c r="A68" i="2"/>
  <c r="B68" i="2"/>
  <c r="D68" i="2"/>
  <c r="C46" i="2"/>
  <c r="E46" i="2"/>
  <c r="F46" i="2"/>
  <c r="A8" i="2"/>
  <c r="B8" i="2"/>
  <c r="D8" i="2"/>
  <c r="B106" i="2"/>
  <c r="D106" i="2"/>
  <c r="A106" i="2"/>
  <c r="C68" i="2"/>
  <c r="E68" i="2"/>
  <c r="F68" i="2"/>
  <c r="A47" i="2"/>
  <c r="B47" i="2"/>
  <c r="D47" i="2"/>
  <c r="C8" i="2"/>
  <c r="E8" i="2"/>
  <c r="F8" i="2"/>
  <c r="E106" i="2"/>
  <c r="F106" i="2"/>
  <c r="C106" i="2"/>
  <c r="B69" i="2"/>
  <c r="D69" i="2"/>
  <c r="A69" i="2"/>
  <c r="E47" i="2"/>
  <c r="F47" i="2"/>
  <c r="C47" i="2"/>
  <c r="B9" i="2"/>
  <c r="D9" i="2"/>
  <c r="A9" i="2"/>
  <c r="A107" i="2"/>
  <c r="B107" i="2"/>
  <c r="D107" i="2"/>
  <c r="C69" i="2"/>
  <c r="E69" i="2"/>
  <c r="F69" i="2"/>
  <c r="A48" i="2"/>
  <c r="B48" i="2"/>
  <c r="D48" i="2"/>
  <c r="C9" i="2"/>
  <c r="E9" i="2"/>
  <c r="F9" i="2"/>
  <c r="C107" i="2"/>
  <c r="E107" i="2"/>
  <c r="F107" i="2"/>
  <c r="A70" i="2"/>
  <c r="B70" i="2"/>
  <c r="D70" i="2"/>
  <c r="C48" i="2"/>
  <c r="E48" i="2"/>
  <c r="F48" i="2"/>
  <c r="A10" i="2"/>
  <c r="B10" i="2"/>
  <c r="D10" i="2"/>
  <c r="A108" i="2"/>
  <c r="B108" i="2"/>
  <c r="D108" i="2"/>
  <c r="E70" i="2"/>
  <c r="F70" i="2"/>
  <c r="C70" i="2"/>
  <c r="A49" i="2"/>
  <c r="B49" i="2"/>
  <c r="D49" i="2"/>
  <c r="E10" i="2"/>
  <c r="F10" i="2"/>
  <c r="C10" i="2"/>
  <c r="C108" i="2"/>
  <c r="E108" i="2"/>
  <c r="F108" i="2"/>
  <c r="A71" i="2"/>
  <c r="B71" i="2"/>
  <c r="D71" i="2"/>
  <c r="C49" i="2"/>
  <c r="E49" i="2"/>
  <c r="F49" i="2"/>
  <c r="B11" i="2"/>
  <c r="D11" i="2"/>
  <c r="A11" i="2"/>
  <c r="A109" i="2"/>
  <c r="B109" i="2"/>
  <c r="D109" i="2"/>
  <c r="E71" i="2"/>
  <c r="F71" i="2"/>
  <c r="C71" i="2"/>
  <c r="A50" i="2"/>
  <c r="B50" i="2"/>
  <c r="D50" i="2"/>
  <c r="C11" i="2"/>
  <c r="E11" i="2"/>
  <c r="F11" i="2"/>
  <c r="C109" i="2"/>
  <c r="E109" i="2"/>
  <c r="F109" i="2"/>
  <c r="A72" i="2"/>
  <c r="B72" i="2"/>
  <c r="D72" i="2"/>
  <c r="C50" i="2"/>
  <c r="E50" i="2"/>
  <c r="F50" i="2"/>
  <c r="A12" i="2"/>
  <c r="B12" i="2"/>
  <c r="D12" i="2"/>
  <c r="B110" i="2"/>
  <c r="D110" i="2"/>
  <c r="A110" i="2"/>
  <c r="C72" i="2"/>
  <c r="E72" i="2"/>
  <c r="F72" i="2"/>
  <c r="A51" i="2"/>
  <c r="B51" i="2"/>
  <c r="D51" i="2"/>
  <c r="C12" i="2"/>
  <c r="E12" i="2"/>
  <c r="F12" i="2"/>
  <c r="E110" i="2"/>
  <c r="F110" i="2"/>
  <c r="C110" i="2"/>
  <c r="A73" i="2"/>
  <c r="B73" i="2"/>
  <c r="D73" i="2"/>
  <c r="E51" i="2"/>
  <c r="F51" i="2"/>
  <c r="C51" i="2"/>
  <c r="B13" i="2"/>
  <c r="D13" i="2"/>
  <c r="A13" i="2"/>
  <c r="A111" i="2"/>
  <c r="B111" i="2"/>
  <c r="D111" i="2"/>
  <c r="C73" i="2"/>
  <c r="E73" i="2"/>
  <c r="F73" i="2"/>
  <c r="A52" i="2"/>
  <c r="B52" i="2"/>
  <c r="D52" i="2"/>
  <c r="C13" i="2"/>
  <c r="E13" i="2"/>
  <c r="F13" i="2"/>
  <c r="C111" i="2"/>
  <c r="E111" i="2"/>
  <c r="F111" i="2"/>
  <c r="A74" i="2"/>
  <c r="B74" i="2"/>
  <c r="D74" i="2"/>
  <c r="C52" i="2"/>
  <c r="E52" i="2"/>
  <c r="F52" i="2"/>
  <c r="A14" i="2"/>
  <c r="B14" i="2"/>
  <c r="D14" i="2"/>
  <c r="A112" i="2"/>
  <c r="B112" i="2"/>
  <c r="D112" i="2"/>
  <c r="E74" i="2"/>
  <c r="F74" i="2"/>
  <c r="C74" i="2"/>
  <c r="A53" i="2"/>
  <c r="B53" i="2"/>
  <c r="D53" i="2"/>
  <c r="E14" i="2"/>
  <c r="F14" i="2"/>
  <c r="C14" i="2"/>
  <c r="C112" i="2"/>
  <c r="E112" i="2"/>
  <c r="F112" i="2"/>
  <c r="B75" i="2"/>
  <c r="D75" i="2"/>
  <c r="A75" i="2"/>
  <c r="C53" i="2"/>
  <c r="E53" i="2"/>
  <c r="F53" i="2"/>
  <c r="B15" i="2"/>
  <c r="D15" i="2"/>
  <c r="A15" i="2"/>
  <c r="A113" i="2"/>
  <c r="B113" i="2"/>
  <c r="D113" i="2"/>
  <c r="E75" i="2"/>
  <c r="F75" i="2"/>
  <c r="C75" i="2"/>
  <c r="A54" i="2"/>
  <c r="B54" i="2"/>
  <c r="D54" i="2"/>
  <c r="C15" i="2"/>
  <c r="E15" i="2"/>
  <c r="F15" i="2"/>
  <c r="C113" i="2"/>
  <c r="E113" i="2"/>
  <c r="F113" i="2"/>
  <c r="A76" i="2"/>
  <c r="B76" i="2"/>
  <c r="D76" i="2"/>
  <c r="C54" i="2"/>
  <c r="E54" i="2"/>
  <c r="F54" i="2"/>
  <c r="A16" i="2"/>
  <c r="B16" i="2"/>
  <c r="D16" i="2"/>
  <c r="B114" i="2"/>
  <c r="D114" i="2"/>
  <c r="A114" i="2"/>
  <c r="C76" i="2"/>
  <c r="E76" i="2"/>
  <c r="F76" i="2"/>
  <c r="A55" i="2"/>
  <c r="B55" i="2"/>
  <c r="D55" i="2"/>
  <c r="C16" i="2"/>
  <c r="E16" i="2"/>
  <c r="F16" i="2"/>
  <c r="E114" i="2"/>
  <c r="F114" i="2"/>
  <c r="C114" i="2"/>
  <c r="B77" i="2"/>
  <c r="D77" i="2"/>
  <c r="A77" i="2"/>
  <c r="E55" i="2"/>
  <c r="F55" i="2"/>
  <c r="C55" i="2"/>
  <c r="B17" i="2"/>
  <c r="D17" i="2"/>
  <c r="A17" i="2"/>
  <c r="A115" i="2"/>
  <c r="B115" i="2"/>
  <c r="D115" i="2"/>
  <c r="C77" i="2"/>
  <c r="E77" i="2"/>
  <c r="F77" i="2"/>
  <c r="A56" i="2"/>
  <c r="B56" i="2"/>
  <c r="D56" i="2"/>
  <c r="C17" i="2"/>
  <c r="E17" i="2"/>
  <c r="F17" i="2"/>
  <c r="C115" i="2"/>
  <c r="E115" i="2"/>
  <c r="F115" i="2"/>
  <c r="B78" i="2"/>
  <c r="D78" i="2"/>
  <c r="A78" i="2"/>
  <c r="C56" i="2"/>
  <c r="E56" i="2"/>
  <c r="F56" i="2"/>
  <c r="A18" i="2"/>
  <c r="B18" i="2"/>
  <c r="D18" i="2"/>
  <c r="E78" i="2"/>
  <c r="F78" i="2"/>
  <c r="C78" i="2"/>
  <c r="A57" i="2"/>
  <c r="B57" i="2"/>
  <c r="D57" i="2"/>
  <c r="E18" i="2"/>
  <c r="F18" i="2"/>
  <c r="C18" i="2"/>
  <c r="B79" i="2"/>
  <c r="D79" i="2"/>
  <c r="A79" i="2"/>
  <c r="C57" i="2"/>
  <c r="E57" i="2"/>
  <c r="F57" i="2"/>
  <c r="A19" i="2"/>
  <c r="B19" i="2"/>
  <c r="D19" i="2"/>
  <c r="C79" i="2"/>
  <c r="E79" i="2"/>
  <c r="F79" i="2"/>
  <c r="A58" i="2"/>
  <c r="B58" i="2"/>
  <c r="D58" i="2"/>
  <c r="C19" i="2"/>
  <c r="E19" i="2"/>
  <c r="F19" i="2"/>
  <c r="A80" i="2"/>
  <c r="B80" i="2"/>
  <c r="D80" i="2"/>
  <c r="C58" i="2"/>
  <c r="E58" i="2"/>
  <c r="F58" i="2"/>
  <c r="B102" i="1"/>
  <c r="A91" i="1"/>
  <c r="B91" i="1"/>
  <c r="A92" i="1"/>
  <c r="B92" i="1"/>
  <c r="A93" i="1"/>
  <c r="B93" i="1"/>
  <c r="A94" i="1"/>
  <c r="B94" i="1"/>
  <c r="A95" i="1"/>
  <c r="B95" i="1"/>
  <c r="A96" i="1"/>
  <c r="B96" i="1"/>
  <c r="B90" i="1"/>
  <c r="H66" i="1"/>
  <c r="B64" i="1"/>
  <c r="A65" i="1"/>
  <c r="A5" i="1"/>
  <c r="B65" i="1"/>
  <c r="A66" i="1"/>
  <c r="A6" i="1"/>
  <c r="B66" i="1"/>
  <c r="A67" i="1"/>
  <c r="A7" i="1"/>
  <c r="B67" i="1"/>
  <c r="A68" i="1"/>
  <c r="A8" i="1"/>
  <c r="B68" i="1"/>
  <c r="A69" i="1"/>
  <c r="A9" i="1"/>
  <c r="B69" i="1"/>
  <c r="A70" i="1"/>
  <c r="A10" i="1"/>
  <c r="B70" i="1"/>
  <c r="A71" i="1"/>
  <c r="A11" i="1"/>
  <c r="B71" i="1"/>
  <c r="H38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B34" i="1"/>
  <c r="H4" i="1"/>
  <c r="B5" i="1"/>
  <c r="B6" i="1"/>
  <c r="B7" i="1"/>
  <c r="B8" i="1"/>
  <c r="B9" i="1"/>
  <c r="B10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B4" i="1"/>
  <c r="E80" i="2"/>
  <c r="F80" i="2"/>
  <c r="C80" i="2"/>
  <c r="A81" i="2"/>
  <c r="B81" i="2"/>
  <c r="D81" i="2"/>
  <c r="C81" i="2"/>
  <c r="E81" i="2"/>
  <c r="F81" i="2"/>
  <c r="B82" i="2"/>
  <c r="D82" i="2"/>
  <c r="A82" i="2"/>
  <c r="E82" i="2"/>
  <c r="F82" i="2"/>
  <c r="C82" i="2"/>
  <c r="B83" i="2"/>
  <c r="D83" i="2"/>
  <c r="A83" i="2"/>
  <c r="E83" i="2"/>
  <c r="F83" i="2"/>
  <c r="C83" i="2"/>
  <c r="A84" i="2"/>
  <c r="B84" i="2"/>
  <c r="D84" i="2"/>
  <c r="C84" i="2"/>
  <c r="E84" i="2"/>
  <c r="F84" i="2"/>
  <c r="B85" i="2"/>
  <c r="D85" i="2"/>
  <c r="A85" i="2"/>
  <c r="C85" i="2"/>
  <c r="E85" i="2"/>
  <c r="F85" i="2"/>
  <c r="A86" i="2"/>
  <c r="B86" i="2"/>
  <c r="D86" i="2"/>
  <c r="E86" i="2"/>
  <c r="F86" i="2"/>
  <c r="C86" i="2"/>
  <c r="B87" i="2"/>
  <c r="D87" i="2"/>
  <c r="A87" i="2"/>
  <c r="C87" i="2"/>
  <c r="E87" i="2"/>
  <c r="F87" i="2"/>
  <c r="A88" i="2"/>
  <c r="B88" i="2"/>
  <c r="D88" i="2"/>
  <c r="E88" i="2"/>
  <c r="F88" i="2"/>
  <c r="C88" i="2"/>
  <c r="A89" i="2"/>
  <c r="B89" i="2"/>
  <c r="D89" i="2"/>
  <c r="C89" i="2"/>
  <c r="E89" i="2"/>
  <c r="F89" i="2"/>
  <c r="B90" i="2"/>
  <c r="D90" i="2"/>
  <c r="A90" i="2"/>
  <c r="E90" i="2"/>
  <c r="F90" i="2"/>
  <c r="C90" i="2"/>
  <c r="B91" i="2"/>
  <c r="D91" i="2"/>
  <c r="A91" i="2"/>
  <c r="E91" i="2"/>
  <c r="F91" i="2"/>
  <c r="C91" i="2"/>
  <c r="A92" i="2"/>
  <c r="B92" i="2"/>
  <c r="D92" i="2"/>
  <c r="E92" i="2"/>
  <c r="F92" i="2"/>
  <c r="C92" i="2"/>
  <c r="B93" i="2"/>
  <c r="D93" i="2"/>
  <c r="A93" i="2"/>
  <c r="C93" i="2"/>
  <c r="E93" i="2"/>
  <c r="F93" i="2"/>
  <c r="B94" i="2"/>
  <c r="D94" i="2"/>
  <c r="A94" i="2"/>
  <c r="E94" i="2"/>
  <c r="F94" i="2"/>
  <c r="C94" i="2"/>
  <c r="B95" i="2"/>
  <c r="D95" i="2"/>
  <c r="A95" i="2"/>
  <c r="C95" i="2"/>
  <c r="E95" i="2"/>
  <c r="F95" i="2"/>
  <c r="A96" i="2"/>
  <c r="B96" i="2"/>
  <c r="D96" i="2"/>
  <c r="C96" i="2"/>
  <c r="E96" i="2"/>
  <c r="F96" i="2"/>
  <c r="A97" i="2"/>
  <c r="B97" i="2"/>
  <c r="D97" i="2"/>
  <c r="C97" i="2"/>
  <c r="E97" i="2"/>
  <c r="F97" i="2"/>
</calcChain>
</file>

<file path=xl/sharedStrings.xml><?xml version="1.0" encoding="utf-8"?>
<sst xmlns="http://schemas.openxmlformats.org/spreadsheetml/2006/main" count="116" uniqueCount="31">
  <si>
    <t>a)</t>
  </si>
  <si>
    <t>f(X)= x-x^(1/3)-2</t>
  </si>
  <si>
    <t>x</t>
  </si>
  <si>
    <t>f(x)</t>
  </si>
  <si>
    <t>Goal Seek</t>
  </si>
  <si>
    <t>f(x)=</t>
  </si>
  <si>
    <t>x=</t>
  </si>
  <si>
    <t>x =</t>
  </si>
  <si>
    <t>f(x) =</t>
  </si>
  <si>
    <t>b)</t>
  </si>
  <si>
    <t>f(x)=xtanx-1</t>
  </si>
  <si>
    <t>c)</t>
  </si>
  <si>
    <t>x^4-e^x+1</t>
  </si>
  <si>
    <t>d)</t>
  </si>
  <si>
    <t>x^2*e^x-1</t>
  </si>
  <si>
    <t>V1 (a)</t>
  </si>
  <si>
    <t>V2 (b)</t>
  </si>
  <si>
    <t>f(V1)</t>
  </si>
  <si>
    <t>f(V2)</t>
  </si>
  <si>
    <t>Vmid (c)</t>
  </si>
  <si>
    <t>f(Vmid)</t>
  </si>
  <si>
    <t>B)</t>
  </si>
  <si>
    <t>V</t>
  </si>
  <si>
    <t>f(V)</t>
  </si>
  <si>
    <t>f'(V)</t>
  </si>
  <si>
    <t>x1</t>
  </si>
  <si>
    <t>x2</t>
  </si>
  <si>
    <t>f(x1)</t>
  </si>
  <si>
    <t>f(x2)</t>
  </si>
  <si>
    <t>x3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</si>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</sst>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8"/>
      <name val="Arial"/>
      <family val="2"/>
    </font>
    <font>
      <sz val="1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3" xfId="0" quotePrefix="1" applyBorder="1"/>
    <xf numFmtId="0" fontId="0" fillId="0" borderId="4" xfId="0" applyBorder="1"/>
    <xf numFmtId="0" fontId="2" fillId="0" borderId="0" xfId="0" applyFont="1"/>
    <xf numFmtId="2" fontId="2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'EX1.1'!$B$3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'EX1.1'!$A$4:$A$29</c:f>
              <c:numCache>
                <c:formatCode>General</c:formatCode>
                <c:ptCount val="26"/>
                <c:pt idx="0">
                  <c:v>0.2</c:v>
                </c:pt>
                <c:pt idx="1">
                  <c:v>0.4</c:v>
                </c:pt>
                <c:pt idx="2">
                  <c:v>0.60000000000000009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1.5999999999999999</c:v>
                </c:pt>
                <c:pt idx="8">
                  <c:v>1.7999999999999998</c:v>
                </c:pt>
                <c:pt idx="9">
                  <c:v>1.9999999999999998</c:v>
                </c:pt>
                <c:pt idx="10">
                  <c:v>2.1999999999999997</c:v>
                </c:pt>
                <c:pt idx="11">
                  <c:v>2.4</c:v>
                </c:pt>
                <c:pt idx="12">
                  <c:v>2.6</c:v>
                </c:pt>
                <c:pt idx="13">
                  <c:v>2.8000000000000003</c:v>
                </c:pt>
                <c:pt idx="14">
                  <c:v>3.0000000000000004</c:v>
                </c:pt>
                <c:pt idx="15">
                  <c:v>3.2000000000000006</c:v>
                </c:pt>
                <c:pt idx="16">
                  <c:v>3.4000000000000008</c:v>
                </c:pt>
                <c:pt idx="17">
                  <c:v>3.600000000000001</c:v>
                </c:pt>
                <c:pt idx="18">
                  <c:v>3.8000000000000012</c:v>
                </c:pt>
                <c:pt idx="19">
                  <c:v>4.0000000000000009</c:v>
                </c:pt>
                <c:pt idx="20">
                  <c:v>4.2000000000000011</c:v>
                </c:pt>
                <c:pt idx="21">
                  <c:v>4.4000000000000012</c:v>
                </c:pt>
                <c:pt idx="22">
                  <c:v>4.6000000000000014</c:v>
                </c:pt>
                <c:pt idx="23">
                  <c:v>4.8000000000000016</c:v>
                </c:pt>
                <c:pt idx="24">
                  <c:v>5.0000000000000018</c:v>
                </c:pt>
              </c:numCache>
            </c:numRef>
          </c:xVal>
          <c:yVal>
            <c:numRef>
              <c:f>'EX1.1'!$B$4:$B$29</c:f>
              <c:numCache>
                <c:formatCode>General</c:formatCode>
                <c:ptCount val="26"/>
                <c:pt idx="0">
                  <c:v>-2.3848035476425733</c:v>
                </c:pt>
                <c:pt idx="1">
                  <c:v>-2.3368062997280772</c:v>
                </c:pt>
                <c:pt idx="2">
                  <c:v>-2.2434326653017491</c:v>
                </c:pt>
                <c:pt idx="3">
                  <c:v>-2.1283177667225557</c:v>
                </c:pt>
                <c:pt idx="4">
                  <c:v>-2</c:v>
                </c:pt>
                <c:pt idx="5">
                  <c:v>-1.8626585691826112</c:v>
                </c:pt>
                <c:pt idx="6">
                  <c:v>-1.7186889420813969</c:v>
                </c:pt>
                <c:pt idx="7">
                  <c:v>-1.5696070952851466</c:v>
                </c:pt>
                <c:pt idx="8">
                  <c:v>-1.4164403991146801</c:v>
                </c:pt>
                <c:pt idx="9">
                  <c:v>-1.2599210498948734</c:v>
                </c:pt>
                <c:pt idx="10">
                  <c:v>-1.1005914468513871</c:v>
                </c:pt>
                <c:pt idx="11">
                  <c:v>-0.93886590016433913</c:v>
                </c:pt>
                <c:pt idx="12">
                  <c:v>-0.7750688670741408</c:v>
                </c:pt>
                <c:pt idx="13">
                  <c:v>-0.60945974641297807</c:v>
                </c:pt>
                <c:pt idx="14">
                  <c:v>-0.44224957030740786</c:v>
                </c:pt>
                <c:pt idx="15">
                  <c:v>-0.27361259945615402</c:v>
                </c:pt>
                <c:pt idx="16">
                  <c:v>-0.10369459620497401</c:v>
                </c:pt>
                <c:pt idx="17">
                  <c:v>6.738113521289435E-2</c:v>
                </c:pt>
                <c:pt idx="18">
                  <c:v>0.23950924929211626</c:v>
                </c:pt>
                <c:pt idx="19">
                  <c:v>0.41259894803180153</c:v>
                </c:pt>
                <c:pt idx="20">
                  <c:v>0.58657135397545712</c:v>
                </c:pt>
                <c:pt idx="21">
                  <c:v>0.76135745879870953</c:v>
                </c:pt>
                <c:pt idx="22">
                  <c:v>0.93689650115923584</c:v>
                </c:pt>
                <c:pt idx="23">
                  <c:v>1.1131346693965032</c:v>
                </c:pt>
                <c:pt idx="24">
                  <c:v>1.2900240533233047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D9-4858-AE27-035A3C52E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597520"/>
        <c:axId val="435600472"/>
      </c:scatterChart>
      <c:valAx>
        <c:axId val="43559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00472"/>
        <c:crosses val="autoZero"/>
        <c:crossBetween val="midCat"/>
      </c:valAx>
      <c:valAx>
        <c:axId val="4356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9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'EX1.1'!$B$33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'EX1.1'!$A$34:$A$58</c:f>
              <c:numCache>
                <c:formatCode>General</c:formatCode>
                <c:ptCount val="25"/>
                <c:pt idx="0">
                  <c:v>0.2</c:v>
                </c:pt>
                <c:pt idx="1">
                  <c:v>0.4</c:v>
                </c:pt>
                <c:pt idx="2">
                  <c:v>0.60000000000000009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1.5999999999999999</c:v>
                </c:pt>
                <c:pt idx="8">
                  <c:v>1.7999999999999998</c:v>
                </c:pt>
                <c:pt idx="9">
                  <c:v>1.9999999999999998</c:v>
                </c:pt>
                <c:pt idx="10">
                  <c:v>2.1999999999999997</c:v>
                </c:pt>
                <c:pt idx="11">
                  <c:v>2.4</c:v>
                </c:pt>
                <c:pt idx="12">
                  <c:v>2.6</c:v>
                </c:pt>
                <c:pt idx="13">
                  <c:v>2.8000000000000003</c:v>
                </c:pt>
                <c:pt idx="14">
                  <c:v>3.0000000000000004</c:v>
                </c:pt>
                <c:pt idx="15">
                  <c:v>3.2000000000000006</c:v>
                </c:pt>
                <c:pt idx="16">
                  <c:v>3.4000000000000008</c:v>
                </c:pt>
                <c:pt idx="17">
                  <c:v>3.600000000000001</c:v>
                </c:pt>
                <c:pt idx="18">
                  <c:v>3.8000000000000012</c:v>
                </c:pt>
                <c:pt idx="19">
                  <c:v>4.0000000000000009</c:v>
                </c:pt>
                <c:pt idx="20">
                  <c:v>4.2000000000000011</c:v>
                </c:pt>
                <c:pt idx="21">
                  <c:v>4.4000000000000012</c:v>
                </c:pt>
              </c:numCache>
            </c:numRef>
          </c:xVal>
          <c:yVal>
            <c:numRef>
              <c:f>'EX1.1'!$B$34:$B$58</c:f>
              <c:numCache>
                <c:formatCode>General</c:formatCode>
                <c:ptCount val="25"/>
                <c:pt idx="0">
                  <c:v>-0.9594579928982655</c:v>
                </c:pt>
                <c:pt idx="1">
                  <c:v>-0.83088271250473533</c:v>
                </c:pt>
                <c:pt idx="2">
                  <c:v>-0.58951791499498452</c:v>
                </c:pt>
                <c:pt idx="3">
                  <c:v>-0.17628915435970871</c:v>
                </c:pt>
                <c:pt idx="4">
                  <c:v>0.55740772465490229</c:v>
                </c:pt>
                <c:pt idx="5">
                  <c:v>2.0865819465515822</c:v>
                </c:pt>
                <c:pt idx="6">
                  <c:v>7.117037201676041</c:v>
                </c:pt>
                <c:pt idx="7">
                  <c:v>-55.77205237689212</c:v>
                </c:pt>
                <c:pt idx="8">
                  <c:v>-8.7152710143305185</c:v>
                </c:pt>
                <c:pt idx="9">
                  <c:v>-5.3700797265230396</c:v>
                </c:pt>
                <c:pt idx="10">
                  <c:v>-4.0224107248913512</c:v>
                </c:pt>
                <c:pt idx="11">
                  <c:v>-3.1984342952161855</c:v>
                </c:pt>
                <c:pt idx="12">
                  <c:v>-2.5641511940333723</c:v>
                </c:pt>
                <c:pt idx="13">
                  <c:v>-1.9954835286232917</c:v>
                </c:pt>
                <c:pt idx="14">
                  <c:v>-1.4276396292228322</c:v>
                </c:pt>
                <c:pt idx="15">
                  <c:v>-0.81288366572934689</c:v>
                </c:pt>
                <c:pt idx="16">
                  <c:v>-0.101322537050751</c:v>
                </c:pt>
                <c:pt idx="17">
                  <c:v>0.77648022794565819</c:v>
                </c:pt>
                <c:pt idx="18">
                  <c:v>1.9395131439118871</c:v>
                </c:pt>
                <c:pt idx="19">
                  <c:v>3.6312851293983197</c:v>
                </c:pt>
                <c:pt idx="20">
                  <c:v>6.4666750529371528</c:v>
                </c:pt>
                <c:pt idx="21">
                  <c:v>12.623824634858925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89-449D-A299-49471271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861752"/>
        <c:axId val="307857488"/>
      </c:scatterChart>
      <c:valAx>
        <c:axId val="30786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57488"/>
        <c:crosses val="autoZero"/>
        <c:crossBetween val="midCat"/>
      </c:valAx>
      <c:valAx>
        <c:axId val="30785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61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'EX1.1'!$B$63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'EX1.1'!$A$64:$A$71</c:f>
              <c:numCache>
                <c:formatCode>General</c:formatCode>
                <c:ptCount val="8"/>
                <c:pt idx="0">
                  <c:v>0.2</c:v>
                </c:pt>
                <c:pt idx="1">
                  <c:v>0.4</c:v>
                </c:pt>
                <c:pt idx="2">
                  <c:v>0.60000000000000009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1.5999999999999999</c:v>
                </c:pt>
              </c:numCache>
            </c:numRef>
          </c:xVal>
          <c:yVal>
            <c:numRef>
              <c:f>'EX1.1'!$B$64:$B$71</c:f>
              <c:numCache>
                <c:formatCode>General</c:formatCode>
                <c:ptCount val="8"/>
                <c:pt idx="0">
                  <c:v>-0.21980275816016981</c:v>
                </c:pt>
                <c:pt idx="1">
                  <c:v>-0.46622469764127028</c:v>
                </c:pt>
                <c:pt idx="2">
                  <c:v>-0.69251880039050895</c:v>
                </c:pt>
                <c:pt idx="3">
                  <c:v>-0.81594092849246769</c:v>
                </c:pt>
                <c:pt idx="4">
                  <c:v>-0.71828182845904509</c:v>
                </c:pt>
                <c:pt idx="5">
                  <c:v>-0.24651692273654735</c:v>
                </c:pt>
                <c:pt idx="6">
                  <c:v>0.78640003315532425</c:v>
                </c:pt>
                <c:pt idx="7">
                  <c:v>2.6005675756048836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37-4E41-BDF4-DBA8E40F3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533320"/>
        <c:axId val="582527416"/>
      </c:scatterChart>
      <c:valAx>
        <c:axId val="582533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27416"/>
        <c:crosses val="autoZero"/>
        <c:crossBetween val="midCat"/>
      </c:valAx>
      <c:valAx>
        <c:axId val="58252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33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'EX1.1'!$B$89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'EX1.1'!$A$90:$A$96</c:f>
              <c:numCache>
                <c:formatCode>General</c:formatCode>
                <c:ptCount val="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</c:numCache>
            </c:numRef>
          </c:xVal>
          <c:yVal>
            <c:numRef>
              <c:f>'EX1.1'!$B$90:$B$96</c:f>
              <c:numCache>
                <c:formatCode>General</c:formatCode>
                <c:ptCount val="7"/>
                <c:pt idx="0">
                  <c:v>-1</c:v>
                </c:pt>
                <c:pt idx="1">
                  <c:v>-0.9511438896735932</c:v>
                </c:pt>
                <c:pt idx="2">
                  <c:v>-0.76130804837739663</c:v>
                </c:pt>
                <c:pt idx="3">
                  <c:v>-0.34403723185941659</c:v>
                </c:pt>
                <c:pt idx="4">
                  <c:v>0.42434619423517961</c:v>
                </c:pt>
                <c:pt idx="5">
                  <c:v>1.7182818284590451</c:v>
                </c:pt>
                <c:pt idx="6">
                  <c:v>3.7809683687406279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B1-401F-A777-CEE7356E6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44032"/>
        <c:axId val="750745672"/>
      </c:scatterChart>
      <c:valAx>
        <c:axId val="75074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45672"/>
        <c:crosses val="autoZero"/>
        <c:crossBetween val="midCat"/>
      </c:valAx>
      <c:valAx>
        <c:axId val="75074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4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'EX1.1'!$B$3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'EX1.1'!$A$4:$A$29</c:f>
              <c:numCache>
                <c:formatCode>General</c:formatCode>
                <c:ptCount val="26"/>
                <c:pt idx="0">
                  <c:v>0.2</c:v>
                </c:pt>
                <c:pt idx="1">
                  <c:v>0.4</c:v>
                </c:pt>
                <c:pt idx="2">
                  <c:v>0.60000000000000009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1.5999999999999999</c:v>
                </c:pt>
                <c:pt idx="8">
                  <c:v>1.7999999999999998</c:v>
                </c:pt>
                <c:pt idx="9">
                  <c:v>1.9999999999999998</c:v>
                </c:pt>
                <c:pt idx="10">
                  <c:v>2.1999999999999997</c:v>
                </c:pt>
                <c:pt idx="11">
                  <c:v>2.4</c:v>
                </c:pt>
                <c:pt idx="12">
                  <c:v>2.6</c:v>
                </c:pt>
                <c:pt idx="13">
                  <c:v>2.8000000000000003</c:v>
                </c:pt>
                <c:pt idx="14">
                  <c:v>3.0000000000000004</c:v>
                </c:pt>
                <c:pt idx="15">
                  <c:v>3.2000000000000006</c:v>
                </c:pt>
                <c:pt idx="16">
                  <c:v>3.4000000000000008</c:v>
                </c:pt>
                <c:pt idx="17">
                  <c:v>3.600000000000001</c:v>
                </c:pt>
                <c:pt idx="18">
                  <c:v>3.8000000000000012</c:v>
                </c:pt>
                <c:pt idx="19">
                  <c:v>4.0000000000000009</c:v>
                </c:pt>
                <c:pt idx="20">
                  <c:v>4.2000000000000011</c:v>
                </c:pt>
                <c:pt idx="21">
                  <c:v>4.4000000000000012</c:v>
                </c:pt>
                <c:pt idx="22">
                  <c:v>4.6000000000000014</c:v>
                </c:pt>
                <c:pt idx="23">
                  <c:v>4.8000000000000016</c:v>
                </c:pt>
                <c:pt idx="24">
                  <c:v>5.0000000000000018</c:v>
                </c:pt>
              </c:numCache>
            </c:numRef>
          </c:xVal>
          <c:yVal>
            <c:numRef>
              <c:f>'EX1.1'!$B$4:$B$29</c:f>
              <c:numCache>
                <c:formatCode>General</c:formatCode>
                <c:ptCount val="26"/>
                <c:pt idx="0">
                  <c:v>-2.3848035476425733</c:v>
                </c:pt>
                <c:pt idx="1">
                  <c:v>-2.3368062997280772</c:v>
                </c:pt>
                <c:pt idx="2">
                  <c:v>-2.2434326653017491</c:v>
                </c:pt>
                <c:pt idx="3">
                  <c:v>-2.1283177667225557</c:v>
                </c:pt>
                <c:pt idx="4">
                  <c:v>-2</c:v>
                </c:pt>
                <c:pt idx="5">
                  <c:v>-1.8626585691826112</c:v>
                </c:pt>
                <c:pt idx="6">
                  <c:v>-1.7186889420813969</c:v>
                </c:pt>
                <c:pt idx="7">
                  <c:v>-1.5696070952851466</c:v>
                </c:pt>
                <c:pt idx="8">
                  <c:v>-1.4164403991146801</c:v>
                </c:pt>
                <c:pt idx="9">
                  <c:v>-1.2599210498948734</c:v>
                </c:pt>
                <c:pt idx="10">
                  <c:v>-1.1005914468513871</c:v>
                </c:pt>
                <c:pt idx="11">
                  <c:v>-0.93886590016433913</c:v>
                </c:pt>
                <c:pt idx="12">
                  <c:v>-0.7750688670741408</c:v>
                </c:pt>
                <c:pt idx="13">
                  <c:v>-0.60945974641297807</c:v>
                </c:pt>
                <c:pt idx="14">
                  <c:v>-0.44224957030740786</c:v>
                </c:pt>
                <c:pt idx="15">
                  <c:v>-0.27361259945615402</c:v>
                </c:pt>
                <c:pt idx="16">
                  <c:v>-0.10369459620497401</c:v>
                </c:pt>
                <c:pt idx="17">
                  <c:v>6.738113521289435E-2</c:v>
                </c:pt>
                <c:pt idx="18">
                  <c:v>0.23950924929211626</c:v>
                </c:pt>
                <c:pt idx="19">
                  <c:v>0.41259894803180153</c:v>
                </c:pt>
                <c:pt idx="20">
                  <c:v>0.58657135397545712</c:v>
                </c:pt>
                <c:pt idx="21">
                  <c:v>0.76135745879870953</c:v>
                </c:pt>
                <c:pt idx="22">
                  <c:v>0.93689650115923584</c:v>
                </c:pt>
                <c:pt idx="23">
                  <c:v>1.1131346693965032</c:v>
                </c:pt>
                <c:pt idx="24">
                  <c:v>1.2900240533233047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4A-43A6-AD74-9BADE37EF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597520"/>
        <c:axId val="435600472"/>
      </c:scatterChart>
      <c:valAx>
        <c:axId val="43559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600472"/>
        <c:crosses val="autoZero"/>
        <c:crossBetween val="midCat"/>
      </c:valAx>
      <c:valAx>
        <c:axId val="4356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9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'EX1.1'!$B$33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'EX1.1'!$A$34:$A$58</c:f>
              <c:numCache>
                <c:formatCode>General</c:formatCode>
                <c:ptCount val="25"/>
                <c:pt idx="0">
                  <c:v>0.2</c:v>
                </c:pt>
                <c:pt idx="1">
                  <c:v>0.4</c:v>
                </c:pt>
                <c:pt idx="2">
                  <c:v>0.60000000000000009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1.5999999999999999</c:v>
                </c:pt>
                <c:pt idx="8">
                  <c:v>1.7999999999999998</c:v>
                </c:pt>
                <c:pt idx="9">
                  <c:v>1.9999999999999998</c:v>
                </c:pt>
                <c:pt idx="10">
                  <c:v>2.1999999999999997</c:v>
                </c:pt>
                <c:pt idx="11">
                  <c:v>2.4</c:v>
                </c:pt>
                <c:pt idx="12">
                  <c:v>2.6</c:v>
                </c:pt>
                <c:pt idx="13">
                  <c:v>2.8000000000000003</c:v>
                </c:pt>
                <c:pt idx="14">
                  <c:v>3.0000000000000004</c:v>
                </c:pt>
                <c:pt idx="15">
                  <c:v>3.2000000000000006</c:v>
                </c:pt>
                <c:pt idx="16">
                  <c:v>3.4000000000000008</c:v>
                </c:pt>
                <c:pt idx="17">
                  <c:v>3.600000000000001</c:v>
                </c:pt>
                <c:pt idx="18">
                  <c:v>3.8000000000000012</c:v>
                </c:pt>
                <c:pt idx="19">
                  <c:v>4.0000000000000009</c:v>
                </c:pt>
                <c:pt idx="20">
                  <c:v>4.2000000000000011</c:v>
                </c:pt>
                <c:pt idx="21">
                  <c:v>4.4000000000000012</c:v>
                </c:pt>
              </c:numCache>
            </c:numRef>
          </c:xVal>
          <c:yVal>
            <c:numRef>
              <c:f>'EX1.1'!$B$34:$B$58</c:f>
              <c:numCache>
                <c:formatCode>General</c:formatCode>
                <c:ptCount val="25"/>
                <c:pt idx="0">
                  <c:v>-0.9594579928982655</c:v>
                </c:pt>
                <c:pt idx="1">
                  <c:v>-0.83088271250473533</c:v>
                </c:pt>
                <c:pt idx="2">
                  <c:v>-0.58951791499498452</c:v>
                </c:pt>
                <c:pt idx="3">
                  <c:v>-0.17628915435970871</c:v>
                </c:pt>
                <c:pt idx="4">
                  <c:v>0.55740772465490229</c:v>
                </c:pt>
                <c:pt idx="5">
                  <c:v>2.0865819465515822</c:v>
                </c:pt>
                <c:pt idx="6">
                  <c:v>7.117037201676041</c:v>
                </c:pt>
                <c:pt idx="7">
                  <c:v>-55.77205237689212</c:v>
                </c:pt>
                <c:pt idx="8">
                  <c:v>-8.7152710143305185</c:v>
                </c:pt>
                <c:pt idx="9">
                  <c:v>-5.3700797265230396</c:v>
                </c:pt>
                <c:pt idx="10">
                  <c:v>-4.0224107248913512</c:v>
                </c:pt>
                <c:pt idx="11">
                  <c:v>-3.1984342952161855</c:v>
                </c:pt>
                <c:pt idx="12">
                  <c:v>-2.5641511940333723</c:v>
                </c:pt>
                <c:pt idx="13">
                  <c:v>-1.9954835286232917</c:v>
                </c:pt>
                <c:pt idx="14">
                  <c:v>-1.4276396292228322</c:v>
                </c:pt>
                <c:pt idx="15">
                  <c:v>-0.81288366572934689</c:v>
                </c:pt>
                <c:pt idx="16">
                  <c:v>-0.101322537050751</c:v>
                </c:pt>
                <c:pt idx="17">
                  <c:v>0.77648022794565819</c:v>
                </c:pt>
                <c:pt idx="18">
                  <c:v>1.9395131439118871</c:v>
                </c:pt>
                <c:pt idx="19">
                  <c:v>3.6312851293983197</c:v>
                </c:pt>
                <c:pt idx="20">
                  <c:v>6.4666750529371528</c:v>
                </c:pt>
                <c:pt idx="21">
                  <c:v>12.623824634858925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F0-44E2-8BFF-9F334597D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861752"/>
        <c:axId val="307857488"/>
      </c:scatterChart>
      <c:valAx>
        <c:axId val="30786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57488"/>
        <c:crosses val="autoZero"/>
        <c:crossBetween val="midCat"/>
      </c:valAx>
      <c:valAx>
        <c:axId val="30785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61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'EX1.1'!$B$63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'EX1.1'!$A$64:$A$71</c:f>
              <c:numCache>
                <c:formatCode>General</c:formatCode>
                <c:ptCount val="8"/>
                <c:pt idx="0">
                  <c:v>0.2</c:v>
                </c:pt>
                <c:pt idx="1">
                  <c:v>0.4</c:v>
                </c:pt>
                <c:pt idx="2">
                  <c:v>0.60000000000000009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1.5999999999999999</c:v>
                </c:pt>
              </c:numCache>
            </c:numRef>
          </c:xVal>
          <c:yVal>
            <c:numRef>
              <c:f>'EX1.1'!$B$64:$B$71</c:f>
              <c:numCache>
                <c:formatCode>General</c:formatCode>
                <c:ptCount val="8"/>
                <c:pt idx="0">
                  <c:v>-0.21980275816016981</c:v>
                </c:pt>
                <c:pt idx="1">
                  <c:v>-0.46622469764127028</c:v>
                </c:pt>
                <c:pt idx="2">
                  <c:v>-0.69251880039050895</c:v>
                </c:pt>
                <c:pt idx="3">
                  <c:v>-0.81594092849246769</c:v>
                </c:pt>
                <c:pt idx="4">
                  <c:v>-0.71828182845904509</c:v>
                </c:pt>
                <c:pt idx="5">
                  <c:v>-0.24651692273654735</c:v>
                </c:pt>
                <c:pt idx="6">
                  <c:v>0.78640003315532425</c:v>
                </c:pt>
                <c:pt idx="7">
                  <c:v>2.6005675756048836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DE-4A7B-84C9-69E91AF22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533320"/>
        <c:axId val="582527416"/>
      </c:scatterChart>
      <c:valAx>
        <c:axId val="582533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27416"/>
        <c:crosses val="autoZero"/>
        <c:crossBetween val="midCat"/>
      </c:valAx>
      <c:valAx>
        <c:axId val="58252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33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'EX1.1'!$B$89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'EX1.1'!$A$90:$A$96</c:f>
              <c:numCache>
                <c:formatCode>General</c:formatCode>
                <c:ptCount val="7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</c:numCache>
            </c:numRef>
          </c:xVal>
          <c:yVal>
            <c:numRef>
              <c:f>'EX1.1'!$B$90:$B$96</c:f>
              <c:numCache>
                <c:formatCode>General</c:formatCode>
                <c:ptCount val="7"/>
                <c:pt idx="0">
                  <c:v>-1</c:v>
                </c:pt>
                <c:pt idx="1">
                  <c:v>-0.9511438896735932</c:v>
                </c:pt>
                <c:pt idx="2">
                  <c:v>-0.76130804837739663</c:v>
                </c:pt>
                <c:pt idx="3">
                  <c:v>-0.34403723185941659</c:v>
                </c:pt>
                <c:pt idx="4">
                  <c:v>0.42434619423517961</c:v>
                </c:pt>
                <c:pt idx="5">
                  <c:v>1.7182818284590451</c:v>
                </c:pt>
                <c:pt idx="6">
                  <c:v>3.7809683687406279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C1-480F-9B84-E493DD661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44032"/>
        <c:axId val="750745672"/>
      </c:scatterChart>
      <c:valAx>
        <c:axId val="75074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45672"/>
        <c:crosses val="autoZero"/>
        <c:crossBetween val="midCat"/>
      </c:valAx>
      <c:valAx>
        <c:axId val="75074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4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'EX1.3'!$J$4:$J$24</c:f>
              <c:numCache>
                <c:formatCode>General</c:formatCode>
                <c:ptCount val="2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</c:numCache>
            </c:numRef>
          </c:xVal>
          <c:yVal>
            <c:numRef>
              <c:f>'EX1.3'!$K$4:$K$24</c:f>
              <c:numCache>
                <c:formatCode>General</c:formatCode>
                <c:ptCount val="21"/>
                <c:pt idx="0">
                  <c:v>-2</c:v>
                </c:pt>
                <c:pt idx="1">
                  <c:v>-2.3848035476425733</c:v>
                </c:pt>
                <c:pt idx="2">
                  <c:v>-2.3368062997280772</c:v>
                </c:pt>
                <c:pt idx="3">
                  <c:v>-2.2434326653017491</c:v>
                </c:pt>
                <c:pt idx="4">
                  <c:v>-2.1283177667225557</c:v>
                </c:pt>
                <c:pt idx="5">
                  <c:v>-2</c:v>
                </c:pt>
                <c:pt idx="6">
                  <c:v>-1.8626585691826112</c:v>
                </c:pt>
                <c:pt idx="7">
                  <c:v>-1.7186889420813969</c:v>
                </c:pt>
                <c:pt idx="8">
                  <c:v>-1.5696070952851464</c:v>
                </c:pt>
                <c:pt idx="9">
                  <c:v>-1.4164403991146799</c:v>
                </c:pt>
                <c:pt idx="10">
                  <c:v>-1.2599210498948732</c:v>
                </c:pt>
                <c:pt idx="11">
                  <c:v>-1.1005914468513869</c:v>
                </c:pt>
                <c:pt idx="12">
                  <c:v>-0.93886590016433913</c:v>
                </c:pt>
                <c:pt idx="13">
                  <c:v>-0.7750688670741408</c:v>
                </c:pt>
                <c:pt idx="14">
                  <c:v>-0.60945974641297851</c:v>
                </c:pt>
                <c:pt idx="15">
                  <c:v>-0.4422495703074083</c:v>
                </c:pt>
                <c:pt idx="16">
                  <c:v>-0.27361259945615446</c:v>
                </c:pt>
                <c:pt idx="17">
                  <c:v>-0.1036945962049749</c:v>
                </c:pt>
                <c:pt idx="18">
                  <c:v>6.7381135212893906E-2</c:v>
                </c:pt>
                <c:pt idx="19">
                  <c:v>0.23950924929211492</c:v>
                </c:pt>
                <c:pt idx="20">
                  <c:v>0.41259894803180064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3F-4E29-9A3C-DB4D51552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072584"/>
        <c:axId val="590070288"/>
      </c:scatterChart>
      <c:valAx>
        <c:axId val="590072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70288"/>
        <c:crosses val="autoZero"/>
        <c:crossBetween val="midCat"/>
      </c:valAx>
      <c:valAx>
        <c:axId val="59007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72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317147856517931E-2"/>
          <c:y val="0.19721055701370663"/>
          <c:w val="0.86041907261592299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[1]Sheet1!$G$4:$G$16</c:f>
              <c:numCache>
                <c:formatCode>General</c:formatCode>
                <c:ptCount val="1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</c:numCache>
            </c:numRef>
          </c:xVal>
          <c:yVal>
            <c:numRef>
              <c:f>[1]Sheet1!$H$4:$H$16</c:f>
              <c:numCache>
                <c:formatCode>General</c:formatCode>
                <c:ptCount val="13"/>
                <c:pt idx="0">
                  <c:v>-1</c:v>
                </c:pt>
                <c:pt idx="1">
                  <c:v>-0.98996653279145497</c:v>
                </c:pt>
                <c:pt idx="2">
                  <c:v>-0.9594579928982655</c:v>
                </c:pt>
                <c:pt idx="3">
                  <c:v>-0.90719912511711298</c:v>
                </c:pt>
                <c:pt idx="4">
                  <c:v>-0.83088271250473533</c:v>
                </c:pt>
                <c:pt idx="5">
                  <c:v>-0.72684875507810476</c:v>
                </c:pt>
                <c:pt idx="6">
                  <c:v>-0.58951791499498463</c:v>
                </c:pt>
                <c:pt idx="7">
                  <c:v>-0.41039813367584443</c:v>
                </c:pt>
                <c:pt idx="8">
                  <c:v>-0.17628915435970871</c:v>
                </c:pt>
                <c:pt idx="9">
                  <c:v>0.1341423957953054</c:v>
                </c:pt>
                <c:pt idx="10">
                  <c:v>0.55740772465490229</c:v>
                </c:pt>
                <c:pt idx="11">
                  <c:v>1.1612356229735177</c:v>
                </c:pt>
                <c:pt idx="12">
                  <c:v>2.0865819465515822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8-444F-B702-64411DA7B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385432"/>
        <c:axId val="1"/>
      </c:scatterChart>
      <c:valAx>
        <c:axId val="495385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385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449300087489069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'EX1.3'!$H$55:$H$65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xVal>
          <c:yVal>
            <c:numRef>
              <c:f>'EX1.3'!$I$55:$I$65</c:f>
              <c:numCache>
                <c:formatCode>General</c:formatCode>
                <c:ptCount val="11"/>
                <c:pt idx="0">
                  <c:v>0</c:v>
                </c:pt>
                <c:pt idx="1">
                  <c:v>-0.21980275816016981</c:v>
                </c:pt>
                <c:pt idx="2">
                  <c:v>-0.46622469764127028</c:v>
                </c:pt>
                <c:pt idx="3">
                  <c:v>-0.69251880039050895</c:v>
                </c:pt>
                <c:pt idx="4">
                  <c:v>-0.81594092849246769</c:v>
                </c:pt>
                <c:pt idx="5">
                  <c:v>-0.71828182845904509</c:v>
                </c:pt>
                <c:pt idx="6">
                  <c:v>-0.24651692273654735</c:v>
                </c:pt>
                <c:pt idx="7">
                  <c:v>0.78640003315532425</c:v>
                </c:pt>
                <c:pt idx="8">
                  <c:v>2.600567575604888</c:v>
                </c:pt>
                <c:pt idx="9">
                  <c:v>5.4479525355870555</c:v>
                </c:pt>
                <c:pt idx="10">
                  <c:v>9.6109439010693496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87-4B43-BB1E-0014A95D3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554560"/>
        <c:axId val="593551936"/>
      </c:scatterChart>
      <c:valAx>
        <c:axId val="59355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51936"/>
        <c:crosses val="autoZero"/>
        <c:crossBetween val="midCat"/>
      </c:valAx>
      <c:valAx>
        <c:axId val="5935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5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'EX1.3'!$H$82:$H$94</c:f>
              <c:numCache>
                <c:formatCode>General</c:formatCode>
                <c:ptCount val="1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</c:numCache>
            </c:numRef>
          </c:xVal>
          <c:yVal>
            <c:numRef>
              <c:f>'EX1.3'!$I$82:$I$94</c:f>
              <c:numCache>
                <c:formatCode>General</c:formatCode>
                <c:ptCount val="13"/>
                <c:pt idx="0">
                  <c:v>-1</c:v>
                </c:pt>
                <c:pt idx="1">
                  <c:v>-0.98894829081924351</c:v>
                </c:pt>
                <c:pt idx="2">
                  <c:v>-0.9511438896735932</c:v>
                </c:pt>
                <c:pt idx="3">
                  <c:v>-0.87851270731815978</c:v>
                </c:pt>
                <c:pt idx="4">
                  <c:v>-0.76130804837739663</c:v>
                </c:pt>
                <c:pt idx="5">
                  <c:v>-0.58781968232496795</c:v>
                </c:pt>
                <c:pt idx="6">
                  <c:v>-0.34403723185941681</c:v>
                </c:pt>
                <c:pt idx="7">
                  <c:v>-1.3261173339466525E-2</c:v>
                </c:pt>
                <c:pt idx="8">
                  <c:v>0.42434619423517961</c:v>
                </c:pt>
                <c:pt idx="9">
                  <c:v>0.99227852003712957</c:v>
                </c:pt>
                <c:pt idx="10">
                  <c:v>1.7182818284590451</c:v>
                </c:pt>
                <c:pt idx="11">
                  <c:v>2.6350408889751851</c:v>
                </c:pt>
                <c:pt idx="12">
                  <c:v>3.7809683687406279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31-4225-B993-AA89AB77E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063728"/>
        <c:axId val="590061432"/>
      </c:scatterChart>
      <c:valAx>
        <c:axId val="59006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61432"/>
        <c:crosses val="autoZero"/>
        <c:crossBetween val="midCat"/>
      </c:valAx>
      <c:valAx>
        <c:axId val="59006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6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image" Target="../media/image1.emf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136525</xdr:colOff>
      <xdr:row>12</xdr:row>
      <xdr:rowOff>50800</xdr:rowOff>
    </xdr:from>
    <xdr:to>
      <xdr:col>12</xdr:col>
      <xdr:colOff>441325</xdr:colOff>
      <xdr:row>27</xdr:row>
      <xdr:rowOff>31750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4F9B0D-7C84-47CE-9E0B-BE173AEEE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136525</xdr:colOff>
      <xdr:row>41</xdr:row>
      <xdr:rowOff>69850</xdr:rowOff>
    </xdr:from>
    <xdr:to>
      <xdr:col>12</xdr:col>
      <xdr:colOff>441325</xdr:colOff>
      <xdr:row>56</xdr:row>
      <xdr:rowOff>50800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122BA8-F8CF-4A8B-B5D1-C168E9E0A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117475</xdr:colOff>
      <xdr:row>67</xdr:row>
      <xdr:rowOff>158750</xdr:rowOff>
    </xdr:from>
    <xdr:to>
      <xdr:col>11</xdr:col>
      <xdr:colOff>161925</xdr:colOff>
      <xdr:row>82</xdr:row>
      <xdr:rowOff>139700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FCE3AD7-9E01-48C0-BE23-F2E077047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136525</xdr:colOff>
      <xdr:row>86</xdr:row>
      <xdr:rowOff>69850</xdr:rowOff>
    </xdr:from>
    <xdr:to>
      <xdr:col>12</xdr:col>
      <xdr:colOff>180975</xdr:colOff>
      <xdr:row>101</xdr:row>
      <xdr:rowOff>50800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5CAF0C5-449F-45D0-B71D-DC21ECEFB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350993</xdr:colOff>
      <xdr:row>103</xdr:row>
      <xdr:rowOff>0</xdr:rowOff>
    </xdr:from>
    <xdr:ext cx="1184235" cy="937629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39AF7B8-373D-7F4E-BF96-A7736C9B2135}"/>
            </a:ext>
          </a:extLst>
        </xdr:cNvPr>
        <xdr:cNvSpPr/>
      </xdr:nvSpPr>
      <xdr:spPr>
        <a:xfrm>
          <a:off x="4148293" y="19646900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2</xdr:row>
      <xdr:rowOff>184150</xdr:rowOff>
    </xdr:from>
    <xdr:to>
      <xdr:col>15</xdr:col>
      <xdr:colOff>393700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126340-8B3D-4CEA-B6A5-18F859D60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18</xdr:col>
      <xdr:colOff>565150</xdr:colOff>
      <xdr:row>43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5684B8-FC7A-485B-BD3B-35FEDAC96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16</xdr:col>
      <xdr:colOff>304800</xdr:colOff>
      <xdr:row>80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9D226D-4570-4A87-8F67-BD5D21A1C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100</xdr:row>
      <xdr:rowOff>0</xdr:rowOff>
    </xdr:from>
    <xdr:to>
      <xdr:col>16</xdr:col>
      <xdr:colOff>304800</xdr:colOff>
      <xdr:row>114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8FC995-B373-40AC-B143-75A2ECEE6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7</xdr:col>
      <xdr:colOff>350993</xdr:colOff>
      <xdr:row>23</xdr:row>
      <xdr:rowOff>0</xdr:rowOff>
    </xdr:from>
    <xdr:ext cx="1184235" cy="937629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7A79A7D-4228-F54B-AF78-3B7605816E2D}"/>
            </a:ext>
          </a:extLst>
        </xdr:cNvPr>
        <xdr:cNvSpPr/>
      </xdr:nvSpPr>
      <xdr:spPr>
        <a:xfrm>
          <a:off x="5494493" y="4419600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3</xdr:row>
      <xdr:rowOff>82550</xdr:rowOff>
    </xdr:from>
    <xdr:to>
      <xdr:col>4</xdr:col>
      <xdr:colOff>304800</xdr:colOff>
      <xdr:row>7</xdr:row>
      <xdr:rowOff>57150</xdr:rowOff>
    </xdr:to>
    <xdr:sp macro="" textlink="">
      <xdr:nvSpPr>
        <xdr:cNvPr id="3073" name="Object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E7C2D1DF-F8B1-400F-976E-667DFAAF3981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104775</xdr:colOff>
      <xdr:row>6</xdr:row>
      <xdr:rowOff>152400</xdr:rowOff>
    </xdr:from>
    <xdr:to>
      <xdr:col>18</xdr:col>
      <xdr:colOff>409575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E3A26D-D357-4076-8D8A-C3E79E45D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330200</xdr:colOff>
      <xdr:row>30</xdr:row>
      <xdr:rowOff>82550</xdr:rowOff>
    </xdr:from>
    <xdr:to>
      <xdr:col>4</xdr:col>
      <xdr:colOff>304800</xdr:colOff>
      <xdr:row>34</xdr:row>
      <xdr:rowOff>57150</xdr:rowOff>
    </xdr:to>
    <xdr:sp macro="" textlink="">
      <xdr:nvSpPr>
        <xdr:cNvPr id="3074" name="Object 2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2BC462DA-CCE3-46B7-B7B9-7468CE7CED8E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63500</xdr:colOff>
      <xdr:row>28</xdr:row>
      <xdr:rowOff>63500</xdr:rowOff>
    </xdr:from>
    <xdr:to>
      <xdr:col>17</xdr:col>
      <xdr:colOff>368300</xdr:colOff>
      <xdr:row>43</xdr:row>
      <xdr:rowOff>44450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90C4F7DF-BF15-4CB6-B1E0-056C7B360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330200</xdr:colOff>
      <xdr:row>54</xdr:row>
      <xdr:rowOff>82550</xdr:rowOff>
    </xdr:from>
    <xdr:to>
      <xdr:col>4</xdr:col>
      <xdr:colOff>304800</xdr:colOff>
      <xdr:row>58</xdr:row>
      <xdr:rowOff>57150</xdr:rowOff>
    </xdr:to>
    <xdr:sp macro="" textlink="">
      <xdr:nvSpPr>
        <xdr:cNvPr id="3075" name="Object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F9F29389-0EE1-485A-80DE-2110DD417915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314325</xdr:colOff>
      <xdr:row>48</xdr:row>
      <xdr:rowOff>69850</xdr:rowOff>
    </xdr:from>
    <xdr:to>
      <xdr:col>17</xdr:col>
      <xdr:colOff>9525</xdr:colOff>
      <xdr:row>63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BCAF85-5BA8-4AD2-989B-AF8F45850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330200</xdr:colOff>
      <xdr:row>79</xdr:row>
      <xdr:rowOff>82550</xdr:rowOff>
    </xdr:from>
    <xdr:to>
      <xdr:col>4</xdr:col>
      <xdr:colOff>304800</xdr:colOff>
      <xdr:row>83</xdr:row>
      <xdr:rowOff>57150</xdr:rowOff>
    </xdr:to>
    <xdr:sp macro="" textlink="">
      <xdr:nvSpPr>
        <xdr:cNvPr id="3077" name="Object 5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E0DD4441-4323-42A4-9A76-CB41151B8C35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568325</xdr:colOff>
      <xdr:row>79</xdr:row>
      <xdr:rowOff>44450</xdr:rowOff>
    </xdr:from>
    <xdr:to>
      <xdr:col>17</xdr:col>
      <xdr:colOff>263525</xdr:colOff>
      <xdr:row>94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C093B9-AE37-4D50-90E9-E68BCDC36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330200</xdr:colOff>
      <xdr:row>3</xdr:row>
      <xdr:rowOff>63500</xdr:rowOff>
    </xdr:from>
    <xdr:to>
      <xdr:col>4</xdr:col>
      <xdr:colOff>25400</xdr:colOff>
      <xdr:row>7</xdr:row>
      <xdr:rowOff>12700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2FA96B53-40EF-EF4B-AC8D-B2D9BBC86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635000"/>
          <a:ext cx="2819400" cy="711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330200</xdr:colOff>
      <xdr:row>29</xdr:row>
      <xdr:rowOff>88900</xdr:rowOff>
    </xdr:from>
    <xdr:to>
      <xdr:col>4</xdr:col>
      <xdr:colOff>25400</xdr:colOff>
      <xdr:row>33</xdr:row>
      <xdr:rowOff>38100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C6A8D8A9-0E42-ED41-9E52-E7716592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5613400"/>
          <a:ext cx="2819400" cy="711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330200</xdr:colOff>
      <xdr:row>52</xdr:row>
      <xdr:rowOff>127000</xdr:rowOff>
    </xdr:from>
    <xdr:to>
      <xdr:col>4</xdr:col>
      <xdr:colOff>25400</xdr:colOff>
      <xdr:row>56</xdr:row>
      <xdr:rowOff>76200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C1CC6BB1-9708-8B4D-A6AA-346B0D88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10033000"/>
          <a:ext cx="2819400" cy="711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330200</xdr:colOff>
      <xdr:row>76</xdr:row>
      <xdr:rowOff>152400</xdr:rowOff>
    </xdr:from>
    <xdr:to>
      <xdr:col>4</xdr:col>
      <xdr:colOff>25400</xdr:colOff>
      <xdr:row>80</xdr:row>
      <xdr:rowOff>101600</xdr:rowOff>
    </xdr:to>
    <xdr:pic>
      <xdr:nvPicPr>
        <xdr:cNvPr id="9" name="Picture 5">
          <a:extLst>
            <a:ext uri="{FF2B5EF4-FFF2-40B4-BE49-F238E27FC236}">
              <a16:creationId xmlns:a16="http://schemas.microsoft.com/office/drawing/2014/main" id="{7725D700-403A-B248-B512-B5CBAD219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14630400"/>
          <a:ext cx="2819400" cy="711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8</xdr:col>
      <xdr:colOff>350993</xdr:colOff>
      <xdr:row>99</xdr:row>
      <xdr:rowOff>0</xdr:rowOff>
    </xdr:from>
    <xdr:ext cx="1184235" cy="937629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3C48700-1888-B749-B186-016AF7BDE496}"/>
            </a:ext>
          </a:extLst>
        </xdr:cNvPr>
        <xdr:cNvSpPr/>
      </xdr:nvSpPr>
      <xdr:spPr>
        <a:xfrm>
          <a:off x="6167593" y="18859500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350993</xdr:colOff>
      <xdr:row>19</xdr:row>
      <xdr:rowOff>0</xdr:rowOff>
    </xdr:from>
    <xdr:ext cx="1184235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16E42BB-3FD5-E44A-8A19-F8CEC9340C6E}"/>
            </a:ext>
          </a:extLst>
        </xdr:cNvPr>
        <xdr:cNvSpPr/>
      </xdr:nvSpPr>
      <xdr:spPr>
        <a:xfrm>
          <a:off x="6840693" y="3619500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5/5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anes/Desktop/CHE%20205/problem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</sheetNames>
    <sheetDataSet>
      <sheetData sheetId="0">
        <row r="4">
          <cell r="G4">
            <v>0</v>
          </cell>
          <cell r="H4">
            <v>-1</v>
          </cell>
        </row>
        <row r="5">
          <cell r="G5">
            <v>0.1</v>
          </cell>
          <cell r="H5">
            <v>-0.98996653279145497</v>
          </cell>
        </row>
        <row r="6">
          <cell r="G6">
            <v>0.2</v>
          </cell>
          <cell r="H6">
            <v>-0.9594579928982655</v>
          </cell>
        </row>
        <row r="7">
          <cell r="G7">
            <v>0.3</v>
          </cell>
          <cell r="H7">
            <v>-0.90719912511711298</v>
          </cell>
        </row>
        <row r="8">
          <cell r="G8">
            <v>0.4</v>
          </cell>
          <cell r="H8">
            <v>-0.83088271250473533</v>
          </cell>
        </row>
        <row r="9">
          <cell r="G9">
            <v>0.5</v>
          </cell>
          <cell r="H9">
            <v>-0.72684875507810476</v>
          </cell>
        </row>
        <row r="10">
          <cell r="G10">
            <v>0.6</v>
          </cell>
          <cell r="H10">
            <v>-0.58951791499498463</v>
          </cell>
        </row>
        <row r="11">
          <cell r="G11">
            <v>0.7</v>
          </cell>
          <cell r="H11">
            <v>-0.41039813367584443</v>
          </cell>
        </row>
        <row r="12">
          <cell r="G12">
            <v>0.8</v>
          </cell>
          <cell r="H12">
            <v>-0.17628915435970871</v>
          </cell>
        </row>
        <row r="13">
          <cell r="G13">
            <v>0.9</v>
          </cell>
          <cell r="H13">
            <v>0.1341423957953054</v>
          </cell>
        </row>
        <row r="14">
          <cell r="G14">
            <v>1</v>
          </cell>
          <cell r="H14">
            <v>0.55740772465490229</v>
          </cell>
        </row>
        <row r="15">
          <cell r="G15">
            <v>1.1000000000000001</v>
          </cell>
          <cell r="H15">
            <v>1.1612356229735177</v>
          </cell>
        </row>
        <row r="16">
          <cell r="G16">
            <v>1.2</v>
          </cell>
          <cell r="H16">
            <v>2.0865819465515822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1499-4515-4905-A5F6-85CFE93DABFC}">
  <dimension ref="A1:H102"/>
  <sheetViews>
    <sheetView topLeftCell="A82" workbookViewId="0">
      <selection activeCell="C109" sqref="C109"/>
    </sheetView>
  </sheetViews>
  <sheetFormatPr baseColWidth="10" defaultColWidth="8.83203125" defaultRowHeight="15"/>
  <cols>
    <col min="2" max="2" width="14.5" bestFit="1" customWidth="1"/>
    <col min="8" max="8" width="12.5" bestFit="1" customWidth="1"/>
  </cols>
  <sheetData>
    <row r="1" spans="1:8">
      <c r="A1" t="s">
        <v>0</v>
      </c>
      <c r="B1" t="s">
        <v>1</v>
      </c>
    </row>
    <row r="2" spans="1:8">
      <c r="G2" s="8" t="s">
        <v>4</v>
      </c>
      <c r="H2" s="8"/>
    </row>
    <row r="3" spans="1:8">
      <c r="A3" t="s">
        <v>2</v>
      </c>
      <c r="B3" t="s">
        <v>3</v>
      </c>
      <c r="G3" t="s">
        <v>7</v>
      </c>
      <c r="H3">
        <v>3.5213743545863694</v>
      </c>
    </row>
    <row r="4" spans="1:8">
      <c r="A4" s="1">
        <v>0.2</v>
      </c>
      <c r="B4">
        <f>A4-A4^(1/3)-2</f>
        <v>-2.3848035476425733</v>
      </c>
      <c r="G4" t="s">
        <v>8</v>
      </c>
      <c r="H4">
        <f>H3-H3^(1/3)-2</f>
        <v>-4.5814255962284278E-6</v>
      </c>
    </row>
    <row r="5" spans="1:8">
      <c r="A5" s="1">
        <f>A4+0.2</f>
        <v>0.4</v>
      </c>
      <c r="B5">
        <f t="shared" ref="B5:B28" si="0">A5-A5^(1/3)-2</f>
        <v>-2.3368062997280772</v>
      </c>
    </row>
    <row r="6" spans="1:8">
      <c r="A6" s="1">
        <f t="shared" ref="A6:A28" si="1">A5+0.2</f>
        <v>0.60000000000000009</v>
      </c>
      <c r="B6">
        <f t="shared" si="0"/>
        <v>-2.2434326653017491</v>
      </c>
    </row>
    <row r="7" spans="1:8">
      <c r="A7" s="1">
        <f t="shared" si="1"/>
        <v>0.8</v>
      </c>
      <c r="B7">
        <f t="shared" si="0"/>
        <v>-2.1283177667225557</v>
      </c>
    </row>
    <row r="8" spans="1:8">
      <c r="A8" s="1">
        <f t="shared" si="1"/>
        <v>1</v>
      </c>
      <c r="B8">
        <f t="shared" si="0"/>
        <v>-2</v>
      </c>
    </row>
    <row r="9" spans="1:8">
      <c r="A9" s="1">
        <f t="shared" si="1"/>
        <v>1.2</v>
      </c>
      <c r="B9">
        <f t="shared" si="0"/>
        <v>-1.8626585691826112</v>
      </c>
    </row>
    <row r="10" spans="1:8">
      <c r="A10" s="1">
        <f t="shared" si="1"/>
        <v>1.4</v>
      </c>
      <c r="B10">
        <f t="shared" si="0"/>
        <v>-1.7186889420813969</v>
      </c>
    </row>
    <row r="11" spans="1:8">
      <c r="A11" s="1">
        <f t="shared" si="1"/>
        <v>1.5999999999999999</v>
      </c>
      <c r="B11">
        <f t="shared" si="0"/>
        <v>-1.5696070952851466</v>
      </c>
    </row>
    <row r="12" spans="1:8">
      <c r="A12" s="1">
        <f t="shared" si="1"/>
        <v>1.7999999999999998</v>
      </c>
      <c r="B12">
        <f t="shared" si="0"/>
        <v>-1.4164403991146801</v>
      </c>
    </row>
    <row r="13" spans="1:8">
      <c r="A13" s="1">
        <f t="shared" si="1"/>
        <v>1.9999999999999998</v>
      </c>
      <c r="B13">
        <f t="shared" si="0"/>
        <v>-1.2599210498948734</v>
      </c>
    </row>
    <row r="14" spans="1:8">
      <c r="A14" s="1">
        <f t="shared" si="1"/>
        <v>2.1999999999999997</v>
      </c>
      <c r="B14">
        <f t="shared" si="0"/>
        <v>-1.1005914468513871</v>
      </c>
    </row>
    <row r="15" spans="1:8">
      <c r="A15" s="1">
        <f t="shared" si="1"/>
        <v>2.4</v>
      </c>
      <c r="B15">
        <f t="shared" si="0"/>
        <v>-0.93886590016433913</v>
      </c>
    </row>
    <row r="16" spans="1:8">
      <c r="A16" s="1">
        <f t="shared" si="1"/>
        <v>2.6</v>
      </c>
      <c r="B16">
        <f t="shared" si="0"/>
        <v>-0.7750688670741408</v>
      </c>
    </row>
    <row r="17" spans="1:2">
      <c r="A17" s="1">
        <f t="shared" si="1"/>
        <v>2.8000000000000003</v>
      </c>
      <c r="B17">
        <f t="shared" si="0"/>
        <v>-0.60945974641297807</v>
      </c>
    </row>
    <row r="18" spans="1:2">
      <c r="A18" s="1">
        <f t="shared" si="1"/>
        <v>3.0000000000000004</v>
      </c>
      <c r="B18">
        <f t="shared" si="0"/>
        <v>-0.44224957030740786</v>
      </c>
    </row>
    <row r="19" spans="1:2">
      <c r="A19" s="1">
        <f t="shared" si="1"/>
        <v>3.2000000000000006</v>
      </c>
      <c r="B19">
        <f t="shared" si="0"/>
        <v>-0.27361259945615402</v>
      </c>
    </row>
    <row r="20" spans="1:2">
      <c r="A20" s="1">
        <f t="shared" si="1"/>
        <v>3.4000000000000008</v>
      </c>
      <c r="B20">
        <f t="shared" si="0"/>
        <v>-0.10369459620497401</v>
      </c>
    </row>
    <row r="21" spans="1:2">
      <c r="A21" s="1">
        <f t="shared" si="1"/>
        <v>3.600000000000001</v>
      </c>
      <c r="B21">
        <f t="shared" si="0"/>
        <v>6.738113521289435E-2</v>
      </c>
    </row>
    <row r="22" spans="1:2">
      <c r="A22" s="1">
        <f t="shared" si="1"/>
        <v>3.8000000000000012</v>
      </c>
      <c r="B22">
        <f t="shared" si="0"/>
        <v>0.23950924929211626</v>
      </c>
    </row>
    <row r="23" spans="1:2">
      <c r="A23" s="1">
        <f t="shared" si="1"/>
        <v>4.0000000000000009</v>
      </c>
      <c r="B23">
        <f t="shared" si="0"/>
        <v>0.41259894803180153</v>
      </c>
    </row>
    <row r="24" spans="1:2">
      <c r="A24" s="1">
        <f t="shared" si="1"/>
        <v>4.2000000000000011</v>
      </c>
      <c r="B24">
        <f t="shared" si="0"/>
        <v>0.58657135397545712</v>
      </c>
    </row>
    <row r="25" spans="1:2">
      <c r="A25" s="1">
        <f t="shared" si="1"/>
        <v>4.4000000000000012</v>
      </c>
      <c r="B25">
        <f t="shared" si="0"/>
        <v>0.76135745879870953</v>
      </c>
    </row>
    <row r="26" spans="1:2">
      <c r="A26" s="1">
        <f t="shared" si="1"/>
        <v>4.6000000000000014</v>
      </c>
      <c r="B26">
        <f t="shared" si="0"/>
        <v>0.93689650115923584</v>
      </c>
    </row>
    <row r="27" spans="1:2">
      <c r="A27" s="1">
        <f t="shared" si="1"/>
        <v>4.8000000000000016</v>
      </c>
      <c r="B27">
        <f t="shared" si="0"/>
        <v>1.1131346693965032</v>
      </c>
    </row>
    <row r="28" spans="1:2">
      <c r="A28" s="1">
        <f t="shared" si="1"/>
        <v>5.0000000000000018</v>
      </c>
      <c r="B28">
        <f t="shared" si="0"/>
        <v>1.2900240533233047</v>
      </c>
    </row>
    <row r="29" spans="1:2">
      <c r="A29" s="1"/>
    </row>
    <row r="30" spans="1:2">
      <c r="A30" s="1"/>
    </row>
    <row r="31" spans="1:2">
      <c r="A31" s="1" t="s">
        <v>9</v>
      </c>
      <c r="B31" t="s">
        <v>10</v>
      </c>
    </row>
    <row r="32" spans="1:2">
      <c r="A32" s="1"/>
    </row>
    <row r="33" spans="1:8">
      <c r="A33" s="1" t="s">
        <v>2</v>
      </c>
      <c r="B33" t="s">
        <v>3</v>
      </c>
    </row>
    <row r="34" spans="1:8">
      <c r="A34" s="1">
        <v>0.2</v>
      </c>
      <c r="B34">
        <f>A34*TAN(A34)-1</f>
        <v>-0.9594579928982655</v>
      </c>
    </row>
    <row r="35" spans="1:8">
      <c r="A35" s="1">
        <f>A34+0.2</f>
        <v>0.4</v>
      </c>
      <c r="B35">
        <f t="shared" ref="B35:B55" si="2">A35*TAN(A35)-1</f>
        <v>-0.83088271250473533</v>
      </c>
    </row>
    <row r="36" spans="1:8">
      <c r="A36" s="1">
        <f t="shared" ref="A36:A55" si="3">A35+0.2</f>
        <v>0.60000000000000009</v>
      </c>
      <c r="B36">
        <f t="shared" si="2"/>
        <v>-0.58951791499498452</v>
      </c>
      <c r="G36" s="8" t="s">
        <v>4</v>
      </c>
      <c r="H36" s="8"/>
    </row>
    <row r="37" spans="1:8">
      <c r="A37" s="1">
        <f t="shared" si="3"/>
        <v>0.8</v>
      </c>
      <c r="B37">
        <f t="shared" si="2"/>
        <v>-0.17628915435970871</v>
      </c>
      <c r="G37" t="s">
        <v>6</v>
      </c>
      <c r="H37">
        <v>0.86057524028434473</v>
      </c>
    </row>
    <row r="38" spans="1:8">
      <c r="A38" s="1">
        <f t="shared" si="3"/>
        <v>1</v>
      </c>
      <c r="B38">
        <f t="shared" si="2"/>
        <v>0.55740772465490229</v>
      </c>
      <c r="G38" t="s">
        <v>5</v>
      </c>
      <c r="H38">
        <f>H37*TAN(H37)-1</f>
        <v>7.6993714738682328E-4</v>
      </c>
    </row>
    <row r="39" spans="1:8">
      <c r="A39" s="1">
        <f t="shared" si="3"/>
        <v>1.2</v>
      </c>
      <c r="B39">
        <f t="shared" si="2"/>
        <v>2.0865819465515822</v>
      </c>
    </row>
    <row r="40" spans="1:8">
      <c r="A40" s="1">
        <f t="shared" si="3"/>
        <v>1.4</v>
      </c>
      <c r="B40">
        <f t="shared" si="2"/>
        <v>7.117037201676041</v>
      </c>
    </row>
    <row r="41" spans="1:8">
      <c r="A41" s="1">
        <f t="shared" si="3"/>
        <v>1.5999999999999999</v>
      </c>
      <c r="B41">
        <f t="shared" si="2"/>
        <v>-55.77205237689212</v>
      </c>
    </row>
    <row r="42" spans="1:8">
      <c r="A42" s="1">
        <f t="shared" si="3"/>
        <v>1.7999999999999998</v>
      </c>
      <c r="B42">
        <f t="shared" si="2"/>
        <v>-8.7152710143305185</v>
      </c>
    </row>
    <row r="43" spans="1:8">
      <c r="A43" s="1">
        <f t="shared" si="3"/>
        <v>1.9999999999999998</v>
      </c>
      <c r="B43">
        <f t="shared" si="2"/>
        <v>-5.3700797265230396</v>
      </c>
    </row>
    <row r="44" spans="1:8">
      <c r="A44" s="1">
        <f t="shared" si="3"/>
        <v>2.1999999999999997</v>
      </c>
      <c r="B44">
        <f t="shared" si="2"/>
        <v>-4.0224107248913512</v>
      </c>
    </row>
    <row r="45" spans="1:8">
      <c r="A45" s="1">
        <f t="shared" si="3"/>
        <v>2.4</v>
      </c>
      <c r="B45">
        <f t="shared" si="2"/>
        <v>-3.1984342952161855</v>
      </c>
    </row>
    <row r="46" spans="1:8">
      <c r="A46" s="1">
        <f t="shared" si="3"/>
        <v>2.6</v>
      </c>
      <c r="B46">
        <f t="shared" si="2"/>
        <v>-2.5641511940333723</v>
      </c>
    </row>
    <row r="47" spans="1:8">
      <c r="A47" s="1">
        <f t="shared" si="3"/>
        <v>2.8000000000000003</v>
      </c>
      <c r="B47">
        <f t="shared" si="2"/>
        <v>-1.9954835286232917</v>
      </c>
    </row>
    <row r="48" spans="1:8">
      <c r="A48" s="1">
        <f t="shared" si="3"/>
        <v>3.0000000000000004</v>
      </c>
      <c r="B48">
        <f t="shared" si="2"/>
        <v>-1.4276396292228322</v>
      </c>
    </row>
    <row r="49" spans="1:8">
      <c r="A49" s="1">
        <f t="shared" si="3"/>
        <v>3.2000000000000006</v>
      </c>
      <c r="B49">
        <f t="shared" si="2"/>
        <v>-0.81288366572934689</v>
      </c>
    </row>
    <row r="50" spans="1:8">
      <c r="A50" s="1">
        <f t="shared" si="3"/>
        <v>3.4000000000000008</v>
      </c>
      <c r="B50">
        <f t="shared" si="2"/>
        <v>-0.101322537050751</v>
      </c>
    </row>
    <row r="51" spans="1:8">
      <c r="A51" s="1">
        <f t="shared" si="3"/>
        <v>3.600000000000001</v>
      </c>
      <c r="B51">
        <f t="shared" si="2"/>
        <v>0.77648022794565819</v>
      </c>
    </row>
    <row r="52" spans="1:8">
      <c r="A52" s="1">
        <f t="shared" si="3"/>
        <v>3.8000000000000012</v>
      </c>
      <c r="B52">
        <f t="shared" si="2"/>
        <v>1.9395131439118871</v>
      </c>
    </row>
    <row r="53" spans="1:8">
      <c r="A53" s="1">
        <f t="shared" si="3"/>
        <v>4.0000000000000009</v>
      </c>
      <c r="B53">
        <f t="shared" si="2"/>
        <v>3.6312851293983197</v>
      </c>
    </row>
    <row r="54" spans="1:8">
      <c r="A54" s="1">
        <f t="shared" si="3"/>
        <v>4.2000000000000011</v>
      </c>
      <c r="B54">
        <f t="shared" si="2"/>
        <v>6.4666750529371528</v>
      </c>
    </row>
    <row r="55" spans="1:8">
      <c r="A55" s="1">
        <f t="shared" si="3"/>
        <v>4.4000000000000012</v>
      </c>
      <c r="B55">
        <f t="shared" si="2"/>
        <v>12.623824634858925</v>
      </c>
    </row>
    <row r="56" spans="1:8">
      <c r="A56" s="1"/>
    </row>
    <row r="57" spans="1:8">
      <c r="A57" s="1"/>
    </row>
    <row r="58" spans="1:8">
      <c r="A58" s="1"/>
    </row>
    <row r="59" spans="1:8">
      <c r="A59" s="1"/>
    </row>
    <row r="61" spans="1:8">
      <c r="A61" t="s">
        <v>11</v>
      </c>
      <c r="B61" t="s">
        <v>12</v>
      </c>
    </row>
    <row r="62" spans="1:8" ht="17" customHeight="1"/>
    <row r="63" spans="1:8">
      <c r="A63" t="s">
        <v>2</v>
      </c>
      <c r="B63" t="s">
        <v>3</v>
      </c>
    </row>
    <row r="64" spans="1:8">
      <c r="A64">
        <v>0.2</v>
      </c>
      <c r="B64">
        <f>A64^4+1-EXP(A4)</f>
        <v>-0.21980275816016981</v>
      </c>
      <c r="G64" s="8" t="s">
        <v>4</v>
      </c>
      <c r="H64" s="8"/>
    </row>
    <row r="65" spans="1:8">
      <c r="A65">
        <f>A64+0.2</f>
        <v>0.4</v>
      </c>
      <c r="B65">
        <f t="shared" ref="B65:B71" si="4">A65^4+1-EXP(A5)</f>
        <v>-0.46622469764127028</v>
      </c>
      <c r="G65" t="s">
        <v>2</v>
      </c>
      <c r="H65">
        <v>1.261132807920323</v>
      </c>
    </row>
    <row r="66" spans="1:8">
      <c r="A66">
        <f t="shared" ref="A66:A71" si="5">A65+0.2</f>
        <v>0.60000000000000009</v>
      </c>
      <c r="B66">
        <f t="shared" si="4"/>
        <v>-0.69251880039050895</v>
      </c>
      <c r="G66" t="s">
        <v>5</v>
      </c>
      <c r="H66">
        <f>H65^4-EXP(H65)+1</f>
        <v>1.3278258777793539E-4</v>
      </c>
    </row>
    <row r="67" spans="1:8">
      <c r="A67">
        <f t="shared" si="5"/>
        <v>0.8</v>
      </c>
      <c r="B67">
        <f t="shared" si="4"/>
        <v>-0.81594092849246769</v>
      </c>
    </row>
    <row r="68" spans="1:8">
      <c r="A68">
        <f t="shared" si="5"/>
        <v>1</v>
      </c>
      <c r="B68">
        <f t="shared" si="4"/>
        <v>-0.71828182845904509</v>
      </c>
    </row>
    <row r="69" spans="1:8">
      <c r="A69">
        <f t="shared" si="5"/>
        <v>1.2</v>
      </c>
      <c r="B69">
        <f t="shared" si="4"/>
        <v>-0.24651692273654735</v>
      </c>
    </row>
    <row r="70" spans="1:8">
      <c r="A70">
        <f t="shared" si="5"/>
        <v>1.4</v>
      </c>
      <c r="B70">
        <f t="shared" si="4"/>
        <v>0.78640003315532425</v>
      </c>
    </row>
    <row r="71" spans="1:8">
      <c r="A71">
        <f t="shared" si="5"/>
        <v>1.5999999999999999</v>
      </c>
      <c r="B71">
        <f t="shared" si="4"/>
        <v>2.6005675756048836</v>
      </c>
    </row>
    <row r="87" spans="1:2">
      <c r="A87" t="s">
        <v>13</v>
      </c>
      <c r="B87" t="s">
        <v>14</v>
      </c>
    </row>
    <row r="89" spans="1:2">
      <c r="A89" t="s">
        <v>2</v>
      </c>
      <c r="B89" t="s">
        <v>3</v>
      </c>
    </row>
    <row r="90" spans="1:2">
      <c r="A90">
        <v>0</v>
      </c>
      <c r="B90">
        <f>A90^2*EXP(A90)-1</f>
        <v>-1</v>
      </c>
    </row>
    <row r="91" spans="1:2">
      <c r="A91">
        <f>A90+0.2</f>
        <v>0.2</v>
      </c>
      <c r="B91">
        <f t="shared" ref="B91:B96" si="6">A91^2*EXP(A91)-1</f>
        <v>-0.9511438896735932</v>
      </c>
    </row>
    <row r="92" spans="1:2">
      <c r="A92">
        <f t="shared" ref="A92:A96" si="7">A91+0.2</f>
        <v>0.4</v>
      </c>
      <c r="B92">
        <f t="shared" si="6"/>
        <v>-0.76130804837739663</v>
      </c>
    </row>
    <row r="93" spans="1:2">
      <c r="A93">
        <f t="shared" si="7"/>
        <v>0.60000000000000009</v>
      </c>
      <c r="B93">
        <f t="shared" si="6"/>
        <v>-0.34403723185941659</v>
      </c>
    </row>
    <row r="94" spans="1:2">
      <c r="A94">
        <f t="shared" si="7"/>
        <v>0.8</v>
      </c>
      <c r="B94">
        <f t="shared" si="6"/>
        <v>0.42434619423517961</v>
      </c>
    </row>
    <row r="95" spans="1:2">
      <c r="A95">
        <f t="shared" si="7"/>
        <v>1</v>
      </c>
      <c r="B95">
        <f t="shared" si="6"/>
        <v>1.7182818284590451</v>
      </c>
    </row>
    <row r="96" spans="1:2">
      <c r="A96">
        <f t="shared" si="7"/>
        <v>1.2</v>
      </c>
      <c r="B96">
        <f t="shared" si="6"/>
        <v>3.7809683687406279</v>
      </c>
    </row>
    <row r="100" spans="1:2">
      <c r="A100" s="8" t="s">
        <v>4</v>
      </c>
      <c r="B100" s="8"/>
    </row>
    <row r="101" spans="1:2">
      <c r="A101" t="s">
        <v>2</v>
      </c>
      <c r="B101">
        <v>0.70346505303852858</v>
      </c>
    </row>
    <row r="102" spans="1:2">
      <c r="A102" t="s">
        <v>3</v>
      </c>
      <c r="B102">
        <f>B101^2*EXP(B101)-1</f>
        <v>-9.1059460033404704E-6</v>
      </c>
    </row>
  </sheetData>
  <mergeCells count="4">
    <mergeCell ref="G2:H2"/>
    <mergeCell ref="G36:H36"/>
    <mergeCell ref="G64:H64"/>
    <mergeCell ref="A100:B100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C5F0-C291-4EAA-9AA6-D6146AE1635E}">
  <dimension ref="A1:F115"/>
  <sheetViews>
    <sheetView workbookViewId="0">
      <selection activeCell="H31" sqref="H31"/>
    </sheetView>
  </sheetViews>
  <sheetFormatPr baseColWidth="10" defaultColWidth="8.83203125" defaultRowHeight="15"/>
  <cols>
    <col min="2" max="2" width="14.5" bestFit="1" customWidth="1"/>
  </cols>
  <sheetData>
    <row r="1" spans="1:6">
      <c r="A1" t="s">
        <v>0</v>
      </c>
      <c r="B1" t="s">
        <v>1</v>
      </c>
    </row>
    <row r="2" spans="1:6" ht="16" thickBot="1"/>
    <row r="3" spans="1:6" ht="16" thickBot="1">
      <c r="A3" s="2" t="s">
        <v>15</v>
      </c>
      <c r="B3" s="3" t="s">
        <v>16</v>
      </c>
      <c r="C3" s="3" t="s">
        <v>17</v>
      </c>
      <c r="D3" s="3" t="s">
        <v>18</v>
      </c>
      <c r="E3" s="4" t="s">
        <v>19</v>
      </c>
      <c r="F3" s="5" t="s">
        <v>20</v>
      </c>
    </row>
    <row r="4" spans="1:6" ht="16" thickTop="1">
      <c r="A4">
        <v>3</v>
      </c>
      <c r="B4">
        <v>4</v>
      </c>
      <c r="C4">
        <f>A4-A4^(1/3)-2</f>
        <v>-0.4422495703074083</v>
      </c>
      <c r="D4">
        <f>B4-B4^(1/3)-2</f>
        <v>0.41259894803180064</v>
      </c>
      <c r="E4">
        <f>(A4+B4)/2</f>
        <v>3.5</v>
      </c>
      <c r="F4">
        <f>E4-E4^(1/3)-2</f>
        <v>-1.829448593783134E-2</v>
      </c>
    </row>
    <row r="5" spans="1:6">
      <c r="A5">
        <f>IF(F4*C4&gt;0,E4,A4)</f>
        <v>3.5</v>
      </c>
      <c r="B5">
        <f>IF(F4*D4&gt;0,E4,B4)</f>
        <v>4</v>
      </c>
      <c r="C5">
        <f>A5-A5^(1/3)-2</f>
        <v>-1.829448593783134E-2</v>
      </c>
      <c r="D5">
        <f>B5-B5^(1/3)-2</f>
        <v>0.41259894803180064</v>
      </c>
      <c r="E5">
        <f>(A5+B5)/2</f>
        <v>3.75</v>
      </c>
      <c r="F5">
        <f>E5-E5^(1/3)-2</f>
        <v>0.19638374702307093</v>
      </c>
    </row>
    <row r="6" spans="1:6">
      <c r="A6">
        <f t="shared" ref="A6:A19" si="0">IF(F5*C5&gt;0,E5,A5)</f>
        <v>3.5</v>
      </c>
      <c r="B6">
        <f t="shared" ref="B6:B19" si="1">IF(F5*D5&gt;0,E5,B5)</f>
        <v>3.75</v>
      </c>
      <c r="C6">
        <f t="shared" ref="C6:C19" si="2">A6-A6^(1/3)-2</f>
        <v>-1.829448593783134E-2</v>
      </c>
      <c r="D6">
        <f t="shared" ref="D6:D19" si="3">B6-B6^(1/3)-2</f>
        <v>0.19638374702307093</v>
      </c>
      <c r="E6">
        <f t="shared" ref="E6:E19" si="4">(A6+B6)/2</f>
        <v>3.625</v>
      </c>
      <c r="F6">
        <f t="shared" ref="F6:F19" si="5">E6-E6^(1/3)-2</f>
        <v>8.8841587157076241E-2</v>
      </c>
    </row>
    <row r="7" spans="1:6">
      <c r="A7">
        <f t="shared" si="0"/>
        <v>3.5</v>
      </c>
      <c r="B7">
        <f t="shared" si="1"/>
        <v>3.625</v>
      </c>
      <c r="C7">
        <f t="shared" si="2"/>
        <v>-1.829448593783134E-2</v>
      </c>
      <c r="D7">
        <f t="shared" si="3"/>
        <v>8.8841587157076241E-2</v>
      </c>
      <c r="E7">
        <f t="shared" si="4"/>
        <v>3.5625</v>
      </c>
      <c r="F7">
        <f t="shared" si="5"/>
        <v>3.522131392759853E-2</v>
      </c>
    </row>
    <row r="8" spans="1:6">
      <c r="A8">
        <f t="shared" si="0"/>
        <v>3.5</v>
      </c>
      <c r="B8">
        <f t="shared" si="1"/>
        <v>3.5625</v>
      </c>
      <c r="C8">
        <f t="shared" si="2"/>
        <v>-1.829448593783134E-2</v>
      </c>
      <c r="D8">
        <f t="shared" si="3"/>
        <v>3.522131392759853E-2</v>
      </c>
      <c r="E8">
        <f t="shared" si="4"/>
        <v>3.53125</v>
      </c>
      <c r="F8">
        <f t="shared" si="5"/>
        <v>8.4501627700537263E-3</v>
      </c>
    </row>
    <row r="9" spans="1:6">
      <c r="A9">
        <f t="shared" si="0"/>
        <v>3.5</v>
      </c>
      <c r="B9">
        <f t="shared" si="1"/>
        <v>3.53125</v>
      </c>
      <c r="C9">
        <f t="shared" si="2"/>
        <v>-1.829448593783134E-2</v>
      </c>
      <c r="D9">
        <f t="shared" si="3"/>
        <v>8.4501627700537263E-3</v>
      </c>
      <c r="E9">
        <f t="shared" si="4"/>
        <v>3.515625</v>
      </c>
      <c r="F9">
        <f t="shared" si="5"/>
        <v>-4.9254988933500332E-3</v>
      </c>
    </row>
    <row r="10" spans="1:6">
      <c r="A10">
        <f t="shared" si="0"/>
        <v>3.515625</v>
      </c>
      <c r="B10">
        <f t="shared" si="1"/>
        <v>3.53125</v>
      </c>
      <c r="C10">
        <f t="shared" si="2"/>
        <v>-4.9254988933500332E-3</v>
      </c>
      <c r="D10">
        <f t="shared" si="3"/>
        <v>8.4501627700537263E-3</v>
      </c>
      <c r="E10">
        <f t="shared" si="4"/>
        <v>3.5234375</v>
      </c>
      <c r="F10">
        <f t="shared" si="5"/>
        <v>1.7615006965243651E-3</v>
      </c>
    </row>
    <row r="11" spans="1:6">
      <c r="A11">
        <f t="shared" si="0"/>
        <v>3.515625</v>
      </c>
      <c r="B11">
        <f t="shared" si="1"/>
        <v>3.5234375</v>
      </c>
      <c r="C11">
        <f t="shared" si="2"/>
        <v>-4.9254988933500332E-3</v>
      </c>
      <c r="D11">
        <f t="shared" si="3"/>
        <v>1.7615006965243651E-3</v>
      </c>
      <c r="E11">
        <f t="shared" si="4"/>
        <v>3.51953125</v>
      </c>
      <c r="F11">
        <f t="shared" si="5"/>
        <v>-1.5822072931346298E-3</v>
      </c>
    </row>
    <row r="12" spans="1:6">
      <c r="A12">
        <f t="shared" si="0"/>
        <v>3.51953125</v>
      </c>
      <c r="B12">
        <f t="shared" si="1"/>
        <v>3.5234375</v>
      </c>
      <c r="C12">
        <f t="shared" si="2"/>
        <v>-1.5822072931346298E-3</v>
      </c>
      <c r="D12">
        <f t="shared" si="3"/>
        <v>1.7615006965243651E-3</v>
      </c>
      <c r="E12">
        <f t="shared" si="4"/>
        <v>3.521484375</v>
      </c>
      <c r="F12">
        <f t="shared" si="5"/>
        <v>8.9594701136341826E-5</v>
      </c>
    </row>
    <row r="13" spans="1:6">
      <c r="A13">
        <f t="shared" si="0"/>
        <v>3.51953125</v>
      </c>
      <c r="B13">
        <f t="shared" si="1"/>
        <v>3.521484375</v>
      </c>
      <c r="C13">
        <f t="shared" si="2"/>
        <v>-1.5822072931346298E-3</v>
      </c>
      <c r="D13">
        <f t="shared" si="3"/>
        <v>8.9594701136341826E-5</v>
      </c>
      <c r="E13">
        <f t="shared" si="4"/>
        <v>3.5205078125</v>
      </c>
      <c r="F13">
        <f t="shared" si="5"/>
        <v>-7.4631930214841269E-4</v>
      </c>
    </row>
    <row r="14" spans="1:6">
      <c r="A14">
        <f t="shared" si="0"/>
        <v>3.5205078125</v>
      </c>
      <c r="B14">
        <f t="shared" si="1"/>
        <v>3.521484375</v>
      </c>
      <c r="C14">
        <f t="shared" si="2"/>
        <v>-7.4631930214841269E-4</v>
      </c>
      <c r="D14">
        <f t="shared" si="3"/>
        <v>8.9594701136341826E-5</v>
      </c>
      <c r="E14">
        <f t="shared" si="4"/>
        <v>3.52099609375</v>
      </c>
      <c r="F14">
        <f t="shared" si="5"/>
        <v>-3.2836555129178713E-4</v>
      </c>
    </row>
    <row r="15" spans="1:6">
      <c r="A15">
        <f t="shared" si="0"/>
        <v>3.52099609375</v>
      </c>
      <c r="B15">
        <f t="shared" si="1"/>
        <v>3.521484375</v>
      </c>
      <c r="C15">
        <f t="shared" si="2"/>
        <v>-3.2836555129178713E-4</v>
      </c>
      <c r="D15">
        <f t="shared" si="3"/>
        <v>8.9594701136341826E-5</v>
      </c>
      <c r="E15">
        <f t="shared" si="4"/>
        <v>3.521240234375</v>
      </c>
      <c r="F15">
        <f t="shared" si="5"/>
        <v>-1.1938623768026346E-4</v>
      </c>
    </row>
    <row r="16" spans="1:6">
      <c r="A16">
        <f t="shared" si="0"/>
        <v>3.521240234375</v>
      </c>
      <c r="B16">
        <f t="shared" si="1"/>
        <v>3.521484375</v>
      </c>
      <c r="C16">
        <f t="shared" si="2"/>
        <v>-1.1938623768026346E-4</v>
      </c>
      <c r="D16">
        <f t="shared" si="3"/>
        <v>8.9594701136341826E-5</v>
      </c>
      <c r="E16">
        <f t="shared" si="4"/>
        <v>3.5213623046875</v>
      </c>
      <c r="F16">
        <f t="shared" si="5"/>
        <v>-1.4895971410799902E-5</v>
      </c>
    </row>
    <row r="17" spans="1:6">
      <c r="A17">
        <f t="shared" si="0"/>
        <v>3.5213623046875</v>
      </c>
      <c r="B17">
        <f t="shared" si="1"/>
        <v>3.521484375</v>
      </c>
      <c r="C17">
        <f t="shared" si="2"/>
        <v>-1.4895971410799902E-5</v>
      </c>
      <c r="D17">
        <f t="shared" si="3"/>
        <v>8.9594701136341826E-5</v>
      </c>
      <c r="E17">
        <f t="shared" si="4"/>
        <v>3.52142333984375</v>
      </c>
      <c r="F17">
        <f t="shared" si="5"/>
        <v>3.7349314079726526E-5</v>
      </c>
    </row>
    <row r="18" spans="1:6">
      <c r="A18">
        <f t="shared" si="0"/>
        <v>3.5213623046875</v>
      </c>
      <c r="B18">
        <f t="shared" si="1"/>
        <v>3.52142333984375</v>
      </c>
      <c r="C18">
        <f t="shared" si="2"/>
        <v>-1.4895971410799902E-5</v>
      </c>
      <c r="D18">
        <f t="shared" si="3"/>
        <v>3.7349314079726526E-5</v>
      </c>
      <c r="E18">
        <f t="shared" si="4"/>
        <v>3.521392822265625</v>
      </c>
      <c r="F18">
        <f t="shared" si="5"/>
        <v>1.1226658638285869E-5</v>
      </c>
    </row>
    <row r="19" spans="1:6">
      <c r="A19">
        <f t="shared" si="0"/>
        <v>3.5213623046875</v>
      </c>
      <c r="B19">
        <f t="shared" si="1"/>
        <v>3.521392822265625</v>
      </c>
      <c r="C19">
        <f t="shared" si="2"/>
        <v>-1.4895971410799902E-5</v>
      </c>
      <c r="D19">
        <f t="shared" si="3"/>
        <v>1.1226658638285869E-5</v>
      </c>
      <c r="E19">
        <f t="shared" si="4"/>
        <v>3.5213775634765625</v>
      </c>
      <c r="F19">
        <f t="shared" si="5"/>
        <v>-1.8346595602736215E-6</v>
      </c>
    </row>
    <row r="23" spans="1:6">
      <c r="A23" t="s">
        <v>21</v>
      </c>
      <c r="B23" t="s">
        <v>10</v>
      </c>
    </row>
    <row r="24" spans="1:6" ht="16" thickBot="1"/>
    <row r="25" spans="1:6" ht="16" thickBot="1">
      <c r="A25" s="2" t="s">
        <v>15</v>
      </c>
      <c r="B25" s="3" t="s">
        <v>16</v>
      </c>
      <c r="C25" s="3" t="s">
        <v>17</v>
      </c>
      <c r="D25" s="3" t="s">
        <v>18</v>
      </c>
      <c r="E25" s="4" t="s">
        <v>19</v>
      </c>
      <c r="F25" s="5" t="s">
        <v>20</v>
      </c>
    </row>
    <row r="26" spans="1:6" ht="16" thickTop="1">
      <c r="A26">
        <v>1</v>
      </c>
      <c r="B26">
        <v>2</v>
      </c>
      <c r="C26">
        <f>A26*TAN(A26)-1</f>
        <v>0.55740772465490229</v>
      </c>
      <c r="D26">
        <f>B26*TAN(B26)-1</f>
        <v>-5.3700797265230378</v>
      </c>
      <c r="E26">
        <f>(A26+B26)/2</f>
        <v>1.5</v>
      </c>
      <c r="F26">
        <f>E26*TAN(E26)-1</f>
        <v>20.152129920757577</v>
      </c>
    </row>
    <row r="27" spans="1:6">
      <c r="A27">
        <f>IF(F26*C26&gt;0,E26,A26)</f>
        <v>1.5</v>
      </c>
      <c r="B27">
        <f>IF(F26*D26&gt;0,E26,B26)</f>
        <v>2</v>
      </c>
      <c r="C27">
        <f>A27*TAN(A27)-1</f>
        <v>20.152129920757577</v>
      </c>
      <c r="D27">
        <f>B27*TAN(B27)-1</f>
        <v>-5.3700797265230378</v>
      </c>
      <c r="E27">
        <f>(A27+B27)/2</f>
        <v>1.75</v>
      </c>
      <c r="F27">
        <f>E27*TAN(E27)-1</f>
        <v>-10.660664864391329</v>
      </c>
    </row>
    <row r="28" spans="1:6">
      <c r="A28">
        <f t="shared" ref="A28:A45" si="6">IF(F27*C27&gt;0,E27,A27)</f>
        <v>1.5</v>
      </c>
      <c r="B28">
        <f t="shared" ref="B28:B45" si="7">IF(F27*D27&gt;0,E27,B27)</f>
        <v>1.75</v>
      </c>
      <c r="C28">
        <f t="shared" ref="C28:C45" si="8">A28*TAN(A28)-1</f>
        <v>20.152129920757577</v>
      </c>
      <c r="D28">
        <f t="shared" ref="D28:D45" si="9">B28*TAN(B28)-1</f>
        <v>-10.660664864391329</v>
      </c>
      <c r="E28">
        <f t="shared" ref="E28:E45" si="10">(A28+B28)/2</f>
        <v>1.625</v>
      </c>
      <c r="F28">
        <f t="shared" ref="F28:F58" si="11">E28*TAN(E28)-1</f>
        <v>-30.950151988850635</v>
      </c>
    </row>
    <row r="29" spans="1:6">
      <c r="A29">
        <f t="shared" si="6"/>
        <v>1.5</v>
      </c>
      <c r="B29">
        <f t="shared" si="7"/>
        <v>1.625</v>
      </c>
      <c r="C29">
        <f t="shared" si="8"/>
        <v>20.152129920757577</v>
      </c>
      <c r="D29">
        <f t="shared" si="9"/>
        <v>-30.950151988850635</v>
      </c>
      <c r="E29">
        <f t="shared" si="10"/>
        <v>1.5625</v>
      </c>
      <c r="F29">
        <f t="shared" si="11"/>
        <v>187.33204019147283</v>
      </c>
    </row>
    <row r="30" spans="1:6">
      <c r="A30">
        <f t="shared" si="6"/>
        <v>1.5625</v>
      </c>
      <c r="B30">
        <f t="shared" si="7"/>
        <v>1.625</v>
      </c>
      <c r="C30">
        <f t="shared" si="8"/>
        <v>187.33204019147283</v>
      </c>
      <c r="D30">
        <f t="shared" si="9"/>
        <v>-30.950151988850635</v>
      </c>
      <c r="E30">
        <f t="shared" si="10"/>
        <v>1.59375</v>
      </c>
      <c r="F30">
        <f t="shared" si="11"/>
        <v>-70.421136898241443</v>
      </c>
    </row>
    <row r="31" spans="1:6">
      <c r="A31">
        <f t="shared" si="6"/>
        <v>1.5625</v>
      </c>
      <c r="B31">
        <f t="shared" si="7"/>
        <v>1.59375</v>
      </c>
      <c r="C31">
        <f t="shared" si="8"/>
        <v>187.33204019147283</v>
      </c>
      <c r="D31">
        <f t="shared" si="9"/>
        <v>-70.421136898241443</v>
      </c>
      <c r="E31">
        <f t="shared" si="10"/>
        <v>1.578125</v>
      </c>
      <c r="F31">
        <f t="shared" si="11"/>
        <v>-216.3318482519895</v>
      </c>
    </row>
    <row r="32" spans="1:6">
      <c r="A32">
        <f t="shared" si="6"/>
        <v>1.5625</v>
      </c>
      <c r="B32">
        <f t="shared" si="7"/>
        <v>1.578125</v>
      </c>
      <c r="C32">
        <f t="shared" si="8"/>
        <v>187.33204019147283</v>
      </c>
      <c r="D32">
        <f t="shared" si="9"/>
        <v>-216.3318482519895</v>
      </c>
      <c r="E32">
        <f t="shared" si="10"/>
        <v>1.5703125</v>
      </c>
      <c r="F32">
        <f t="shared" si="11"/>
        <v>3244.6085401489636</v>
      </c>
    </row>
    <row r="33" spans="1:6">
      <c r="A33">
        <f t="shared" si="6"/>
        <v>1.5703125</v>
      </c>
      <c r="B33">
        <f t="shared" si="7"/>
        <v>1.578125</v>
      </c>
      <c r="C33">
        <f t="shared" si="8"/>
        <v>3244.6085401489636</v>
      </c>
      <c r="D33">
        <f t="shared" si="9"/>
        <v>-216.3318482519895</v>
      </c>
      <c r="E33">
        <f t="shared" si="10"/>
        <v>1.57421875</v>
      </c>
      <c r="F33">
        <f t="shared" si="11"/>
        <v>-460.97017592191423</v>
      </c>
    </row>
    <row r="34" spans="1:6">
      <c r="A34">
        <f t="shared" si="6"/>
        <v>1.5703125</v>
      </c>
      <c r="B34">
        <f t="shared" si="7"/>
        <v>1.57421875</v>
      </c>
      <c r="C34">
        <f t="shared" si="8"/>
        <v>3244.6085401489636</v>
      </c>
      <c r="D34">
        <f t="shared" si="9"/>
        <v>-460.97017592191423</v>
      </c>
      <c r="E34">
        <f t="shared" si="10"/>
        <v>1.572265625</v>
      </c>
      <c r="F34">
        <f t="shared" si="11"/>
        <v>-1071.0785505059293</v>
      </c>
    </row>
    <row r="35" spans="1:6">
      <c r="A35">
        <f t="shared" si="6"/>
        <v>1.5703125</v>
      </c>
      <c r="B35">
        <f t="shared" si="7"/>
        <v>1.572265625</v>
      </c>
      <c r="C35">
        <f t="shared" si="8"/>
        <v>3244.6085401489636</v>
      </c>
      <c r="D35">
        <f t="shared" si="9"/>
        <v>-1071.0785505059293</v>
      </c>
      <c r="E35">
        <f t="shared" si="10"/>
        <v>1.5712890625</v>
      </c>
      <c r="F35">
        <f t="shared" si="11"/>
        <v>-3189.9082099433022</v>
      </c>
    </row>
    <row r="36" spans="1:6">
      <c r="A36">
        <f t="shared" si="6"/>
        <v>1.5703125</v>
      </c>
      <c r="B36">
        <f t="shared" si="7"/>
        <v>1.5712890625</v>
      </c>
      <c r="C36">
        <f t="shared" si="8"/>
        <v>3244.6085401489636</v>
      </c>
      <c r="D36">
        <f t="shared" si="9"/>
        <v>-3189.9082099433022</v>
      </c>
      <c r="E36">
        <f t="shared" si="10"/>
        <v>1.57080078125</v>
      </c>
      <c r="F36">
        <f t="shared" si="11"/>
        <v>-352636.89929269667</v>
      </c>
    </row>
    <row r="37" spans="1:6">
      <c r="A37">
        <f t="shared" si="6"/>
        <v>1.5703125</v>
      </c>
      <c r="B37">
        <f t="shared" si="7"/>
        <v>1.57080078125</v>
      </c>
      <c r="C37">
        <f t="shared" si="8"/>
        <v>3244.6085401489636</v>
      </c>
      <c r="D37">
        <f t="shared" si="9"/>
        <v>-352636.89929269667</v>
      </c>
      <c r="E37">
        <f t="shared" si="10"/>
        <v>1.570556640625</v>
      </c>
      <c r="F37">
        <f t="shared" si="11"/>
        <v>6551.5541637489168</v>
      </c>
    </row>
    <row r="38" spans="1:6">
      <c r="A38">
        <f t="shared" si="6"/>
        <v>1.570556640625</v>
      </c>
      <c r="B38">
        <f t="shared" si="7"/>
        <v>1.57080078125</v>
      </c>
      <c r="C38">
        <f t="shared" si="8"/>
        <v>6551.5541637489168</v>
      </c>
      <c r="D38">
        <f t="shared" si="9"/>
        <v>-352636.89929269667</v>
      </c>
      <c r="E38">
        <f t="shared" si="10"/>
        <v>1.5706787109375</v>
      </c>
      <c r="F38">
        <f t="shared" si="11"/>
        <v>13353.310706576471</v>
      </c>
    </row>
    <row r="39" spans="1:6">
      <c r="A39">
        <f t="shared" si="6"/>
        <v>1.5706787109375</v>
      </c>
      <c r="B39">
        <f t="shared" si="7"/>
        <v>1.57080078125</v>
      </c>
      <c r="C39">
        <f t="shared" si="8"/>
        <v>13353.310706576471</v>
      </c>
      <c r="D39">
        <f t="shared" si="9"/>
        <v>-352636.89929269667</v>
      </c>
      <c r="E39">
        <f t="shared" si="10"/>
        <v>1.57073974609375</v>
      </c>
      <c r="F39">
        <f t="shared" si="11"/>
        <v>27760.051252215293</v>
      </c>
    </row>
    <row r="40" spans="1:6">
      <c r="A40">
        <f t="shared" si="6"/>
        <v>1.57073974609375</v>
      </c>
      <c r="B40">
        <f t="shared" si="7"/>
        <v>1.57080078125</v>
      </c>
      <c r="C40">
        <f t="shared" si="8"/>
        <v>27760.051252215293</v>
      </c>
      <c r="D40">
        <f t="shared" si="9"/>
        <v>-352636.89929269667</v>
      </c>
      <c r="E40">
        <f t="shared" si="10"/>
        <v>1.570770263671875</v>
      </c>
      <c r="F40">
        <f t="shared" si="11"/>
        <v>60266.921922221663</v>
      </c>
    </row>
    <row r="41" spans="1:6">
      <c r="A41">
        <f t="shared" si="6"/>
        <v>1.570770263671875</v>
      </c>
      <c r="B41">
        <f t="shared" si="7"/>
        <v>1.57080078125</v>
      </c>
      <c r="C41">
        <f t="shared" si="8"/>
        <v>60266.921922221663</v>
      </c>
      <c r="D41">
        <f t="shared" si="9"/>
        <v>-352636.89929269667</v>
      </c>
      <c r="E41">
        <f t="shared" si="10"/>
        <v>1.5707855224609375</v>
      </c>
      <c r="F41">
        <f t="shared" si="11"/>
        <v>145383.76210965464</v>
      </c>
    </row>
    <row r="42" spans="1:6">
      <c r="A42">
        <f t="shared" si="6"/>
        <v>1.5707855224609375</v>
      </c>
      <c r="B42">
        <f t="shared" si="7"/>
        <v>1.57080078125</v>
      </c>
      <c r="C42">
        <f t="shared" si="8"/>
        <v>145383.76210965464</v>
      </c>
      <c r="D42">
        <f t="shared" si="9"/>
        <v>-352636.89929269667</v>
      </c>
      <c r="E42">
        <f t="shared" si="10"/>
        <v>1.5707931518554688</v>
      </c>
      <c r="F42">
        <f t="shared" si="11"/>
        <v>494746.43929347047</v>
      </c>
    </row>
    <row r="43" spans="1:6">
      <c r="A43">
        <f t="shared" si="6"/>
        <v>1.5707931518554688</v>
      </c>
      <c r="B43">
        <f t="shared" si="7"/>
        <v>1.57080078125</v>
      </c>
      <c r="C43">
        <f t="shared" si="8"/>
        <v>494746.43929347047</v>
      </c>
      <c r="D43">
        <f t="shared" si="9"/>
        <v>-352636.89929269667</v>
      </c>
      <c r="E43">
        <f t="shared" si="10"/>
        <v>1.5707969665527344</v>
      </c>
      <c r="F43">
        <f t="shared" si="11"/>
        <v>-2455300.292718072</v>
      </c>
    </row>
    <row r="44" spans="1:6">
      <c r="A44">
        <f t="shared" si="6"/>
        <v>1.5707931518554688</v>
      </c>
      <c r="B44">
        <f t="shared" si="7"/>
        <v>1.5707969665527344</v>
      </c>
      <c r="C44">
        <f t="shared" si="8"/>
        <v>494746.43929347047</v>
      </c>
      <c r="D44">
        <f t="shared" si="9"/>
        <v>-2455300.292718072</v>
      </c>
      <c r="E44">
        <f t="shared" si="10"/>
        <v>1.5707950592041016</v>
      </c>
      <c r="F44">
        <f t="shared" si="11"/>
        <v>1239196.2751213675</v>
      </c>
    </row>
    <row r="45" spans="1:6">
      <c r="A45">
        <f t="shared" si="6"/>
        <v>1.5707950592041016</v>
      </c>
      <c r="B45">
        <f t="shared" si="7"/>
        <v>1.5707969665527344</v>
      </c>
      <c r="C45">
        <f t="shared" si="8"/>
        <v>1239196.2751213675</v>
      </c>
      <c r="D45">
        <f t="shared" si="9"/>
        <v>-2455300.292718072</v>
      </c>
      <c r="E45">
        <f t="shared" si="10"/>
        <v>1.570796012878418</v>
      </c>
      <c r="F45">
        <f t="shared" si="11"/>
        <v>5003865.0589945829</v>
      </c>
    </row>
    <row r="46" spans="1:6">
      <c r="A46">
        <f t="shared" ref="A46:A58" si="12">IF(F45*C45&gt;0,E45,A45)</f>
        <v>1.570796012878418</v>
      </c>
      <c r="B46">
        <f t="shared" ref="B46:B58" si="13">IF(F45*D45&gt;0,E45,B45)</f>
        <v>1.5707969665527344</v>
      </c>
      <c r="C46">
        <f t="shared" ref="C46:C58" si="14">A46*TAN(A46)-1</f>
        <v>5003865.0589945829</v>
      </c>
      <c r="D46">
        <f t="shared" ref="D46:D58" si="15">B46*TAN(B46)-1</f>
        <v>-2455300.292718072</v>
      </c>
      <c r="E46">
        <f t="shared" ref="E46:E58" si="16">(A46+B46)/2</f>
        <v>1.5707964897155762</v>
      </c>
      <c r="F46">
        <f t="shared" si="11"/>
        <v>-9641481.099573493</v>
      </c>
    </row>
    <row r="47" spans="1:6">
      <c r="A47">
        <f t="shared" si="12"/>
        <v>1.570796012878418</v>
      </c>
      <c r="B47">
        <f t="shared" si="13"/>
        <v>1.5707964897155762</v>
      </c>
      <c r="C47">
        <f t="shared" si="14"/>
        <v>5003865.0589945829</v>
      </c>
      <c r="D47">
        <f t="shared" si="15"/>
        <v>-9641481.099573493</v>
      </c>
      <c r="E47">
        <f t="shared" si="16"/>
        <v>1.5707962512969971</v>
      </c>
      <c r="F47">
        <f t="shared" si="11"/>
        <v>20805826.190976031</v>
      </c>
    </row>
    <row r="48" spans="1:6">
      <c r="A48">
        <f t="shared" si="12"/>
        <v>1.5707962512969971</v>
      </c>
      <c r="B48">
        <f t="shared" si="13"/>
        <v>1.5707964897155762</v>
      </c>
      <c r="C48">
        <f t="shared" si="14"/>
        <v>20805826.190976031</v>
      </c>
      <c r="D48">
        <f t="shared" si="15"/>
        <v>-9641481.099573493</v>
      </c>
      <c r="E48">
        <f t="shared" si="16"/>
        <v>1.5707963705062866</v>
      </c>
      <c r="F48">
        <f t="shared" si="11"/>
        <v>-35935631.746134117</v>
      </c>
    </row>
    <row r="49" spans="1:6">
      <c r="A49">
        <f t="shared" si="12"/>
        <v>1.5707962512969971</v>
      </c>
      <c r="B49">
        <f t="shared" si="13"/>
        <v>1.5707963705062866</v>
      </c>
      <c r="C49">
        <f t="shared" si="14"/>
        <v>20805826.190976031</v>
      </c>
      <c r="D49">
        <f t="shared" si="15"/>
        <v>-35935631.746134117</v>
      </c>
      <c r="E49">
        <f t="shared" si="16"/>
        <v>1.5707963109016418</v>
      </c>
      <c r="F49">
        <f t="shared" si="11"/>
        <v>98834148.032549381</v>
      </c>
    </row>
    <row r="50" spans="1:6">
      <c r="A50">
        <f t="shared" si="12"/>
        <v>1.5707963109016418</v>
      </c>
      <c r="B50">
        <f t="shared" si="13"/>
        <v>1.5707963705062866</v>
      </c>
      <c r="C50">
        <f t="shared" si="14"/>
        <v>98834148.032549381</v>
      </c>
      <c r="D50">
        <f t="shared" si="15"/>
        <v>-35935631.746134117</v>
      </c>
      <c r="E50">
        <f t="shared" si="16"/>
        <v>1.5707963407039642</v>
      </c>
      <c r="F50">
        <f t="shared" si="11"/>
        <v>-112933260.38734083</v>
      </c>
    </row>
    <row r="51" spans="1:6">
      <c r="A51">
        <f t="shared" si="12"/>
        <v>1.5707963109016418</v>
      </c>
      <c r="B51">
        <f t="shared" si="13"/>
        <v>1.5707963407039642</v>
      </c>
      <c r="C51">
        <f t="shared" si="14"/>
        <v>98834148.032549381</v>
      </c>
      <c r="D51">
        <f t="shared" si="15"/>
        <v>-112933260.38734083</v>
      </c>
      <c r="E51">
        <f t="shared" si="16"/>
        <v>1.570796325802803</v>
      </c>
      <c r="F51">
        <f t="shared" si="11"/>
        <v>1583314676.0981967</v>
      </c>
    </row>
    <row r="52" spans="1:6">
      <c r="A52">
        <f t="shared" si="12"/>
        <v>1.570796325802803</v>
      </c>
      <c r="B52">
        <f t="shared" si="13"/>
        <v>1.5707963407039642</v>
      </c>
      <c r="C52">
        <f t="shared" si="14"/>
        <v>1583314676.0981967</v>
      </c>
      <c r="D52">
        <f t="shared" si="15"/>
        <v>-112933260.38734083</v>
      </c>
      <c r="E52">
        <f t="shared" si="16"/>
        <v>1.5707963332533836</v>
      </c>
      <c r="F52">
        <f t="shared" si="11"/>
        <v>-243214290.82758194</v>
      </c>
    </row>
    <row r="53" spans="1:6">
      <c r="A53">
        <f t="shared" si="12"/>
        <v>1.570796325802803</v>
      </c>
      <c r="B53">
        <f t="shared" si="13"/>
        <v>1.5707963332533836</v>
      </c>
      <c r="C53">
        <f t="shared" si="14"/>
        <v>1583314676.0981967</v>
      </c>
      <c r="D53">
        <f t="shared" si="15"/>
        <v>-243214290.82758194</v>
      </c>
      <c r="E53">
        <f t="shared" si="16"/>
        <v>1.5707963295280933</v>
      </c>
      <c r="F53">
        <f t="shared" si="11"/>
        <v>-574710309.536762</v>
      </c>
    </row>
    <row r="54" spans="1:6">
      <c r="A54">
        <f t="shared" si="12"/>
        <v>1.570796325802803</v>
      </c>
      <c r="B54">
        <f t="shared" si="13"/>
        <v>1.5707963295280933</v>
      </c>
      <c r="C54">
        <f t="shared" si="14"/>
        <v>1583314676.0981967</v>
      </c>
      <c r="D54">
        <f t="shared" si="15"/>
        <v>-574710309.536762</v>
      </c>
      <c r="E54">
        <f t="shared" si="16"/>
        <v>1.5707963276654482</v>
      </c>
      <c r="F54">
        <f t="shared" si="11"/>
        <v>-1804369073.0377672</v>
      </c>
    </row>
    <row r="55" spans="1:6">
      <c r="A55">
        <f t="shared" si="12"/>
        <v>1.570796325802803</v>
      </c>
      <c r="B55">
        <f t="shared" si="13"/>
        <v>1.5707963276654482</v>
      </c>
      <c r="C55">
        <f t="shared" si="14"/>
        <v>1583314676.0981967</v>
      </c>
      <c r="D55">
        <f t="shared" si="15"/>
        <v>-1804369073.0377672</v>
      </c>
      <c r="E55">
        <f t="shared" si="16"/>
        <v>1.5707963267341256</v>
      </c>
      <c r="F55">
        <f t="shared" si="11"/>
        <v>25847792452.063492</v>
      </c>
    </row>
    <row r="56" spans="1:6">
      <c r="A56">
        <f t="shared" si="12"/>
        <v>1.5707963267341256</v>
      </c>
      <c r="B56">
        <f t="shared" si="13"/>
        <v>1.5707963276654482</v>
      </c>
      <c r="C56">
        <f t="shared" si="14"/>
        <v>25847792452.063492</v>
      </c>
      <c r="D56">
        <f t="shared" si="15"/>
        <v>-1804369073.0377672</v>
      </c>
      <c r="E56">
        <f t="shared" si="16"/>
        <v>1.5707963271997869</v>
      </c>
      <c r="F56">
        <f t="shared" si="11"/>
        <v>-3879560455.2457647</v>
      </c>
    </row>
    <row r="57" spans="1:6">
      <c r="A57">
        <f t="shared" si="12"/>
        <v>1.5707963267341256</v>
      </c>
      <c r="B57">
        <f t="shared" si="13"/>
        <v>1.5707963271997869</v>
      </c>
      <c r="C57">
        <f t="shared" si="14"/>
        <v>25847792452.063492</v>
      </c>
      <c r="D57">
        <f t="shared" si="15"/>
        <v>-3879560455.2457647</v>
      </c>
      <c r="E57">
        <f t="shared" si="16"/>
        <v>1.5707963269669563</v>
      </c>
      <c r="F57">
        <f t="shared" si="11"/>
        <v>-9129371305.503746</v>
      </c>
    </row>
    <row r="58" spans="1:6">
      <c r="A58">
        <f t="shared" si="12"/>
        <v>1.5707963267341256</v>
      </c>
      <c r="B58">
        <f t="shared" si="13"/>
        <v>1.5707963269669563</v>
      </c>
      <c r="C58">
        <f t="shared" si="14"/>
        <v>25847792452.063492</v>
      </c>
      <c r="D58">
        <f t="shared" si="15"/>
        <v>-9129371305.503746</v>
      </c>
      <c r="E58">
        <f t="shared" si="16"/>
        <v>1.5707963268505409</v>
      </c>
      <c r="F58">
        <f t="shared" si="11"/>
        <v>-28229232004.70586</v>
      </c>
    </row>
    <row r="62" spans="1:6" ht="16" thickBot="1">
      <c r="A62" t="s">
        <v>11</v>
      </c>
      <c r="B62" t="s">
        <v>12</v>
      </c>
    </row>
    <row r="63" spans="1:6" ht="16" thickBot="1">
      <c r="A63" s="2" t="s">
        <v>15</v>
      </c>
      <c r="B63" s="3" t="s">
        <v>16</v>
      </c>
      <c r="C63" s="3" t="s">
        <v>17</v>
      </c>
      <c r="D63" s="3" t="s">
        <v>18</v>
      </c>
      <c r="E63" s="4" t="s">
        <v>19</v>
      </c>
      <c r="F63" s="5" t="s">
        <v>20</v>
      </c>
    </row>
    <row r="64" spans="1:6" ht="16" thickTop="1">
      <c r="A64">
        <v>1.2</v>
      </c>
      <c r="B64">
        <v>1.4</v>
      </c>
      <c r="C64">
        <f>A64^4-EXP(A64)+1</f>
        <v>-0.24651692273654735</v>
      </c>
      <c r="D64">
        <f>B64^4-EXP(B64)+1</f>
        <v>0.78640003315532425</v>
      </c>
      <c r="E64">
        <f>(A64+B64)/2</f>
        <v>1.2999999999999998</v>
      </c>
      <c r="F64">
        <f>E64^4-EXP(E64)+1</f>
        <v>0.18680333238075475</v>
      </c>
    </row>
    <row r="65" spans="1:6">
      <c r="A65">
        <f>IF(F64*C64&gt;0,E64,A64)</f>
        <v>1.2</v>
      </c>
      <c r="B65">
        <f>IF(F64*D64&gt;0,E64,B64)</f>
        <v>1.2999999999999998</v>
      </c>
      <c r="C65">
        <f>A65^4-EXP(A65)+1</f>
        <v>-0.24651692273654735</v>
      </c>
      <c r="D65">
        <f>B65^4-EXP(B65)+1</f>
        <v>0.18680333238075475</v>
      </c>
      <c r="E65">
        <f>(A65+B65)/2</f>
        <v>1.25</v>
      </c>
      <c r="F65">
        <f>E65^4-EXP(E65)+1</f>
        <v>-4.8936707461841422E-2</v>
      </c>
    </row>
    <row r="66" spans="1:6">
      <c r="A66">
        <f t="shared" ref="A66:A97" si="17">IF(F65*C65&gt;0,E65,A65)</f>
        <v>1.25</v>
      </c>
      <c r="B66">
        <f t="shared" ref="B66:B97" si="18">IF(F65*D65&gt;0,E65,B65)</f>
        <v>1.2999999999999998</v>
      </c>
      <c r="C66">
        <f t="shared" ref="C66:C97" si="19">A66^4-EXP(A66)+1</f>
        <v>-4.8936707461841422E-2</v>
      </c>
      <c r="D66">
        <f t="shared" ref="D66:D97" si="20">B66^4-EXP(B66)+1</f>
        <v>0.18680333238075475</v>
      </c>
      <c r="E66">
        <f t="shared" ref="E66:E97" si="21">(A66+B66)/2</f>
        <v>1.2749999999999999</v>
      </c>
      <c r="F66">
        <f t="shared" ref="F66:F97" si="22">E66^4-EXP(E66)+1</f>
        <v>6.3955230523420337E-2</v>
      </c>
    </row>
    <row r="67" spans="1:6">
      <c r="A67">
        <f t="shared" si="17"/>
        <v>1.25</v>
      </c>
      <c r="B67">
        <f t="shared" si="18"/>
        <v>1.2749999999999999</v>
      </c>
      <c r="C67">
        <f t="shared" si="19"/>
        <v>-4.8936707461841422E-2</v>
      </c>
      <c r="D67">
        <f t="shared" si="20"/>
        <v>6.3955230523420337E-2</v>
      </c>
      <c r="E67">
        <f t="shared" si="21"/>
        <v>1.2625</v>
      </c>
      <c r="F67">
        <f t="shared" si="22"/>
        <v>6.2910665765927298E-3</v>
      </c>
    </row>
    <row r="68" spans="1:6">
      <c r="A68">
        <f t="shared" si="17"/>
        <v>1.25</v>
      </c>
      <c r="B68">
        <f t="shared" si="18"/>
        <v>1.2625</v>
      </c>
      <c r="C68">
        <f t="shared" si="19"/>
        <v>-4.8936707461841422E-2</v>
      </c>
      <c r="D68">
        <f t="shared" si="20"/>
        <v>6.2910665765927298E-3</v>
      </c>
      <c r="E68">
        <f t="shared" si="21"/>
        <v>1.2562500000000001</v>
      </c>
      <c r="F68">
        <f t="shared" si="22"/>
        <v>-2.162410578496754E-2</v>
      </c>
    </row>
    <row r="69" spans="1:6">
      <c r="A69">
        <f t="shared" si="17"/>
        <v>1.2562500000000001</v>
      </c>
      <c r="B69">
        <f t="shared" si="18"/>
        <v>1.2625</v>
      </c>
      <c r="C69">
        <f t="shared" si="19"/>
        <v>-2.162410578496754E-2</v>
      </c>
      <c r="D69">
        <f t="shared" si="20"/>
        <v>6.2910665765927298E-3</v>
      </c>
      <c r="E69">
        <f t="shared" si="21"/>
        <v>1.2593749999999999</v>
      </c>
      <c r="F69">
        <f t="shared" si="22"/>
        <v>-7.7422476440522914E-3</v>
      </c>
    </row>
    <row r="70" spans="1:6">
      <c r="A70">
        <f t="shared" si="17"/>
        <v>1.2593749999999999</v>
      </c>
      <c r="B70">
        <f t="shared" si="18"/>
        <v>1.2625</v>
      </c>
      <c r="C70">
        <f t="shared" si="19"/>
        <v>-7.7422476440522914E-3</v>
      </c>
      <c r="D70">
        <f t="shared" si="20"/>
        <v>6.2910665765927298E-3</v>
      </c>
      <c r="E70">
        <f t="shared" si="21"/>
        <v>1.2609374999999998</v>
      </c>
      <c r="F70">
        <f t="shared" si="22"/>
        <v>-7.4457348855494487E-4</v>
      </c>
    </row>
    <row r="71" spans="1:6">
      <c r="A71">
        <f t="shared" si="17"/>
        <v>1.2609374999999998</v>
      </c>
      <c r="B71">
        <f t="shared" si="18"/>
        <v>1.2625</v>
      </c>
      <c r="C71">
        <f t="shared" si="19"/>
        <v>-7.4457348855494487E-4</v>
      </c>
      <c r="D71">
        <f t="shared" si="20"/>
        <v>6.2910665765927298E-3</v>
      </c>
      <c r="E71">
        <f t="shared" si="21"/>
        <v>1.26171875</v>
      </c>
      <c r="F71">
        <f t="shared" si="22"/>
        <v>2.7684944305326198E-3</v>
      </c>
    </row>
    <row r="72" spans="1:6">
      <c r="A72">
        <f t="shared" si="17"/>
        <v>1.2609374999999998</v>
      </c>
      <c r="B72">
        <f t="shared" si="18"/>
        <v>1.26171875</v>
      </c>
      <c r="C72">
        <f t="shared" si="19"/>
        <v>-7.4457348855494487E-4</v>
      </c>
      <c r="D72">
        <f t="shared" si="20"/>
        <v>2.7684944305326198E-3</v>
      </c>
      <c r="E72">
        <f t="shared" si="21"/>
        <v>1.2613281249999999</v>
      </c>
      <c r="F72">
        <f t="shared" si="22"/>
        <v>1.0107732397628411E-3</v>
      </c>
    </row>
    <row r="73" spans="1:6">
      <c r="A73">
        <f t="shared" si="17"/>
        <v>1.2609374999999998</v>
      </c>
      <c r="B73">
        <f t="shared" si="18"/>
        <v>1.2613281249999999</v>
      </c>
      <c r="C73">
        <f t="shared" si="19"/>
        <v>-7.4457348855494487E-4</v>
      </c>
      <c r="D73">
        <f t="shared" si="20"/>
        <v>1.0107732397628411E-3</v>
      </c>
      <c r="E73">
        <f t="shared" si="21"/>
        <v>1.2611328124999999</v>
      </c>
      <c r="F73">
        <f t="shared" si="22"/>
        <v>1.3280316741504095E-4</v>
      </c>
    </row>
    <row r="74" spans="1:6">
      <c r="A74">
        <f t="shared" si="17"/>
        <v>1.2609374999999998</v>
      </c>
      <c r="B74">
        <f t="shared" si="18"/>
        <v>1.2611328124999999</v>
      </c>
      <c r="C74">
        <f t="shared" si="19"/>
        <v>-7.4457348855494487E-4</v>
      </c>
      <c r="D74">
        <f t="shared" si="20"/>
        <v>1.3280316741504095E-4</v>
      </c>
      <c r="E74">
        <f t="shared" si="21"/>
        <v>1.2610351562499997</v>
      </c>
      <c r="F74">
        <f t="shared" si="22"/>
        <v>-3.0595932516730429E-4</v>
      </c>
    </row>
    <row r="75" spans="1:6">
      <c r="A75">
        <f t="shared" si="17"/>
        <v>1.2610351562499997</v>
      </c>
      <c r="B75">
        <f t="shared" si="18"/>
        <v>1.2611328124999999</v>
      </c>
      <c r="C75">
        <f t="shared" si="19"/>
        <v>-3.0595932516730429E-4</v>
      </c>
      <c r="D75">
        <f t="shared" si="20"/>
        <v>1.3280316741504095E-4</v>
      </c>
      <c r="E75">
        <f t="shared" si="21"/>
        <v>1.2610839843749999</v>
      </c>
      <c r="F75">
        <f t="shared" si="22"/>
        <v>-8.6596621581058741E-5</v>
      </c>
    </row>
    <row r="76" spans="1:6">
      <c r="A76">
        <f t="shared" si="17"/>
        <v>1.2610839843749999</v>
      </c>
      <c r="B76">
        <f t="shared" si="18"/>
        <v>1.2611328124999999</v>
      </c>
      <c r="C76">
        <f t="shared" si="19"/>
        <v>-8.6596621581058741E-5</v>
      </c>
      <c r="D76">
        <f t="shared" si="20"/>
        <v>1.3280316741504095E-4</v>
      </c>
      <c r="E76">
        <f t="shared" si="21"/>
        <v>1.2611083984375</v>
      </c>
      <c r="F76">
        <f t="shared" si="22"/>
        <v>2.3098637046192749E-5</v>
      </c>
    </row>
    <row r="77" spans="1:6">
      <c r="A77">
        <f t="shared" si="17"/>
        <v>1.2610839843749999</v>
      </c>
      <c r="B77">
        <f t="shared" si="18"/>
        <v>1.2611083984375</v>
      </c>
      <c r="C77">
        <f t="shared" si="19"/>
        <v>-8.6596621581058741E-5</v>
      </c>
      <c r="D77">
        <f t="shared" si="20"/>
        <v>2.3098637046192749E-5</v>
      </c>
      <c r="E77">
        <f t="shared" si="21"/>
        <v>1.26109619140625</v>
      </c>
      <c r="F77">
        <f t="shared" si="22"/>
        <v>-3.1750151211262789E-5</v>
      </c>
    </row>
    <row r="78" spans="1:6">
      <c r="A78">
        <f t="shared" si="17"/>
        <v>1.26109619140625</v>
      </c>
      <c r="B78">
        <f t="shared" si="18"/>
        <v>1.2611083984375</v>
      </c>
      <c r="C78">
        <f t="shared" si="19"/>
        <v>-3.1750151211262789E-5</v>
      </c>
      <c r="D78">
        <f t="shared" si="20"/>
        <v>2.3098637046192749E-5</v>
      </c>
      <c r="E78">
        <f t="shared" si="21"/>
        <v>1.2611022949218751</v>
      </c>
      <c r="F78">
        <f t="shared" si="22"/>
        <v>-4.3260468207684255E-6</v>
      </c>
    </row>
    <row r="79" spans="1:6">
      <c r="A79">
        <f t="shared" si="17"/>
        <v>1.2611022949218751</v>
      </c>
      <c r="B79">
        <f t="shared" si="18"/>
        <v>1.2611083984375</v>
      </c>
      <c r="C79">
        <f t="shared" si="19"/>
        <v>-4.3260468207684255E-6</v>
      </c>
      <c r="D79">
        <f t="shared" si="20"/>
        <v>2.3098637046192749E-5</v>
      </c>
      <c r="E79">
        <f t="shared" si="21"/>
        <v>1.2611053466796875</v>
      </c>
      <c r="F79">
        <f t="shared" si="22"/>
        <v>9.3862226773211432E-6</v>
      </c>
    </row>
    <row r="80" spans="1:6">
      <c r="A80">
        <f t="shared" si="17"/>
        <v>1.2611022949218751</v>
      </c>
      <c r="B80">
        <f t="shared" si="18"/>
        <v>1.2611053466796875</v>
      </c>
      <c r="C80">
        <f t="shared" si="19"/>
        <v>-4.3260468207684255E-6</v>
      </c>
      <c r="D80">
        <f t="shared" si="20"/>
        <v>9.3862226773211432E-6</v>
      </c>
      <c r="E80">
        <f t="shared" si="21"/>
        <v>1.2611038208007814</v>
      </c>
      <c r="F80">
        <f t="shared" si="22"/>
        <v>2.5300698203167826E-6</v>
      </c>
    </row>
    <row r="81" spans="1:6">
      <c r="A81">
        <f t="shared" si="17"/>
        <v>1.2611022949218751</v>
      </c>
      <c r="B81">
        <f t="shared" si="18"/>
        <v>1.2611038208007814</v>
      </c>
      <c r="C81">
        <f t="shared" si="19"/>
        <v>-4.3260468207684255E-6</v>
      </c>
      <c r="D81">
        <f t="shared" si="20"/>
        <v>2.5300698203167826E-6</v>
      </c>
      <c r="E81">
        <f t="shared" si="21"/>
        <v>1.2611030578613283</v>
      </c>
      <c r="F81">
        <f t="shared" si="22"/>
        <v>-8.9799302793736047E-7</v>
      </c>
    </row>
    <row r="82" spans="1:6">
      <c r="A82">
        <f t="shared" si="17"/>
        <v>1.2611030578613283</v>
      </c>
      <c r="B82">
        <f t="shared" si="18"/>
        <v>1.2611038208007814</v>
      </c>
      <c r="C82">
        <f t="shared" si="19"/>
        <v>-8.9799302793736047E-7</v>
      </c>
      <c r="D82">
        <f t="shared" si="20"/>
        <v>2.5300698203167826E-6</v>
      </c>
      <c r="E82">
        <f t="shared" si="21"/>
        <v>1.261103439331055</v>
      </c>
      <c r="F82">
        <f t="shared" si="22"/>
        <v>8.160372653165382E-7</v>
      </c>
    </row>
    <row r="83" spans="1:6">
      <c r="A83">
        <f t="shared" si="17"/>
        <v>1.2611030578613283</v>
      </c>
      <c r="B83">
        <f t="shared" si="18"/>
        <v>1.261103439331055</v>
      </c>
      <c r="C83">
        <f t="shared" si="19"/>
        <v>-8.9799302793736047E-7</v>
      </c>
      <c r="D83">
        <f t="shared" si="20"/>
        <v>8.160372653165382E-7</v>
      </c>
      <c r="E83">
        <f t="shared" si="21"/>
        <v>1.2611032485961915</v>
      </c>
      <c r="F83">
        <f t="shared" si="22"/>
        <v>-4.0978164417282414E-8</v>
      </c>
    </row>
    <row r="84" spans="1:6">
      <c r="A84">
        <f t="shared" si="17"/>
        <v>1.2611032485961915</v>
      </c>
      <c r="B84">
        <f t="shared" si="18"/>
        <v>1.261103439331055</v>
      </c>
      <c r="C84">
        <f t="shared" si="19"/>
        <v>-4.0978164417282414E-8</v>
      </c>
      <c r="D84">
        <f t="shared" si="20"/>
        <v>8.160372653165382E-7</v>
      </c>
      <c r="E84">
        <f t="shared" si="21"/>
        <v>1.2611033439636232</v>
      </c>
      <c r="F84">
        <f t="shared" si="22"/>
        <v>3.8752947961739892E-7</v>
      </c>
    </row>
    <row r="85" spans="1:6">
      <c r="A85">
        <f t="shared" si="17"/>
        <v>1.2611032485961915</v>
      </c>
      <c r="B85">
        <f t="shared" si="18"/>
        <v>1.2611033439636232</v>
      </c>
      <c r="C85">
        <f t="shared" si="19"/>
        <v>-4.0978164417282414E-8</v>
      </c>
      <c r="D85">
        <f t="shared" si="20"/>
        <v>3.8752947961739892E-7</v>
      </c>
      <c r="E85">
        <f t="shared" si="21"/>
        <v>1.2611032962799074</v>
      </c>
      <c r="F85">
        <f t="shared" si="22"/>
        <v>1.7327564005853446E-7</v>
      </c>
    </row>
    <row r="86" spans="1:6">
      <c r="A86">
        <f t="shared" si="17"/>
        <v>1.2611032485961915</v>
      </c>
      <c r="B86">
        <f t="shared" si="18"/>
        <v>1.2611032962799074</v>
      </c>
      <c r="C86">
        <f t="shared" si="19"/>
        <v>-4.0978164417282414E-8</v>
      </c>
      <c r="D86">
        <f t="shared" si="20"/>
        <v>1.7327564005853446E-7</v>
      </c>
      <c r="E86">
        <f t="shared" si="21"/>
        <v>1.2611032724380493</v>
      </c>
      <c r="F86">
        <f t="shared" si="22"/>
        <v>6.6148732713600111E-8</v>
      </c>
    </row>
    <row r="87" spans="1:6">
      <c r="A87">
        <f t="shared" si="17"/>
        <v>1.2611032485961915</v>
      </c>
      <c r="B87">
        <f t="shared" si="18"/>
        <v>1.2611032724380493</v>
      </c>
      <c r="C87">
        <f t="shared" si="19"/>
        <v>-4.0978164417282414E-8</v>
      </c>
      <c r="D87">
        <f t="shared" si="20"/>
        <v>6.6148732713600111E-8</v>
      </c>
      <c r="E87">
        <f t="shared" si="21"/>
        <v>1.2611032605171204</v>
      </c>
      <c r="F87">
        <f t="shared" si="22"/>
        <v>1.2585283037935824E-8</v>
      </c>
    </row>
    <row r="88" spans="1:6">
      <c r="A88">
        <f t="shared" si="17"/>
        <v>1.2611032485961915</v>
      </c>
      <c r="B88">
        <f t="shared" si="18"/>
        <v>1.2611032605171204</v>
      </c>
      <c r="C88">
        <f t="shared" si="19"/>
        <v>-4.0978164417282414E-8</v>
      </c>
      <c r="D88">
        <f t="shared" si="20"/>
        <v>1.2585283037935824E-8</v>
      </c>
      <c r="E88">
        <f t="shared" si="21"/>
        <v>1.2611032545566561</v>
      </c>
      <c r="F88">
        <f t="shared" si="22"/>
        <v>-1.41964409117179E-8</v>
      </c>
    </row>
    <row r="89" spans="1:6">
      <c r="A89">
        <f t="shared" si="17"/>
        <v>1.2611032545566561</v>
      </c>
      <c r="B89">
        <f t="shared" si="18"/>
        <v>1.2611032605171204</v>
      </c>
      <c r="C89">
        <f t="shared" si="19"/>
        <v>-1.41964409117179E-8</v>
      </c>
      <c r="D89">
        <f t="shared" si="20"/>
        <v>1.2585283037935824E-8</v>
      </c>
      <c r="E89">
        <f t="shared" si="21"/>
        <v>1.2611032575368881</v>
      </c>
      <c r="F89">
        <f t="shared" si="22"/>
        <v>-8.0557960302485299E-10</v>
      </c>
    </row>
    <row r="90" spans="1:6">
      <c r="A90">
        <f t="shared" si="17"/>
        <v>1.2611032575368881</v>
      </c>
      <c r="B90">
        <f t="shared" si="18"/>
        <v>1.2611032605171204</v>
      </c>
      <c r="C90">
        <f t="shared" si="19"/>
        <v>-8.0557960302485299E-10</v>
      </c>
      <c r="D90">
        <f t="shared" si="20"/>
        <v>1.2585283037935824E-8</v>
      </c>
      <c r="E90">
        <f t="shared" si="21"/>
        <v>1.2611032590270042</v>
      </c>
      <c r="F90">
        <f t="shared" si="22"/>
        <v>5.8898508292770657E-9</v>
      </c>
    </row>
    <row r="91" spans="1:6">
      <c r="A91">
        <f t="shared" si="17"/>
        <v>1.2611032575368881</v>
      </c>
      <c r="B91">
        <f t="shared" si="18"/>
        <v>1.2611032590270042</v>
      </c>
      <c r="C91">
        <f t="shared" si="19"/>
        <v>-8.0557960302485299E-10</v>
      </c>
      <c r="D91">
        <f t="shared" si="20"/>
        <v>5.8898508292770657E-9</v>
      </c>
      <c r="E91">
        <f t="shared" si="21"/>
        <v>1.2611032582819461</v>
      </c>
      <c r="F91">
        <f t="shared" si="22"/>
        <v>2.5421358351707113E-9</v>
      </c>
    </row>
    <row r="92" spans="1:6">
      <c r="A92">
        <f t="shared" si="17"/>
        <v>1.2611032575368881</v>
      </c>
      <c r="B92">
        <f t="shared" si="18"/>
        <v>1.2611032582819461</v>
      </c>
      <c r="C92">
        <f t="shared" si="19"/>
        <v>-8.0557960302485299E-10</v>
      </c>
      <c r="D92">
        <f t="shared" si="20"/>
        <v>2.5421358351707113E-9</v>
      </c>
      <c r="E92">
        <f t="shared" si="21"/>
        <v>1.2611032579094172</v>
      </c>
      <c r="F92">
        <f t="shared" si="22"/>
        <v>8.6827833811753408E-10</v>
      </c>
    </row>
    <row r="93" spans="1:6">
      <c r="A93">
        <f t="shared" si="17"/>
        <v>1.2611032575368881</v>
      </c>
      <c r="B93">
        <f t="shared" si="18"/>
        <v>1.2611032579094172</v>
      </c>
      <c r="C93">
        <f t="shared" si="19"/>
        <v>-8.0557960302485299E-10</v>
      </c>
      <c r="D93">
        <f t="shared" si="20"/>
        <v>8.6827833811753408E-10</v>
      </c>
      <c r="E93">
        <f t="shared" si="21"/>
        <v>1.2611032577231527</v>
      </c>
      <c r="F93">
        <f t="shared" si="22"/>
        <v>3.135003368015532E-11</v>
      </c>
    </row>
    <row r="94" spans="1:6">
      <c r="A94">
        <f t="shared" si="17"/>
        <v>1.2611032575368881</v>
      </c>
      <c r="B94">
        <f t="shared" si="18"/>
        <v>1.2611032577231527</v>
      </c>
      <c r="C94">
        <f t="shared" si="19"/>
        <v>-8.0557960302485299E-10</v>
      </c>
      <c r="D94">
        <f t="shared" si="20"/>
        <v>3.135003368015532E-11</v>
      </c>
      <c r="E94">
        <f t="shared" si="21"/>
        <v>1.2611032576300203</v>
      </c>
      <c r="F94">
        <f t="shared" si="22"/>
        <v>-3.8711567285076853E-10</v>
      </c>
    </row>
    <row r="95" spans="1:6">
      <c r="A95">
        <f t="shared" si="17"/>
        <v>1.2611032576300203</v>
      </c>
      <c r="B95">
        <f t="shared" si="18"/>
        <v>1.2611032577231527</v>
      </c>
      <c r="C95">
        <f t="shared" si="19"/>
        <v>-3.8711567285076853E-10</v>
      </c>
      <c r="D95">
        <f t="shared" si="20"/>
        <v>3.135003368015532E-11</v>
      </c>
      <c r="E95">
        <f t="shared" si="21"/>
        <v>1.2611032576765866</v>
      </c>
      <c r="F95">
        <f t="shared" si="22"/>
        <v>-1.7788215345149183E-10</v>
      </c>
    </row>
    <row r="96" spans="1:6">
      <c r="A96">
        <f t="shared" si="17"/>
        <v>1.2611032576765866</v>
      </c>
      <c r="B96">
        <f t="shared" si="18"/>
        <v>1.2611032577231527</v>
      </c>
      <c r="C96">
        <f t="shared" si="19"/>
        <v>-1.7788215345149183E-10</v>
      </c>
      <c r="D96">
        <f t="shared" si="20"/>
        <v>3.135003368015532E-11</v>
      </c>
      <c r="E96">
        <f t="shared" si="21"/>
        <v>1.2611032576998698</v>
      </c>
      <c r="F96">
        <f t="shared" si="22"/>
        <v>-7.326583784106333E-11</v>
      </c>
    </row>
    <row r="97" spans="1:6">
      <c r="A97">
        <f t="shared" si="17"/>
        <v>1.2611032576998698</v>
      </c>
      <c r="B97">
        <f t="shared" si="18"/>
        <v>1.2611032577231527</v>
      </c>
      <c r="C97">
        <f t="shared" si="19"/>
        <v>-7.326583784106333E-11</v>
      </c>
      <c r="D97">
        <f t="shared" si="20"/>
        <v>3.135003368015532E-11</v>
      </c>
      <c r="E97">
        <f t="shared" si="21"/>
        <v>1.2611032577115111</v>
      </c>
      <c r="F97">
        <f t="shared" si="22"/>
        <v>-2.0958346169663855E-11</v>
      </c>
    </row>
    <row r="100" spans="1:6" ht="16" thickBot="1">
      <c r="A100" t="s">
        <v>13</v>
      </c>
      <c r="B100" t="s">
        <v>14</v>
      </c>
    </row>
    <row r="101" spans="1:6" ht="16" thickBot="1">
      <c r="A101" s="2" t="s">
        <v>15</v>
      </c>
      <c r="B101" s="3" t="s">
        <v>16</v>
      </c>
      <c r="C101" s="3" t="s">
        <v>17</v>
      </c>
      <c r="D101" s="3" t="s">
        <v>18</v>
      </c>
      <c r="E101" s="4" t="s">
        <v>19</v>
      </c>
      <c r="F101" s="5" t="s">
        <v>20</v>
      </c>
    </row>
    <row r="102" spans="1:6" ht="16" thickTop="1">
      <c r="A102">
        <v>0.6</v>
      </c>
      <c r="B102">
        <v>0.8</v>
      </c>
      <c r="C102">
        <f>(A102^2)*EXP(A102)-1</f>
        <v>-0.34403723185941681</v>
      </c>
      <c r="D102">
        <f>(B102^2)*EXP(B102)-1</f>
        <v>0.42434619423517961</v>
      </c>
      <c r="E102">
        <f>(A102+B102)/2</f>
        <v>0.7</v>
      </c>
      <c r="F102">
        <f>(E102^2)*EXP(E102)-1</f>
        <v>-1.3261173339466525E-2</v>
      </c>
    </row>
    <row r="103" spans="1:6">
      <c r="A103">
        <f>IF(F102*C102&gt;0,E102,A102)</f>
        <v>0.7</v>
      </c>
      <c r="B103">
        <f>IF(F102*D102&gt;0,E102,B102)</f>
        <v>0.8</v>
      </c>
      <c r="C103">
        <f>(A103^2)*EXP(A103)-1</f>
        <v>-1.3261173339466525E-2</v>
      </c>
      <c r="D103">
        <f>(B103^2)*EXP(B103)-1</f>
        <v>0.42434619423517961</v>
      </c>
      <c r="E103">
        <f>(A103+B103)/2</f>
        <v>0.75</v>
      </c>
      <c r="F103">
        <f>(E103^2)*EXP(E103)-1</f>
        <v>0.19081250934462957</v>
      </c>
    </row>
    <row r="104" spans="1:6">
      <c r="A104">
        <f t="shared" ref="A104:A115" si="23">IF(F103*C103&gt;0,E103,A103)</f>
        <v>0.7</v>
      </c>
      <c r="B104">
        <f t="shared" ref="B104:B115" si="24">IF(F103*D103&gt;0,E103,B103)</f>
        <v>0.75</v>
      </c>
      <c r="C104">
        <f t="shared" ref="C104:C115" si="25">(A104^2)*EXP(A104)-1</f>
        <v>-1.3261173339466525E-2</v>
      </c>
      <c r="D104">
        <f t="shared" ref="D104:D115" si="26">(B104^2)*EXP(B104)-1</f>
        <v>0.19081250934462957</v>
      </c>
      <c r="E104">
        <f t="shared" ref="E104:E115" si="27">(A104+B104)/2</f>
        <v>0.72499999999999998</v>
      </c>
      <c r="F104">
        <f t="shared" ref="F104:F115" si="28">(E104^2)*EXP(E104)-1</f>
        <v>8.5274284419884383E-2</v>
      </c>
    </row>
    <row r="105" spans="1:6">
      <c r="A105">
        <f t="shared" si="23"/>
        <v>0.7</v>
      </c>
      <c r="B105">
        <f t="shared" si="24"/>
        <v>0.72499999999999998</v>
      </c>
      <c r="C105">
        <f t="shared" si="25"/>
        <v>-1.3261173339466525E-2</v>
      </c>
      <c r="D105">
        <f t="shared" si="26"/>
        <v>8.5274284419884383E-2</v>
      </c>
      <c r="E105">
        <f t="shared" si="27"/>
        <v>0.71249999999999991</v>
      </c>
      <c r="F105">
        <f t="shared" si="28"/>
        <v>3.5153025301465801E-2</v>
      </c>
    </row>
    <row r="106" spans="1:6">
      <c r="A106">
        <f t="shared" si="23"/>
        <v>0.7</v>
      </c>
      <c r="B106">
        <f t="shared" si="24"/>
        <v>0.71249999999999991</v>
      </c>
      <c r="C106">
        <f t="shared" si="25"/>
        <v>-1.3261173339466525E-2</v>
      </c>
      <c r="D106">
        <f t="shared" si="26"/>
        <v>3.5153025301465801E-2</v>
      </c>
      <c r="E106">
        <f t="shared" si="27"/>
        <v>0.70624999999999993</v>
      </c>
      <c r="F106">
        <f t="shared" si="28"/>
        <v>1.0735220333589091E-2</v>
      </c>
    </row>
    <row r="107" spans="1:6">
      <c r="A107">
        <f t="shared" si="23"/>
        <v>0.7</v>
      </c>
      <c r="B107">
        <f t="shared" si="24"/>
        <v>0.70624999999999993</v>
      </c>
      <c r="C107">
        <f t="shared" si="25"/>
        <v>-1.3261173339466525E-2</v>
      </c>
      <c r="D107">
        <f t="shared" si="26"/>
        <v>1.0735220333589091E-2</v>
      </c>
      <c r="E107">
        <f t="shared" si="27"/>
        <v>0.703125</v>
      </c>
      <c r="F107">
        <f t="shared" si="28"/>
        <v>-1.3153213842503897E-3</v>
      </c>
    </row>
    <row r="108" spans="1:6">
      <c r="A108">
        <f t="shared" si="23"/>
        <v>0.703125</v>
      </c>
      <c r="B108">
        <f t="shared" si="24"/>
        <v>0.70624999999999993</v>
      </c>
      <c r="C108">
        <f t="shared" si="25"/>
        <v>-1.3153213842503897E-3</v>
      </c>
      <c r="D108">
        <f t="shared" si="26"/>
        <v>1.0735220333589091E-2</v>
      </c>
      <c r="E108">
        <f t="shared" si="27"/>
        <v>0.70468749999999991</v>
      </c>
      <c r="F108">
        <f t="shared" si="28"/>
        <v>4.6968219498315644E-3</v>
      </c>
    </row>
    <row r="109" spans="1:6">
      <c r="A109">
        <f t="shared" si="23"/>
        <v>0.703125</v>
      </c>
      <c r="B109">
        <f t="shared" si="24"/>
        <v>0.70468749999999991</v>
      </c>
      <c r="C109">
        <f t="shared" si="25"/>
        <v>-1.3153213842503897E-3</v>
      </c>
      <c r="D109">
        <f t="shared" si="26"/>
        <v>4.6968219498315644E-3</v>
      </c>
      <c r="E109">
        <f t="shared" si="27"/>
        <v>0.70390624999999996</v>
      </c>
      <c r="F109">
        <f t="shared" si="28"/>
        <v>1.687473573173115E-3</v>
      </c>
    </row>
    <row r="110" spans="1:6">
      <c r="A110">
        <f t="shared" si="23"/>
        <v>0.703125</v>
      </c>
      <c r="B110">
        <f t="shared" si="24"/>
        <v>0.70390624999999996</v>
      </c>
      <c r="C110">
        <f t="shared" si="25"/>
        <v>-1.3153213842503897E-3</v>
      </c>
      <c r="D110">
        <f t="shared" si="26"/>
        <v>1.687473573173115E-3</v>
      </c>
      <c r="E110">
        <f t="shared" si="27"/>
        <v>0.70351562499999998</v>
      </c>
      <c r="F110">
        <f t="shared" si="28"/>
        <v>1.8525756275900029E-4</v>
      </c>
    </row>
    <row r="111" spans="1:6">
      <c r="A111">
        <f t="shared" si="23"/>
        <v>0.703125</v>
      </c>
      <c r="B111">
        <f t="shared" si="24"/>
        <v>0.70351562499999998</v>
      </c>
      <c r="C111">
        <f t="shared" si="25"/>
        <v>-1.3153213842503897E-3</v>
      </c>
      <c r="D111">
        <f t="shared" si="26"/>
        <v>1.8525756275900029E-4</v>
      </c>
      <c r="E111">
        <f t="shared" si="27"/>
        <v>0.70332031250000004</v>
      </c>
      <c r="F111">
        <f t="shared" si="28"/>
        <v>-5.6523646300510322E-4</v>
      </c>
    </row>
    <row r="112" spans="1:6">
      <c r="A112">
        <f t="shared" si="23"/>
        <v>0.70332031250000004</v>
      </c>
      <c r="B112">
        <f t="shared" si="24"/>
        <v>0.70351562499999998</v>
      </c>
      <c r="C112">
        <f t="shared" si="25"/>
        <v>-5.6523646300510322E-4</v>
      </c>
      <c r="D112">
        <f t="shared" si="26"/>
        <v>1.8525756275900029E-4</v>
      </c>
      <c r="E112">
        <f t="shared" si="27"/>
        <v>0.70341796874999996</v>
      </c>
      <c r="F112">
        <f t="shared" si="28"/>
        <v>-1.900405982693254E-4</v>
      </c>
    </row>
    <row r="113" spans="1:6">
      <c r="A113">
        <f t="shared" si="23"/>
        <v>0.70341796874999996</v>
      </c>
      <c r="B113">
        <f t="shared" si="24"/>
        <v>0.70351562499999998</v>
      </c>
      <c r="C113">
        <f t="shared" si="25"/>
        <v>-1.900405982693254E-4</v>
      </c>
      <c r="D113">
        <f t="shared" si="26"/>
        <v>1.8525756275900029E-4</v>
      </c>
      <c r="E113">
        <f t="shared" si="27"/>
        <v>0.70346679687499991</v>
      </c>
      <c r="F113">
        <f t="shared" si="28"/>
        <v>-2.4043060522505044E-6</v>
      </c>
    </row>
    <row r="114" spans="1:6">
      <c r="A114">
        <f t="shared" si="23"/>
        <v>0.70346679687499991</v>
      </c>
      <c r="B114">
        <f t="shared" si="24"/>
        <v>0.70351562499999998</v>
      </c>
      <c r="C114">
        <f t="shared" si="25"/>
        <v>-2.4043060522505044E-6</v>
      </c>
      <c r="D114">
        <f t="shared" si="26"/>
        <v>1.8525756275900029E-4</v>
      </c>
      <c r="E114">
        <f t="shared" si="27"/>
        <v>0.7034912109375</v>
      </c>
      <c r="F114">
        <f t="shared" si="28"/>
        <v>9.1423431121784304E-5</v>
      </c>
    </row>
    <row r="115" spans="1:6">
      <c r="A115">
        <f t="shared" si="23"/>
        <v>0.70346679687499991</v>
      </c>
      <c r="B115">
        <f t="shared" si="24"/>
        <v>0.7034912109375</v>
      </c>
      <c r="C115">
        <f t="shared" si="25"/>
        <v>-2.4043060522505044E-6</v>
      </c>
      <c r="D115">
        <f t="shared" si="26"/>
        <v>9.1423431121784304E-5</v>
      </c>
      <c r="E115">
        <f t="shared" si="27"/>
        <v>0.70347900390624996</v>
      </c>
      <c r="F115">
        <f t="shared" si="28"/>
        <v>4.4508763246575711E-5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12BA-0C89-41D8-8D8D-921BC587DC7A}">
  <dimension ref="A1:K97"/>
  <sheetViews>
    <sheetView topLeftCell="A81" workbookViewId="0">
      <selection activeCell="H101" sqref="H101"/>
    </sheetView>
  </sheetViews>
  <sheetFormatPr baseColWidth="10" defaultColWidth="8.83203125" defaultRowHeight="15"/>
  <cols>
    <col min="2" max="2" width="14.5" bestFit="1" customWidth="1"/>
  </cols>
  <sheetData>
    <row r="1" spans="1:11">
      <c r="A1" t="s">
        <v>0</v>
      </c>
      <c r="B1" t="s">
        <v>1</v>
      </c>
    </row>
    <row r="3" spans="1:11">
      <c r="J3" t="s">
        <v>2</v>
      </c>
      <c r="K3" t="s">
        <v>3</v>
      </c>
    </row>
    <row r="4" spans="1:11">
      <c r="J4">
        <v>0</v>
      </c>
      <c r="K4">
        <f>J4-J4^(1/3)-2</f>
        <v>-2</v>
      </c>
    </row>
    <row r="5" spans="1:11">
      <c r="J5">
        <v>0.2</v>
      </c>
      <c r="K5">
        <f t="shared" ref="K5:K24" si="0">J5-J5^(1/3)-2</f>
        <v>-2.3848035476425733</v>
      </c>
    </row>
    <row r="6" spans="1:11">
      <c r="J6">
        <v>0.4</v>
      </c>
      <c r="K6">
        <f t="shared" si="0"/>
        <v>-2.3368062997280772</v>
      </c>
    </row>
    <row r="7" spans="1:11">
      <c r="J7">
        <v>0.6</v>
      </c>
      <c r="K7">
        <f t="shared" si="0"/>
        <v>-2.2434326653017491</v>
      </c>
    </row>
    <row r="8" spans="1:11">
      <c r="J8">
        <v>0.8</v>
      </c>
      <c r="K8">
        <f t="shared" si="0"/>
        <v>-2.1283177667225557</v>
      </c>
    </row>
    <row r="9" spans="1:11">
      <c r="J9">
        <v>1</v>
      </c>
      <c r="K9">
        <f t="shared" si="0"/>
        <v>-2</v>
      </c>
    </row>
    <row r="10" spans="1:11">
      <c r="J10">
        <v>1.2</v>
      </c>
      <c r="K10">
        <f t="shared" si="0"/>
        <v>-1.8626585691826112</v>
      </c>
    </row>
    <row r="11" spans="1:11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J11">
        <v>1.4</v>
      </c>
      <c r="K11">
        <f t="shared" si="0"/>
        <v>-1.7186889420813969</v>
      </c>
    </row>
    <row r="12" spans="1:11">
      <c r="A12">
        <v>3</v>
      </c>
      <c r="B12">
        <v>4</v>
      </c>
      <c r="C12">
        <f>A12-A12^(1/3)-2</f>
        <v>-0.4422495703074083</v>
      </c>
      <c r="D12">
        <f>B12-B12^(1/3)-2</f>
        <v>0.41259894803180064</v>
      </c>
      <c r="E12">
        <f>B12-(D12*(B12-A12)/(D12-C12))</f>
        <v>3.5173426178085987</v>
      </c>
      <c r="J12">
        <v>1.6</v>
      </c>
      <c r="K12">
        <f t="shared" si="0"/>
        <v>-1.5696070952851464</v>
      </c>
    </row>
    <row r="13" spans="1:11">
      <c r="A13">
        <f>B12</f>
        <v>4</v>
      </c>
      <c r="B13">
        <f>E12</f>
        <v>3.5173426178085987</v>
      </c>
      <c r="C13">
        <f>A13-A13^(1/3)-2</f>
        <v>0.41259894803180064</v>
      </c>
      <c r="D13">
        <f>B13-B13^(1/3)-2</f>
        <v>-3.4554709535195016E-3</v>
      </c>
      <c r="E13">
        <f>B13-(D13*(B13-A13)/(D13-C13))</f>
        <v>3.5213512486236049</v>
      </c>
      <c r="J13">
        <v>1.8</v>
      </c>
      <c r="K13">
        <f t="shared" si="0"/>
        <v>-1.4164403991146799</v>
      </c>
    </row>
    <row r="14" spans="1:11">
      <c r="A14">
        <f t="shared" ref="A14:A20" si="1">B13</f>
        <v>3.5173426178085987</v>
      </c>
      <c r="B14">
        <f t="shared" ref="B14:B20" si="2">E13</f>
        <v>3.5213512486236049</v>
      </c>
      <c r="C14">
        <f t="shared" ref="C14:C20" si="3">A14-A14^(1/3)-2</f>
        <v>-3.4554709535195016E-3</v>
      </c>
      <c r="D14">
        <f t="shared" ref="D14:D20" si="4">B14-B14^(1/3)-2</f>
        <v>-2.4359804829288123E-5</v>
      </c>
      <c r="E14">
        <f t="shared" ref="E14:E20" si="5">B14-(D14*(B14-A14)/(D14-C14))</f>
        <v>3.5213797086355529</v>
      </c>
      <c r="J14">
        <v>2</v>
      </c>
      <c r="K14">
        <f t="shared" si="0"/>
        <v>-1.2599210498948732</v>
      </c>
    </row>
    <row r="15" spans="1:11">
      <c r="A15">
        <f t="shared" si="1"/>
        <v>3.5213512486236049</v>
      </c>
      <c r="B15">
        <f t="shared" si="2"/>
        <v>3.5213797086355529</v>
      </c>
      <c r="C15">
        <f t="shared" si="3"/>
        <v>-2.4359804829288123E-5</v>
      </c>
      <c r="D15">
        <f t="shared" si="4"/>
        <v>1.5672987352388645E-9</v>
      </c>
      <c r="E15">
        <f t="shared" si="5"/>
        <v>3.5213797068045665</v>
      </c>
      <c r="J15">
        <v>2.2000000000000002</v>
      </c>
      <c r="K15">
        <f t="shared" si="0"/>
        <v>-1.1005914468513869</v>
      </c>
    </row>
    <row r="16" spans="1:11">
      <c r="A16">
        <f t="shared" si="1"/>
        <v>3.5213797086355529</v>
      </c>
      <c r="B16">
        <f t="shared" si="2"/>
        <v>3.5213797068045665</v>
      </c>
      <c r="C16">
        <f t="shared" si="3"/>
        <v>1.5672987352388645E-9</v>
      </c>
      <c r="D16">
        <f t="shared" si="4"/>
        <v>0</v>
      </c>
      <c r="E16">
        <f t="shared" si="5"/>
        <v>3.5213797068045665</v>
      </c>
      <c r="J16">
        <v>2.4</v>
      </c>
      <c r="K16">
        <f t="shared" si="0"/>
        <v>-0.93886590016433913</v>
      </c>
    </row>
    <row r="17" spans="1:11">
      <c r="A17">
        <f t="shared" si="1"/>
        <v>3.5213797068045665</v>
      </c>
      <c r="B17">
        <f t="shared" si="2"/>
        <v>3.5213797068045665</v>
      </c>
      <c r="C17">
        <f t="shared" si="3"/>
        <v>0</v>
      </c>
      <c r="D17">
        <f t="shared" si="4"/>
        <v>0</v>
      </c>
      <c r="E17" t="e">
        <f t="shared" si="5"/>
        <v>#DIV/0!</v>
      </c>
      <c r="J17">
        <v>2.6</v>
      </c>
      <c r="K17">
        <f t="shared" si="0"/>
        <v>-0.7750688670741408</v>
      </c>
    </row>
    <row r="18" spans="1:11">
      <c r="A18">
        <f t="shared" si="1"/>
        <v>3.5213797068045665</v>
      </c>
      <c r="B18" t="e">
        <f t="shared" si="2"/>
        <v>#DIV/0!</v>
      </c>
      <c r="C18">
        <f t="shared" si="3"/>
        <v>0</v>
      </c>
      <c r="D18" t="e">
        <f t="shared" si="4"/>
        <v>#DIV/0!</v>
      </c>
      <c r="E18" t="e">
        <f t="shared" si="5"/>
        <v>#DIV/0!</v>
      </c>
      <c r="J18">
        <v>2.8</v>
      </c>
      <c r="K18">
        <f t="shared" si="0"/>
        <v>-0.60945974641297851</v>
      </c>
    </row>
    <row r="19" spans="1:11">
      <c r="A19" t="e">
        <f t="shared" si="1"/>
        <v>#DIV/0!</v>
      </c>
      <c r="B19" t="e">
        <f t="shared" si="2"/>
        <v>#DIV/0!</v>
      </c>
      <c r="C19" t="e">
        <f t="shared" si="3"/>
        <v>#DIV/0!</v>
      </c>
      <c r="D19" t="e">
        <f t="shared" si="4"/>
        <v>#DIV/0!</v>
      </c>
      <c r="E19" t="e">
        <f t="shared" si="5"/>
        <v>#DIV/0!</v>
      </c>
      <c r="J19">
        <v>3</v>
      </c>
      <c r="K19">
        <f t="shared" si="0"/>
        <v>-0.4422495703074083</v>
      </c>
    </row>
    <row r="20" spans="1:11">
      <c r="A20" t="e">
        <f t="shared" si="1"/>
        <v>#DIV/0!</v>
      </c>
      <c r="B20" t="e">
        <f t="shared" si="2"/>
        <v>#DIV/0!</v>
      </c>
      <c r="C20" t="e">
        <f t="shared" si="3"/>
        <v>#DIV/0!</v>
      </c>
      <c r="D20" t="e">
        <f t="shared" si="4"/>
        <v>#DIV/0!</v>
      </c>
      <c r="E20" t="e">
        <f t="shared" si="5"/>
        <v>#DIV/0!</v>
      </c>
      <c r="J20">
        <v>3.2</v>
      </c>
      <c r="K20">
        <f t="shared" si="0"/>
        <v>-0.27361259945615446</v>
      </c>
    </row>
    <row r="21" spans="1:11">
      <c r="J21">
        <v>3.4</v>
      </c>
      <c r="K21">
        <f t="shared" si="0"/>
        <v>-0.1036945962049749</v>
      </c>
    </row>
    <row r="22" spans="1:11">
      <c r="J22">
        <v>3.6</v>
      </c>
      <c r="K22">
        <f t="shared" si="0"/>
        <v>6.7381135212893906E-2</v>
      </c>
    </row>
    <row r="23" spans="1:11">
      <c r="J23">
        <v>3.8</v>
      </c>
      <c r="K23">
        <f t="shared" si="0"/>
        <v>0.23950924929211492</v>
      </c>
    </row>
    <row r="24" spans="1:11">
      <c r="J24">
        <v>4</v>
      </c>
      <c r="K24">
        <f t="shared" si="0"/>
        <v>0.41259894803180064</v>
      </c>
    </row>
    <row r="29" spans="1:11">
      <c r="A29" t="s">
        <v>9</v>
      </c>
      <c r="B29" t="s">
        <v>10</v>
      </c>
    </row>
    <row r="31" spans="1:11">
      <c r="H31" s="6" t="s">
        <v>2</v>
      </c>
      <c r="I31" s="6" t="s">
        <v>3</v>
      </c>
    </row>
    <row r="32" spans="1:11">
      <c r="H32" s="6">
        <v>0</v>
      </c>
      <c r="I32" s="7">
        <f>H32*TAN(H32)-1</f>
        <v>-1</v>
      </c>
    </row>
    <row r="33" spans="1:9">
      <c r="H33" s="6">
        <v>0.1</v>
      </c>
      <c r="I33" s="7">
        <f t="shared" ref="I33:I44" si="6">H33*TAN(H33)-1</f>
        <v>-0.98996653279145497</v>
      </c>
    </row>
    <row r="34" spans="1:9">
      <c r="H34" s="6">
        <v>0.2</v>
      </c>
      <c r="I34" s="7">
        <f t="shared" si="6"/>
        <v>-0.9594579928982655</v>
      </c>
    </row>
    <row r="35" spans="1:9">
      <c r="H35" s="6">
        <v>0.3</v>
      </c>
      <c r="I35" s="7">
        <f t="shared" si="6"/>
        <v>-0.90719912511711298</v>
      </c>
    </row>
    <row r="36" spans="1:9">
      <c r="H36" s="6">
        <v>0.4</v>
      </c>
      <c r="I36" s="7">
        <f t="shared" si="6"/>
        <v>-0.83088271250473533</v>
      </c>
    </row>
    <row r="37" spans="1:9">
      <c r="A37" s="6" t="s">
        <v>25</v>
      </c>
      <c r="B37" s="6" t="s">
        <v>26</v>
      </c>
      <c r="C37" s="6" t="s">
        <v>27</v>
      </c>
      <c r="D37" s="6" t="s">
        <v>28</v>
      </c>
      <c r="E37" s="6" t="s">
        <v>29</v>
      </c>
      <c r="H37" s="6">
        <v>0.5</v>
      </c>
      <c r="I37" s="7">
        <f t="shared" si="6"/>
        <v>-0.72684875507810476</v>
      </c>
    </row>
    <row r="38" spans="1:9">
      <c r="A38">
        <v>0.8</v>
      </c>
      <c r="B38">
        <v>0.9</v>
      </c>
      <c r="C38">
        <f>A38*TAN(A38)-1</f>
        <v>-0.17628915435970871</v>
      </c>
      <c r="D38">
        <f>B38*TAN(B38)-1</f>
        <v>0.1341423957953054</v>
      </c>
      <c r="E38">
        <f>B38-(D38*(B38-A38)/(D38-C38))</f>
        <v>0.85678841415174412</v>
      </c>
      <c r="H38" s="6">
        <v>0.6</v>
      </c>
      <c r="I38" s="7">
        <f t="shared" si="6"/>
        <v>-0.58951791499498463</v>
      </c>
    </row>
    <row r="39" spans="1:9">
      <c r="A39">
        <f>B38</f>
        <v>0.9</v>
      </c>
      <c r="B39">
        <f>E38</f>
        <v>0.85678841415174412</v>
      </c>
      <c r="C39">
        <f>A39*TAN(A39)-1</f>
        <v>0.1341423957953054</v>
      </c>
      <c r="D39">
        <f>B39*TAN(B39)-1</f>
        <v>-1.1232604303541893E-2</v>
      </c>
      <c r="E39">
        <f>B39-(D39*(B39-A39)/(D39-C39))</f>
        <v>0.86012721824345151</v>
      </c>
      <c r="H39" s="6">
        <v>0.7</v>
      </c>
      <c r="I39" s="7">
        <f t="shared" si="6"/>
        <v>-0.41039813367584443</v>
      </c>
    </row>
    <row r="40" spans="1:9">
      <c r="A40">
        <f t="shared" ref="A40:A47" si="7">B39</f>
        <v>0.85678841415174412</v>
      </c>
      <c r="B40">
        <f t="shared" ref="B40:B47" si="8">E39</f>
        <v>0.86012721824345151</v>
      </c>
      <c r="C40">
        <f t="shared" ref="C40:C47" si="9">A40*TAN(A40)-1</f>
        <v>-1.1232604303541893E-2</v>
      </c>
      <c r="D40">
        <f t="shared" ref="D40:D47" si="10">B40*TAN(B40)-1</f>
        <v>-6.5709345475650771E-4</v>
      </c>
      <c r="E40">
        <f t="shared" ref="E40:E47" si="11">B40-(D40*(B40-A40)/(D40-C40))</f>
        <v>0.86033466981215068</v>
      </c>
      <c r="H40" s="6">
        <v>0.8</v>
      </c>
      <c r="I40" s="7">
        <f t="shared" si="6"/>
        <v>-0.17628915435970871</v>
      </c>
    </row>
    <row r="41" spans="1:9">
      <c r="A41">
        <f t="shared" si="7"/>
        <v>0.86012721824345151</v>
      </c>
      <c r="B41">
        <f t="shared" si="8"/>
        <v>0.86033466981215068</v>
      </c>
      <c r="C41">
        <f t="shared" si="9"/>
        <v>-6.5709345475650771E-4</v>
      </c>
      <c r="D41">
        <f t="shared" si="10"/>
        <v>3.4423447934361917E-6</v>
      </c>
      <c r="E41">
        <f t="shared" si="11"/>
        <v>0.86033358869008603</v>
      </c>
      <c r="H41" s="6">
        <v>0.9</v>
      </c>
      <c r="I41" s="7">
        <f t="shared" si="6"/>
        <v>0.1341423957953054</v>
      </c>
    </row>
    <row r="42" spans="1:9">
      <c r="A42">
        <f t="shared" si="7"/>
        <v>0.86033466981215068</v>
      </c>
      <c r="B42">
        <f t="shared" si="8"/>
        <v>0.86033358869008603</v>
      </c>
      <c r="C42">
        <f t="shared" si="9"/>
        <v>3.4423447934361917E-6</v>
      </c>
      <c r="D42">
        <f t="shared" si="10"/>
        <v>-1.0488049317913806E-9</v>
      </c>
      <c r="E42">
        <f t="shared" si="11"/>
        <v>0.86033358901937929</v>
      </c>
      <c r="H42" s="6">
        <v>1</v>
      </c>
      <c r="I42" s="7">
        <f t="shared" si="6"/>
        <v>0.55740772465490229</v>
      </c>
    </row>
    <row r="43" spans="1:9">
      <c r="A43">
        <f t="shared" si="7"/>
        <v>0.86033358869008603</v>
      </c>
      <c r="B43">
        <f t="shared" si="8"/>
        <v>0.86033358901937929</v>
      </c>
      <c r="C43">
        <f t="shared" si="9"/>
        <v>-1.0488049317913806E-9</v>
      </c>
      <c r="D43">
        <f t="shared" si="10"/>
        <v>-1.5543122344752192E-15</v>
      </c>
      <c r="E43">
        <f t="shared" si="11"/>
        <v>0.86033358901937973</v>
      </c>
      <c r="H43" s="6">
        <v>1.1000000000000001</v>
      </c>
      <c r="I43" s="7">
        <f t="shared" si="6"/>
        <v>1.1612356229735177</v>
      </c>
    </row>
    <row r="44" spans="1:9">
      <c r="A44">
        <f t="shared" si="7"/>
        <v>0.86033358901937929</v>
      </c>
      <c r="B44">
        <f t="shared" si="8"/>
        <v>0.86033358901937973</v>
      </c>
      <c r="C44">
        <f t="shared" si="9"/>
        <v>-1.5543122344752192E-15</v>
      </c>
      <c r="D44">
        <f t="shared" si="10"/>
        <v>0</v>
      </c>
      <c r="E44">
        <f t="shared" si="11"/>
        <v>0.86033358901937973</v>
      </c>
      <c r="H44" s="6">
        <v>1.2</v>
      </c>
      <c r="I44" s="7">
        <f t="shared" si="6"/>
        <v>2.0865819465515822</v>
      </c>
    </row>
    <row r="45" spans="1:9">
      <c r="A45">
        <f t="shared" si="7"/>
        <v>0.86033358901937973</v>
      </c>
      <c r="B45">
        <f t="shared" si="8"/>
        <v>0.86033358901937973</v>
      </c>
      <c r="C45">
        <f t="shared" si="9"/>
        <v>0</v>
      </c>
      <c r="D45">
        <f t="shared" si="10"/>
        <v>0</v>
      </c>
      <c r="E45" t="e">
        <f t="shared" si="11"/>
        <v>#DIV/0!</v>
      </c>
    </row>
    <row r="46" spans="1:9">
      <c r="A46">
        <f t="shared" si="7"/>
        <v>0.86033358901937973</v>
      </c>
      <c r="B46" t="e">
        <f t="shared" si="8"/>
        <v>#DIV/0!</v>
      </c>
      <c r="C46">
        <f t="shared" si="9"/>
        <v>0</v>
      </c>
      <c r="D46" t="e">
        <f t="shared" si="10"/>
        <v>#DIV/0!</v>
      </c>
      <c r="E46" t="e">
        <f t="shared" si="11"/>
        <v>#DIV/0!</v>
      </c>
    </row>
    <row r="47" spans="1:9">
      <c r="A47" t="e">
        <f t="shared" si="7"/>
        <v>#DIV/0!</v>
      </c>
      <c r="B47" t="e">
        <f t="shared" si="8"/>
        <v>#DIV/0!</v>
      </c>
      <c r="C47" t="e">
        <f t="shared" si="9"/>
        <v>#DIV/0!</v>
      </c>
      <c r="D47" t="e">
        <f t="shared" si="10"/>
        <v>#DIV/0!</v>
      </c>
      <c r="E47" t="e">
        <f t="shared" si="11"/>
        <v>#DIV/0!</v>
      </c>
    </row>
    <row r="53" spans="1:9">
      <c r="A53" t="s">
        <v>11</v>
      </c>
      <c r="B53" t="s">
        <v>12</v>
      </c>
    </row>
    <row r="54" spans="1:9">
      <c r="H54" t="s">
        <v>2</v>
      </c>
      <c r="I54" t="s">
        <v>30</v>
      </c>
    </row>
    <row r="55" spans="1:9">
      <c r="H55">
        <v>0</v>
      </c>
      <c r="I55">
        <f>H55^4-EXP(H55)+1</f>
        <v>0</v>
      </c>
    </row>
    <row r="56" spans="1:9">
      <c r="H56">
        <v>0.2</v>
      </c>
      <c r="I56">
        <f t="shared" ref="I56:I65" si="12">H56^4-EXP(H56)+1</f>
        <v>-0.21980275816016981</v>
      </c>
    </row>
    <row r="57" spans="1:9">
      <c r="H57">
        <v>0.4</v>
      </c>
      <c r="I57">
        <f t="shared" si="12"/>
        <v>-0.46622469764127028</v>
      </c>
    </row>
    <row r="58" spans="1:9">
      <c r="H58">
        <v>0.6</v>
      </c>
      <c r="I58">
        <f t="shared" si="12"/>
        <v>-0.69251880039050895</v>
      </c>
    </row>
    <row r="59" spans="1:9">
      <c r="H59">
        <v>0.8</v>
      </c>
      <c r="I59">
        <f t="shared" si="12"/>
        <v>-0.81594092849246769</v>
      </c>
    </row>
    <row r="60" spans="1:9">
      <c r="A60" s="6" t="s">
        <v>25</v>
      </c>
      <c r="B60" s="6" t="s">
        <v>26</v>
      </c>
      <c r="C60" s="6" t="s">
        <v>27</v>
      </c>
      <c r="D60" s="6" t="s">
        <v>28</v>
      </c>
      <c r="E60" s="6" t="s">
        <v>29</v>
      </c>
      <c r="H60">
        <v>1</v>
      </c>
      <c r="I60">
        <f t="shared" si="12"/>
        <v>-0.71828182845904509</v>
      </c>
    </row>
    <row r="61" spans="1:9">
      <c r="A61">
        <v>1</v>
      </c>
      <c r="B61">
        <v>1.5</v>
      </c>
      <c r="C61">
        <f>A61^4-EXP(A61)+1</f>
        <v>-0.71828182845904509</v>
      </c>
      <c r="D61">
        <f>B61^4-EXP(B61)+1</f>
        <v>1.5808109296619355</v>
      </c>
      <c r="E61">
        <f>B61-(D61*(B61-A61)/(D61-C61))</f>
        <v>1.1562098410170472</v>
      </c>
      <c r="H61">
        <v>1.2</v>
      </c>
      <c r="I61">
        <f t="shared" si="12"/>
        <v>-0.24651692273654735</v>
      </c>
    </row>
    <row r="62" spans="1:9">
      <c r="A62">
        <f>B61</f>
        <v>1.5</v>
      </c>
      <c r="B62">
        <f>E61</f>
        <v>1.1562098410170472</v>
      </c>
      <c r="C62">
        <f>A62^4-EXP(A62)+1</f>
        <v>1.5808109296619355</v>
      </c>
      <c r="D62">
        <f>B62^4-EXP(B62)+1</f>
        <v>-0.39077489380034813</v>
      </c>
      <c r="E62">
        <f>B62-(D62*(B62-A62)/(D62-C62))</f>
        <v>1.2243501985239027</v>
      </c>
      <c r="H62">
        <v>1.4</v>
      </c>
      <c r="I62">
        <f t="shared" si="12"/>
        <v>0.78640003315532425</v>
      </c>
    </row>
    <row r="63" spans="1:9">
      <c r="A63">
        <f t="shared" ref="A63:A72" si="13">B62</f>
        <v>1.1562098410170472</v>
      </c>
      <c r="B63">
        <f t="shared" ref="B63:B69" si="14">E62</f>
        <v>1.2243501985239027</v>
      </c>
      <c r="C63">
        <f t="shared" ref="C63:C69" si="15">A63^4-EXP(A63)+1</f>
        <v>-0.39077489380034813</v>
      </c>
      <c r="D63">
        <f t="shared" ref="D63:D69" si="16">B63^4-EXP(B63)+1</f>
        <v>-0.15485360900512912</v>
      </c>
      <c r="E63">
        <f t="shared" ref="E63:E69" si="17">B63-(D63*(B63-A63)/(D63-C63))</f>
        <v>1.2690760497246341</v>
      </c>
      <c r="H63">
        <v>1.6</v>
      </c>
      <c r="I63">
        <f t="shared" si="12"/>
        <v>2.600567575604888</v>
      </c>
    </row>
    <row r="64" spans="1:9">
      <c r="A64">
        <f t="shared" si="13"/>
        <v>1.2243501985239027</v>
      </c>
      <c r="B64">
        <f t="shared" si="14"/>
        <v>1.2690760497246341</v>
      </c>
      <c r="C64">
        <f t="shared" si="15"/>
        <v>-0.15485360900512912</v>
      </c>
      <c r="D64">
        <f t="shared" si="16"/>
        <v>3.6320220185199314E-2</v>
      </c>
      <c r="E64">
        <f t="shared" si="17"/>
        <v>1.260578794789369</v>
      </c>
      <c r="H64">
        <v>1.8</v>
      </c>
      <c r="I64">
        <f t="shared" si="12"/>
        <v>5.4479525355870555</v>
      </c>
    </row>
    <row r="65" spans="1:9">
      <c r="A65">
        <f t="shared" si="13"/>
        <v>1.2690760497246341</v>
      </c>
      <c r="B65">
        <f t="shared" si="14"/>
        <v>1.260578794789369</v>
      </c>
      <c r="C65">
        <f t="shared" si="15"/>
        <v>3.6320220185199314E-2</v>
      </c>
      <c r="D65">
        <f t="shared" si="16"/>
        <v>-2.3543926725118069E-3</v>
      </c>
      <c r="E65">
        <f t="shared" si="17"/>
        <v>1.2610960817969896</v>
      </c>
      <c r="H65">
        <v>2</v>
      </c>
      <c r="I65">
        <f t="shared" si="12"/>
        <v>9.6109439010693496</v>
      </c>
    </row>
    <row r="66" spans="1:9">
      <c r="A66">
        <f t="shared" si="13"/>
        <v>1.260578794789369</v>
      </c>
      <c r="B66">
        <f t="shared" si="14"/>
        <v>1.2610960817969896</v>
      </c>
      <c r="C66">
        <f t="shared" si="15"/>
        <v>-2.3543926725118069E-3</v>
      </c>
      <c r="D66">
        <f t="shared" si="16"/>
        <v>-3.2242638435597826E-5</v>
      </c>
      <c r="E66">
        <f t="shared" si="17"/>
        <v>1.2611032642346915</v>
      </c>
    </row>
    <row r="67" spans="1:9">
      <c r="A67">
        <f t="shared" si="13"/>
        <v>1.2610960817969896</v>
      </c>
      <c r="B67">
        <f t="shared" si="14"/>
        <v>1.2611032642346915</v>
      </c>
      <c r="C67">
        <f t="shared" si="15"/>
        <v>-3.2242638435597826E-5</v>
      </c>
      <c r="D67">
        <f t="shared" si="16"/>
        <v>2.9289176861624355E-8</v>
      </c>
      <c r="E67">
        <f t="shared" si="17"/>
        <v>1.2611032577160946</v>
      </c>
    </row>
    <row r="68" spans="1:9">
      <c r="A68">
        <f t="shared" si="13"/>
        <v>1.2611032642346915</v>
      </c>
      <c r="B68">
        <f t="shared" si="14"/>
        <v>1.2611032577160946</v>
      </c>
      <c r="C68">
        <f t="shared" si="15"/>
        <v>2.9289176861624355E-8</v>
      </c>
      <c r="D68">
        <f t="shared" si="16"/>
        <v>-3.6415315207705135E-13</v>
      </c>
      <c r="E68">
        <f t="shared" si="17"/>
        <v>1.2611032577161756</v>
      </c>
    </row>
    <row r="69" spans="1:9">
      <c r="A69">
        <f t="shared" si="13"/>
        <v>1.2611032577160946</v>
      </c>
      <c r="B69">
        <f t="shared" si="14"/>
        <v>1.2611032577161756</v>
      </c>
      <c r="C69">
        <f t="shared" si="15"/>
        <v>-3.6415315207705135E-13</v>
      </c>
      <c r="D69">
        <f t="shared" si="16"/>
        <v>0</v>
      </c>
      <c r="E69">
        <f t="shared" si="17"/>
        <v>1.2611032577161756</v>
      </c>
    </row>
    <row r="70" spans="1:9">
      <c r="A70">
        <f>B69</f>
        <v>1.2611032577161756</v>
      </c>
      <c r="B70">
        <f>E69</f>
        <v>1.2611032577161756</v>
      </c>
      <c r="C70">
        <f>A70^4-EXP(A70)+1</f>
        <v>0</v>
      </c>
      <c r="D70">
        <f>B70^4-EXP(B70)+1</f>
        <v>0</v>
      </c>
      <c r="E70" t="e">
        <f>B70-(D70*(B70-A70)/(D70-C70))</f>
        <v>#DIV/0!</v>
      </c>
    </row>
    <row r="71" spans="1:9">
      <c r="A71">
        <f t="shared" si="13"/>
        <v>1.2611032577161756</v>
      </c>
      <c r="B71" t="e">
        <f t="shared" ref="B71:B72" si="18">E70</f>
        <v>#DIV/0!</v>
      </c>
      <c r="C71">
        <f t="shared" ref="C71:C72" si="19">A71^4-EXP(A71)+1</f>
        <v>0</v>
      </c>
      <c r="D71" t="e">
        <f t="shared" ref="D71:D72" si="20">B71^4-EXP(B71)+1</f>
        <v>#DIV/0!</v>
      </c>
      <c r="E71" t="e">
        <f t="shared" ref="E71:E72" si="21">B71-(D71*(B71-A71)/(D71-C71))</f>
        <v>#DIV/0!</v>
      </c>
    </row>
    <row r="72" spans="1:9">
      <c r="A72" t="e">
        <f t="shared" si="13"/>
        <v>#DIV/0!</v>
      </c>
      <c r="B72" t="e">
        <f t="shared" si="18"/>
        <v>#DIV/0!</v>
      </c>
      <c r="C72" t="e">
        <f t="shared" si="19"/>
        <v>#DIV/0!</v>
      </c>
      <c r="D72" t="e">
        <f t="shared" si="20"/>
        <v>#DIV/0!</v>
      </c>
      <c r="E72" t="e">
        <f t="shared" si="21"/>
        <v>#DIV/0!</v>
      </c>
    </row>
    <row r="78" spans="1:9">
      <c r="A78" t="s">
        <v>13</v>
      </c>
      <c r="B78" t="s">
        <v>14</v>
      </c>
    </row>
    <row r="81" spans="1:9">
      <c r="H81" t="s">
        <v>2</v>
      </c>
      <c r="I81" t="s">
        <v>3</v>
      </c>
    </row>
    <row r="82" spans="1:9">
      <c r="H82">
        <v>0</v>
      </c>
      <c r="I82">
        <f>H82^2*EXP(H82)-1</f>
        <v>-1</v>
      </c>
    </row>
    <row r="83" spans="1:9">
      <c r="H83">
        <v>0.1</v>
      </c>
      <c r="I83">
        <f t="shared" ref="I83:I94" si="22">H83^2*EXP(H83)-1</f>
        <v>-0.98894829081924351</v>
      </c>
    </row>
    <row r="84" spans="1:9">
      <c r="H84">
        <v>0.2</v>
      </c>
      <c r="I84">
        <f t="shared" si="22"/>
        <v>-0.9511438896735932</v>
      </c>
    </row>
    <row r="85" spans="1:9">
      <c r="H85">
        <v>0.3</v>
      </c>
      <c r="I85">
        <f t="shared" si="22"/>
        <v>-0.87851270731815978</v>
      </c>
    </row>
    <row r="86" spans="1:9">
      <c r="A86" s="6" t="s">
        <v>25</v>
      </c>
      <c r="B86" s="6" t="s">
        <v>26</v>
      </c>
      <c r="C86" s="6" t="s">
        <v>27</v>
      </c>
      <c r="D86" s="6" t="s">
        <v>28</v>
      </c>
      <c r="E86" s="6" t="s">
        <v>29</v>
      </c>
      <c r="H86">
        <v>0.4</v>
      </c>
      <c r="I86">
        <f t="shared" si="22"/>
        <v>-0.76130804837739663</v>
      </c>
    </row>
    <row r="87" spans="1:9">
      <c r="A87">
        <v>0.6</v>
      </c>
      <c r="B87">
        <v>0.8</v>
      </c>
      <c r="C87">
        <f>A87^2*EXP(A87)-1</f>
        <v>-0.34403723185941681</v>
      </c>
      <c r="D87">
        <f>B87^2*EXP(B87)-1</f>
        <v>0.42434619423517961</v>
      </c>
      <c r="E87">
        <f>B87-(D87*(B87-A87)/(D87-C87))</f>
        <v>0.68954832188612614</v>
      </c>
      <c r="H87">
        <v>0.5</v>
      </c>
      <c r="I87">
        <f t="shared" si="22"/>
        <v>-0.58781968232496795</v>
      </c>
    </row>
    <row r="88" spans="1:9">
      <c r="A88">
        <f>B87</f>
        <v>0.8</v>
      </c>
      <c r="B88">
        <f>E87</f>
        <v>0.68954832188612614</v>
      </c>
      <c r="C88">
        <f>A88^2*EXP(A88)-1</f>
        <v>0.42434619423517961</v>
      </c>
      <c r="D88">
        <f>B88^2*EXP(B88)-1</f>
        <v>-5.2462420921875585E-2</v>
      </c>
      <c r="E88">
        <f>B88-(D88*(B88-A88)/(D88-C88))</f>
        <v>0.70170112752876102</v>
      </c>
      <c r="H88">
        <v>0.6</v>
      </c>
      <c r="I88">
        <f t="shared" si="22"/>
        <v>-0.34403723185941681</v>
      </c>
    </row>
    <row r="89" spans="1:9">
      <c r="A89">
        <f t="shared" ref="A89:A97" si="23">B88</f>
        <v>0.68954832188612614</v>
      </c>
      <c r="B89">
        <f t="shared" ref="B89:B97" si="24">E88</f>
        <v>0.70170112752876102</v>
      </c>
      <c r="C89">
        <f t="shared" ref="C89:C97" si="25">A89^2*EXP(A89)-1</f>
        <v>-5.2462420921875585E-2</v>
      </c>
      <c r="D89">
        <f t="shared" ref="D89:D97" si="26">B89^2*EXP(B89)-1</f>
        <v>-6.7712631970328063E-3</v>
      </c>
      <c r="E89">
        <f t="shared" ref="E89:E97" si="27">B89-(D89*(B89-A89)/(D89-C89))</f>
        <v>0.70350212907230314</v>
      </c>
      <c r="H89">
        <v>0.7</v>
      </c>
      <c r="I89">
        <f t="shared" si="22"/>
        <v>-1.3261173339466525E-2</v>
      </c>
    </row>
    <row r="90" spans="1:9">
      <c r="A90">
        <f t="shared" si="23"/>
        <v>0.70170112752876102</v>
      </c>
      <c r="B90">
        <f t="shared" si="24"/>
        <v>0.70350212907230314</v>
      </c>
      <c r="C90">
        <f t="shared" si="25"/>
        <v>-6.7712631970328063E-3</v>
      </c>
      <c r="D90">
        <f t="shared" si="26"/>
        <v>1.3338590259071026E-4</v>
      </c>
      <c r="E90">
        <f t="shared" si="27"/>
        <v>0.70346733683116436</v>
      </c>
      <c r="H90">
        <v>0.8</v>
      </c>
      <c r="I90">
        <f t="shared" si="22"/>
        <v>0.42434619423517961</v>
      </c>
    </row>
    <row r="91" spans="1:9">
      <c r="A91">
        <f t="shared" si="23"/>
        <v>0.70350212907230314</v>
      </c>
      <c r="B91">
        <f t="shared" si="24"/>
        <v>0.70346733683116436</v>
      </c>
      <c r="C91">
        <f t="shared" si="25"/>
        <v>1.3338590259071026E-4</v>
      </c>
      <c r="D91">
        <f t="shared" si="26"/>
        <v>-3.2922424419989937E-7</v>
      </c>
      <c r="E91">
        <f t="shared" si="27"/>
        <v>0.70346742249424199</v>
      </c>
      <c r="H91">
        <v>0.9</v>
      </c>
      <c r="I91">
        <f t="shared" si="22"/>
        <v>0.99227852003712957</v>
      </c>
    </row>
    <row r="92" spans="1:9">
      <c r="A92">
        <f t="shared" si="23"/>
        <v>0.70346733683116436</v>
      </c>
      <c r="B92">
        <f t="shared" si="24"/>
        <v>0.70346742249424199</v>
      </c>
      <c r="C92">
        <f t="shared" si="25"/>
        <v>-3.2922424419989937E-7</v>
      </c>
      <c r="D92">
        <f t="shared" si="26"/>
        <v>-1.5947354548018211E-11</v>
      </c>
      <c r="E92">
        <f t="shared" si="27"/>
        <v>0.70346742249839167</v>
      </c>
      <c r="H92">
        <v>1</v>
      </c>
      <c r="I92">
        <f t="shared" si="22"/>
        <v>1.7182818284590451</v>
      </c>
    </row>
    <row r="93" spans="1:9">
      <c r="A93">
        <f t="shared" si="23"/>
        <v>0.70346742249424199</v>
      </c>
      <c r="B93">
        <f t="shared" si="24"/>
        <v>0.70346742249839167</v>
      </c>
      <c r="C93">
        <f t="shared" si="25"/>
        <v>-1.5947354548018211E-11</v>
      </c>
      <c r="D93">
        <f t="shared" si="26"/>
        <v>0</v>
      </c>
      <c r="E93">
        <f t="shared" si="27"/>
        <v>0.70346742249839167</v>
      </c>
      <c r="H93">
        <v>1.1000000000000001</v>
      </c>
      <c r="I93">
        <f t="shared" si="22"/>
        <v>2.6350408889751851</v>
      </c>
    </row>
    <row r="94" spans="1:9">
      <c r="A94">
        <f t="shared" si="23"/>
        <v>0.70346742249839167</v>
      </c>
      <c r="B94">
        <f t="shared" si="24"/>
        <v>0.70346742249839167</v>
      </c>
      <c r="C94">
        <f t="shared" si="25"/>
        <v>0</v>
      </c>
      <c r="D94">
        <f t="shared" si="26"/>
        <v>0</v>
      </c>
      <c r="E94" t="e">
        <f t="shared" si="27"/>
        <v>#DIV/0!</v>
      </c>
      <c r="H94">
        <v>1.2</v>
      </c>
      <c r="I94">
        <f t="shared" si="22"/>
        <v>3.7809683687406279</v>
      </c>
    </row>
    <row r="95" spans="1:9">
      <c r="A95">
        <f t="shared" si="23"/>
        <v>0.70346742249839167</v>
      </c>
      <c r="B95" t="e">
        <f t="shared" si="24"/>
        <v>#DIV/0!</v>
      </c>
      <c r="C95">
        <f t="shared" si="25"/>
        <v>0</v>
      </c>
      <c r="D95" t="e">
        <f t="shared" si="26"/>
        <v>#DIV/0!</v>
      </c>
      <c r="E95" t="e">
        <f t="shared" si="27"/>
        <v>#DIV/0!</v>
      </c>
    </row>
    <row r="96" spans="1:9">
      <c r="A96" t="e">
        <f t="shared" si="23"/>
        <v>#DIV/0!</v>
      </c>
      <c r="B96" t="e">
        <f t="shared" si="24"/>
        <v>#DIV/0!</v>
      </c>
      <c r="C96" t="e">
        <f t="shared" si="25"/>
        <v>#DIV/0!</v>
      </c>
      <c r="D96" t="e">
        <f t="shared" si="26"/>
        <v>#DIV/0!</v>
      </c>
      <c r="E96" t="e">
        <f t="shared" si="27"/>
        <v>#DIV/0!</v>
      </c>
    </row>
    <row r="97" spans="1:5">
      <c r="A97" t="e">
        <f t="shared" si="23"/>
        <v>#DIV/0!</v>
      </c>
      <c r="B97" t="e">
        <f t="shared" si="24"/>
        <v>#DIV/0!</v>
      </c>
      <c r="C97" t="e">
        <f t="shared" si="25"/>
        <v>#DIV/0!</v>
      </c>
      <c r="D97" t="e">
        <f t="shared" si="26"/>
        <v>#DIV/0!</v>
      </c>
      <c r="E97" t="e">
        <f t="shared" si="27"/>
        <v>#DIV/0!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6089-EABF-4F58-B607-8212B10BFFF6}">
  <dimension ref="A1:C54"/>
  <sheetViews>
    <sheetView tabSelected="1" workbookViewId="0">
      <selection activeCell="H18" sqref="H18"/>
    </sheetView>
  </sheetViews>
  <sheetFormatPr baseColWidth="10" defaultColWidth="8.83203125" defaultRowHeight="15"/>
  <cols>
    <col min="2" max="2" width="14.5" bestFit="1" customWidth="1"/>
  </cols>
  <sheetData>
    <row r="1" spans="1:3">
      <c r="A1" t="s">
        <v>0</v>
      </c>
      <c r="B1" t="s">
        <v>1</v>
      </c>
    </row>
    <row r="3" spans="1:3">
      <c r="A3" t="s">
        <v>22</v>
      </c>
      <c r="B3" t="s">
        <v>23</v>
      </c>
      <c r="C3" t="s">
        <v>24</v>
      </c>
    </row>
    <row r="4" spans="1:3">
      <c r="A4">
        <v>1</v>
      </c>
      <c r="B4">
        <f>A4-A4^(1/3)-2</f>
        <v>-2</v>
      </c>
      <c r="C4">
        <f>1-1/(3*A4^(2/3))</f>
        <v>0.66666666666666674</v>
      </c>
    </row>
    <row r="5" spans="1:3">
      <c r="A5">
        <f>A4-B4/C4</f>
        <v>3.9999999999999996</v>
      </c>
      <c r="B5">
        <f>A5-A5^(1/3)-2</f>
        <v>0.41259894803180019</v>
      </c>
      <c r="C5">
        <f>1-1/(3*A5^(2/3))</f>
        <v>0.86771657900264998</v>
      </c>
    </row>
    <row r="6" spans="1:3">
      <c r="A6">
        <f t="shared" ref="A6:A10" si="0">A5-B5/C5</f>
        <v>3.5245003287755083</v>
      </c>
      <c r="B6">
        <f t="shared" ref="B6:B10" si="1">A6-A6^(1/3)-2</f>
        <v>2.6713426562539055E-3</v>
      </c>
      <c r="C6">
        <f t="shared" ref="C6:C10" si="2">1-1/(3*A6^(2/3))</f>
        <v>0.85607141966627154</v>
      </c>
    </row>
    <row r="7" spans="1:3">
      <c r="A7">
        <f t="shared" si="0"/>
        <v>3.5213798617269818</v>
      </c>
      <c r="B7">
        <f t="shared" si="1"/>
        <v>1.3261148001930678E-7</v>
      </c>
      <c r="C7">
        <f t="shared" si="2"/>
        <v>0.85598640411286808</v>
      </c>
    </row>
    <row r="8" spans="1:3">
      <c r="A8">
        <f t="shared" si="0"/>
        <v>3.5213797068045678</v>
      </c>
      <c r="B8">
        <f t="shared" si="1"/>
        <v>0</v>
      </c>
      <c r="C8">
        <f t="shared" si="2"/>
        <v>0.85598639988896807</v>
      </c>
    </row>
    <row r="9" spans="1:3">
      <c r="A9">
        <f t="shared" si="0"/>
        <v>3.5213797068045678</v>
      </c>
      <c r="B9">
        <f t="shared" si="1"/>
        <v>0</v>
      </c>
      <c r="C9">
        <f t="shared" si="2"/>
        <v>0.85598639988896807</v>
      </c>
    </row>
    <row r="10" spans="1:3">
      <c r="A10">
        <f t="shared" si="0"/>
        <v>3.5213797068045678</v>
      </c>
      <c r="B10">
        <f t="shared" si="1"/>
        <v>0</v>
      </c>
      <c r="C10">
        <f t="shared" si="2"/>
        <v>0.85598639988896807</v>
      </c>
    </row>
    <row r="12" spans="1:3">
      <c r="A12" s="1" t="s">
        <v>9</v>
      </c>
      <c r="B12" t="s">
        <v>10</v>
      </c>
    </row>
    <row r="14" spans="1:3">
      <c r="A14" t="s">
        <v>22</v>
      </c>
      <c r="B14" t="s">
        <v>23</v>
      </c>
      <c r="C14" t="s">
        <v>24</v>
      </c>
    </row>
    <row r="15" spans="1:3">
      <c r="A15">
        <v>1</v>
      </c>
      <c r="B15">
        <f>A15*TAN(A15)-1</f>
        <v>0.55740772465490229</v>
      </c>
      <c r="C15">
        <f>TAN(A15)+A15*_xlfn.SEC(A15)*_xlfn.SEC(A15)</f>
        <v>4.9829265454696614</v>
      </c>
    </row>
    <row r="16" spans="1:3">
      <c r="A16">
        <f>A15-B15/C15</f>
        <v>0.8881364757099055</v>
      </c>
      <c r="B16">
        <f>A16*TAN(A16)-1</f>
        <v>9.2324625844214969E-2</v>
      </c>
      <c r="C16">
        <f>TAN(A16)+A16*_xlfn.SEC(A16)*_xlfn.SEC(A16)</f>
        <v>3.4614996654641317</v>
      </c>
    </row>
    <row r="17" spans="1:3">
      <c r="A17">
        <f t="shared" ref="A17:A21" si="3">A16-B16/C16</f>
        <v>0.86146461820104869</v>
      </c>
      <c r="B17">
        <f t="shared" ref="B17:B21" si="4">A17*TAN(A17)-1</f>
        <v>3.6083668443802619E-3</v>
      </c>
      <c r="C17">
        <f t="shared" ref="C17:C21" si="5">TAN(A17)+A17*_xlfn.SEC(A17)*_xlfn.SEC(A17)</f>
        <v>3.1956732187162409</v>
      </c>
    </row>
    <row r="18" spans="1:3">
      <c r="A18">
        <f t="shared" si="3"/>
        <v>0.86033547682850564</v>
      </c>
      <c r="B18">
        <f t="shared" si="4"/>
        <v>6.0127138454824092E-6</v>
      </c>
      <c r="C18">
        <f t="shared" si="5"/>
        <v>3.1850310078676856</v>
      </c>
    </row>
    <row r="19" spans="1:3">
      <c r="A19">
        <f t="shared" si="3"/>
        <v>0.86033358902464108</v>
      </c>
      <c r="B19">
        <f t="shared" si="4"/>
        <v>1.6757484289087188E-11</v>
      </c>
      <c r="C19">
        <f t="shared" si="5"/>
        <v>3.1850132546386147</v>
      </c>
    </row>
    <row r="20" spans="1:3">
      <c r="A20">
        <f t="shared" si="3"/>
        <v>0.86033358901937973</v>
      </c>
      <c r="B20">
        <f t="shared" si="4"/>
        <v>0</v>
      </c>
      <c r="C20">
        <f t="shared" si="5"/>
        <v>3.1850132545891352</v>
      </c>
    </row>
    <row r="21" spans="1:3">
      <c r="A21">
        <f t="shared" si="3"/>
        <v>0.86033358901937973</v>
      </c>
      <c r="B21">
        <f t="shared" si="4"/>
        <v>0</v>
      </c>
      <c r="C21">
        <f t="shared" si="5"/>
        <v>3.1850132545891352</v>
      </c>
    </row>
    <row r="25" spans="1:3">
      <c r="A25" t="s">
        <v>11</v>
      </c>
      <c r="B25" t="s">
        <v>12</v>
      </c>
    </row>
    <row r="26" spans="1:3">
      <c r="A26" t="s">
        <v>22</v>
      </c>
      <c r="B26" t="s">
        <v>23</v>
      </c>
      <c r="C26" t="s">
        <v>24</v>
      </c>
    </row>
    <row r="27" spans="1:3">
      <c r="A27">
        <v>1</v>
      </c>
      <c r="B27">
        <f>A27^4-EXP(A27)+1</f>
        <v>-0.71828182845904509</v>
      </c>
      <c r="C27">
        <f>4*A27^3-EXP(A27)</f>
        <v>1.2817181715409549</v>
      </c>
    </row>
    <row r="28" spans="1:3">
      <c r="A28">
        <f>A27-B27/C27</f>
        <v>1.5604054342113958</v>
      </c>
      <c r="B28">
        <f>A28^4-EXP(A28)+1</f>
        <v>2.1678171230404333</v>
      </c>
      <c r="C28">
        <f>4*A28^3-EXP(A28)</f>
        <v>10.43675602851482</v>
      </c>
    </row>
    <row r="29" spans="1:3">
      <c r="A29">
        <f t="shared" ref="A29:A34" si="6">A28-B28/C28</f>
        <v>1.3526955752171237</v>
      </c>
      <c r="B29">
        <f t="shared" ref="B29:B34" si="7">A29^4-EXP(A29)+1</f>
        <v>0.48027677617413111</v>
      </c>
      <c r="C29">
        <f t="shared" ref="C29:C34" si="8">4*A29^3-EXP(A29)</f>
        <v>6.0327324813516441</v>
      </c>
    </row>
    <row r="30" spans="1:3">
      <c r="A30">
        <f t="shared" si="6"/>
        <v>1.2730837612242505</v>
      </c>
      <c r="B30">
        <f t="shared" si="7"/>
        <v>5.4955153433588588E-2</v>
      </c>
      <c r="C30">
        <f t="shared" si="8"/>
        <v>4.6815122951517161</v>
      </c>
    </row>
    <row r="31" spans="1:3">
      <c r="A31">
        <f t="shared" si="6"/>
        <v>1.261345000334847</v>
      </c>
      <c r="B31">
        <f t="shared" si="7"/>
        <v>1.0866592168223832E-3</v>
      </c>
      <c r="C31">
        <f t="shared" si="8"/>
        <v>4.49698886191754</v>
      </c>
    </row>
    <row r="32" spans="1:3">
      <c r="A32">
        <f t="shared" si="6"/>
        <v>1.2611033588164469</v>
      </c>
      <c r="B32">
        <f t="shared" si="7"/>
        <v>4.5426662031999854E-7</v>
      </c>
      <c r="C32">
        <f t="shared" si="8"/>
        <v>4.4932292829951894</v>
      </c>
    </row>
    <row r="33" spans="1:3">
      <c r="A33">
        <f t="shared" si="6"/>
        <v>1.2611032577161931</v>
      </c>
      <c r="B33">
        <f t="shared" si="7"/>
        <v>7.8603790143461083E-14</v>
      </c>
      <c r="C33">
        <f t="shared" si="8"/>
        <v>4.4932277103539118</v>
      </c>
    </row>
    <row r="34" spans="1:3">
      <c r="A34">
        <f t="shared" si="6"/>
        <v>1.2611032577161756</v>
      </c>
      <c r="B34">
        <f t="shared" si="7"/>
        <v>0</v>
      </c>
      <c r="C34">
        <f t="shared" si="8"/>
        <v>4.4932277103536382</v>
      </c>
    </row>
    <row r="39" spans="1:3">
      <c r="A39" t="s">
        <v>13</v>
      </c>
      <c r="B39" t="s">
        <v>14</v>
      </c>
    </row>
    <row r="40" spans="1:3">
      <c r="A40" t="s">
        <v>22</v>
      </c>
      <c r="B40" t="s">
        <v>23</v>
      </c>
      <c r="C40" t="s">
        <v>24</v>
      </c>
    </row>
    <row r="41" spans="1:3">
      <c r="A41">
        <v>0.1</v>
      </c>
      <c r="B41">
        <f>A41^2*EXP(A41)-1</f>
        <v>-0.98894829081924351</v>
      </c>
      <c r="C41">
        <f>A41*(A41+2)*EXP(A41)</f>
        <v>0.23208589279588604</v>
      </c>
    </row>
    <row r="42" spans="1:3">
      <c r="A42">
        <f>A41-B41/C41</f>
        <v>4.3611305620759966</v>
      </c>
      <c r="B42">
        <f>A42^2*EXP(A42)-1</f>
        <v>1489.0921103091496</v>
      </c>
      <c r="C42">
        <f>A42*(A42+2)*EXP(A42)</f>
        <v>2173.4434060794979</v>
      </c>
    </row>
    <row r="43" spans="1:3">
      <c r="A43">
        <f t="shared" ref="A43:A48" si="9">A42-B42/C42</f>
        <v>3.6760001804226712</v>
      </c>
      <c r="B43">
        <f t="shared" ref="B43:B54" si="10">A43^2*EXP(A43)-1</f>
        <v>532.60223737382091</v>
      </c>
      <c r="C43">
        <f t="shared" ref="C43:C48" si="11">A43*(A43+2)*EXP(A43)</f>
        <v>823.9190008036129</v>
      </c>
    </row>
    <row r="44" spans="1:3">
      <c r="A44">
        <f t="shared" si="9"/>
        <v>3.0295746982401446</v>
      </c>
      <c r="B44">
        <f t="shared" si="10"/>
        <v>188.88510720678127</v>
      </c>
      <c r="C44">
        <f t="shared" si="11"/>
        <v>315.23940681661361</v>
      </c>
    </row>
    <row r="45" spans="1:3">
      <c r="A45">
        <f t="shared" si="9"/>
        <v>2.4303948269347062</v>
      </c>
      <c r="B45">
        <f t="shared" si="10"/>
        <v>66.121356745429338</v>
      </c>
      <c r="C45">
        <f t="shared" si="11"/>
        <v>122.3562971769682</v>
      </c>
    </row>
    <row r="46" spans="1:3">
      <c r="A46">
        <f t="shared" si="9"/>
        <v>1.889994714549843</v>
      </c>
      <c r="B46">
        <f t="shared" si="10"/>
        <v>22.644789643674063</v>
      </c>
      <c r="C46">
        <f t="shared" si="11"/>
        <v>48.665801037672338</v>
      </c>
    </row>
    <row r="47" spans="1:3">
      <c r="A47">
        <f t="shared" si="9"/>
        <v>1.4246825413022546</v>
      </c>
      <c r="B47">
        <f t="shared" si="10"/>
        <v>7.4366099484138637</v>
      </c>
      <c r="C47">
        <f t="shared" si="11"/>
        <v>20.280104486786239</v>
      </c>
    </row>
    <row r="48" spans="1:3">
      <c r="A48">
        <f t="shared" si="9"/>
        <v>1.057987687572123</v>
      </c>
      <c r="B48">
        <f t="shared" si="10"/>
        <v>2.2243296861813229</v>
      </c>
      <c r="C48">
        <f t="shared" si="11"/>
        <v>9.3195418026484553</v>
      </c>
    </row>
    <row r="49" spans="1:3">
      <c r="A49">
        <f>A48-B48/C48</f>
        <v>0.81931397020661834</v>
      </c>
      <c r="B49">
        <f>A49^2*EXP(A49)-1</f>
        <v>0.52308540480368815</v>
      </c>
      <c r="C49">
        <f>A49*(A49+2)*EXP(A49)</f>
        <v>5.2410383756765997</v>
      </c>
    </row>
    <row r="50" spans="1:3">
      <c r="A50">
        <f t="shared" ref="A50:A54" si="12">A49-B49/C49</f>
        <v>0.71950828909745079</v>
      </c>
      <c r="B50">
        <f t="shared" si="10"/>
        <v>6.3041166074876198E-2</v>
      </c>
      <c r="C50">
        <f t="shared" ref="C50:C54" si="13">A50*(A50+2)*EXP(A50)</f>
        <v>4.017951296181514</v>
      </c>
    </row>
    <row r="51" spans="1:3">
      <c r="A51">
        <f t="shared" si="12"/>
        <v>0.70381841099096709</v>
      </c>
      <c r="B51">
        <f t="shared" si="10"/>
        <v>1.3495307304249859E-3</v>
      </c>
      <c r="C51">
        <f t="shared" si="13"/>
        <v>3.8468264750477466</v>
      </c>
    </row>
    <row r="52" spans="1:3">
      <c r="A52">
        <f t="shared" si="12"/>
        <v>0.70346759435310247</v>
      </c>
      <c r="B52">
        <f t="shared" si="10"/>
        <v>6.6044810154153311E-7</v>
      </c>
      <c r="C52">
        <f t="shared" si="13"/>
        <v>3.8430617153576341</v>
      </c>
    </row>
    <row r="53" spans="1:3">
      <c r="A53">
        <f t="shared" si="12"/>
        <v>0.70346742249843286</v>
      </c>
      <c r="B53">
        <f t="shared" si="10"/>
        <v>1.5853984791647235E-13</v>
      </c>
      <c r="C53">
        <f t="shared" si="13"/>
        <v>3.8430598717666755</v>
      </c>
    </row>
    <row r="54" spans="1:3">
      <c r="A54">
        <f t="shared" si="12"/>
        <v>0.70346742249839156</v>
      </c>
      <c r="B54">
        <f t="shared" si="10"/>
        <v>0</v>
      </c>
      <c r="C54">
        <f t="shared" si="13"/>
        <v>3.8430598717662328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EX1.1</vt:lpstr>
      <vt:lpstr>EX1.2</vt:lpstr>
      <vt:lpstr>EX1.3</vt:lpstr>
      <vt:lpstr>EX1.6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Zhen Luo</cp:lastModifiedBy>
  <dcterms:created xsi:type="dcterms:W3CDTF">2019-08-30T20:12:39Z</dcterms:created>
  <dcterms:modified xsi:type="dcterms:W3CDTF">2020-05-13T01:53:14Z</dcterms:modified>
</cp:coreProperties>
</file>