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ata\Desktop\"/>
    </mc:Choice>
  </mc:AlternateContent>
  <xr:revisionPtr revIDLastSave="0" documentId="13_ncr:1_{268B1BB9-AB4A-4F21-825E-11C419E56FFB}" xr6:coauthVersionLast="45" xr6:coauthVersionMax="45" xr10:uidLastSave="{00000000-0000-0000-0000-000000000000}"/>
  <bookViews>
    <workbookView xWindow="-120" yWindow="-120" windowWidth="20730" windowHeight="11160" xr2:uid="{0FFF7A23-5232-42EC-A150-E40D44249BD0}"/>
  </bookViews>
  <sheets>
    <sheet name="1) h=0.1" sheetId="3" r:id="rId1"/>
    <sheet name="1) h=0.01" sheetId="1" r:id="rId2"/>
    <sheet name="1) h=0.001" sheetId="2" r:id="rId3"/>
    <sheet name="1) gauss" sheetId="4" r:id="rId4"/>
    <sheet name="2) euler" sheetId="5" r:id="rId5"/>
    <sheet name="2) second order RK" sheetId="6" r:id="rId6"/>
    <sheet name="2) fourth order RK" sheetId="7" r:id="rId7"/>
    <sheet name="Sheet8" sheetId="8" r:id="rId8"/>
  </sheets>
  <definedNames>
    <definedName name="k_1">'2) euler'!$B$2</definedName>
    <definedName name="k_2">'2) euler'!$B$3</definedName>
    <definedName name="k_3">'2) euler'!$B$4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4" l="1"/>
  <c r="B4" i="4"/>
  <c r="C10" i="7" l="1"/>
  <c r="D10" i="7"/>
  <c r="D9" i="7"/>
  <c r="C9" i="7"/>
  <c r="B9" i="7"/>
  <c r="M9" i="7"/>
  <c r="N9" i="7" s="1"/>
  <c r="O9" i="7" s="1"/>
  <c r="P9" i="7" s="1"/>
  <c r="M10" i="7"/>
  <c r="P8" i="7"/>
  <c r="M8" i="7"/>
  <c r="O8" i="7"/>
  <c r="N8" i="7"/>
  <c r="E9" i="7"/>
  <c r="I9" i="7"/>
  <c r="J9" i="7" s="1"/>
  <c r="K9" i="7" s="1"/>
  <c r="L9" i="7" s="1"/>
  <c r="L8" i="7"/>
  <c r="I8" i="7"/>
  <c r="H8" i="7"/>
  <c r="G8" i="7"/>
  <c r="F8" i="7"/>
  <c r="J8" i="7"/>
  <c r="K8" i="7" s="1"/>
  <c r="E8" i="7"/>
  <c r="D26" i="6"/>
  <c r="B8" i="6"/>
  <c r="C8" i="6"/>
  <c r="D8" i="6"/>
  <c r="E7" i="6"/>
  <c r="F7" i="6"/>
  <c r="G7" i="6"/>
  <c r="H7" i="6"/>
  <c r="I7" i="6"/>
  <c r="J7" i="6"/>
  <c r="E8" i="6"/>
  <c r="G8" i="6"/>
  <c r="I8" i="6"/>
  <c r="D7" i="6"/>
  <c r="C7" i="6"/>
  <c r="B7" i="6"/>
  <c r="J6" i="6"/>
  <c r="I6" i="6"/>
  <c r="H6" i="6"/>
  <c r="G6" i="6"/>
  <c r="F6" i="6"/>
  <c r="E6" i="6"/>
  <c r="B13" i="5"/>
  <c r="C13" i="5"/>
  <c r="C14" i="5" s="1"/>
  <c r="C15" i="5" s="1"/>
  <c r="D13" i="5"/>
  <c r="B14" i="5"/>
  <c r="B15" i="5" s="1"/>
  <c r="B16" i="5" s="1"/>
  <c r="D14" i="5"/>
  <c r="D12" i="5"/>
  <c r="C12" i="5"/>
  <c r="B12" i="5"/>
  <c r="D4" i="4"/>
  <c r="C4" i="3"/>
  <c r="B4" i="3"/>
  <c r="D15" i="4"/>
  <c r="D12" i="4"/>
  <c r="D13" i="4"/>
  <c r="D14" i="4"/>
  <c r="D11" i="4"/>
  <c r="B12" i="4"/>
  <c r="B13" i="4"/>
  <c r="B14" i="4"/>
  <c r="B11" i="4"/>
  <c r="I7" i="4"/>
  <c r="I5" i="4"/>
  <c r="I6" i="4"/>
  <c r="I4" i="4"/>
  <c r="G5" i="4"/>
  <c r="G6" i="4"/>
  <c r="G4" i="4"/>
  <c r="D5" i="4"/>
  <c r="C7" i="2"/>
  <c r="C8" i="2"/>
  <c r="C9" i="2" s="1"/>
  <c r="C10" i="2" s="1"/>
  <c r="C11" i="2" s="1"/>
  <c r="C12" i="2"/>
  <c r="C13" i="2" s="1"/>
  <c r="C14" i="2" s="1"/>
  <c r="C15" i="2" s="1"/>
  <c r="C16" i="2" s="1"/>
  <c r="C17" i="2" s="1"/>
  <c r="C18" i="2" s="1"/>
  <c r="C19" i="2" s="1"/>
  <c r="C20" i="2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C304" i="2" s="1"/>
  <c r="C305" i="2" s="1"/>
  <c r="C306" i="2" s="1"/>
  <c r="C307" i="2" s="1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C338" i="2" s="1"/>
  <c r="C339" i="2" s="1"/>
  <c r="C340" i="2" s="1"/>
  <c r="C341" i="2" s="1"/>
  <c r="C342" i="2" s="1"/>
  <c r="C343" i="2" s="1"/>
  <c r="C344" i="2" s="1"/>
  <c r="C345" i="2" s="1"/>
  <c r="C346" i="2" s="1"/>
  <c r="C347" i="2" s="1"/>
  <c r="C348" i="2" s="1"/>
  <c r="C349" i="2" s="1"/>
  <c r="C350" i="2" s="1"/>
  <c r="C351" i="2" s="1"/>
  <c r="C352" i="2" s="1"/>
  <c r="C353" i="2" s="1"/>
  <c r="C354" i="2" s="1"/>
  <c r="C355" i="2" s="1"/>
  <c r="C356" i="2" s="1"/>
  <c r="C357" i="2" s="1"/>
  <c r="C358" i="2" s="1"/>
  <c r="C359" i="2" s="1"/>
  <c r="C360" i="2" s="1"/>
  <c r="C361" i="2" s="1"/>
  <c r="C362" i="2" s="1"/>
  <c r="C363" i="2" s="1"/>
  <c r="C364" i="2" s="1"/>
  <c r="C365" i="2" s="1"/>
  <c r="C366" i="2" s="1"/>
  <c r="C367" i="2" s="1"/>
  <c r="C368" i="2" s="1"/>
  <c r="C369" i="2" s="1"/>
  <c r="C370" i="2" s="1"/>
  <c r="C371" i="2" s="1"/>
  <c r="C372" i="2" s="1"/>
  <c r="C373" i="2" s="1"/>
  <c r="C374" i="2" s="1"/>
  <c r="C375" i="2" s="1"/>
  <c r="C376" i="2" s="1"/>
  <c r="C377" i="2" s="1"/>
  <c r="C378" i="2" s="1"/>
  <c r="C379" i="2" s="1"/>
  <c r="C380" i="2" s="1"/>
  <c r="C381" i="2" s="1"/>
  <c r="C382" i="2" s="1"/>
  <c r="C383" i="2" s="1"/>
  <c r="C384" i="2" s="1"/>
  <c r="C385" i="2" s="1"/>
  <c r="C386" i="2" s="1"/>
  <c r="C387" i="2" s="1"/>
  <c r="C388" i="2" s="1"/>
  <c r="C389" i="2" s="1"/>
  <c r="C390" i="2" s="1"/>
  <c r="C391" i="2" s="1"/>
  <c r="C392" i="2" s="1"/>
  <c r="C393" i="2" s="1"/>
  <c r="C394" i="2" s="1"/>
  <c r="C395" i="2" s="1"/>
  <c r="C396" i="2" s="1"/>
  <c r="C397" i="2" s="1"/>
  <c r="C398" i="2" s="1"/>
  <c r="C399" i="2" s="1"/>
  <c r="C400" i="2" s="1"/>
  <c r="C401" i="2" s="1"/>
  <c r="C402" i="2" s="1"/>
  <c r="C403" i="2" s="1"/>
  <c r="C404" i="2" s="1"/>
  <c r="C405" i="2" s="1"/>
  <c r="C406" i="2" s="1"/>
  <c r="C407" i="2" s="1"/>
  <c r="C408" i="2" s="1"/>
  <c r="C409" i="2" s="1"/>
  <c r="C410" i="2" s="1"/>
  <c r="C411" i="2" s="1"/>
  <c r="C412" i="2" s="1"/>
  <c r="C413" i="2" s="1"/>
  <c r="C414" i="2" s="1"/>
  <c r="C415" i="2" s="1"/>
  <c r="C416" i="2" s="1"/>
  <c r="C417" i="2" s="1"/>
  <c r="C418" i="2" s="1"/>
  <c r="C419" i="2" s="1"/>
  <c r="C420" i="2" s="1"/>
  <c r="C421" i="2" s="1"/>
  <c r="C422" i="2" s="1"/>
  <c r="C423" i="2" s="1"/>
  <c r="C424" i="2" s="1"/>
  <c r="C425" i="2" s="1"/>
  <c r="C426" i="2" s="1"/>
  <c r="C427" i="2" s="1"/>
  <c r="C428" i="2" s="1"/>
  <c r="C429" i="2" s="1"/>
  <c r="C430" i="2" s="1"/>
  <c r="C431" i="2" s="1"/>
  <c r="C432" i="2" s="1"/>
  <c r="C433" i="2" s="1"/>
  <c r="C434" i="2"/>
  <c r="C435" i="2" s="1"/>
  <c r="C436" i="2" s="1"/>
  <c r="C437" i="2" s="1"/>
  <c r="C438" i="2" s="1"/>
  <c r="C439" i="2" s="1"/>
  <c r="C440" i="2" s="1"/>
  <c r="C441" i="2" s="1"/>
  <c r="C442" i="2" s="1"/>
  <c r="C443" i="2" s="1"/>
  <c r="C444" i="2" s="1"/>
  <c r="C445" i="2" s="1"/>
  <c r="C446" i="2" s="1"/>
  <c r="C447" i="2" s="1"/>
  <c r="C448" i="2" s="1"/>
  <c r="C449" i="2" s="1"/>
  <c r="C450" i="2" s="1"/>
  <c r="C451" i="2" s="1"/>
  <c r="C452" i="2" s="1"/>
  <c r="C453" i="2" s="1"/>
  <c r="C454" i="2" s="1"/>
  <c r="C455" i="2" s="1"/>
  <c r="C456" i="2" s="1"/>
  <c r="C457" i="2" s="1"/>
  <c r="C458" i="2" s="1"/>
  <c r="C459" i="2" s="1"/>
  <c r="C460" i="2" s="1"/>
  <c r="C461" i="2" s="1"/>
  <c r="C462" i="2" s="1"/>
  <c r="C463" i="2" s="1"/>
  <c r="C464" i="2" s="1"/>
  <c r="C465" i="2" s="1"/>
  <c r="C466" i="2" s="1"/>
  <c r="C467" i="2" s="1"/>
  <c r="C468" i="2" s="1"/>
  <c r="C469" i="2" s="1"/>
  <c r="C470" i="2" s="1"/>
  <c r="C471" i="2" s="1"/>
  <c r="C472" i="2" s="1"/>
  <c r="C473" i="2" s="1"/>
  <c r="C474" i="2" s="1"/>
  <c r="C475" i="2" s="1"/>
  <c r="C476" i="2" s="1"/>
  <c r="C477" i="2" s="1"/>
  <c r="C478" i="2" s="1"/>
  <c r="C479" i="2" s="1"/>
  <c r="C480" i="2" s="1"/>
  <c r="C481" i="2" s="1"/>
  <c r="C482" i="2" s="1"/>
  <c r="C483" i="2" s="1"/>
  <c r="C484" i="2" s="1"/>
  <c r="C485" i="2" s="1"/>
  <c r="C486" i="2" s="1"/>
  <c r="C487" i="2" s="1"/>
  <c r="C488" i="2" s="1"/>
  <c r="C489" i="2" s="1"/>
  <c r="C490" i="2" s="1"/>
  <c r="C491" i="2" s="1"/>
  <c r="C492" i="2" s="1"/>
  <c r="C493" i="2" s="1"/>
  <c r="C494" i="2" s="1"/>
  <c r="C495" i="2" s="1"/>
  <c r="C496" i="2" s="1"/>
  <c r="C497" i="2" s="1"/>
  <c r="C498" i="2" s="1"/>
  <c r="C499" i="2" s="1"/>
  <c r="C500" i="2" s="1"/>
  <c r="C501" i="2" s="1"/>
  <c r="C502" i="2" s="1"/>
  <c r="C503" i="2" s="1"/>
  <c r="C504" i="2" s="1"/>
  <c r="C505" i="2" s="1"/>
  <c r="C506" i="2" s="1"/>
  <c r="C507" i="2" s="1"/>
  <c r="C508" i="2" s="1"/>
  <c r="C509" i="2" s="1"/>
  <c r="C510" i="2" s="1"/>
  <c r="C511" i="2" s="1"/>
  <c r="C512" i="2" s="1"/>
  <c r="C513" i="2" s="1"/>
  <c r="C514" i="2" s="1"/>
  <c r="C515" i="2" s="1"/>
  <c r="C516" i="2" s="1"/>
  <c r="C517" i="2" s="1"/>
  <c r="C518" i="2" s="1"/>
  <c r="C519" i="2" s="1"/>
  <c r="C520" i="2" s="1"/>
  <c r="C521" i="2" s="1"/>
  <c r="C522" i="2" s="1"/>
  <c r="C523" i="2" s="1"/>
  <c r="C524" i="2" s="1"/>
  <c r="C525" i="2" s="1"/>
  <c r="C526" i="2" s="1"/>
  <c r="C527" i="2" s="1"/>
  <c r="C528" i="2" s="1"/>
  <c r="C529" i="2" s="1"/>
  <c r="C530" i="2" s="1"/>
  <c r="C531" i="2" s="1"/>
  <c r="C532" i="2" s="1"/>
  <c r="C533" i="2" s="1"/>
  <c r="C534" i="2" s="1"/>
  <c r="C535" i="2" s="1"/>
  <c r="C536" i="2" s="1"/>
  <c r="C537" i="2" s="1"/>
  <c r="C538" i="2" s="1"/>
  <c r="C539" i="2" s="1"/>
  <c r="C540" i="2" s="1"/>
  <c r="C541" i="2" s="1"/>
  <c r="C542" i="2" s="1"/>
  <c r="C543" i="2" s="1"/>
  <c r="C544" i="2" s="1"/>
  <c r="C545" i="2" s="1"/>
  <c r="C546" i="2" s="1"/>
  <c r="C547" i="2" s="1"/>
  <c r="C548" i="2" s="1"/>
  <c r="C549" i="2" s="1"/>
  <c r="C550" i="2" s="1"/>
  <c r="C551" i="2" s="1"/>
  <c r="C552" i="2" s="1"/>
  <c r="C553" i="2" s="1"/>
  <c r="C554" i="2" s="1"/>
  <c r="C555" i="2" s="1"/>
  <c r="C556" i="2" s="1"/>
  <c r="C557" i="2" s="1"/>
  <c r="C558" i="2" s="1"/>
  <c r="C559" i="2" s="1"/>
  <c r="C560" i="2" s="1"/>
  <c r="C561" i="2" s="1"/>
  <c r="C562" i="2" s="1"/>
  <c r="C563" i="2" s="1"/>
  <c r="C564" i="2" s="1"/>
  <c r="C565" i="2" s="1"/>
  <c r="C566" i="2" s="1"/>
  <c r="C567" i="2" s="1"/>
  <c r="C568" i="2" s="1"/>
  <c r="C569" i="2" s="1"/>
  <c r="C570" i="2" s="1"/>
  <c r="C571" i="2" s="1"/>
  <c r="C572" i="2" s="1"/>
  <c r="C573" i="2" s="1"/>
  <c r="C574" i="2" s="1"/>
  <c r="C575" i="2" s="1"/>
  <c r="C576" i="2" s="1"/>
  <c r="C577" i="2" s="1"/>
  <c r="C578" i="2" s="1"/>
  <c r="C579" i="2" s="1"/>
  <c r="C580" i="2" s="1"/>
  <c r="C581" i="2" s="1"/>
  <c r="C582" i="2" s="1"/>
  <c r="C583" i="2" s="1"/>
  <c r="C584" i="2" s="1"/>
  <c r="C585" i="2" s="1"/>
  <c r="C586" i="2" s="1"/>
  <c r="C587" i="2" s="1"/>
  <c r="C588" i="2" s="1"/>
  <c r="C589" i="2" s="1"/>
  <c r="C590" i="2" s="1"/>
  <c r="C591" i="2" s="1"/>
  <c r="C592" i="2" s="1"/>
  <c r="C593" i="2" s="1"/>
  <c r="C594" i="2" s="1"/>
  <c r="C595" i="2" s="1"/>
  <c r="C596" i="2" s="1"/>
  <c r="C597" i="2" s="1"/>
  <c r="C598" i="2" s="1"/>
  <c r="C599" i="2" s="1"/>
  <c r="C600" i="2" s="1"/>
  <c r="C601" i="2" s="1"/>
  <c r="C602" i="2" s="1"/>
  <c r="C603" i="2" s="1"/>
  <c r="C604" i="2" s="1"/>
  <c r="C605" i="2" s="1"/>
  <c r="C606" i="2" s="1"/>
  <c r="C607" i="2" s="1"/>
  <c r="C608" i="2" s="1"/>
  <c r="C609" i="2" s="1"/>
  <c r="C610" i="2" s="1"/>
  <c r="C611" i="2" s="1"/>
  <c r="C612" i="2" s="1"/>
  <c r="C613" i="2" s="1"/>
  <c r="C614" i="2" s="1"/>
  <c r="C615" i="2" s="1"/>
  <c r="C616" i="2" s="1"/>
  <c r="C617" i="2" s="1"/>
  <c r="C618" i="2" s="1"/>
  <c r="C619" i="2" s="1"/>
  <c r="C620" i="2" s="1"/>
  <c r="C621" i="2" s="1"/>
  <c r="C622" i="2" s="1"/>
  <c r="C623" i="2" s="1"/>
  <c r="C624" i="2" s="1"/>
  <c r="C625" i="2" s="1"/>
  <c r="C626" i="2" s="1"/>
  <c r="C627" i="2" s="1"/>
  <c r="C628" i="2" s="1"/>
  <c r="C629" i="2" s="1"/>
  <c r="C630" i="2" s="1"/>
  <c r="C631" i="2" s="1"/>
  <c r="C632" i="2" s="1"/>
  <c r="C633" i="2" s="1"/>
  <c r="C634" i="2" s="1"/>
  <c r="C635" i="2" s="1"/>
  <c r="C636" i="2" s="1"/>
  <c r="C637" i="2" s="1"/>
  <c r="C638" i="2" s="1"/>
  <c r="C639" i="2" s="1"/>
  <c r="C640" i="2" s="1"/>
  <c r="C641" i="2" s="1"/>
  <c r="C642" i="2" s="1"/>
  <c r="C643" i="2" s="1"/>
  <c r="C644" i="2" s="1"/>
  <c r="C645" i="2" s="1"/>
  <c r="C646" i="2" s="1"/>
  <c r="C647" i="2" s="1"/>
  <c r="C648" i="2" s="1"/>
  <c r="C649" i="2" s="1"/>
  <c r="C650" i="2" s="1"/>
  <c r="C651" i="2" s="1"/>
  <c r="C652" i="2" s="1"/>
  <c r="C653" i="2" s="1"/>
  <c r="C654" i="2" s="1"/>
  <c r="C655" i="2" s="1"/>
  <c r="C656" i="2" s="1"/>
  <c r="C657" i="2" s="1"/>
  <c r="C658" i="2" s="1"/>
  <c r="C659" i="2" s="1"/>
  <c r="C660" i="2" s="1"/>
  <c r="C661" i="2" s="1"/>
  <c r="C662" i="2" s="1"/>
  <c r="C663" i="2" s="1"/>
  <c r="C664" i="2" s="1"/>
  <c r="C665" i="2" s="1"/>
  <c r="C666" i="2" s="1"/>
  <c r="C667" i="2" s="1"/>
  <c r="C668" i="2" s="1"/>
  <c r="C669" i="2" s="1"/>
  <c r="C670" i="2" s="1"/>
  <c r="C671" i="2" s="1"/>
  <c r="C672" i="2" s="1"/>
  <c r="C673" i="2" s="1"/>
  <c r="C674" i="2" s="1"/>
  <c r="C675" i="2" s="1"/>
  <c r="C676" i="2" s="1"/>
  <c r="C677" i="2" s="1"/>
  <c r="C678" i="2" s="1"/>
  <c r="C679" i="2" s="1"/>
  <c r="C680" i="2" s="1"/>
  <c r="C681" i="2" s="1"/>
  <c r="C682" i="2" s="1"/>
  <c r="C683" i="2" s="1"/>
  <c r="C684" i="2" s="1"/>
  <c r="C685" i="2" s="1"/>
  <c r="C686" i="2" s="1"/>
  <c r="C687" i="2" s="1"/>
  <c r="C688" i="2" s="1"/>
  <c r="C689" i="2" s="1"/>
  <c r="C690" i="2" s="1"/>
  <c r="C691" i="2" s="1"/>
  <c r="C692" i="2" s="1"/>
  <c r="C693" i="2" s="1"/>
  <c r="C694" i="2" s="1"/>
  <c r="C695" i="2" s="1"/>
  <c r="C696" i="2" s="1"/>
  <c r="C697" i="2" s="1"/>
  <c r="C698" i="2" s="1"/>
  <c r="C699" i="2" s="1"/>
  <c r="C700" i="2" s="1"/>
  <c r="C701" i="2" s="1"/>
  <c r="C702" i="2" s="1"/>
  <c r="C703" i="2" s="1"/>
  <c r="C704" i="2" s="1"/>
  <c r="C705" i="2" s="1"/>
  <c r="C706" i="2" s="1"/>
  <c r="C707" i="2" s="1"/>
  <c r="C708" i="2" s="1"/>
  <c r="C709" i="2" s="1"/>
  <c r="C710" i="2" s="1"/>
  <c r="C711" i="2" s="1"/>
  <c r="C712" i="2" s="1"/>
  <c r="C713" i="2" s="1"/>
  <c r="C714" i="2" s="1"/>
  <c r="C715" i="2" s="1"/>
  <c r="C716" i="2" s="1"/>
  <c r="C717" i="2" s="1"/>
  <c r="C718" i="2" s="1"/>
  <c r="C719" i="2" s="1"/>
  <c r="C720" i="2" s="1"/>
  <c r="C721" i="2" s="1"/>
  <c r="C722" i="2" s="1"/>
  <c r="C723" i="2" s="1"/>
  <c r="C724" i="2" s="1"/>
  <c r="C725" i="2" s="1"/>
  <c r="C726" i="2" s="1"/>
  <c r="C727" i="2" s="1"/>
  <c r="C728" i="2" s="1"/>
  <c r="C729" i="2" s="1"/>
  <c r="C730" i="2" s="1"/>
  <c r="C731" i="2" s="1"/>
  <c r="C732" i="2" s="1"/>
  <c r="C733" i="2" s="1"/>
  <c r="C734" i="2" s="1"/>
  <c r="C735" i="2" s="1"/>
  <c r="C736" i="2" s="1"/>
  <c r="C737" i="2" s="1"/>
  <c r="C738" i="2" s="1"/>
  <c r="C739" i="2" s="1"/>
  <c r="C740" i="2" s="1"/>
  <c r="C741" i="2" s="1"/>
  <c r="C742" i="2" s="1"/>
  <c r="C743" i="2" s="1"/>
  <c r="C744" i="2" s="1"/>
  <c r="C745" i="2" s="1"/>
  <c r="C746" i="2" s="1"/>
  <c r="C747" i="2" s="1"/>
  <c r="C748" i="2" s="1"/>
  <c r="C749" i="2" s="1"/>
  <c r="C750" i="2" s="1"/>
  <c r="C751" i="2" s="1"/>
  <c r="C752" i="2" s="1"/>
  <c r="C753" i="2" s="1"/>
  <c r="C754" i="2" s="1"/>
  <c r="C755" i="2" s="1"/>
  <c r="C756" i="2" s="1"/>
  <c r="C757" i="2" s="1"/>
  <c r="C758" i="2" s="1"/>
  <c r="C759" i="2" s="1"/>
  <c r="C760" i="2" s="1"/>
  <c r="C761" i="2" s="1"/>
  <c r="C762" i="2" s="1"/>
  <c r="C763" i="2" s="1"/>
  <c r="C764" i="2" s="1"/>
  <c r="C765" i="2" s="1"/>
  <c r="C766" i="2" s="1"/>
  <c r="C767" i="2" s="1"/>
  <c r="C768" i="2" s="1"/>
  <c r="C769" i="2" s="1"/>
  <c r="C770" i="2" s="1"/>
  <c r="C771" i="2" s="1"/>
  <c r="C772" i="2" s="1"/>
  <c r="C773" i="2" s="1"/>
  <c r="C774" i="2" s="1"/>
  <c r="C775" i="2" s="1"/>
  <c r="C776" i="2" s="1"/>
  <c r="C777" i="2" s="1"/>
  <c r="C778" i="2" s="1"/>
  <c r="C779" i="2" s="1"/>
  <c r="C780" i="2" s="1"/>
  <c r="C781" i="2" s="1"/>
  <c r="C782" i="2" s="1"/>
  <c r="C783" i="2" s="1"/>
  <c r="C784" i="2" s="1"/>
  <c r="C785" i="2" s="1"/>
  <c r="C786" i="2" s="1"/>
  <c r="C787" i="2" s="1"/>
  <c r="C788" i="2" s="1"/>
  <c r="C789" i="2" s="1"/>
  <c r="C790" i="2" s="1"/>
  <c r="C791" i="2" s="1"/>
  <c r="C792" i="2" s="1"/>
  <c r="C793" i="2" s="1"/>
  <c r="C794" i="2" s="1"/>
  <c r="C795" i="2" s="1"/>
  <c r="C796" i="2" s="1"/>
  <c r="C797" i="2" s="1"/>
  <c r="C798" i="2" s="1"/>
  <c r="C799" i="2" s="1"/>
  <c r="C800" i="2" s="1"/>
  <c r="C801" i="2" s="1"/>
  <c r="C802" i="2" s="1"/>
  <c r="C803" i="2" s="1"/>
  <c r="C804" i="2" s="1"/>
  <c r="C805" i="2" s="1"/>
  <c r="C806" i="2" s="1"/>
  <c r="C807" i="2" s="1"/>
  <c r="C808" i="2" s="1"/>
  <c r="C809" i="2" s="1"/>
  <c r="C810" i="2" s="1"/>
  <c r="C811" i="2" s="1"/>
  <c r="C812" i="2" s="1"/>
  <c r="C813" i="2" s="1"/>
  <c r="C814" i="2" s="1"/>
  <c r="C815" i="2" s="1"/>
  <c r="C816" i="2" s="1"/>
  <c r="C817" i="2" s="1"/>
  <c r="C818" i="2" s="1"/>
  <c r="C819" i="2" s="1"/>
  <c r="C820" i="2" s="1"/>
  <c r="C821" i="2" s="1"/>
  <c r="C822" i="2" s="1"/>
  <c r="C823" i="2" s="1"/>
  <c r="C824" i="2" s="1"/>
  <c r="C825" i="2" s="1"/>
  <c r="C826" i="2" s="1"/>
  <c r="C827" i="2" s="1"/>
  <c r="C828" i="2" s="1"/>
  <c r="C829" i="2" s="1"/>
  <c r="C830" i="2" s="1"/>
  <c r="C831" i="2" s="1"/>
  <c r="C832" i="2" s="1"/>
  <c r="C833" i="2" s="1"/>
  <c r="C834" i="2" s="1"/>
  <c r="C835" i="2" s="1"/>
  <c r="C836" i="2" s="1"/>
  <c r="C837" i="2" s="1"/>
  <c r="C838" i="2" s="1"/>
  <c r="C839" i="2" s="1"/>
  <c r="C840" i="2" s="1"/>
  <c r="C841" i="2" s="1"/>
  <c r="C842" i="2" s="1"/>
  <c r="C843" i="2" s="1"/>
  <c r="C844" i="2" s="1"/>
  <c r="C845" i="2" s="1"/>
  <c r="C846" i="2" s="1"/>
  <c r="C847" i="2" s="1"/>
  <c r="C848" i="2" s="1"/>
  <c r="C849" i="2" s="1"/>
  <c r="C850" i="2" s="1"/>
  <c r="C851" i="2" s="1"/>
  <c r="C852" i="2" s="1"/>
  <c r="C853" i="2" s="1"/>
  <c r="C854" i="2" s="1"/>
  <c r="C855" i="2" s="1"/>
  <c r="C856" i="2" s="1"/>
  <c r="C857" i="2" s="1"/>
  <c r="C858" i="2" s="1"/>
  <c r="C859" i="2" s="1"/>
  <c r="C860" i="2" s="1"/>
  <c r="C861" i="2" s="1"/>
  <c r="C862" i="2" s="1"/>
  <c r="C863" i="2" s="1"/>
  <c r="C864" i="2" s="1"/>
  <c r="C865" i="2" s="1"/>
  <c r="C866" i="2" s="1"/>
  <c r="C867" i="2" s="1"/>
  <c r="C868" i="2" s="1"/>
  <c r="C869" i="2" s="1"/>
  <c r="C870" i="2" s="1"/>
  <c r="C871" i="2" s="1"/>
  <c r="C872" i="2" s="1"/>
  <c r="C873" i="2" s="1"/>
  <c r="C874" i="2" s="1"/>
  <c r="C875" i="2" s="1"/>
  <c r="C876" i="2" s="1"/>
  <c r="C877" i="2" s="1"/>
  <c r="C878" i="2" s="1"/>
  <c r="C879" i="2" s="1"/>
  <c r="C880" i="2" s="1"/>
  <c r="C881" i="2" s="1"/>
  <c r="C882" i="2" s="1"/>
  <c r="C883" i="2" s="1"/>
  <c r="C884" i="2" s="1"/>
  <c r="C885" i="2" s="1"/>
  <c r="C886" i="2" s="1"/>
  <c r="C887" i="2" s="1"/>
  <c r="C888" i="2" s="1"/>
  <c r="C889" i="2" s="1"/>
  <c r="C890" i="2" s="1"/>
  <c r="C891" i="2" s="1"/>
  <c r="C892" i="2" s="1"/>
  <c r="C893" i="2" s="1"/>
  <c r="C894" i="2" s="1"/>
  <c r="C895" i="2" s="1"/>
  <c r="C896" i="2" s="1"/>
  <c r="C897" i="2" s="1"/>
  <c r="C898" i="2" s="1"/>
  <c r="C899" i="2" s="1"/>
  <c r="C900" i="2" s="1"/>
  <c r="C901" i="2" s="1"/>
  <c r="C902" i="2" s="1"/>
  <c r="C903" i="2" s="1"/>
  <c r="C904" i="2" s="1"/>
  <c r="C905" i="2" s="1"/>
  <c r="C906" i="2" s="1"/>
  <c r="C907" i="2" s="1"/>
  <c r="C908" i="2" s="1"/>
  <c r="C909" i="2" s="1"/>
  <c r="C910" i="2" s="1"/>
  <c r="C911" i="2" s="1"/>
  <c r="C912" i="2" s="1"/>
  <c r="C913" i="2" s="1"/>
  <c r="C914" i="2" s="1"/>
  <c r="C915" i="2" s="1"/>
  <c r="C916" i="2" s="1"/>
  <c r="C917" i="2" s="1"/>
  <c r="C918" i="2" s="1"/>
  <c r="C919" i="2" s="1"/>
  <c r="C920" i="2" s="1"/>
  <c r="C921" i="2" s="1"/>
  <c r="C922" i="2" s="1"/>
  <c r="C923" i="2" s="1"/>
  <c r="C924" i="2" s="1"/>
  <c r="C925" i="2" s="1"/>
  <c r="C926" i="2" s="1"/>
  <c r="C927" i="2" s="1"/>
  <c r="C928" i="2" s="1"/>
  <c r="C929" i="2" s="1"/>
  <c r="C930" i="2" s="1"/>
  <c r="C931" i="2" s="1"/>
  <c r="C932" i="2" s="1"/>
  <c r="C933" i="2" s="1"/>
  <c r="C934" i="2" s="1"/>
  <c r="C935" i="2" s="1"/>
  <c r="C936" i="2" s="1"/>
  <c r="C937" i="2" s="1"/>
  <c r="C938" i="2" s="1"/>
  <c r="C939" i="2" s="1"/>
  <c r="C940" i="2" s="1"/>
  <c r="C941" i="2" s="1"/>
  <c r="C942" i="2" s="1"/>
  <c r="C943" i="2" s="1"/>
  <c r="C944" i="2" s="1"/>
  <c r="C945" i="2" s="1"/>
  <c r="C946" i="2" s="1"/>
  <c r="C947" i="2" s="1"/>
  <c r="C948" i="2" s="1"/>
  <c r="C949" i="2" s="1"/>
  <c r="C950" i="2" s="1"/>
  <c r="C951" i="2" s="1"/>
  <c r="C952" i="2" s="1"/>
  <c r="C953" i="2" s="1"/>
  <c r="C954" i="2" s="1"/>
  <c r="C955" i="2" s="1"/>
  <c r="C956" i="2" s="1"/>
  <c r="C957" i="2" s="1"/>
  <c r="C958" i="2" s="1"/>
  <c r="C959" i="2" s="1"/>
  <c r="C960" i="2" s="1"/>
  <c r="C961" i="2" s="1"/>
  <c r="C962" i="2" s="1"/>
  <c r="C963" i="2" s="1"/>
  <c r="C964" i="2" s="1"/>
  <c r="C965" i="2" s="1"/>
  <c r="C966" i="2" s="1"/>
  <c r="C967" i="2" s="1"/>
  <c r="C968" i="2" s="1"/>
  <c r="C969" i="2" s="1"/>
  <c r="C970" i="2" s="1"/>
  <c r="C971" i="2" s="1"/>
  <c r="C972" i="2" s="1"/>
  <c r="C973" i="2" s="1"/>
  <c r="C974" i="2" s="1"/>
  <c r="C975" i="2" s="1"/>
  <c r="C976" i="2" s="1"/>
  <c r="C977" i="2" s="1"/>
  <c r="C978" i="2" s="1"/>
  <c r="C979" i="2" s="1"/>
  <c r="C980" i="2" s="1"/>
  <c r="C981" i="2" s="1"/>
  <c r="C982" i="2" s="1"/>
  <c r="C983" i="2" s="1"/>
  <c r="C984" i="2" s="1"/>
  <c r="C985" i="2" s="1"/>
  <c r="C986" i="2" s="1"/>
  <c r="C987" i="2" s="1"/>
  <c r="C988" i="2" s="1"/>
  <c r="C989" i="2" s="1"/>
  <c r="C990" i="2" s="1"/>
  <c r="C991" i="2" s="1"/>
  <c r="C992" i="2" s="1"/>
  <c r="C993" i="2" s="1"/>
  <c r="C994" i="2" s="1"/>
  <c r="C995" i="2" s="1"/>
  <c r="C996" i="2" s="1"/>
  <c r="C997" i="2" s="1"/>
  <c r="C998" i="2" s="1"/>
  <c r="C999" i="2" s="1"/>
  <c r="C1000" i="2" s="1"/>
  <c r="C1001" i="2" s="1"/>
  <c r="C1002" i="2" s="1"/>
  <c r="C1003" i="2" s="1"/>
  <c r="C1004" i="2" s="1"/>
  <c r="C1005" i="2" s="1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6" i="2"/>
  <c r="C7" i="1"/>
  <c r="C8" i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6" i="1"/>
  <c r="B5" i="3"/>
  <c r="B6" i="3"/>
  <c r="B7" i="3"/>
  <c r="B8" i="3"/>
  <c r="B9" i="3"/>
  <c r="B10" i="3"/>
  <c r="B11" i="3"/>
  <c r="B12" i="3"/>
  <c r="B13" i="3"/>
  <c r="D6" i="4" l="1"/>
  <c r="N10" i="7"/>
  <c r="O10" i="7" s="1"/>
  <c r="P10" i="7" s="1"/>
  <c r="F9" i="7"/>
  <c r="G9" i="7" s="1"/>
  <c r="H9" i="7" s="1"/>
  <c r="F8" i="6"/>
  <c r="B9" i="6"/>
  <c r="J8" i="6"/>
  <c r="D9" i="6" s="1"/>
  <c r="H8" i="6"/>
  <c r="C9" i="6" s="1"/>
  <c r="B17" i="5"/>
  <c r="B18" i="5" s="1"/>
  <c r="C16" i="5"/>
  <c r="C17" i="5" s="1"/>
  <c r="D15" i="5"/>
  <c r="D16" i="5" s="1"/>
  <c r="D17" i="5" s="1"/>
  <c r="D18" i="5" s="1"/>
  <c r="C5" i="3"/>
  <c r="C6" i="3" s="1"/>
  <c r="C7" i="3" s="1"/>
  <c r="C8" i="3" s="1"/>
  <c r="C9" i="3" s="1"/>
  <c r="C10" i="3" s="1"/>
  <c r="C11" i="3" s="1"/>
  <c r="C12" i="3" s="1"/>
  <c r="C13" i="3" s="1"/>
  <c r="D11" i="7" l="1"/>
  <c r="B10" i="7"/>
  <c r="I9" i="6"/>
  <c r="E9" i="6"/>
  <c r="G9" i="6"/>
  <c r="B19" i="5"/>
  <c r="B20" i="5" s="1"/>
  <c r="C18" i="5"/>
  <c r="C19" i="5" s="1"/>
  <c r="I10" i="7" l="1"/>
  <c r="E10" i="7"/>
  <c r="F9" i="6"/>
  <c r="B10" i="6" s="1"/>
  <c r="J9" i="6"/>
  <c r="D10" i="6" s="1"/>
  <c r="H9" i="6"/>
  <c r="C10" i="6" s="1"/>
  <c r="B21" i="5"/>
  <c r="B22" i="5" s="1"/>
  <c r="C20" i="5"/>
  <c r="C21" i="5" s="1"/>
  <c r="D19" i="5"/>
  <c r="D20" i="5" s="1"/>
  <c r="D21" i="5" s="1"/>
  <c r="D22" i="5" s="1"/>
  <c r="J10" i="7" l="1"/>
  <c r="K10" i="7" s="1"/>
  <c r="L10" i="7" s="1"/>
  <c r="F10" i="7"/>
  <c r="G10" i="7" s="1"/>
  <c r="H10" i="7" s="1"/>
  <c r="J10" i="6"/>
  <c r="I10" i="6"/>
  <c r="D11" i="6" s="1"/>
  <c r="G10" i="6"/>
  <c r="E10" i="6"/>
  <c r="B23" i="5"/>
  <c r="B24" i="5" s="1"/>
  <c r="C22" i="5"/>
  <c r="C23" i="5" s="1"/>
  <c r="B11" i="7" l="1"/>
  <c r="C11" i="7"/>
  <c r="I11" i="7"/>
  <c r="J11" i="7" s="1"/>
  <c r="K11" i="7" s="1"/>
  <c r="L11" i="7" s="1"/>
  <c r="F10" i="6"/>
  <c r="B11" i="6" s="1"/>
  <c r="H10" i="6"/>
  <c r="C11" i="6" s="1"/>
  <c r="B25" i="5"/>
  <c r="B26" i="5" s="1"/>
  <c r="C24" i="5"/>
  <c r="C25" i="5" s="1"/>
  <c r="D23" i="5"/>
  <c r="D24" i="5" s="1"/>
  <c r="D25" i="5" s="1"/>
  <c r="D26" i="5" s="1"/>
  <c r="C12" i="7" l="1"/>
  <c r="M11" i="7"/>
  <c r="E11" i="7"/>
  <c r="I11" i="6"/>
  <c r="E11" i="6"/>
  <c r="F11" i="6" s="1"/>
  <c r="B12" i="6" s="1"/>
  <c r="G11" i="6"/>
  <c r="B27" i="5"/>
  <c r="B28" i="5" s="1"/>
  <c r="C26" i="5"/>
  <c r="C27" i="5" s="1"/>
  <c r="F11" i="7" l="1"/>
  <c r="G11" i="7" s="1"/>
  <c r="H11" i="7" s="1"/>
  <c r="N11" i="7"/>
  <c r="O11" i="7" s="1"/>
  <c r="P11" i="7" s="1"/>
  <c r="M12" i="7"/>
  <c r="N12" i="7" s="1"/>
  <c r="O12" i="7" s="1"/>
  <c r="P12" i="7" s="1"/>
  <c r="H11" i="6"/>
  <c r="C12" i="6" s="1"/>
  <c r="J11" i="6"/>
  <c r="D12" i="6" s="1"/>
  <c r="B29" i="5"/>
  <c r="B30" i="5" s="1"/>
  <c r="C28" i="5"/>
  <c r="C29" i="5" s="1"/>
  <c r="D27" i="5"/>
  <c r="D28" i="5" s="1"/>
  <c r="D29" i="5" s="1"/>
  <c r="D30" i="5" s="1"/>
  <c r="B12" i="7" l="1"/>
  <c r="D12" i="7"/>
  <c r="D13" i="7" s="1"/>
  <c r="I12" i="6"/>
  <c r="E12" i="6"/>
  <c r="G12" i="6"/>
  <c r="B31" i="5"/>
  <c r="C30" i="5"/>
  <c r="C31" i="5" s="1"/>
  <c r="E12" i="7" l="1"/>
  <c r="F12" i="7" s="1"/>
  <c r="G12" i="7" s="1"/>
  <c r="H12" i="7" s="1"/>
  <c r="I12" i="7"/>
  <c r="H12" i="6"/>
  <c r="C13" i="6" s="1"/>
  <c r="F12" i="6"/>
  <c r="B13" i="6" s="1"/>
  <c r="J12" i="6"/>
  <c r="D13" i="6" s="1"/>
  <c r="D31" i="5"/>
  <c r="B13" i="7" l="1"/>
  <c r="J12" i="7"/>
  <c r="K12" i="7" s="1"/>
  <c r="L12" i="7" s="1"/>
  <c r="E13" i="6"/>
  <c r="G13" i="6"/>
  <c r="H13" i="6" s="1"/>
  <c r="I13" i="6"/>
  <c r="C13" i="7" l="1"/>
  <c r="I13" i="7"/>
  <c r="J13" i="7" s="1"/>
  <c r="K13" i="7" s="1"/>
  <c r="L13" i="7" s="1"/>
  <c r="E13" i="7"/>
  <c r="F13" i="7"/>
  <c r="G13" i="7" s="1"/>
  <c r="H13" i="7" s="1"/>
  <c r="B14" i="6"/>
  <c r="J13" i="6"/>
  <c r="D14" i="6" s="1"/>
  <c r="C14" i="6"/>
  <c r="F13" i="6"/>
  <c r="B14" i="7" l="1"/>
  <c r="C14" i="7"/>
  <c r="M13" i="7"/>
  <c r="N13" i="7"/>
  <c r="O13" i="7" s="1"/>
  <c r="P13" i="7" s="1"/>
  <c r="G14" i="6"/>
  <c r="H14" i="6" s="1"/>
  <c r="E14" i="6"/>
  <c r="J14" i="6"/>
  <c r="I14" i="6"/>
  <c r="D15" i="6" s="1"/>
  <c r="M14" i="7" l="1"/>
  <c r="N14" i="7" s="1"/>
  <c r="O14" i="7" s="1"/>
  <c r="P14" i="7" s="1"/>
  <c r="D14" i="7"/>
  <c r="I14" i="7"/>
  <c r="J14" i="7" s="1"/>
  <c r="K14" i="7" s="1"/>
  <c r="L14" i="7" s="1"/>
  <c r="E14" i="7"/>
  <c r="F14" i="7" s="1"/>
  <c r="G14" i="7" s="1"/>
  <c r="H14" i="7" s="1"/>
  <c r="B15" i="7" s="1"/>
  <c r="F14" i="6"/>
  <c r="B15" i="6" s="1"/>
  <c r="C15" i="6"/>
  <c r="D15" i="7" l="1"/>
  <c r="C15" i="7"/>
  <c r="I15" i="7" s="1"/>
  <c r="J15" i="7" s="1"/>
  <c r="K15" i="7" s="1"/>
  <c r="L15" i="7" s="1"/>
  <c r="E15" i="6"/>
  <c r="G15" i="6"/>
  <c r="H15" i="6" s="1"/>
  <c r="C16" i="6" s="1"/>
  <c r="I15" i="6"/>
  <c r="J15" i="6" s="1"/>
  <c r="C16" i="7" l="1"/>
  <c r="M15" i="7"/>
  <c r="D16" i="7" s="1"/>
  <c r="N15" i="7"/>
  <c r="O15" i="7" s="1"/>
  <c r="P15" i="7" s="1"/>
  <c r="E15" i="7"/>
  <c r="I16" i="6"/>
  <c r="J16" i="6" s="1"/>
  <c r="F15" i="6"/>
  <c r="B16" i="6" s="1"/>
  <c r="D16" i="6"/>
  <c r="M16" i="7" l="1"/>
  <c r="D17" i="7" s="1"/>
  <c r="N16" i="7"/>
  <c r="O16" i="7" s="1"/>
  <c r="P16" i="7" s="1"/>
  <c r="F15" i="7"/>
  <c r="G15" i="7" s="1"/>
  <c r="H15" i="7" s="1"/>
  <c r="B16" i="7"/>
  <c r="G16" i="6"/>
  <c r="E16" i="6"/>
  <c r="F16" i="6" s="1"/>
  <c r="D17" i="6"/>
  <c r="I16" i="7" l="1"/>
  <c r="E16" i="7"/>
  <c r="F16" i="7" s="1"/>
  <c r="G16" i="7" s="1"/>
  <c r="H16" i="7" s="1"/>
  <c r="B17" i="7"/>
  <c r="H16" i="6"/>
  <c r="C17" i="6" s="1"/>
  <c r="B17" i="6"/>
  <c r="J16" i="7" l="1"/>
  <c r="K16" i="7" s="1"/>
  <c r="L16" i="7" s="1"/>
  <c r="I17" i="6"/>
  <c r="E17" i="6"/>
  <c r="F17" i="6" s="1"/>
  <c r="G17" i="6"/>
  <c r="C17" i="7" l="1"/>
  <c r="H17" i="6"/>
  <c r="C18" i="6" s="1"/>
  <c r="B18" i="6"/>
  <c r="D18" i="6"/>
  <c r="J17" i="6"/>
  <c r="M17" i="7" l="1"/>
  <c r="E17" i="7"/>
  <c r="I17" i="7"/>
  <c r="J17" i="7" s="1"/>
  <c r="K17" i="7" s="1"/>
  <c r="L17" i="7" s="1"/>
  <c r="J18" i="6"/>
  <c r="I18" i="6"/>
  <c r="D19" i="6"/>
  <c r="H18" i="6"/>
  <c r="G18" i="6"/>
  <c r="C19" i="6" s="1"/>
  <c r="E18" i="6"/>
  <c r="F18" i="6" s="1"/>
  <c r="B19" i="6" s="1"/>
  <c r="F17" i="7" l="1"/>
  <c r="G17" i="7" s="1"/>
  <c r="H17" i="7" s="1"/>
  <c r="N17" i="7"/>
  <c r="O17" i="7" s="1"/>
  <c r="P17" i="7" s="1"/>
  <c r="C18" i="7"/>
  <c r="E19" i="6"/>
  <c r="G19" i="6"/>
  <c r="H19" i="6" s="1"/>
  <c r="C20" i="6" s="1"/>
  <c r="J19" i="6"/>
  <c r="D20" i="6" s="1"/>
  <c r="I19" i="6"/>
  <c r="B18" i="7" l="1"/>
  <c r="M18" i="7"/>
  <c r="N18" i="7"/>
  <c r="O18" i="7" s="1"/>
  <c r="P18" i="7" s="1"/>
  <c r="D18" i="7"/>
  <c r="J20" i="6"/>
  <c r="I20" i="6"/>
  <c r="D21" i="6"/>
  <c r="F19" i="6"/>
  <c r="B20" i="6" s="1"/>
  <c r="D19" i="7" l="1"/>
  <c r="E18" i="7"/>
  <c r="F18" i="7" s="1"/>
  <c r="G18" i="7" s="1"/>
  <c r="H18" i="7" s="1"/>
  <c r="B19" i="7" s="1"/>
  <c r="I18" i="7"/>
  <c r="G20" i="6"/>
  <c r="E20" i="6"/>
  <c r="F20" i="6" s="1"/>
  <c r="J18" i="7" l="1"/>
  <c r="K18" i="7" s="1"/>
  <c r="L18" i="7" s="1"/>
  <c r="H20" i="6"/>
  <c r="C21" i="6" s="1"/>
  <c r="B21" i="6"/>
  <c r="C19" i="7" l="1"/>
  <c r="I21" i="6"/>
  <c r="E21" i="6"/>
  <c r="F21" i="6" s="1"/>
  <c r="B22" i="6" s="1"/>
  <c r="G21" i="6"/>
  <c r="M19" i="7" l="1"/>
  <c r="I19" i="7"/>
  <c r="J19" i="7" s="1"/>
  <c r="K19" i="7" s="1"/>
  <c r="L19" i="7" s="1"/>
  <c r="E19" i="7"/>
  <c r="C22" i="6"/>
  <c r="H21" i="6"/>
  <c r="D22" i="6"/>
  <c r="J21" i="6"/>
  <c r="F19" i="7" l="1"/>
  <c r="G19" i="7" s="1"/>
  <c r="H19" i="7" s="1"/>
  <c r="N19" i="7"/>
  <c r="O19" i="7" s="1"/>
  <c r="P19" i="7" s="1"/>
  <c r="C20" i="7"/>
  <c r="I22" i="6"/>
  <c r="E22" i="6"/>
  <c r="G22" i="6"/>
  <c r="H22" i="6" s="1"/>
  <c r="C23" i="6" s="1"/>
  <c r="M20" i="7" l="1"/>
  <c r="N20" i="7" s="1"/>
  <c r="O20" i="7" s="1"/>
  <c r="P20" i="7" s="1"/>
  <c r="B20" i="7"/>
  <c r="D20" i="7"/>
  <c r="I23" i="6"/>
  <c r="J23" i="6" s="1"/>
  <c r="D23" i="6"/>
  <c r="F22" i="6"/>
  <c r="B23" i="6"/>
  <c r="J22" i="6"/>
  <c r="I20" i="7" l="1"/>
  <c r="E20" i="7"/>
  <c r="F20" i="7" s="1"/>
  <c r="G20" i="7" s="1"/>
  <c r="H20" i="7" s="1"/>
  <c r="D21" i="7"/>
  <c r="E23" i="6"/>
  <c r="G23" i="6"/>
  <c r="D24" i="6"/>
  <c r="B21" i="7" l="1"/>
  <c r="J20" i="7"/>
  <c r="K20" i="7" s="1"/>
  <c r="L20" i="7" s="1"/>
  <c r="F23" i="6"/>
  <c r="B24" i="6" s="1"/>
  <c r="C24" i="6"/>
  <c r="H23" i="6"/>
  <c r="C21" i="7" l="1"/>
  <c r="I21" i="7"/>
  <c r="J21" i="7" s="1"/>
  <c r="K21" i="7" s="1"/>
  <c r="L21" i="7" s="1"/>
  <c r="E21" i="7"/>
  <c r="F21" i="7"/>
  <c r="G21" i="7" s="1"/>
  <c r="H21" i="7" s="1"/>
  <c r="G24" i="6"/>
  <c r="H24" i="6" s="1"/>
  <c r="C25" i="6" s="1"/>
  <c r="E24" i="6"/>
  <c r="F24" i="6" s="1"/>
  <c r="I24" i="6"/>
  <c r="B22" i="7" l="1"/>
  <c r="C22" i="7"/>
  <c r="M21" i="7"/>
  <c r="N21" i="7"/>
  <c r="O21" i="7" s="1"/>
  <c r="P21" i="7" s="1"/>
  <c r="I25" i="6"/>
  <c r="J25" i="6" s="1"/>
  <c r="D25" i="6"/>
  <c r="J24" i="6"/>
  <c r="B25" i="6"/>
  <c r="M22" i="7" l="1"/>
  <c r="N22" i="7" s="1"/>
  <c r="O22" i="7" s="1"/>
  <c r="P22" i="7" s="1"/>
  <c r="D22" i="7"/>
  <c r="I22" i="7"/>
  <c r="J22" i="7" s="1"/>
  <c r="K22" i="7" s="1"/>
  <c r="L22" i="7" s="1"/>
  <c r="E22" i="7"/>
  <c r="F22" i="7" s="1"/>
  <c r="G22" i="7" s="1"/>
  <c r="H22" i="7" s="1"/>
  <c r="B23" i="7" s="1"/>
  <c r="E25" i="6"/>
  <c r="G25" i="6"/>
  <c r="D23" i="7" l="1"/>
  <c r="C23" i="7"/>
  <c r="I23" i="7" s="1"/>
  <c r="J23" i="7" s="1"/>
  <c r="K23" i="7" s="1"/>
  <c r="L23" i="7" s="1"/>
  <c r="F25" i="6"/>
  <c r="B26" i="6" s="1"/>
  <c r="H25" i="6"/>
  <c r="C26" i="6" s="1"/>
  <c r="C24" i="7" l="1"/>
  <c r="M23" i="7"/>
  <c r="D24" i="7" s="1"/>
  <c r="N23" i="7"/>
  <c r="O23" i="7" s="1"/>
  <c r="P23" i="7" s="1"/>
  <c r="E23" i="7"/>
  <c r="I26" i="6"/>
  <c r="J26" i="6" s="1"/>
  <c r="H26" i="6"/>
  <c r="G26" i="6"/>
  <c r="E26" i="6"/>
  <c r="F26" i="6" s="1"/>
  <c r="M24" i="7" l="1"/>
  <c r="D25" i="7" s="1"/>
  <c r="N24" i="7"/>
  <c r="O24" i="7" s="1"/>
  <c r="P24" i="7" s="1"/>
  <c r="F23" i="7"/>
  <c r="G23" i="7" s="1"/>
  <c r="H23" i="7" s="1"/>
  <c r="B24" i="7"/>
  <c r="I24" i="7" l="1"/>
  <c r="E24" i="7"/>
  <c r="F24" i="7" s="1"/>
  <c r="G24" i="7" s="1"/>
  <c r="H24" i="7" s="1"/>
  <c r="B25" i="7" l="1"/>
  <c r="J24" i="7"/>
  <c r="K24" i="7" s="1"/>
  <c r="L24" i="7" s="1"/>
  <c r="C25" i="7" l="1"/>
  <c r="E25" i="7"/>
  <c r="F25" i="7" s="1"/>
  <c r="G25" i="7" s="1"/>
  <c r="H25" i="7" s="1"/>
  <c r="I25" i="7"/>
  <c r="J25" i="7" s="1"/>
  <c r="K25" i="7" s="1"/>
  <c r="L25" i="7" s="1"/>
  <c r="B26" i="7"/>
  <c r="C26" i="7" l="1"/>
  <c r="M25" i="7"/>
  <c r="E26" i="7"/>
  <c r="F26" i="7" s="1"/>
  <c r="G26" i="7" s="1"/>
  <c r="H26" i="7" s="1"/>
  <c r="I26" i="7"/>
  <c r="J26" i="7" s="1"/>
  <c r="K26" i="7" s="1"/>
  <c r="L26" i="7" s="1"/>
  <c r="N25" i="7" l="1"/>
  <c r="O25" i="7" s="1"/>
  <c r="P25" i="7" s="1"/>
  <c r="C27" i="7"/>
  <c r="M26" i="7"/>
  <c r="N26" i="7" s="1"/>
  <c r="O26" i="7" s="1"/>
  <c r="P26" i="7" s="1"/>
  <c r="B27" i="7"/>
  <c r="M27" i="7" l="1"/>
  <c r="N27" i="7" s="1"/>
  <c r="O27" i="7" s="1"/>
  <c r="P27" i="7" s="1"/>
  <c r="D26" i="7"/>
  <c r="D27" i="7" s="1"/>
  <c r="E27" i="7"/>
  <c r="I27" i="7"/>
  <c r="J27" i="7" s="1"/>
  <c r="K27" i="7" s="1"/>
  <c r="L27" i="7" s="1"/>
  <c r="D28" i="7" l="1"/>
  <c r="C28" i="7"/>
  <c r="F27" i="7"/>
  <c r="G27" i="7" s="1"/>
  <c r="H27" i="7" s="1"/>
  <c r="M28" i="7" l="1"/>
  <c r="N28" i="7"/>
  <c r="O28" i="7" s="1"/>
  <c r="P28" i="7" s="1"/>
  <c r="B28" i="7"/>
  <c r="E28" i="7" l="1"/>
  <c r="F28" i="7" s="1"/>
  <c r="G28" i="7" s="1"/>
  <c r="H28" i="7" s="1"/>
  <c r="I28" i="7"/>
  <c r="J28" i="7" s="1"/>
  <c r="K28" i="7" s="1"/>
  <c r="L28" i="7" s="1"/>
</calcChain>
</file>

<file path=xl/sharedStrings.xml><?xml version="1.0" encoding="utf-8"?>
<sst xmlns="http://schemas.openxmlformats.org/spreadsheetml/2006/main" count="76" uniqueCount="26">
  <si>
    <t>h</t>
  </si>
  <si>
    <t>f(x)</t>
  </si>
  <si>
    <t>I</t>
  </si>
  <si>
    <t>x</t>
  </si>
  <si>
    <t>h=0.1</t>
  </si>
  <si>
    <t>h=0.01</t>
  </si>
  <si>
    <t>h=0.001</t>
  </si>
  <si>
    <t>k1</t>
  </si>
  <si>
    <t>k2</t>
  </si>
  <si>
    <t>Ca</t>
  </si>
  <si>
    <t>k3</t>
  </si>
  <si>
    <t>dCa/dt= -k1*Ca+k2*Cb</t>
  </si>
  <si>
    <t>dCc/dt=2*k3*Cb</t>
  </si>
  <si>
    <t>dCb/dt= k1*Ca-k2*Cb-k3*Cb</t>
  </si>
  <si>
    <t>Cb</t>
  </si>
  <si>
    <t>Cc</t>
  </si>
  <si>
    <t>w</t>
  </si>
  <si>
    <t>f(x)*w</t>
  </si>
  <si>
    <t>2pt</t>
  </si>
  <si>
    <t>3pt</t>
  </si>
  <si>
    <t>4pt</t>
  </si>
  <si>
    <t>t</t>
  </si>
  <si>
    <t>k4</t>
  </si>
  <si>
    <t>N</t>
  </si>
  <si>
    <t>timemax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</si>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</sst>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0" xfId="0" applyBorder="1"/>
    <xf numFmtId="0" fontId="0" fillId="2" borderId="0" xfId="0" applyFill="1"/>
    <xf numFmtId="0" fontId="1" fillId="0" borderId="1" xfId="0" applyFont="1" applyBorder="1"/>
    <xf numFmtId="0" fontId="0" fillId="0" borderId="0" xfId="0" quotePrefix="1"/>
    <xf numFmtId="0" fontId="2" fillId="0" borderId="0" xfId="0" applyFont="1"/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quotePrefix="1" applyFill="1"/>
    <xf numFmtId="0" fontId="0" fillId="0" borderId="0" xfId="0" applyFill="1"/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1" fillId="0" borderId="5" xfId="0" applyFont="1" applyBorder="1"/>
    <xf numFmtId="0" fontId="1" fillId="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139872</xdr:colOff>
      <xdr:row>3</xdr:row>
      <xdr:rowOff>171451</xdr:rowOff>
    </xdr:from>
    <xdr:to>
      <xdr:col>12</xdr:col>
      <xdr:colOff>504825</xdr:colOff>
      <xdr:row>18</xdr:row>
      <xdr:rowOff>57151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437B43-409F-45E4-9F79-5CBA5E4A3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7472" y="742951"/>
          <a:ext cx="4022553" cy="2743200"/>
        </a:xfrm>
        <a:prstGeom prst="rect">
          <a:avLst/>
        </a:prstGeom>
      </xdr:spPr>
    </xdr:pic>
    <xdr:clientData/>
  </xdr:twoCellAnchor>
  <xdr:twoCellAnchor editAs="oneCell">
    <xdr:from>
      <xdr:col>12</xdr:col>
      <xdr:colOff>595660</xdr:colOff>
      <xdr:row>3</xdr:row>
      <xdr:rowOff>161925</xdr:rowOff>
    </xdr:from>
    <xdr:to>
      <xdr:col>19</xdr:col>
      <xdr:colOff>569873</xdr:colOff>
      <xdr:row>18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0595716-A2B5-427E-AE82-3093BE926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10860" y="733425"/>
          <a:ext cx="4241413" cy="2752725"/>
        </a:xfrm>
        <a:prstGeom prst="rect">
          <a:avLst/>
        </a:prstGeom>
      </xdr:spPr>
    </xdr:pic>
    <xdr:clientData/>
  </xdr:twoCellAnchor>
  <xdr:twoCellAnchor editAs="oneCell">
    <xdr:from>
      <xdr:col>6</xdr:col>
      <xdr:colOff>254646</xdr:colOff>
      <xdr:row>19</xdr:row>
      <xdr:rowOff>171450</xdr:rowOff>
    </xdr:from>
    <xdr:to>
      <xdr:col>14</xdr:col>
      <xdr:colOff>560348</xdr:colOff>
      <xdr:row>35</xdr:row>
      <xdr:rowOff>37185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AB3853D-E90B-498E-8576-E338B54F6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12246" y="3790950"/>
          <a:ext cx="5182502" cy="29137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7B3D-AB61-4F03-8287-928EE199F3CA}">
  <sheetPr codeName="Sheet3"/>
  <dimension ref="A1:C13"/>
  <sheetViews>
    <sheetView tabSelected="1" workbookViewId="0">
      <selection activeCell="G8" sqref="G8"/>
    </sheetView>
  </sheetViews>
  <sheetFormatPr defaultRowHeight="15" x14ac:dyDescent="0.25"/>
  <sheetData>
    <row r="1" spans="1:3" x14ac:dyDescent="0.25">
      <c r="C1" t="s">
        <v>4</v>
      </c>
    </row>
    <row r="2" spans="1:3" x14ac:dyDescent="0.25">
      <c r="A2" t="s">
        <v>3</v>
      </c>
      <c r="B2" t="s">
        <v>1</v>
      </c>
      <c r="C2" t="s">
        <v>2</v>
      </c>
    </row>
    <row r="3" spans="1:3" x14ac:dyDescent="0.25">
      <c r="A3">
        <v>0</v>
      </c>
      <c r="B3">
        <v>0</v>
      </c>
      <c r="C3">
        <v>0</v>
      </c>
    </row>
    <row r="4" spans="1:3" x14ac:dyDescent="0.25">
      <c r="A4">
        <v>0.1</v>
      </c>
      <c r="B4">
        <f>(2+3*A4)^2</f>
        <v>5.2899999999999991</v>
      </c>
      <c r="C4">
        <f>C3+(B4+B3)*(A4-A3)/2</f>
        <v>0.26449999999999996</v>
      </c>
    </row>
    <row r="5" spans="1:3" x14ac:dyDescent="0.25">
      <c r="A5">
        <v>0.2</v>
      </c>
      <c r="B5">
        <f>(2+3*A5)^2</f>
        <v>6.7600000000000007</v>
      </c>
      <c r="C5">
        <f>C4+(B5+B4)*(A5-A4)/2</f>
        <v>0.86699999999999999</v>
      </c>
    </row>
    <row r="6" spans="1:3" x14ac:dyDescent="0.25">
      <c r="A6">
        <v>0.3</v>
      </c>
      <c r="B6">
        <f>(2+3*A6)^2</f>
        <v>8.41</v>
      </c>
      <c r="C6">
        <f>C5+(B6+B5)*(A6-A5)/2</f>
        <v>1.6254999999999999</v>
      </c>
    </row>
    <row r="7" spans="1:3" x14ac:dyDescent="0.25">
      <c r="A7">
        <v>0.4</v>
      </c>
      <c r="B7">
        <f>(2+3*A7)^2</f>
        <v>10.240000000000002</v>
      </c>
      <c r="C7">
        <f>C6+(B7+B6)*(A7-A6)/2</f>
        <v>2.5580000000000003</v>
      </c>
    </row>
    <row r="8" spans="1:3" x14ac:dyDescent="0.25">
      <c r="A8">
        <v>0.5</v>
      </c>
      <c r="B8">
        <f>(2+3*A8)^2</f>
        <v>12.25</v>
      </c>
      <c r="C8">
        <f>C7+(B8+B7)*(A8-A7)/2</f>
        <v>3.6825000000000001</v>
      </c>
    </row>
    <row r="9" spans="1:3" x14ac:dyDescent="0.25">
      <c r="A9">
        <v>0.6</v>
      </c>
      <c r="B9">
        <f>(2+3*A9)^2</f>
        <v>14.44</v>
      </c>
      <c r="C9">
        <f>C8+(B9+B8)*(A9-A8)/2</f>
        <v>5.0169999999999995</v>
      </c>
    </row>
    <row r="10" spans="1:3" x14ac:dyDescent="0.25">
      <c r="A10">
        <v>0.7</v>
      </c>
      <c r="B10">
        <f>(2+3*A10)^2</f>
        <v>16.809999999999999</v>
      </c>
      <c r="C10">
        <f>C9+(B10+B9)*(A10-A9)/2</f>
        <v>6.5794999999999995</v>
      </c>
    </row>
    <row r="11" spans="1:3" x14ac:dyDescent="0.25">
      <c r="A11">
        <v>0.8</v>
      </c>
      <c r="B11">
        <f>(2+3*A11)^2</f>
        <v>19.360000000000003</v>
      </c>
      <c r="C11">
        <f>C10+(B11+B10)*(A11-A10)/2</f>
        <v>8.3880000000000017</v>
      </c>
    </row>
    <row r="12" spans="1:3" x14ac:dyDescent="0.25">
      <c r="A12">
        <v>0.9</v>
      </c>
      <c r="B12">
        <f>(2+3*A12)^2</f>
        <v>22.090000000000003</v>
      </c>
      <c r="C12">
        <f>C11+(B12+B11)*(A12-A11)/2</f>
        <v>10.460500000000001</v>
      </c>
    </row>
    <row r="13" spans="1:3" x14ac:dyDescent="0.25">
      <c r="A13">
        <v>1</v>
      </c>
      <c r="B13">
        <f>(2+3*A13)^2</f>
        <v>25</v>
      </c>
      <c r="C13">
        <f>C12+(B13+B12)*(A13-A12)/2</f>
        <v>12.815000000000001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C704D-2799-43F4-AB87-607B04C43C3F}">
  <sheetPr codeName="Sheet1"/>
  <dimension ref="A3:C105"/>
  <sheetViews>
    <sheetView workbookViewId="0">
      <selection activeCell="A3" sqref="A3:C7"/>
    </sheetView>
  </sheetViews>
  <sheetFormatPr defaultRowHeight="15" x14ac:dyDescent="0.25"/>
  <sheetData>
    <row r="3" spans="1:3" x14ac:dyDescent="0.25">
      <c r="C3" t="s">
        <v>5</v>
      </c>
    </row>
    <row r="4" spans="1:3" x14ac:dyDescent="0.25">
      <c r="A4" t="s">
        <v>3</v>
      </c>
      <c r="B4" t="s">
        <v>1</v>
      </c>
      <c r="C4" t="s">
        <v>2</v>
      </c>
    </row>
    <row r="5" spans="1:3" x14ac:dyDescent="0.25">
      <c r="A5">
        <v>0</v>
      </c>
      <c r="B5">
        <v>0</v>
      </c>
      <c r="C5">
        <v>0</v>
      </c>
    </row>
    <row r="6" spans="1:3" x14ac:dyDescent="0.25">
      <c r="A6">
        <v>0.01</v>
      </c>
      <c r="B6">
        <f>(2+3*A6)^2</f>
        <v>4.1208999999999989</v>
      </c>
      <c r="C6">
        <f>C5+(B6+B5)*(A6-A5)/2</f>
        <v>2.0604499999999994E-2</v>
      </c>
    </row>
    <row r="7" spans="1:3" x14ac:dyDescent="0.25">
      <c r="A7">
        <v>0.02</v>
      </c>
      <c r="B7">
        <f t="shared" ref="B7:B70" si="0">(2+3*A7)^2</f>
        <v>4.2435999999999998</v>
      </c>
      <c r="C7">
        <f t="shared" ref="C7:C70" si="1">C6+(B7+B6)*(A7-A6)/2</f>
        <v>6.2426999999999996E-2</v>
      </c>
    </row>
    <row r="8" spans="1:3" x14ac:dyDescent="0.25">
      <c r="A8">
        <v>0.03</v>
      </c>
      <c r="B8">
        <f t="shared" si="0"/>
        <v>4.3680999999999992</v>
      </c>
      <c r="C8">
        <f t="shared" si="1"/>
        <v>0.10548549999999998</v>
      </c>
    </row>
    <row r="9" spans="1:3" x14ac:dyDescent="0.25">
      <c r="A9">
        <v>0.04</v>
      </c>
      <c r="B9">
        <f t="shared" si="0"/>
        <v>4.4944000000000006</v>
      </c>
      <c r="C9">
        <f t="shared" si="1"/>
        <v>0.14979799999999999</v>
      </c>
    </row>
    <row r="10" spans="1:3" x14ac:dyDescent="0.25">
      <c r="A10">
        <v>0.05</v>
      </c>
      <c r="B10">
        <f t="shared" si="0"/>
        <v>4.6224999999999996</v>
      </c>
      <c r="C10">
        <f t="shared" si="1"/>
        <v>0.19538250000000001</v>
      </c>
    </row>
    <row r="11" spans="1:3" x14ac:dyDescent="0.25">
      <c r="A11">
        <v>0.06</v>
      </c>
      <c r="B11">
        <f t="shared" si="0"/>
        <v>4.7524000000000006</v>
      </c>
      <c r="C11">
        <f t="shared" si="1"/>
        <v>0.242257</v>
      </c>
    </row>
    <row r="12" spans="1:3" x14ac:dyDescent="0.25">
      <c r="A12">
        <v>7.0000000000000007E-2</v>
      </c>
      <c r="B12">
        <f t="shared" si="0"/>
        <v>4.8841000000000001</v>
      </c>
      <c r="C12">
        <f t="shared" si="1"/>
        <v>0.29043950000000007</v>
      </c>
    </row>
    <row r="13" spans="1:3" x14ac:dyDescent="0.25">
      <c r="A13">
        <v>0.08</v>
      </c>
      <c r="B13">
        <f t="shared" si="0"/>
        <v>5.0176000000000007</v>
      </c>
      <c r="C13">
        <f t="shared" si="1"/>
        <v>0.33994800000000003</v>
      </c>
    </row>
    <row r="14" spans="1:3" x14ac:dyDescent="0.25">
      <c r="A14">
        <v>0.09</v>
      </c>
      <c r="B14">
        <f t="shared" si="0"/>
        <v>5.1528999999999998</v>
      </c>
      <c r="C14">
        <f t="shared" si="1"/>
        <v>0.3908005</v>
      </c>
    </row>
    <row r="15" spans="1:3" x14ac:dyDescent="0.25">
      <c r="A15">
        <v>0.1</v>
      </c>
      <c r="B15">
        <f t="shared" si="0"/>
        <v>5.2899999999999991</v>
      </c>
      <c r="C15">
        <f t="shared" si="1"/>
        <v>0.44301500000000005</v>
      </c>
    </row>
    <row r="16" spans="1:3" x14ac:dyDescent="0.25">
      <c r="A16">
        <v>0.11</v>
      </c>
      <c r="B16">
        <f t="shared" si="0"/>
        <v>5.4289000000000005</v>
      </c>
      <c r="C16">
        <f t="shared" si="1"/>
        <v>0.49660950000000004</v>
      </c>
    </row>
    <row r="17" spans="1:3" x14ac:dyDescent="0.25">
      <c r="A17">
        <v>0.12</v>
      </c>
      <c r="B17">
        <f t="shared" si="0"/>
        <v>5.5695999999999994</v>
      </c>
      <c r="C17">
        <f t="shared" si="1"/>
        <v>0.55160200000000004</v>
      </c>
    </row>
    <row r="18" spans="1:3" x14ac:dyDescent="0.25">
      <c r="A18">
        <v>0.13</v>
      </c>
      <c r="B18">
        <f t="shared" si="0"/>
        <v>5.7121000000000004</v>
      </c>
      <c r="C18">
        <f t="shared" si="1"/>
        <v>0.60801050000000012</v>
      </c>
    </row>
    <row r="19" spans="1:3" x14ac:dyDescent="0.25">
      <c r="A19">
        <v>0.14000000000000001</v>
      </c>
      <c r="B19">
        <f t="shared" si="0"/>
        <v>5.8563999999999998</v>
      </c>
      <c r="C19">
        <f t="shared" si="1"/>
        <v>0.66585300000000014</v>
      </c>
    </row>
    <row r="20" spans="1:3" x14ac:dyDescent="0.25">
      <c r="A20">
        <v>0.15</v>
      </c>
      <c r="B20">
        <f t="shared" si="0"/>
        <v>6.0025000000000013</v>
      </c>
      <c r="C20">
        <f t="shared" si="1"/>
        <v>0.72514750000000006</v>
      </c>
    </row>
    <row r="21" spans="1:3" x14ac:dyDescent="0.25">
      <c r="A21">
        <v>0.16</v>
      </c>
      <c r="B21">
        <f t="shared" si="0"/>
        <v>6.1504000000000003</v>
      </c>
      <c r="C21">
        <f t="shared" si="1"/>
        <v>0.78591200000000017</v>
      </c>
    </row>
    <row r="22" spans="1:3" x14ac:dyDescent="0.25">
      <c r="A22">
        <v>0.17</v>
      </c>
      <c r="B22">
        <f t="shared" si="0"/>
        <v>6.3000999999999987</v>
      </c>
      <c r="C22">
        <f t="shared" si="1"/>
        <v>0.84816450000000021</v>
      </c>
    </row>
    <row r="23" spans="1:3" x14ac:dyDescent="0.25">
      <c r="A23">
        <v>0.18</v>
      </c>
      <c r="B23">
        <f t="shared" si="0"/>
        <v>6.4516</v>
      </c>
      <c r="C23">
        <f t="shared" si="1"/>
        <v>0.91192300000000004</v>
      </c>
    </row>
    <row r="24" spans="1:3" x14ac:dyDescent="0.25">
      <c r="A24">
        <v>0.19</v>
      </c>
      <c r="B24">
        <f t="shared" si="0"/>
        <v>6.6049000000000015</v>
      </c>
      <c r="C24">
        <f t="shared" si="1"/>
        <v>0.97720550000000006</v>
      </c>
    </row>
    <row r="25" spans="1:3" x14ac:dyDescent="0.25">
      <c r="A25">
        <v>0.2</v>
      </c>
      <c r="B25">
        <f t="shared" si="0"/>
        <v>6.7600000000000007</v>
      </c>
      <c r="C25">
        <f t="shared" si="1"/>
        <v>1.0440300000000002</v>
      </c>
    </row>
    <row r="26" spans="1:3" x14ac:dyDescent="0.25">
      <c r="A26">
        <v>0.21</v>
      </c>
      <c r="B26">
        <f t="shared" si="0"/>
        <v>6.9168999999999992</v>
      </c>
      <c r="C26">
        <f t="shared" si="1"/>
        <v>1.1124145000000001</v>
      </c>
    </row>
    <row r="27" spans="1:3" x14ac:dyDescent="0.25">
      <c r="A27">
        <v>0.22</v>
      </c>
      <c r="B27">
        <f t="shared" si="0"/>
        <v>7.0756000000000006</v>
      </c>
      <c r="C27">
        <f t="shared" si="1"/>
        <v>1.1823770000000002</v>
      </c>
    </row>
    <row r="28" spans="1:3" x14ac:dyDescent="0.25">
      <c r="A28">
        <v>0.23</v>
      </c>
      <c r="B28">
        <f t="shared" si="0"/>
        <v>7.2360999999999995</v>
      </c>
      <c r="C28">
        <f t="shared" si="1"/>
        <v>1.2539355000000003</v>
      </c>
    </row>
    <row r="29" spans="1:3" x14ac:dyDescent="0.25">
      <c r="A29">
        <v>0.24</v>
      </c>
      <c r="B29">
        <f t="shared" si="0"/>
        <v>7.3983999999999988</v>
      </c>
      <c r="C29">
        <f t="shared" si="1"/>
        <v>1.3271080000000002</v>
      </c>
    </row>
    <row r="30" spans="1:3" x14ac:dyDescent="0.25">
      <c r="A30">
        <v>0.25</v>
      </c>
      <c r="B30">
        <f t="shared" si="0"/>
        <v>7.5625</v>
      </c>
      <c r="C30">
        <f t="shared" si="1"/>
        <v>1.4019125000000003</v>
      </c>
    </row>
    <row r="31" spans="1:3" x14ac:dyDescent="0.25">
      <c r="A31">
        <v>0.26</v>
      </c>
      <c r="B31">
        <f t="shared" si="0"/>
        <v>7.7284000000000015</v>
      </c>
      <c r="C31">
        <f t="shared" si="1"/>
        <v>1.4783670000000004</v>
      </c>
    </row>
    <row r="32" spans="1:3" x14ac:dyDescent="0.25">
      <c r="A32">
        <v>0.27</v>
      </c>
      <c r="B32">
        <f t="shared" si="0"/>
        <v>7.8961000000000006</v>
      </c>
      <c r="C32">
        <f t="shared" si="1"/>
        <v>1.5564895000000005</v>
      </c>
    </row>
    <row r="33" spans="1:3" x14ac:dyDescent="0.25">
      <c r="A33">
        <v>0.28000000000000003</v>
      </c>
      <c r="B33">
        <f t="shared" si="0"/>
        <v>8.0655999999999999</v>
      </c>
      <c r="C33">
        <f t="shared" si="1"/>
        <v>1.6362980000000007</v>
      </c>
    </row>
    <row r="34" spans="1:3" x14ac:dyDescent="0.25">
      <c r="A34">
        <v>0.28999999999999998</v>
      </c>
      <c r="B34">
        <f t="shared" si="0"/>
        <v>8.2369000000000003</v>
      </c>
      <c r="C34">
        <f t="shared" si="1"/>
        <v>1.7178105000000004</v>
      </c>
    </row>
    <row r="35" spans="1:3" x14ac:dyDescent="0.25">
      <c r="A35">
        <v>0.3</v>
      </c>
      <c r="B35">
        <f t="shared" si="0"/>
        <v>8.41</v>
      </c>
      <c r="C35">
        <f t="shared" si="1"/>
        <v>1.8010450000000005</v>
      </c>
    </row>
    <row r="36" spans="1:3" x14ac:dyDescent="0.25">
      <c r="A36">
        <v>0.31</v>
      </c>
      <c r="B36">
        <f t="shared" si="0"/>
        <v>8.5848999999999975</v>
      </c>
      <c r="C36">
        <f t="shared" si="1"/>
        <v>1.8860195000000006</v>
      </c>
    </row>
    <row r="37" spans="1:3" x14ac:dyDescent="0.25">
      <c r="A37">
        <v>0.32</v>
      </c>
      <c r="B37">
        <f t="shared" si="0"/>
        <v>8.7615999999999996</v>
      </c>
      <c r="C37">
        <f t="shared" si="1"/>
        <v>1.9727520000000007</v>
      </c>
    </row>
    <row r="38" spans="1:3" x14ac:dyDescent="0.25">
      <c r="A38">
        <v>0.33</v>
      </c>
      <c r="B38">
        <f t="shared" si="0"/>
        <v>8.940100000000001</v>
      </c>
      <c r="C38">
        <f t="shared" si="1"/>
        <v>2.0612605000000008</v>
      </c>
    </row>
    <row r="39" spans="1:3" x14ac:dyDescent="0.25">
      <c r="A39">
        <v>0.34</v>
      </c>
      <c r="B39">
        <f t="shared" si="0"/>
        <v>9.1204000000000001</v>
      </c>
      <c r="C39">
        <f t="shared" si="1"/>
        <v>2.1515630000000008</v>
      </c>
    </row>
    <row r="40" spans="1:3" x14ac:dyDescent="0.25">
      <c r="A40">
        <v>0.35</v>
      </c>
      <c r="B40">
        <f t="shared" si="0"/>
        <v>9.3024999999999984</v>
      </c>
      <c r="C40">
        <f t="shared" si="1"/>
        <v>2.2436775000000004</v>
      </c>
    </row>
    <row r="41" spans="1:3" x14ac:dyDescent="0.25">
      <c r="A41">
        <v>0.36</v>
      </c>
      <c r="B41">
        <f t="shared" si="0"/>
        <v>9.4863999999999997</v>
      </c>
      <c r="C41">
        <f t="shared" si="1"/>
        <v>2.3376220000000005</v>
      </c>
    </row>
    <row r="42" spans="1:3" x14ac:dyDescent="0.25">
      <c r="A42">
        <v>0.37</v>
      </c>
      <c r="B42">
        <f t="shared" si="0"/>
        <v>9.6720999999999986</v>
      </c>
      <c r="C42">
        <f t="shared" si="1"/>
        <v>2.4334145000000005</v>
      </c>
    </row>
    <row r="43" spans="1:3" x14ac:dyDescent="0.25">
      <c r="A43">
        <v>0.38</v>
      </c>
      <c r="B43">
        <f t="shared" si="0"/>
        <v>9.8596000000000004</v>
      </c>
      <c r="C43">
        <f t="shared" si="1"/>
        <v>2.5310730000000006</v>
      </c>
    </row>
    <row r="44" spans="1:3" x14ac:dyDescent="0.25">
      <c r="A44">
        <v>0.39</v>
      </c>
      <c r="B44">
        <f t="shared" si="0"/>
        <v>10.0489</v>
      </c>
      <c r="C44">
        <f t="shared" si="1"/>
        <v>2.6306155000000007</v>
      </c>
    </row>
    <row r="45" spans="1:3" x14ac:dyDescent="0.25">
      <c r="A45">
        <v>0.4</v>
      </c>
      <c r="B45">
        <f t="shared" si="0"/>
        <v>10.240000000000002</v>
      </c>
      <c r="C45">
        <f t="shared" si="1"/>
        <v>2.7320600000000006</v>
      </c>
    </row>
    <row r="46" spans="1:3" x14ac:dyDescent="0.25">
      <c r="A46">
        <v>0.41</v>
      </c>
      <c r="B46">
        <f t="shared" si="0"/>
        <v>10.4329</v>
      </c>
      <c r="C46">
        <f t="shared" si="1"/>
        <v>2.8354245000000002</v>
      </c>
    </row>
    <row r="47" spans="1:3" x14ac:dyDescent="0.25">
      <c r="A47">
        <v>0.42</v>
      </c>
      <c r="B47">
        <f t="shared" si="0"/>
        <v>10.627599999999999</v>
      </c>
      <c r="C47">
        <f t="shared" si="1"/>
        <v>2.9407270000000003</v>
      </c>
    </row>
    <row r="48" spans="1:3" x14ac:dyDescent="0.25">
      <c r="A48">
        <v>0.43</v>
      </c>
      <c r="B48">
        <f t="shared" si="0"/>
        <v>10.8241</v>
      </c>
      <c r="C48">
        <f t="shared" si="1"/>
        <v>3.0479855000000002</v>
      </c>
    </row>
    <row r="49" spans="1:3" x14ac:dyDescent="0.25">
      <c r="A49">
        <v>0.44</v>
      </c>
      <c r="B49">
        <f t="shared" si="0"/>
        <v>11.022400000000001</v>
      </c>
      <c r="C49">
        <f t="shared" si="1"/>
        <v>3.1572180000000003</v>
      </c>
    </row>
    <row r="50" spans="1:3" x14ac:dyDescent="0.25">
      <c r="A50">
        <v>0.45</v>
      </c>
      <c r="B50">
        <f t="shared" si="0"/>
        <v>11.2225</v>
      </c>
      <c r="C50">
        <f t="shared" si="1"/>
        <v>3.2684425000000004</v>
      </c>
    </row>
    <row r="51" spans="1:3" x14ac:dyDescent="0.25">
      <c r="A51">
        <v>0.46</v>
      </c>
      <c r="B51">
        <f t="shared" si="0"/>
        <v>11.424399999999999</v>
      </c>
      <c r="C51">
        <f t="shared" si="1"/>
        <v>3.3816770000000003</v>
      </c>
    </row>
    <row r="52" spans="1:3" x14ac:dyDescent="0.25">
      <c r="A52">
        <v>0.47</v>
      </c>
      <c r="B52">
        <f t="shared" si="0"/>
        <v>11.628100000000002</v>
      </c>
      <c r="C52">
        <f t="shared" si="1"/>
        <v>3.4969394999999999</v>
      </c>
    </row>
    <row r="53" spans="1:3" x14ac:dyDescent="0.25">
      <c r="A53">
        <v>0.48</v>
      </c>
      <c r="B53">
        <f t="shared" si="0"/>
        <v>11.833599999999999</v>
      </c>
      <c r="C53">
        <f t="shared" si="1"/>
        <v>3.6142479999999999</v>
      </c>
    </row>
    <row r="54" spans="1:3" x14ac:dyDescent="0.25">
      <c r="A54">
        <v>0.49</v>
      </c>
      <c r="B54">
        <f t="shared" si="0"/>
        <v>12.040899999999999</v>
      </c>
      <c r="C54">
        <f t="shared" si="1"/>
        <v>3.7336204999999998</v>
      </c>
    </row>
    <row r="55" spans="1:3" x14ac:dyDescent="0.25">
      <c r="A55">
        <v>0.5</v>
      </c>
      <c r="B55">
        <f t="shared" si="0"/>
        <v>12.25</v>
      </c>
      <c r="C55">
        <f t="shared" si="1"/>
        <v>3.8550749999999998</v>
      </c>
    </row>
    <row r="56" spans="1:3" x14ac:dyDescent="0.25">
      <c r="A56">
        <v>0.51</v>
      </c>
      <c r="B56">
        <f t="shared" si="0"/>
        <v>12.460900000000002</v>
      </c>
      <c r="C56">
        <f t="shared" si="1"/>
        <v>3.9786294999999998</v>
      </c>
    </row>
    <row r="57" spans="1:3" x14ac:dyDescent="0.25">
      <c r="A57">
        <v>0.52</v>
      </c>
      <c r="B57">
        <f t="shared" si="0"/>
        <v>12.6736</v>
      </c>
      <c r="C57">
        <f t="shared" si="1"/>
        <v>4.1043019999999997</v>
      </c>
    </row>
    <row r="58" spans="1:3" x14ac:dyDescent="0.25">
      <c r="A58">
        <v>0.53</v>
      </c>
      <c r="B58">
        <f t="shared" si="0"/>
        <v>12.8881</v>
      </c>
      <c r="C58">
        <f t="shared" si="1"/>
        <v>4.2321105000000001</v>
      </c>
    </row>
    <row r="59" spans="1:3" x14ac:dyDescent="0.25">
      <c r="A59">
        <v>0.54</v>
      </c>
      <c r="B59">
        <f t="shared" si="0"/>
        <v>13.1044</v>
      </c>
      <c r="C59">
        <f t="shared" si="1"/>
        <v>4.3620730000000005</v>
      </c>
    </row>
    <row r="60" spans="1:3" x14ac:dyDescent="0.25">
      <c r="A60">
        <v>0.55000000000000004</v>
      </c>
      <c r="B60">
        <f t="shared" si="0"/>
        <v>13.322500000000003</v>
      </c>
      <c r="C60">
        <f t="shared" si="1"/>
        <v>4.4942075000000008</v>
      </c>
    </row>
    <row r="61" spans="1:3" x14ac:dyDescent="0.25">
      <c r="A61">
        <v>0.56000000000000005</v>
      </c>
      <c r="B61">
        <f t="shared" si="0"/>
        <v>13.542400000000001</v>
      </c>
      <c r="C61">
        <f t="shared" si="1"/>
        <v>4.6285320000000008</v>
      </c>
    </row>
    <row r="62" spans="1:3" x14ac:dyDescent="0.25">
      <c r="A62">
        <v>0.56999999999999995</v>
      </c>
      <c r="B62">
        <f t="shared" si="0"/>
        <v>13.764099999999999</v>
      </c>
      <c r="C62">
        <f t="shared" si="1"/>
        <v>4.7650644999999994</v>
      </c>
    </row>
    <row r="63" spans="1:3" x14ac:dyDescent="0.25">
      <c r="A63">
        <v>0.57999999999999996</v>
      </c>
      <c r="B63">
        <f t="shared" si="0"/>
        <v>13.987599999999999</v>
      </c>
      <c r="C63">
        <f t="shared" si="1"/>
        <v>4.9038229999999992</v>
      </c>
    </row>
    <row r="64" spans="1:3" x14ac:dyDescent="0.25">
      <c r="A64">
        <v>0.59</v>
      </c>
      <c r="B64">
        <f t="shared" si="0"/>
        <v>14.212899999999999</v>
      </c>
      <c r="C64">
        <f t="shared" si="1"/>
        <v>5.0448254999999991</v>
      </c>
    </row>
    <row r="65" spans="1:3" x14ac:dyDescent="0.25">
      <c r="A65">
        <v>0.6</v>
      </c>
      <c r="B65">
        <f t="shared" si="0"/>
        <v>14.44</v>
      </c>
      <c r="C65">
        <f t="shared" si="1"/>
        <v>5.188089999999999</v>
      </c>
    </row>
    <row r="66" spans="1:3" x14ac:dyDescent="0.25">
      <c r="A66">
        <v>0.61</v>
      </c>
      <c r="B66">
        <f t="shared" si="0"/>
        <v>14.668900000000001</v>
      </c>
      <c r="C66">
        <f t="shared" si="1"/>
        <v>5.3336344999999987</v>
      </c>
    </row>
    <row r="67" spans="1:3" x14ac:dyDescent="0.25">
      <c r="A67">
        <v>0.62</v>
      </c>
      <c r="B67">
        <f t="shared" si="0"/>
        <v>14.8996</v>
      </c>
      <c r="C67">
        <f t="shared" si="1"/>
        <v>5.481476999999999</v>
      </c>
    </row>
    <row r="68" spans="1:3" x14ac:dyDescent="0.25">
      <c r="A68">
        <v>0.63</v>
      </c>
      <c r="B68">
        <f t="shared" si="0"/>
        <v>15.132100000000001</v>
      </c>
      <c r="C68">
        <f t="shared" si="1"/>
        <v>5.6316354999999989</v>
      </c>
    </row>
    <row r="69" spans="1:3" x14ac:dyDescent="0.25">
      <c r="A69">
        <v>0.64</v>
      </c>
      <c r="B69">
        <f t="shared" si="0"/>
        <v>15.366399999999999</v>
      </c>
      <c r="C69">
        <f t="shared" si="1"/>
        <v>5.784127999999999</v>
      </c>
    </row>
    <row r="70" spans="1:3" x14ac:dyDescent="0.25">
      <c r="A70">
        <v>0.65</v>
      </c>
      <c r="B70">
        <f t="shared" si="0"/>
        <v>15.602500000000001</v>
      </c>
      <c r="C70">
        <f t="shared" si="1"/>
        <v>5.9389724999999993</v>
      </c>
    </row>
    <row r="71" spans="1:3" x14ac:dyDescent="0.25">
      <c r="A71">
        <v>0.66</v>
      </c>
      <c r="B71">
        <f t="shared" ref="B71:B105" si="2">(2+3*A71)^2</f>
        <v>15.840400000000001</v>
      </c>
      <c r="C71">
        <f t="shared" ref="C71:C105" si="3">C70+(B71+B70)*(A71-A70)/2</f>
        <v>6.0961869999999996</v>
      </c>
    </row>
    <row r="72" spans="1:3" x14ac:dyDescent="0.25">
      <c r="A72">
        <v>0.67</v>
      </c>
      <c r="B72">
        <f t="shared" si="2"/>
        <v>16.080099999999998</v>
      </c>
      <c r="C72">
        <f t="shared" si="3"/>
        <v>6.2557894999999997</v>
      </c>
    </row>
    <row r="73" spans="1:3" x14ac:dyDescent="0.25">
      <c r="A73">
        <v>0.68</v>
      </c>
      <c r="B73">
        <f t="shared" si="2"/>
        <v>16.3216</v>
      </c>
      <c r="C73">
        <f t="shared" si="3"/>
        <v>6.4177979999999994</v>
      </c>
    </row>
    <row r="74" spans="1:3" x14ac:dyDescent="0.25">
      <c r="A74">
        <v>0.69</v>
      </c>
      <c r="B74">
        <f t="shared" si="2"/>
        <v>16.564900000000002</v>
      </c>
      <c r="C74">
        <f t="shared" si="3"/>
        <v>6.5822304999999979</v>
      </c>
    </row>
    <row r="75" spans="1:3" x14ac:dyDescent="0.25">
      <c r="A75">
        <v>0.7</v>
      </c>
      <c r="B75">
        <f t="shared" si="2"/>
        <v>16.809999999999999</v>
      </c>
      <c r="C75">
        <f t="shared" si="3"/>
        <v>6.7491049999999984</v>
      </c>
    </row>
    <row r="76" spans="1:3" x14ac:dyDescent="0.25">
      <c r="A76">
        <v>0.71</v>
      </c>
      <c r="B76">
        <f t="shared" si="2"/>
        <v>17.056899999999999</v>
      </c>
      <c r="C76">
        <f t="shared" si="3"/>
        <v>6.9184394999999981</v>
      </c>
    </row>
    <row r="77" spans="1:3" x14ac:dyDescent="0.25">
      <c r="A77">
        <v>0.72</v>
      </c>
      <c r="B77">
        <f t="shared" si="2"/>
        <v>17.305600000000002</v>
      </c>
      <c r="C77">
        <f t="shared" si="3"/>
        <v>7.0902519999999978</v>
      </c>
    </row>
    <row r="78" spans="1:3" x14ac:dyDescent="0.25">
      <c r="A78">
        <v>0.73</v>
      </c>
      <c r="B78">
        <f t="shared" si="2"/>
        <v>17.556099999999997</v>
      </c>
      <c r="C78">
        <f t="shared" si="3"/>
        <v>7.2645604999999982</v>
      </c>
    </row>
    <row r="79" spans="1:3" x14ac:dyDescent="0.25">
      <c r="A79">
        <v>0.74</v>
      </c>
      <c r="B79">
        <f t="shared" si="2"/>
        <v>17.808399999999999</v>
      </c>
      <c r="C79">
        <f t="shared" si="3"/>
        <v>7.4413829999999983</v>
      </c>
    </row>
    <row r="80" spans="1:3" x14ac:dyDescent="0.25">
      <c r="A80">
        <v>0.75</v>
      </c>
      <c r="B80">
        <f t="shared" si="2"/>
        <v>18.0625</v>
      </c>
      <c r="C80">
        <f t="shared" si="3"/>
        <v>7.6207374999999988</v>
      </c>
    </row>
    <row r="81" spans="1:3" x14ac:dyDescent="0.25">
      <c r="A81">
        <v>0.76</v>
      </c>
      <c r="B81">
        <f t="shared" si="2"/>
        <v>18.3184</v>
      </c>
      <c r="C81">
        <f t="shared" si="3"/>
        <v>7.8026419999999987</v>
      </c>
    </row>
    <row r="82" spans="1:3" x14ac:dyDescent="0.25">
      <c r="A82">
        <v>0.77</v>
      </c>
      <c r="B82">
        <f t="shared" si="2"/>
        <v>18.576100000000004</v>
      </c>
      <c r="C82">
        <f t="shared" si="3"/>
        <v>7.9871144999999988</v>
      </c>
    </row>
    <row r="83" spans="1:3" x14ac:dyDescent="0.25">
      <c r="A83">
        <v>0.78</v>
      </c>
      <c r="B83">
        <f t="shared" si="2"/>
        <v>18.835599999999999</v>
      </c>
      <c r="C83">
        <f t="shared" si="3"/>
        <v>8.1741729999999997</v>
      </c>
    </row>
    <row r="84" spans="1:3" x14ac:dyDescent="0.25">
      <c r="A84">
        <v>0.79</v>
      </c>
      <c r="B84">
        <f t="shared" si="2"/>
        <v>19.096900000000002</v>
      </c>
      <c r="C84">
        <f t="shared" si="3"/>
        <v>8.3638355000000004</v>
      </c>
    </row>
    <row r="85" spans="1:3" x14ac:dyDescent="0.25">
      <c r="A85">
        <v>0.8</v>
      </c>
      <c r="B85">
        <f t="shared" si="2"/>
        <v>19.360000000000003</v>
      </c>
      <c r="C85">
        <f t="shared" si="3"/>
        <v>8.5561199999999999</v>
      </c>
    </row>
    <row r="86" spans="1:3" x14ac:dyDescent="0.25">
      <c r="A86">
        <v>0.81</v>
      </c>
      <c r="B86">
        <f t="shared" si="2"/>
        <v>19.624899999999997</v>
      </c>
      <c r="C86">
        <f t="shared" si="3"/>
        <v>8.7510445000000008</v>
      </c>
    </row>
    <row r="87" spans="1:3" x14ac:dyDescent="0.25">
      <c r="A87">
        <v>0.82</v>
      </c>
      <c r="B87">
        <f t="shared" si="2"/>
        <v>19.8916</v>
      </c>
      <c r="C87">
        <f t="shared" si="3"/>
        <v>8.9486269999999983</v>
      </c>
    </row>
    <row r="88" spans="1:3" x14ac:dyDescent="0.25">
      <c r="A88">
        <v>0.83</v>
      </c>
      <c r="B88">
        <f t="shared" si="2"/>
        <v>20.160100000000003</v>
      </c>
      <c r="C88">
        <f t="shared" si="3"/>
        <v>9.1488854999999987</v>
      </c>
    </row>
    <row r="89" spans="1:3" x14ac:dyDescent="0.25">
      <c r="A89">
        <v>0.84</v>
      </c>
      <c r="B89">
        <f t="shared" si="2"/>
        <v>20.430399999999995</v>
      </c>
      <c r="C89">
        <f t="shared" si="3"/>
        <v>9.351837999999999</v>
      </c>
    </row>
    <row r="90" spans="1:3" x14ac:dyDescent="0.25">
      <c r="A90">
        <v>0.85</v>
      </c>
      <c r="B90">
        <f t="shared" si="2"/>
        <v>20.702499999999997</v>
      </c>
      <c r="C90">
        <f t="shared" si="3"/>
        <v>9.5575024999999982</v>
      </c>
    </row>
    <row r="91" spans="1:3" x14ac:dyDescent="0.25">
      <c r="A91">
        <v>0.86</v>
      </c>
      <c r="B91">
        <f t="shared" si="2"/>
        <v>20.976400000000002</v>
      </c>
      <c r="C91">
        <f t="shared" si="3"/>
        <v>9.7658969999999989</v>
      </c>
    </row>
    <row r="92" spans="1:3" x14ac:dyDescent="0.25">
      <c r="A92">
        <v>0.87</v>
      </c>
      <c r="B92">
        <f t="shared" si="2"/>
        <v>21.252099999999995</v>
      </c>
      <c r="C92">
        <f t="shared" si="3"/>
        <v>9.9770394999999983</v>
      </c>
    </row>
    <row r="93" spans="1:3" x14ac:dyDescent="0.25">
      <c r="A93">
        <v>0.88</v>
      </c>
      <c r="B93">
        <f t="shared" si="2"/>
        <v>21.529600000000006</v>
      </c>
      <c r="C93">
        <f t="shared" si="3"/>
        <v>10.190947999999999</v>
      </c>
    </row>
    <row r="94" spans="1:3" x14ac:dyDescent="0.25">
      <c r="A94">
        <v>0.89</v>
      </c>
      <c r="B94">
        <f t="shared" si="2"/>
        <v>21.808899999999998</v>
      </c>
      <c r="C94">
        <f t="shared" si="3"/>
        <v>10.407640499999999</v>
      </c>
    </row>
    <row r="95" spans="1:3" x14ac:dyDescent="0.25">
      <c r="A95">
        <v>0.9</v>
      </c>
      <c r="B95">
        <f t="shared" si="2"/>
        <v>22.090000000000003</v>
      </c>
      <c r="C95">
        <f t="shared" si="3"/>
        <v>10.627134999999999</v>
      </c>
    </row>
    <row r="96" spans="1:3" x14ac:dyDescent="0.25">
      <c r="A96">
        <v>0.91</v>
      </c>
      <c r="B96">
        <f t="shared" si="2"/>
        <v>22.372900000000005</v>
      </c>
      <c r="C96">
        <f t="shared" si="3"/>
        <v>10.849449499999999</v>
      </c>
    </row>
    <row r="97" spans="1:3" x14ac:dyDescent="0.25">
      <c r="A97">
        <v>0.92</v>
      </c>
      <c r="B97">
        <f t="shared" si="2"/>
        <v>22.657599999999999</v>
      </c>
      <c r="C97">
        <f t="shared" si="3"/>
        <v>11.074601999999999</v>
      </c>
    </row>
    <row r="98" spans="1:3" x14ac:dyDescent="0.25">
      <c r="A98">
        <v>0.93</v>
      </c>
      <c r="B98">
        <f t="shared" si="2"/>
        <v>22.944099999999999</v>
      </c>
      <c r="C98">
        <f t="shared" si="3"/>
        <v>11.302610499999998</v>
      </c>
    </row>
    <row r="99" spans="1:3" x14ac:dyDescent="0.25">
      <c r="A99">
        <v>0.94</v>
      </c>
      <c r="B99">
        <f t="shared" si="2"/>
        <v>23.232400000000002</v>
      </c>
      <c r="C99">
        <f t="shared" si="3"/>
        <v>11.533492999999996</v>
      </c>
    </row>
    <row r="100" spans="1:3" x14ac:dyDescent="0.25">
      <c r="A100">
        <v>0.95</v>
      </c>
      <c r="B100">
        <f t="shared" si="2"/>
        <v>23.522499999999997</v>
      </c>
      <c r="C100">
        <f t="shared" si="3"/>
        <v>11.767267499999997</v>
      </c>
    </row>
    <row r="101" spans="1:3" x14ac:dyDescent="0.25">
      <c r="A101">
        <v>0.96</v>
      </c>
      <c r="B101">
        <f t="shared" si="2"/>
        <v>23.814399999999999</v>
      </c>
      <c r="C101">
        <f t="shared" si="3"/>
        <v>12.003951999999998</v>
      </c>
    </row>
    <row r="102" spans="1:3" x14ac:dyDescent="0.25">
      <c r="A102">
        <v>0.97</v>
      </c>
      <c r="B102">
        <f t="shared" si="2"/>
        <v>24.1081</v>
      </c>
      <c r="C102">
        <f t="shared" si="3"/>
        <v>12.243564499999998</v>
      </c>
    </row>
    <row r="103" spans="1:3" x14ac:dyDescent="0.25">
      <c r="A103">
        <v>0.98</v>
      </c>
      <c r="B103">
        <f t="shared" si="2"/>
        <v>24.403599999999994</v>
      </c>
      <c r="C103">
        <f t="shared" si="3"/>
        <v>12.486122999999997</v>
      </c>
    </row>
    <row r="104" spans="1:3" x14ac:dyDescent="0.25">
      <c r="A104">
        <v>0.99</v>
      </c>
      <c r="B104">
        <f t="shared" si="2"/>
        <v>24.700899999999997</v>
      </c>
      <c r="C104">
        <f t="shared" si="3"/>
        <v>12.731645499999997</v>
      </c>
    </row>
    <row r="105" spans="1:3" x14ac:dyDescent="0.25">
      <c r="A105">
        <v>1</v>
      </c>
      <c r="B105">
        <f t="shared" si="2"/>
        <v>25</v>
      </c>
      <c r="C105">
        <f t="shared" si="3"/>
        <v>12.980149999999998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12DEF-9177-4C97-BCA8-590E8097B145}">
  <sheetPr codeName="Sheet2"/>
  <dimension ref="A3:C1005"/>
  <sheetViews>
    <sheetView topLeftCell="A202" workbookViewId="0">
      <selection activeCell="G1005" sqref="G1005"/>
    </sheetView>
  </sheetViews>
  <sheetFormatPr defaultRowHeight="15" x14ac:dyDescent="0.25"/>
  <sheetData>
    <row r="3" spans="1:3" x14ac:dyDescent="0.25">
      <c r="C3" t="s">
        <v>6</v>
      </c>
    </row>
    <row r="4" spans="1:3" x14ac:dyDescent="0.25">
      <c r="A4" t="s">
        <v>3</v>
      </c>
      <c r="B4" t="s">
        <v>1</v>
      </c>
      <c r="C4" t="s">
        <v>2</v>
      </c>
    </row>
    <row r="5" spans="1:3" x14ac:dyDescent="0.25">
      <c r="A5">
        <v>0</v>
      </c>
      <c r="B5">
        <v>0</v>
      </c>
      <c r="C5">
        <v>0</v>
      </c>
    </row>
    <row r="6" spans="1:3" x14ac:dyDescent="0.25">
      <c r="A6">
        <v>1E-3</v>
      </c>
      <c r="B6">
        <f>(2+3*A6)^2</f>
        <v>4.0120090000000008</v>
      </c>
      <c r="C6">
        <f>C5+(B6+B5)*(A6-A5)/2</f>
        <v>2.0060045000000006E-3</v>
      </c>
    </row>
    <row r="7" spans="1:3" x14ac:dyDescent="0.25">
      <c r="A7">
        <v>2E-3</v>
      </c>
      <c r="B7">
        <f t="shared" ref="B7:B70" si="0">(2+3*A7)^2</f>
        <v>4.0240359999999988</v>
      </c>
      <c r="C7">
        <f t="shared" ref="C7:C70" si="1">C6+(B7+B6)*(A7-A6)/2</f>
        <v>6.0240270000000012E-3</v>
      </c>
    </row>
    <row r="8" spans="1:3" x14ac:dyDescent="0.25">
      <c r="A8">
        <v>3.0000000000000001E-3</v>
      </c>
      <c r="B8">
        <f t="shared" si="0"/>
        <v>4.0360809999999994</v>
      </c>
      <c r="C8">
        <f t="shared" si="1"/>
        <v>1.0054085500000001E-2</v>
      </c>
    </row>
    <row r="9" spans="1:3" x14ac:dyDescent="0.25">
      <c r="A9">
        <v>4.0000000000000001E-3</v>
      </c>
      <c r="B9">
        <f t="shared" si="0"/>
        <v>4.0481439999999997</v>
      </c>
      <c r="C9">
        <f t="shared" si="1"/>
        <v>1.4096198000000001E-2</v>
      </c>
    </row>
    <row r="10" spans="1:3" x14ac:dyDescent="0.25">
      <c r="A10">
        <v>5.0000000000000001E-3</v>
      </c>
      <c r="B10">
        <f t="shared" si="0"/>
        <v>4.0602250000000009</v>
      </c>
      <c r="C10">
        <f t="shared" si="1"/>
        <v>1.8150382499999999E-2</v>
      </c>
    </row>
    <row r="11" spans="1:3" x14ac:dyDescent="0.25">
      <c r="A11">
        <v>6.0000000000000001E-3</v>
      </c>
      <c r="B11">
        <f t="shared" si="0"/>
        <v>4.0723239999999992</v>
      </c>
      <c r="C11">
        <f t="shared" si="1"/>
        <v>2.2216657000000001E-2</v>
      </c>
    </row>
    <row r="12" spans="1:3" x14ac:dyDescent="0.25">
      <c r="A12">
        <v>7.0000000000000001E-3</v>
      </c>
      <c r="B12">
        <f t="shared" si="0"/>
        <v>4.084441</v>
      </c>
      <c r="C12">
        <f t="shared" si="1"/>
        <v>2.6295039499999999E-2</v>
      </c>
    </row>
    <row r="13" spans="1:3" x14ac:dyDescent="0.25">
      <c r="A13">
        <v>8.0000000000000002E-3</v>
      </c>
      <c r="B13">
        <f t="shared" si="0"/>
        <v>4.0965759999999998</v>
      </c>
      <c r="C13">
        <f t="shared" si="1"/>
        <v>3.0385547999999998E-2</v>
      </c>
    </row>
    <row r="14" spans="1:3" x14ac:dyDescent="0.25">
      <c r="A14">
        <v>8.9999999999999993E-3</v>
      </c>
      <c r="B14">
        <f t="shared" si="0"/>
        <v>4.1087290000000003</v>
      </c>
      <c r="C14">
        <f t="shared" si="1"/>
        <v>3.4488200499999996E-2</v>
      </c>
    </row>
    <row r="15" spans="1:3" x14ac:dyDescent="0.25">
      <c r="A15">
        <v>0.01</v>
      </c>
      <c r="B15">
        <f t="shared" si="0"/>
        <v>4.1208999999999989</v>
      </c>
      <c r="C15">
        <f t="shared" si="1"/>
        <v>3.8603014999999997E-2</v>
      </c>
    </row>
    <row r="16" spans="1:3" x14ac:dyDescent="0.25">
      <c r="A16">
        <v>1.0999999999999999E-2</v>
      </c>
      <c r="B16">
        <f t="shared" si="0"/>
        <v>4.133089</v>
      </c>
      <c r="C16">
        <f t="shared" si="1"/>
        <v>4.2730009499999992E-2</v>
      </c>
    </row>
    <row r="17" spans="1:3" x14ac:dyDescent="0.25">
      <c r="A17">
        <v>1.2E-2</v>
      </c>
      <c r="B17">
        <f t="shared" si="0"/>
        <v>4.1452960000000001</v>
      </c>
      <c r="C17">
        <f t="shared" si="1"/>
        <v>4.6869201999999999E-2</v>
      </c>
    </row>
    <row r="18" spans="1:3" x14ac:dyDescent="0.25">
      <c r="A18">
        <v>1.2999999999999999E-2</v>
      </c>
      <c r="B18">
        <f t="shared" si="0"/>
        <v>4.1575210000000009</v>
      </c>
      <c r="C18">
        <f t="shared" si="1"/>
        <v>5.1020610499999994E-2</v>
      </c>
    </row>
    <row r="19" spans="1:3" x14ac:dyDescent="0.25">
      <c r="A19">
        <v>1.4E-2</v>
      </c>
      <c r="B19">
        <f t="shared" si="0"/>
        <v>4.1697639999999989</v>
      </c>
      <c r="C19">
        <f t="shared" si="1"/>
        <v>5.5184252999999996E-2</v>
      </c>
    </row>
    <row r="20" spans="1:3" x14ac:dyDescent="0.25">
      <c r="A20">
        <v>1.4999999999999999E-2</v>
      </c>
      <c r="B20">
        <f t="shared" si="0"/>
        <v>4.1820249999999994</v>
      </c>
      <c r="C20">
        <f t="shared" si="1"/>
        <v>5.9360147499999988E-2</v>
      </c>
    </row>
    <row r="21" spans="1:3" x14ac:dyDescent="0.25">
      <c r="A21">
        <v>1.6E-2</v>
      </c>
      <c r="B21">
        <f t="shared" si="0"/>
        <v>4.1943039999999998</v>
      </c>
      <c r="C21">
        <f t="shared" si="1"/>
        <v>6.3548311999999996E-2</v>
      </c>
    </row>
    <row r="22" spans="1:3" x14ac:dyDescent="0.25">
      <c r="A22">
        <v>1.7000000000000001E-2</v>
      </c>
      <c r="B22">
        <f t="shared" si="0"/>
        <v>4.2066010000000009</v>
      </c>
      <c r="C22">
        <f t="shared" si="1"/>
        <v>6.7748764500000003E-2</v>
      </c>
    </row>
    <row r="23" spans="1:3" x14ac:dyDescent="0.25">
      <c r="A23">
        <v>1.7999999999999999E-2</v>
      </c>
      <c r="B23">
        <f t="shared" si="0"/>
        <v>4.2189159999999992</v>
      </c>
      <c r="C23">
        <f t="shared" si="1"/>
        <v>7.1961522999999986E-2</v>
      </c>
    </row>
    <row r="24" spans="1:3" x14ac:dyDescent="0.25">
      <c r="A24">
        <v>1.9E-2</v>
      </c>
      <c r="B24">
        <f t="shared" si="0"/>
        <v>4.231249</v>
      </c>
      <c r="C24">
        <f t="shared" si="1"/>
        <v>7.618660549999999E-2</v>
      </c>
    </row>
    <row r="25" spans="1:3" x14ac:dyDescent="0.25">
      <c r="A25">
        <v>0.02</v>
      </c>
      <c r="B25">
        <f t="shared" si="0"/>
        <v>4.2435999999999998</v>
      </c>
      <c r="C25">
        <f t="shared" si="1"/>
        <v>8.0424029999999994E-2</v>
      </c>
    </row>
    <row r="26" spans="1:3" x14ac:dyDescent="0.25">
      <c r="A26">
        <v>2.1000000000000001E-2</v>
      </c>
      <c r="B26">
        <f t="shared" si="0"/>
        <v>4.2559690000000003</v>
      </c>
      <c r="C26">
        <f t="shared" si="1"/>
        <v>8.46738145E-2</v>
      </c>
    </row>
    <row r="27" spans="1:3" x14ac:dyDescent="0.25">
      <c r="A27">
        <v>2.1999999999999999E-2</v>
      </c>
      <c r="B27">
        <f t="shared" si="0"/>
        <v>4.2683559999999989</v>
      </c>
      <c r="C27">
        <f t="shared" si="1"/>
        <v>8.8935976999999986E-2</v>
      </c>
    </row>
    <row r="28" spans="1:3" x14ac:dyDescent="0.25">
      <c r="A28">
        <v>2.3E-2</v>
      </c>
      <c r="B28">
        <f t="shared" si="0"/>
        <v>4.280761</v>
      </c>
      <c r="C28">
        <f t="shared" si="1"/>
        <v>9.3210535499999983E-2</v>
      </c>
    </row>
    <row r="29" spans="1:3" x14ac:dyDescent="0.25">
      <c r="A29">
        <v>2.4E-2</v>
      </c>
      <c r="B29">
        <f t="shared" si="0"/>
        <v>4.2931840000000001</v>
      </c>
      <c r="C29">
        <f t="shared" si="1"/>
        <v>9.7497507999999983E-2</v>
      </c>
    </row>
    <row r="30" spans="1:3" x14ac:dyDescent="0.25">
      <c r="A30">
        <v>2.5000000000000001E-2</v>
      </c>
      <c r="B30">
        <f t="shared" si="0"/>
        <v>4.3056250000000009</v>
      </c>
      <c r="C30">
        <f t="shared" si="1"/>
        <v>0.10179691249999999</v>
      </c>
    </row>
    <row r="31" spans="1:3" x14ac:dyDescent="0.25">
      <c r="A31">
        <v>2.5999999999999999E-2</v>
      </c>
      <c r="B31">
        <f t="shared" si="0"/>
        <v>4.3180839999999989</v>
      </c>
      <c r="C31">
        <f t="shared" si="1"/>
        <v>0.10610876699999998</v>
      </c>
    </row>
    <row r="32" spans="1:3" x14ac:dyDescent="0.25">
      <c r="A32">
        <v>2.7E-2</v>
      </c>
      <c r="B32">
        <f t="shared" si="0"/>
        <v>4.3305609999999994</v>
      </c>
      <c r="C32">
        <f t="shared" si="1"/>
        <v>0.11043308949999998</v>
      </c>
    </row>
    <row r="33" spans="1:3" x14ac:dyDescent="0.25">
      <c r="A33">
        <v>2.8000000000000001E-2</v>
      </c>
      <c r="B33">
        <f t="shared" si="0"/>
        <v>4.3430560000000007</v>
      </c>
      <c r="C33">
        <f t="shared" si="1"/>
        <v>0.11476989799999998</v>
      </c>
    </row>
    <row r="34" spans="1:3" x14ac:dyDescent="0.25">
      <c r="A34">
        <v>2.9000000000000001E-2</v>
      </c>
      <c r="B34">
        <f t="shared" si="0"/>
        <v>4.3555690000000009</v>
      </c>
      <c r="C34">
        <f t="shared" si="1"/>
        <v>0.11911921049999999</v>
      </c>
    </row>
    <row r="35" spans="1:3" x14ac:dyDescent="0.25">
      <c r="A35">
        <v>0.03</v>
      </c>
      <c r="B35">
        <f t="shared" si="0"/>
        <v>4.3680999999999992</v>
      </c>
      <c r="C35">
        <f t="shared" si="1"/>
        <v>0.12348104499999998</v>
      </c>
    </row>
    <row r="36" spans="1:3" x14ac:dyDescent="0.25">
      <c r="A36">
        <v>3.1E-2</v>
      </c>
      <c r="B36">
        <f t="shared" si="0"/>
        <v>4.380649</v>
      </c>
      <c r="C36">
        <f t="shared" si="1"/>
        <v>0.12785541949999998</v>
      </c>
    </row>
    <row r="37" spans="1:3" x14ac:dyDescent="0.25">
      <c r="A37">
        <v>3.2000000000000001E-2</v>
      </c>
      <c r="B37">
        <f t="shared" si="0"/>
        <v>4.3932160000000007</v>
      </c>
      <c r="C37">
        <f t="shared" si="1"/>
        <v>0.13224235199999998</v>
      </c>
    </row>
    <row r="38" spans="1:3" x14ac:dyDescent="0.25">
      <c r="A38">
        <v>3.3000000000000002E-2</v>
      </c>
      <c r="B38">
        <f t="shared" si="0"/>
        <v>4.4058010000000012</v>
      </c>
      <c r="C38">
        <f t="shared" si="1"/>
        <v>0.13664186049999999</v>
      </c>
    </row>
    <row r="39" spans="1:3" x14ac:dyDescent="0.25">
      <c r="A39">
        <v>3.4000000000000002E-2</v>
      </c>
      <c r="B39">
        <f t="shared" si="0"/>
        <v>4.4184039999999998</v>
      </c>
      <c r="C39">
        <f t="shared" si="1"/>
        <v>0.141053963</v>
      </c>
    </row>
    <row r="40" spans="1:3" x14ac:dyDescent="0.25">
      <c r="A40">
        <v>3.5000000000000003E-2</v>
      </c>
      <c r="B40">
        <f t="shared" si="0"/>
        <v>4.431025</v>
      </c>
      <c r="C40">
        <f t="shared" si="1"/>
        <v>0.14547867750000001</v>
      </c>
    </row>
    <row r="41" spans="1:3" x14ac:dyDescent="0.25">
      <c r="A41">
        <v>3.5999999999999997E-2</v>
      </c>
      <c r="B41">
        <f t="shared" si="0"/>
        <v>4.4436640000000001</v>
      </c>
      <c r="C41">
        <f t="shared" si="1"/>
        <v>0.14991602199999998</v>
      </c>
    </row>
    <row r="42" spans="1:3" x14ac:dyDescent="0.25">
      <c r="A42">
        <v>3.6999999999999998E-2</v>
      </c>
      <c r="B42">
        <f t="shared" si="0"/>
        <v>4.4563209999999991</v>
      </c>
      <c r="C42">
        <f t="shared" si="1"/>
        <v>0.15436601449999998</v>
      </c>
    </row>
    <row r="43" spans="1:3" x14ac:dyDescent="0.25">
      <c r="A43">
        <v>3.7999999999999999E-2</v>
      </c>
      <c r="B43">
        <f t="shared" si="0"/>
        <v>4.4689959999999997</v>
      </c>
      <c r="C43">
        <f t="shared" si="1"/>
        <v>0.15882867299999998</v>
      </c>
    </row>
    <row r="44" spans="1:3" x14ac:dyDescent="0.25">
      <c r="A44">
        <v>3.9E-2</v>
      </c>
      <c r="B44">
        <f t="shared" si="0"/>
        <v>4.4816890000000003</v>
      </c>
      <c r="C44">
        <f t="shared" si="1"/>
        <v>0.16330401549999998</v>
      </c>
    </row>
    <row r="45" spans="1:3" x14ac:dyDescent="0.25">
      <c r="A45">
        <v>0.04</v>
      </c>
      <c r="B45">
        <f t="shared" si="0"/>
        <v>4.4944000000000006</v>
      </c>
      <c r="C45">
        <f t="shared" si="1"/>
        <v>0.16779205999999999</v>
      </c>
    </row>
    <row r="46" spans="1:3" x14ac:dyDescent="0.25">
      <c r="A46">
        <v>4.1000000000000002E-2</v>
      </c>
      <c r="B46">
        <f t="shared" si="0"/>
        <v>4.5071290000000008</v>
      </c>
      <c r="C46">
        <f t="shared" si="1"/>
        <v>0.1722928245</v>
      </c>
    </row>
    <row r="47" spans="1:3" x14ac:dyDescent="0.25">
      <c r="A47">
        <v>4.2000000000000003E-2</v>
      </c>
      <c r="B47">
        <f t="shared" si="0"/>
        <v>4.5198759999999991</v>
      </c>
      <c r="C47">
        <f t="shared" si="1"/>
        <v>0.17680632700000001</v>
      </c>
    </row>
    <row r="48" spans="1:3" x14ac:dyDescent="0.25">
      <c r="A48">
        <v>4.2999999999999997E-2</v>
      </c>
      <c r="B48">
        <f t="shared" si="0"/>
        <v>4.5326409999999999</v>
      </c>
      <c r="C48">
        <f t="shared" si="1"/>
        <v>0.18133258549999998</v>
      </c>
    </row>
    <row r="49" spans="1:3" x14ac:dyDescent="0.25">
      <c r="A49">
        <v>4.3999999999999997E-2</v>
      </c>
      <c r="B49">
        <f t="shared" si="0"/>
        <v>4.5454240000000006</v>
      </c>
      <c r="C49">
        <f t="shared" si="1"/>
        <v>0.18587161799999999</v>
      </c>
    </row>
    <row r="50" spans="1:3" x14ac:dyDescent="0.25">
      <c r="A50">
        <v>4.4999999999999998E-2</v>
      </c>
      <c r="B50">
        <f t="shared" si="0"/>
        <v>4.5582249999999993</v>
      </c>
      <c r="C50">
        <f t="shared" si="1"/>
        <v>0.19042344249999998</v>
      </c>
    </row>
    <row r="51" spans="1:3" x14ac:dyDescent="0.25">
      <c r="A51">
        <v>4.5999999999999999E-2</v>
      </c>
      <c r="B51">
        <f t="shared" si="0"/>
        <v>4.5710439999999997</v>
      </c>
      <c r="C51">
        <f t="shared" si="1"/>
        <v>0.19498807699999998</v>
      </c>
    </row>
    <row r="52" spans="1:3" x14ac:dyDescent="0.25">
      <c r="A52">
        <v>4.7E-2</v>
      </c>
      <c r="B52">
        <f t="shared" si="0"/>
        <v>4.5838809999999999</v>
      </c>
      <c r="C52">
        <f t="shared" si="1"/>
        <v>0.19956553949999997</v>
      </c>
    </row>
    <row r="53" spans="1:3" x14ac:dyDescent="0.25">
      <c r="A53">
        <v>4.8000000000000001E-2</v>
      </c>
      <c r="B53">
        <f t="shared" si="0"/>
        <v>4.5967360000000008</v>
      </c>
      <c r="C53">
        <f t="shared" si="1"/>
        <v>0.20415584799999997</v>
      </c>
    </row>
    <row r="54" spans="1:3" x14ac:dyDescent="0.25">
      <c r="A54">
        <v>4.9000000000000002E-2</v>
      </c>
      <c r="B54">
        <f t="shared" si="0"/>
        <v>4.6096090000000007</v>
      </c>
      <c r="C54">
        <f t="shared" si="1"/>
        <v>0.20875902049999998</v>
      </c>
    </row>
    <row r="55" spans="1:3" x14ac:dyDescent="0.25">
      <c r="A55">
        <v>0.05</v>
      </c>
      <c r="B55">
        <f t="shared" si="0"/>
        <v>4.6224999999999996</v>
      </c>
      <c r="C55">
        <f t="shared" si="1"/>
        <v>0.21337507499999997</v>
      </c>
    </row>
    <row r="56" spans="1:3" x14ac:dyDescent="0.25">
      <c r="A56">
        <v>5.0999999999999997E-2</v>
      </c>
      <c r="B56">
        <f t="shared" si="0"/>
        <v>4.6354090000000001</v>
      </c>
      <c r="C56">
        <f t="shared" si="1"/>
        <v>0.21800402949999995</v>
      </c>
    </row>
    <row r="57" spans="1:3" x14ac:dyDescent="0.25">
      <c r="A57">
        <v>5.1999999999999998E-2</v>
      </c>
      <c r="B57">
        <f t="shared" si="0"/>
        <v>4.6483360000000005</v>
      </c>
      <c r="C57">
        <f t="shared" si="1"/>
        <v>0.22264590199999995</v>
      </c>
    </row>
    <row r="58" spans="1:3" x14ac:dyDescent="0.25">
      <c r="A58">
        <v>5.2999999999999999E-2</v>
      </c>
      <c r="B58">
        <f t="shared" si="0"/>
        <v>4.6612809999999989</v>
      </c>
      <c r="C58">
        <f t="shared" si="1"/>
        <v>0.22730071049999995</v>
      </c>
    </row>
    <row r="59" spans="1:3" x14ac:dyDescent="0.25">
      <c r="A59">
        <v>5.3999999999999999E-2</v>
      </c>
      <c r="B59">
        <f t="shared" si="0"/>
        <v>4.6742439999999998</v>
      </c>
      <c r="C59">
        <f t="shared" si="1"/>
        <v>0.23196847299999995</v>
      </c>
    </row>
    <row r="60" spans="1:3" x14ac:dyDescent="0.25">
      <c r="A60">
        <v>5.5E-2</v>
      </c>
      <c r="B60">
        <f t="shared" si="0"/>
        <v>4.6872249999999998</v>
      </c>
      <c r="C60">
        <f t="shared" si="1"/>
        <v>0.23664920749999996</v>
      </c>
    </row>
    <row r="61" spans="1:3" x14ac:dyDescent="0.25">
      <c r="A61">
        <v>5.6000000000000001E-2</v>
      </c>
      <c r="B61">
        <f t="shared" si="0"/>
        <v>4.7002240000000004</v>
      </c>
      <c r="C61">
        <f t="shared" si="1"/>
        <v>0.24134293199999995</v>
      </c>
    </row>
    <row r="62" spans="1:3" x14ac:dyDescent="0.25">
      <c r="A62">
        <v>5.7000000000000002E-2</v>
      </c>
      <c r="B62">
        <f t="shared" si="0"/>
        <v>4.7132409999999991</v>
      </c>
      <c r="C62">
        <f t="shared" si="1"/>
        <v>0.24604966449999996</v>
      </c>
    </row>
    <row r="63" spans="1:3" x14ac:dyDescent="0.25">
      <c r="A63">
        <v>5.8000000000000003E-2</v>
      </c>
      <c r="B63">
        <f t="shared" si="0"/>
        <v>4.7262759999999995</v>
      </c>
      <c r="C63">
        <f t="shared" si="1"/>
        <v>0.25076942299999994</v>
      </c>
    </row>
    <row r="64" spans="1:3" x14ac:dyDescent="0.25">
      <c r="A64">
        <v>5.8999999999999997E-2</v>
      </c>
      <c r="B64">
        <f t="shared" si="0"/>
        <v>4.7393290000000006</v>
      </c>
      <c r="C64">
        <f t="shared" si="1"/>
        <v>0.2555022254999999</v>
      </c>
    </row>
    <row r="65" spans="1:3" x14ac:dyDescent="0.25">
      <c r="A65">
        <v>0.06</v>
      </c>
      <c r="B65">
        <f t="shared" si="0"/>
        <v>4.7524000000000006</v>
      </c>
      <c r="C65">
        <f t="shared" si="1"/>
        <v>0.26024808999999993</v>
      </c>
    </row>
    <row r="66" spans="1:3" x14ac:dyDescent="0.25">
      <c r="A66">
        <v>6.0999999999999999E-2</v>
      </c>
      <c r="B66">
        <f t="shared" si="0"/>
        <v>4.7654889999999996</v>
      </c>
      <c r="C66">
        <f t="shared" si="1"/>
        <v>0.26500703449999996</v>
      </c>
    </row>
    <row r="67" spans="1:3" x14ac:dyDescent="0.25">
      <c r="A67">
        <v>6.2E-2</v>
      </c>
      <c r="B67">
        <f t="shared" si="0"/>
        <v>4.7785959999999994</v>
      </c>
      <c r="C67">
        <f t="shared" si="1"/>
        <v>0.26977907699999998</v>
      </c>
    </row>
    <row r="68" spans="1:3" x14ac:dyDescent="0.25">
      <c r="A68">
        <v>6.3E-2</v>
      </c>
      <c r="B68">
        <f t="shared" si="0"/>
        <v>4.7917209999999999</v>
      </c>
      <c r="C68">
        <f t="shared" si="1"/>
        <v>0.27456423549999998</v>
      </c>
    </row>
    <row r="69" spans="1:3" x14ac:dyDescent="0.25">
      <c r="A69">
        <v>6.4000000000000001E-2</v>
      </c>
      <c r="B69">
        <f t="shared" si="0"/>
        <v>4.8048640000000011</v>
      </c>
      <c r="C69">
        <f t="shared" si="1"/>
        <v>0.279362528</v>
      </c>
    </row>
    <row r="70" spans="1:3" x14ac:dyDescent="0.25">
      <c r="A70">
        <v>6.5000000000000002E-2</v>
      </c>
      <c r="B70">
        <f t="shared" si="0"/>
        <v>4.8180249999999996</v>
      </c>
      <c r="C70">
        <f t="shared" si="1"/>
        <v>0.28417397249999998</v>
      </c>
    </row>
    <row r="71" spans="1:3" x14ac:dyDescent="0.25">
      <c r="A71">
        <v>6.6000000000000003E-2</v>
      </c>
      <c r="B71">
        <f t="shared" ref="B71:B134" si="2">(2+3*A71)^2</f>
        <v>4.8312039999999996</v>
      </c>
      <c r="C71">
        <f t="shared" ref="C71:C134" si="3">C70+(B71+B70)*(A71-A70)/2</f>
        <v>0.28899858699999997</v>
      </c>
    </row>
    <row r="72" spans="1:3" x14ac:dyDescent="0.25">
      <c r="A72">
        <v>6.7000000000000004E-2</v>
      </c>
      <c r="B72">
        <f t="shared" si="2"/>
        <v>4.8444010000000004</v>
      </c>
      <c r="C72">
        <f t="shared" si="3"/>
        <v>0.29383638949999996</v>
      </c>
    </row>
    <row r="73" spans="1:3" x14ac:dyDescent="0.25">
      <c r="A73">
        <v>6.8000000000000005E-2</v>
      </c>
      <c r="B73">
        <f t="shared" si="2"/>
        <v>4.857616000000001</v>
      </c>
      <c r="C73">
        <f t="shared" si="3"/>
        <v>0.29868739799999999</v>
      </c>
    </row>
    <row r="74" spans="1:3" x14ac:dyDescent="0.25">
      <c r="A74">
        <v>6.9000000000000006E-2</v>
      </c>
      <c r="B74">
        <f t="shared" si="2"/>
        <v>4.8708489999999998</v>
      </c>
      <c r="C74">
        <f t="shared" si="3"/>
        <v>0.3035516305</v>
      </c>
    </row>
    <row r="75" spans="1:3" x14ac:dyDescent="0.25">
      <c r="A75">
        <v>7.0000000000000007E-2</v>
      </c>
      <c r="B75">
        <f t="shared" si="2"/>
        <v>4.8841000000000001</v>
      </c>
      <c r="C75">
        <f t="shared" si="3"/>
        <v>0.30842910499999998</v>
      </c>
    </row>
    <row r="76" spans="1:3" x14ac:dyDescent="0.25">
      <c r="A76">
        <v>7.0999999999999994E-2</v>
      </c>
      <c r="B76">
        <f t="shared" si="2"/>
        <v>4.8973690000000003</v>
      </c>
      <c r="C76">
        <f t="shared" si="3"/>
        <v>0.31331983949999992</v>
      </c>
    </row>
    <row r="77" spans="1:3" x14ac:dyDescent="0.25">
      <c r="A77">
        <v>7.1999999999999995E-2</v>
      </c>
      <c r="B77">
        <f t="shared" si="2"/>
        <v>4.9106560000000012</v>
      </c>
      <c r="C77">
        <f t="shared" si="3"/>
        <v>0.31822385199999992</v>
      </c>
    </row>
    <row r="78" spans="1:3" x14ac:dyDescent="0.25">
      <c r="A78">
        <v>7.2999999999999995E-2</v>
      </c>
      <c r="B78">
        <f t="shared" si="2"/>
        <v>4.9239609999999994</v>
      </c>
      <c r="C78">
        <f t="shared" si="3"/>
        <v>0.32314116049999991</v>
      </c>
    </row>
    <row r="79" spans="1:3" x14ac:dyDescent="0.25">
      <c r="A79">
        <v>7.3999999999999996E-2</v>
      </c>
      <c r="B79">
        <f t="shared" si="2"/>
        <v>4.937284</v>
      </c>
      <c r="C79">
        <f t="shared" si="3"/>
        <v>0.32807178299999989</v>
      </c>
    </row>
    <row r="80" spans="1:3" x14ac:dyDescent="0.25">
      <c r="A80">
        <v>7.4999999999999997E-2</v>
      </c>
      <c r="B80">
        <f t="shared" si="2"/>
        <v>4.9506250000000005</v>
      </c>
      <c r="C80">
        <f t="shared" si="3"/>
        <v>0.33301573749999991</v>
      </c>
    </row>
    <row r="81" spans="1:3" x14ac:dyDescent="0.25">
      <c r="A81">
        <v>7.5999999999999998E-2</v>
      </c>
      <c r="B81">
        <f t="shared" si="2"/>
        <v>4.9639839999999991</v>
      </c>
      <c r="C81">
        <f t="shared" si="3"/>
        <v>0.33797304199999989</v>
      </c>
    </row>
    <row r="82" spans="1:3" x14ac:dyDescent="0.25">
      <c r="A82">
        <v>7.6999999999999999E-2</v>
      </c>
      <c r="B82">
        <f t="shared" si="2"/>
        <v>4.9773609999999993</v>
      </c>
      <c r="C82">
        <f t="shared" si="3"/>
        <v>0.34294371449999989</v>
      </c>
    </row>
    <row r="83" spans="1:3" x14ac:dyDescent="0.25">
      <c r="A83">
        <v>7.8E-2</v>
      </c>
      <c r="B83">
        <f t="shared" si="2"/>
        <v>4.9907560000000002</v>
      </c>
      <c r="C83">
        <f t="shared" si="3"/>
        <v>0.34792777299999988</v>
      </c>
    </row>
    <row r="84" spans="1:3" x14ac:dyDescent="0.25">
      <c r="A84">
        <v>7.9000000000000001E-2</v>
      </c>
      <c r="B84">
        <f t="shared" si="2"/>
        <v>5.0041690000000001</v>
      </c>
      <c r="C84">
        <f t="shared" si="3"/>
        <v>0.35292523549999988</v>
      </c>
    </row>
    <row r="85" spans="1:3" x14ac:dyDescent="0.25">
      <c r="A85">
        <v>0.08</v>
      </c>
      <c r="B85">
        <f t="shared" si="2"/>
        <v>5.0176000000000007</v>
      </c>
      <c r="C85">
        <f t="shared" si="3"/>
        <v>0.35793611999999986</v>
      </c>
    </row>
    <row r="86" spans="1:3" x14ac:dyDescent="0.25">
      <c r="A86">
        <v>8.1000000000000003E-2</v>
      </c>
      <c r="B86">
        <f t="shared" si="2"/>
        <v>5.0310489999999994</v>
      </c>
      <c r="C86">
        <f t="shared" si="3"/>
        <v>0.36296044449999987</v>
      </c>
    </row>
    <row r="87" spans="1:3" x14ac:dyDescent="0.25">
      <c r="A87">
        <v>8.2000000000000003E-2</v>
      </c>
      <c r="B87">
        <f t="shared" si="2"/>
        <v>5.0445159999999998</v>
      </c>
      <c r="C87">
        <f t="shared" si="3"/>
        <v>0.36799822699999984</v>
      </c>
    </row>
    <row r="88" spans="1:3" x14ac:dyDescent="0.25">
      <c r="A88">
        <v>8.3000000000000004E-2</v>
      </c>
      <c r="B88">
        <f t="shared" si="2"/>
        <v>5.0580010000000009</v>
      </c>
      <c r="C88">
        <f t="shared" si="3"/>
        <v>0.37304948549999983</v>
      </c>
    </row>
    <row r="89" spans="1:3" x14ac:dyDescent="0.25">
      <c r="A89">
        <v>8.4000000000000005E-2</v>
      </c>
      <c r="B89">
        <f t="shared" si="2"/>
        <v>5.0715039999999991</v>
      </c>
      <c r="C89">
        <f t="shared" si="3"/>
        <v>0.37811423799999982</v>
      </c>
    </row>
    <row r="90" spans="1:3" x14ac:dyDescent="0.25">
      <c r="A90">
        <v>8.5000000000000006E-2</v>
      </c>
      <c r="B90">
        <f t="shared" si="2"/>
        <v>5.0850249999999999</v>
      </c>
      <c r="C90">
        <f t="shared" si="3"/>
        <v>0.38319250249999981</v>
      </c>
    </row>
    <row r="91" spans="1:3" x14ac:dyDescent="0.25">
      <c r="A91">
        <v>8.5999999999999993E-2</v>
      </c>
      <c r="B91">
        <f t="shared" si="2"/>
        <v>5.0985639999999997</v>
      </c>
      <c r="C91">
        <f t="shared" si="3"/>
        <v>0.38828429699999972</v>
      </c>
    </row>
    <row r="92" spans="1:3" x14ac:dyDescent="0.25">
      <c r="A92">
        <v>8.6999999999999994E-2</v>
      </c>
      <c r="B92">
        <f t="shared" si="2"/>
        <v>5.1121210000000001</v>
      </c>
      <c r="C92">
        <f t="shared" si="3"/>
        <v>0.39338963949999972</v>
      </c>
    </row>
    <row r="93" spans="1:3" x14ac:dyDescent="0.25">
      <c r="A93">
        <v>8.7999999999999995E-2</v>
      </c>
      <c r="B93">
        <f t="shared" si="2"/>
        <v>5.1256960000000014</v>
      </c>
      <c r="C93">
        <f t="shared" si="3"/>
        <v>0.39850854799999974</v>
      </c>
    </row>
    <row r="94" spans="1:3" x14ac:dyDescent="0.25">
      <c r="A94">
        <v>8.8999999999999996E-2</v>
      </c>
      <c r="B94">
        <f t="shared" si="2"/>
        <v>5.1392889999999998</v>
      </c>
      <c r="C94">
        <f t="shared" si="3"/>
        <v>0.40364104049999977</v>
      </c>
    </row>
    <row r="95" spans="1:3" x14ac:dyDescent="0.25">
      <c r="A95">
        <v>0.09</v>
      </c>
      <c r="B95">
        <f t="shared" si="2"/>
        <v>5.1528999999999998</v>
      </c>
      <c r="C95">
        <f t="shared" si="3"/>
        <v>0.4087871349999998</v>
      </c>
    </row>
    <row r="96" spans="1:3" x14ac:dyDescent="0.25">
      <c r="A96">
        <v>9.0999999999999998E-2</v>
      </c>
      <c r="B96">
        <f t="shared" si="2"/>
        <v>5.1665290000000006</v>
      </c>
      <c r="C96">
        <f t="shared" si="3"/>
        <v>0.41394684949999982</v>
      </c>
    </row>
    <row r="97" spans="1:3" x14ac:dyDescent="0.25">
      <c r="A97">
        <v>9.1999999999999998E-2</v>
      </c>
      <c r="B97">
        <f t="shared" si="2"/>
        <v>5.1801759999999994</v>
      </c>
      <c r="C97">
        <f t="shared" si="3"/>
        <v>0.41912020199999983</v>
      </c>
    </row>
    <row r="98" spans="1:3" x14ac:dyDescent="0.25">
      <c r="A98">
        <v>9.2999999999999999E-2</v>
      </c>
      <c r="B98">
        <f t="shared" si="2"/>
        <v>5.1938409999999999</v>
      </c>
      <c r="C98">
        <f t="shared" si="3"/>
        <v>0.42430721049999981</v>
      </c>
    </row>
    <row r="99" spans="1:3" x14ac:dyDescent="0.25">
      <c r="A99">
        <v>9.4E-2</v>
      </c>
      <c r="B99">
        <f t="shared" si="2"/>
        <v>5.2075240000000003</v>
      </c>
      <c r="C99">
        <f t="shared" si="3"/>
        <v>0.42950789299999981</v>
      </c>
    </row>
    <row r="100" spans="1:3" x14ac:dyDescent="0.25">
      <c r="A100">
        <v>9.5000000000000001E-2</v>
      </c>
      <c r="B100">
        <f t="shared" si="2"/>
        <v>5.2212250000000004</v>
      </c>
      <c r="C100">
        <f t="shared" si="3"/>
        <v>0.43472226749999981</v>
      </c>
    </row>
    <row r="101" spans="1:3" x14ac:dyDescent="0.25">
      <c r="A101">
        <v>9.6000000000000002E-2</v>
      </c>
      <c r="B101">
        <f t="shared" si="2"/>
        <v>5.2349440000000014</v>
      </c>
      <c r="C101">
        <f t="shared" si="3"/>
        <v>0.43995035199999982</v>
      </c>
    </row>
    <row r="102" spans="1:3" x14ac:dyDescent="0.25">
      <c r="A102">
        <v>9.7000000000000003E-2</v>
      </c>
      <c r="B102">
        <f t="shared" si="2"/>
        <v>5.2486809999999995</v>
      </c>
      <c r="C102">
        <f t="shared" si="3"/>
        <v>0.44519216449999982</v>
      </c>
    </row>
    <row r="103" spans="1:3" x14ac:dyDescent="0.25">
      <c r="A103">
        <v>9.8000000000000004E-2</v>
      </c>
      <c r="B103">
        <f t="shared" si="2"/>
        <v>5.2624360000000001</v>
      </c>
      <c r="C103">
        <f t="shared" si="3"/>
        <v>0.4504477229999998</v>
      </c>
    </row>
    <row r="104" spans="1:3" x14ac:dyDescent="0.25">
      <c r="A104">
        <v>9.9000000000000005E-2</v>
      </c>
      <c r="B104">
        <f t="shared" si="2"/>
        <v>5.2762090000000006</v>
      </c>
      <c r="C104">
        <f t="shared" si="3"/>
        <v>0.45571704549999981</v>
      </c>
    </row>
    <row r="105" spans="1:3" x14ac:dyDescent="0.25">
      <c r="A105">
        <v>0.1</v>
      </c>
      <c r="B105">
        <f t="shared" si="2"/>
        <v>5.2899999999999991</v>
      </c>
      <c r="C105">
        <f t="shared" si="3"/>
        <v>0.46100014999999983</v>
      </c>
    </row>
    <row r="106" spans="1:3" x14ac:dyDescent="0.25">
      <c r="A106">
        <v>0.10100000000000001</v>
      </c>
      <c r="B106">
        <f t="shared" si="2"/>
        <v>5.3038089999999993</v>
      </c>
      <c r="C106">
        <f t="shared" si="3"/>
        <v>0.46629705449999981</v>
      </c>
    </row>
    <row r="107" spans="1:3" x14ac:dyDescent="0.25">
      <c r="A107">
        <v>0.10199999999999999</v>
      </c>
      <c r="B107">
        <f t="shared" si="2"/>
        <v>5.3176360000000003</v>
      </c>
      <c r="C107">
        <f t="shared" si="3"/>
        <v>0.47160777699999973</v>
      </c>
    </row>
    <row r="108" spans="1:3" x14ac:dyDescent="0.25">
      <c r="A108">
        <v>0.10299999999999999</v>
      </c>
      <c r="B108">
        <f t="shared" si="2"/>
        <v>5.331481000000001</v>
      </c>
      <c r="C108">
        <f t="shared" si="3"/>
        <v>0.47693233549999975</v>
      </c>
    </row>
    <row r="109" spans="1:3" x14ac:dyDescent="0.25">
      <c r="A109">
        <v>0.104</v>
      </c>
      <c r="B109">
        <f t="shared" si="2"/>
        <v>5.345343999999999</v>
      </c>
      <c r="C109">
        <f t="shared" si="3"/>
        <v>0.48227074799999975</v>
      </c>
    </row>
    <row r="110" spans="1:3" x14ac:dyDescent="0.25">
      <c r="A110">
        <v>0.105</v>
      </c>
      <c r="B110">
        <f t="shared" si="2"/>
        <v>5.3592249999999995</v>
      </c>
      <c r="C110">
        <f t="shared" si="3"/>
        <v>0.48762303249999978</v>
      </c>
    </row>
    <row r="111" spans="1:3" x14ac:dyDescent="0.25">
      <c r="A111">
        <v>0.106</v>
      </c>
      <c r="B111">
        <f t="shared" si="2"/>
        <v>5.3731240000000007</v>
      </c>
      <c r="C111">
        <f t="shared" si="3"/>
        <v>0.49298920699999976</v>
      </c>
    </row>
    <row r="112" spans="1:3" x14ac:dyDescent="0.25">
      <c r="A112">
        <v>0.107</v>
      </c>
      <c r="B112">
        <f t="shared" si="2"/>
        <v>5.3870410000000009</v>
      </c>
      <c r="C112">
        <f t="shared" si="3"/>
        <v>0.49836928949999976</v>
      </c>
    </row>
    <row r="113" spans="1:3" x14ac:dyDescent="0.25">
      <c r="A113">
        <v>0.108</v>
      </c>
      <c r="B113">
        <f t="shared" si="2"/>
        <v>5.4009759999999991</v>
      </c>
      <c r="C113">
        <f t="shared" si="3"/>
        <v>0.50376329799999975</v>
      </c>
    </row>
    <row r="114" spans="1:3" x14ac:dyDescent="0.25">
      <c r="A114">
        <v>0.109</v>
      </c>
      <c r="B114">
        <f t="shared" si="2"/>
        <v>5.4149289999999999</v>
      </c>
      <c r="C114">
        <f t="shared" si="3"/>
        <v>0.50917125049999978</v>
      </c>
    </row>
    <row r="115" spans="1:3" x14ac:dyDescent="0.25">
      <c r="A115">
        <v>0.11</v>
      </c>
      <c r="B115">
        <f t="shared" si="2"/>
        <v>5.4289000000000005</v>
      </c>
      <c r="C115">
        <f t="shared" si="3"/>
        <v>0.51459316499999974</v>
      </c>
    </row>
    <row r="116" spans="1:3" x14ac:dyDescent="0.25">
      <c r="A116">
        <v>0.111</v>
      </c>
      <c r="B116">
        <f t="shared" si="2"/>
        <v>5.442889000000001</v>
      </c>
      <c r="C116">
        <f t="shared" si="3"/>
        <v>0.52002905949999978</v>
      </c>
    </row>
    <row r="117" spans="1:3" x14ac:dyDescent="0.25">
      <c r="A117">
        <v>0.112</v>
      </c>
      <c r="B117">
        <f t="shared" si="2"/>
        <v>5.4568959999999995</v>
      </c>
      <c r="C117">
        <f t="shared" si="3"/>
        <v>0.52547895199999983</v>
      </c>
    </row>
    <row r="118" spans="1:3" x14ac:dyDescent="0.25">
      <c r="A118">
        <v>0.113</v>
      </c>
      <c r="B118">
        <f t="shared" si="2"/>
        <v>5.4709209999999997</v>
      </c>
      <c r="C118">
        <f t="shared" si="3"/>
        <v>0.53094286049999984</v>
      </c>
    </row>
    <row r="119" spans="1:3" x14ac:dyDescent="0.25">
      <c r="A119">
        <v>0.114</v>
      </c>
      <c r="B119">
        <f t="shared" si="2"/>
        <v>5.4849640000000006</v>
      </c>
      <c r="C119">
        <f t="shared" si="3"/>
        <v>0.53642080299999984</v>
      </c>
    </row>
    <row r="120" spans="1:3" x14ac:dyDescent="0.25">
      <c r="A120">
        <v>0.115</v>
      </c>
      <c r="B120">
        <f t="shared" si="2"/>
        <v>5.4990250000000005</v>
      </c>
      <c r="C120">
        <f t="shared" si="3"/>
        <v>0.54191279749999988</v>
      </c>
    </row>
    <row r="121" spans="1:3" x14ac:dyDescent="0.25">
      <c r="A121">
        <v>0.11600000000000001</v>
      </c>
      <c r="B121">
        <f t="shared" si="2"/>
        <v>5.5131039999999993</v>
      </c>
      <c r="C121">
        <f t="shared" si="3"/>
        <v>0.5474188619999999</v>
      </c>
    </row>
    <row r="122" spans="1:3" x14ac:dyDescent="0.25">
      <c r="A122">
        <v>0.11700000000000001</v>
      </c>
      <c r="B122">
        <f t="shared" si="2"/>
        <v>5.5272009999999998</v>
      </c>
      <c r="C122">
        <f t="shared" si="3"/>
        <v>0.55293901449999994</v>
      </c>
    </row>
    <row r="123" spans="1:3" x14ac:dyDescent="0.25">
      <c r="A123">
        <v>0.11799999999999999</v>
      </c>
      <c r="B123">
        <f t="shared" si="2"/>
        <v>5.5413160000000001</v>
      </c>
      <c r="C123">
        <f t="shared" si="3"/>
        <v>0.55847327299999983</v>
      </c>
    </row>
    <row r="124" spans="1:3" x14ac:dyDescent="0.25">
      <c r="A124">
        <v>0.11899999999999999</v>
      </c>
      <c r="B124">
        <f t="shared" si="2"/>
        <v>5.5554490000000012</v>
      </c>
      <c r="C124">
        <f t="shared" si="3"/>
        <v>0.56402165549999983</v>
      </c>
    </row>
    <row r="125" spans="1:3" x14ac:dyDescent="0.25">
      <c r="A125">
        <v>0.12</v>
      </c>
      <c r="B125">
        <f t="shared" si="2"/>
        <v>5.5695999999999994</v>
      </c>
      <c r="C125">
        <f t="shared" si="3"/>
        <v>0.56958417999999988</v>
      </c>
    </row>
    <row r="126" spans="1:3" x14ac:dyDescent="0.25">
      <c r="A126">
        <v>0.121</v>
      </c>
      <c r="B126">
        <f t="shared" si="2"/>
        <v>5.5837690000000002</v>
      </c>
      <c r="C126">
        <f t="shared" si="3"/>
        <v>0.57516086449999992</v>
      </c>
    </row>
    <row r="127" spans="1:3" x14ac:dyDescent="0.25">
      <c r="A127">
        <v>0.122</v>
      </c>
      <c r="B127">
        <f t="shared" si="2"/>
        <v>5.5979560000000008</v>
      </c>
      <c r="C127">
        <f t="shared" si="3"/>
        <v>0.58075172699999988</v>
      </c>
    </row>
    <row r="128" spans="1:3" x14ac:dyDescent="0.25">
      <c r="A128">
        <v>0.123</v>
      </c>
      <c r="B128">
        <f t="shared" si="2"/>
        <v>5.6121609999999986</v>
      </c>
      <c r="C128">
        <f t="shared" si="3"/>
        <v>0.58635678549999992</v>
      </c>
    </row>
    <row r="129" spans="1:3" x14ac:dyDescent="0.25">
      <c r="A129">
        <v>0.124</v>
      </c>
      <c r="B129">
        <f t="shared" si="2"/>
        <v>5.6263839999999998</v>
      </c>
      <c r="C129">
        <f t="shared" si="3"/>
        <v>0.59197605799999997</v>
      </c>
    </row>
    <row r="130" spans="1:3" x14ac:dyDescent="0.25">
      <c r="A130">
        <v>0.125</v>
      </c>
      <c r="B130">
        <f t="shared" si="2"/>
        <v>5.640625</v>
      </c>
      <c r="C130">
        <f t="shared" si="3"/>
        <v>0.59760956249999997</v>
      </c>
    </row>
    <row r="131" spans="1:3" x14ac:dyDescent="0.25">
      <c r="A131">
        <v>0.126</v>
      </c>
      <c r="B131">
        <f t="shared" si="2"/>
        <v>5.6548840000000009</v>
      </c>
      <c r="C131">
        <f t="shared" si="3"/>
        <v>0.60325731699999996</v>
      </c>
    </row>
    <row r="132" spans="1:3" x14ac:dyDescent="0.25">
      <c r="A132">
        <v>0.127</v>
      </c>
      <c r="B132">
        <f t="shared" si="2"/>
        <v>5.6691610000000008</v>
      </c>
      <c r="C132">
        <f t="shared" si="3"/>
        <v>0.60891933949999999</v>
      </c>
    </row>
    <row r="133" spans="1:3" x14ac:dyDescent="0.25">
      <c r="A133">
        <v>0.128</v>
      </c>
      <c r="B133">
        <f t="shared" si="2"/>
        <v>5.6834559999999996</v>
      </c>
      <c r="C133">
        <f t="shared" si="3"/>
        <v>0.61459564799999999</v>
      </c>
    </row>
    <row r="134" spans="1:3" x14ac:dyDescent="0.25">
      <c r="A134">
        <v>0.129</v>
      </c>
      <c r="B134">
        <f t="shared" si="2"/>
        <v>5.6977690000000001</v>
      </c>
      <c r="C134">
        <f t="shared" si="3"/>
        <v>0.62028626050000002</v>
      </c>
    </row>
    <row r="135" spans="1:3" x14ac:dyDescent="0.25">
      <c r="A135">
        <v>0.13</v>
      </c>
      <c r="B135">
        <f t="shared" ref="B135:B198" si="4">(2+3*A135)^2</f>
        <v>5.7121000000000004</v>
      </c>
      <c r="C135">
        <f t="shared" ref="C135:C198" si="5">C134+(B135+B134)*(A135-A134)/2</f>
        <v>0.625991195</v>
      </c>
    </row>
    <row r="136" spans="1:3" x14ac:dyDescent="0.25">
      <c r="A136">
        <v>0.13100000000000001</v>
      </c>
      <c r="B136">
        <f t="shared" si="4"/>
        <v>5.7264489999999988</v>
      </c>
      <c r="C136">
        <f t="shared" si="5"/>
        <v>0.63171046949999998</v>
      </c>
    </row>
    <row r="137" spans="1:3" x14ac:dyDescent="0.25">
      <c r="A137">
        <v>0.13200000000000001</v>
      </c>
      <c r="B137">
        <f t="shared" si="4"/>
        <v>5.7408159999999997</v>
      </c>
      <c r="C137">
        <f t="shared" si="5"/>
        <v>0.63744410200000001</v>
      </c>
    </row>
    <row r="138" spans="1:3" x14ac:dyDescent="0.25">
      <c r="A138">
        <v>0.13300000000000001</v>
      </c>
      <c r="B138">
        <f t="shared" si="4"/>
        <v>5.7552010000000005</v>
      </c>
      <c r="C138">
        <f t="shared" si="5"/>
        <v>0.64319211050000002</v>
      </c>
    </row>
    <row r="139" spans="1:3" x14ac:dyDescent="0.25">
      <c r="A139">
        <v>0.13400000000000001</v>
      </c>
      <c r="B139">
        <f t="shared" si="4"/>
        <v>5.7696040000000011</v>
      </c>
      <c r="C139">
        <f t="shared" si="5"/>
        <v>0.64895451300000007</v>
      </c>
    </row>
    <row r="140" spans="1:3" x14ac:dyDescent="0.25">
      <c r="A140">
        <v>0.13500000000000001</v>
      </c>
      <c r="B140">
        <f t="shared" si="4"/>
        <v>5.7840250000000015</v>
      </c>
      <c r="C140">
        <f t="shared" si="5"/>
        <v>0.65473132750000007</v>
      </c>
    </row>
    <row r="141" spans="1:3" x14ac:dyDescent="0.25">
      <c r="A141">
        <v>0.13600000000000001</v>
      </c>
      <c r="B141">
        <f t="shared" si="4"/>
        <v>5.7984639999999992</v>
      </c>
      <c r="C141">
        <f t="shared" si="5"/>
        <v>0.66052257200000009</v>
      </c>
    </row>
    <row r="142" spans="1:3" x14ac:dyDescent="0.25">
      <c r="A142">
        <v>0.13700000000000001</v>
      </c>
      <c r="B142">
        <f t="shared" si="4"/>
        <v>5.8129210000000002</v>
      </c>
      <c r="C142">
        <f t="shared" si="5"/>
        <v>0.66632826450000004</v>
      </c>
    </row>
    <row r="143" spans="1:3" x14ac:dyDescent="0.25">
      <c r="A143">
        <v>0.13800000000000001</v>
      </c>
      <c r="B143">
        <f t="shared" si="4"/>
        <v>5.8273960000000011</v>
      </c>
      <c r="C143">
        <f t="shared" si="5"/>
        <v>0.67214842300000011</v>
      </c>
    </row>
    <row r="144" spans="1:3" x14ac:dyDescent="0.25">
      <c r="A144">
        <v>0.13900000000000001</v>
      </c>
      <c r="B144">
        <f t="shared" si="4"/>
        <v>5.8418889999999992</v>
      </c>
      <c r="C144">
        <f t="shared" si="5"/>
        <v>0.67798306550000009</v>
      </c>
    </row>
    <row r="145" spans="1:3" x14ac:dyDescent="0.25">
      <c r="A145">
        <v>0.14000000000000001</v>
      </c>
      <c r="B145">
        <f t="shared" si="4"/>
        <v>5.8563999999999998</v>
      </c>
      <c r="C145">
        <f t="shared" si="5"/>
        <v>0.68383221000000005</v>
      </c>
    </row>
    <row r="146" spans="1:3" x14ac:dyDescent="0.25">
      <c r="A146">
        <v>0.14099999999999999</v>
      </c>
      <c r="B146">
        <f t="shared" si="4"/>
        <v>5.8709290000000003</v>
      </c>
      <c r="C146">
        <f t="shared" si="5"/>
        <v>0.68969587449999992</v>
      </c>
    </row>
    <row r="147" spans="1:3" x14ac:dyDescent="0.25">
      <c r="A147">
        <v>0.14199999999999999</v>
      </c>
      <c r="B147">
        <f t="shared" si="4"/>
        <v>5.8854760000000006</v>
      </c>
      <c r="C147">
        <f t="shared" si="5"/>
        <v>0.69557407699999996</v>
      </c>
    </row>
    <row r="148" spans="1:3" x14ac:dyDescent="0.25">
      <c r="A148">
        <v>0.14299999999999999</v>
      </c>
      <c r="B148">
        <f t="shared" si="4"/>
        <v>5.900040999999999</v>
      </c>
      <c r="C148">
        <f t="shared" si="5"/>
        <v>0.7014668355</v>
      </c>
    </row>
    <row r="149" spans="1:3" x14ac:dyDescent="0.25">
      <c r="A149">
        <v>0.14399999999999999</v>
      </c>
      <c r="B149">
        <f t="shared" si="4"/>
        <v>5.9146239999999999</v>
      </c>
      <c r="C149">
        <f t="shared" si="5"/>
        <v>0.70737416799999997</v>
      </c>
    </row>
    <row r="150" spans="1:3" x14ac:dyDescent="0.25">
      <c r="A150">
        <v>0.14499999999999999</v>
      </c>
      <c r="B150">
        <f t="shared" si="4"/>
        <v>5.9292250000000006</v>
      </c>
      <c r="C150">
        <f t="shared" si="5"/>
        <v>0.71329609249999992</v>
      </c>
    </row>
    <row r="151" spans="1:3" x14ac:dyDescent="0.25">
      <c r="A151">
        <v>0.14599999999999999</v>
      </c>
      <c r="B151">
        <f t="shared" si="4"/>
        <v>5.9438439999999986</v>
      </c>
      <c r="C151">
        <f t="shared" si="5"/>
        <v>0.7192326269999999</v>
      </c>
    </row>
    <row r="152" spans="1:3" x14ac:dyDescent="0.25">
      <c r="A152">
        <v>0.14699999999999999</v>
      </c>
      <c r="B152">
        <f t="shared" si="4"/>
        <v>5.958480999999999</v>
      </c>
      <c r="C152">
        <f t="shared" si="5"/>
        <v>0.72518378949999995</v>
      </c>
    </row>
    <row r="153" spans="1:3" x14ac:dyDescent="0.25">
      <c r="A153">
        <v>0.14799999999999999</v>
      </c>
      <c r="B153">
        <f t="shared" si="4"/>
        <v>5.9731359999999993</v>
      </c>
      <c r="C153">
        <f t="shared" si="5"/>
        <v>0.73114959800000001</v>
      </c>
    </row>
    <row r="154" spans="1:3" x14ac:dyDescent="0.25">
      <c r="A154">
        <v>0.14899999999999999</v>
      </c>
      <c r="B154">
        <f t="shared" si="4"/>
        <v>5.9878090000000004</v>
      </c>
      <c r="C154">
        <f t="shared" si="5"/>
        <v>0.73713007050000001</v>
      </c>
    </row>
    <row r="155" spans="1:3" x14ac:dyDescent="0.25">
      <c r="A155">
        <v>0.15</v>
      </c>
      <c r="B155">
        <f t="shared" si="4"/>
        <v>6.0025000000000013</v>
      </c>
      <c r="C155">
        <f t="shared" si="5"/>
        <v>0.743125225</v>
      </c>
    </row>
    <row r="156" spans="1:3" x14ac:dyDescent="0.25">
      <c r="A156">
        <v>0.151</v>
      </c>
      <c r="B156">
        <f t="shared" si="4"/>
        <v>6.0172089999999994</v>
      </c>
      <c r="C156">
        <f t="shared" si="5"/>
        <v>0.74913507950000002</v>
      </c>
    </row>
    <row r="157" spans="1:3" x14ac:dyDescent="0.25">
      <c r="A157">
        <v>0.152</v>
      </c>
      <c r="B157">
        <f t="shared" si="4"/>
        <v>6.031936</v>
      </c>
      <c r="C157">
        <f t="shared" si="5"/>
        <v>0.75515965200000001</v>
      </c>
    </row>
    <row r="158" spans="1:3" x14ac:dyDescent="0.25">
      <c r="A158">
        <v>0.153</v>
      </c>
      <c r="B158">
        <f t="shared" si="4"/>
        <v>6.0466810000000004</v>
      </c>
      <c r="C158">
        <f t="shared" si="5"/>
        <v>0.76119896050000002</v>
      </c>
    </row>
    <row r="159" spans="1:3" x14ac:dyDescent="0.25">
      <c r="A159">
        <v>0.154</v>
      </c>
      <c r="B159">
        <f t="shared" si="4"/>
        <v>6.0614439999999989</v>
      </c>
      <c r="C159">
        <f t="shared" si="5"/>
        <v>0.76725302299999998</v>
      </c>
    </row>
    <row r="160" spans="1:3" x14ac:dyDescent="0.25">
      <c r="A160">
        <v>0.155</v>
      </c>
      <c r="B160">
        <f t="shared" si="4"/>
        <v>6.0762249999999991</v>
      </c>
      <c r="C160">
        <f t="shared" si="5"/>
        <v>0.77332185749999993</v>
      </c>
    </row>
    <row r="161" spans="1:3" x14ac:dyDescent="0.25">
      <c r="A161">
        <v>0.156</v>
      </c>
      <c r="B161">
        <f t="shared" si="4"/>
        <v>6.091024</v>
      </c>
      <c r="C161">
        <f t="shared" si="5"/>
        <v>0.77940548199999993</v>
      </c>
    </row>
    <row r="162" spans="1:3" x14ac:dyDescent="0.25">
      <c r="A162">
        <v>0.157</v>
      </c>
      <c r="B162">
        <f t="shared" si="4"/>
        <v>6.1058410000000007</v>
      </c>
      <c r="C162">
        <f t="shared" si="5"/>
        <v>0.7855039144999999</v>
      </c>
    </row>
    <row r="163" spans="1:3" x14ac:dyDescent="0.25">
      <c r="A163">
        <v>0.158</v>
      </c>
      <c r="B163">
        <f t="shared" si="4"/>
        <v>6.1206760000000013</v>
      </c>
      <c r="C163">
        <f t="shared" si="5"/>
        <v>0.7916171729999999</v>
      </c>
    </row>
    <row r="164" spans="1:3" x14ac:dyDescent="0.25">
      <c r="A164">
        <v>0.159</v>
      </c>
      <c r="B164">
        <f t="shared" si="4"/>
        <v>6.1355289999999991</v>
      </c>
      <c r="C164">
        <f t="shared" si="5"/>
        <v>0.79774527549999985</v>
      </c>
    </row>
    <row r="165" spans="1:3" x14ac:dyDescent="0.25">
      <c r="A165">
        <v>0.16</v>
      </c>
      <c r="B165">
        <f t="shared" si="4"/>
        <v>6.1504000000000003</v>
      </c>
      <c r="C165">
        <f t="shared" si="5"/>
        <v>0.80388823999999981</v>
      </c>
    </row>
    <row r="166" spans="1:3" x14ac:dyDescent="0.25">
      <c r="A166">
        <v>0.161</v>
      </c>
      <c r="B166">
        <f t="shared" si="4"/>
        <v>6.1652890000000005</v>
      </c>
      <c r="C166">
        <f t="shared" si="5"/>
        <v>0.81004608449999982</v>
      </c>
    </row>
    <row r="167" spans="1:3" x14ac:dyDescent="0.25">
      <c r="A167">
        <v>0.16200000000000001</v>
      </c>
      <c r="B167">
        <f t="shared" si="4"/>
        <v>6.1801959999999987</v>
      </c>
      <c r="C167">
        <f t="shared" si="5"/>
        <v>0.81621882699999981</v>
      </c>
    </row>
    <row r="168" spans="1:3" x14ac:dyDescent="0.25">
      <c r="A168">
        <v>0.16300000000000001</v>
      </c>
      <c r="B168">
        <f t="shared" si="4"/>
        <v>6.1951209999999994</v>
      </c>
      <c r="C168">
        <f t="shared" si="5"/>
        <v>0.82240648549999984</v>
      </c>
    </row>
    <row r="169" spans="1:3" x14ac:dyDescent="0.25">
      <c r="A169">
        <v>0.16400000000000001</v>
      </c>
      <c r="B169">
        <f t="shared" si="4"/>
        <v>6.210064</v>
      </c>
      <c r="C169">
        <f t="shared" si="5"/>
        <v>0.82860907799999983</v>
      </c>
    </row>
    <row r="170" spans="1:3" x14ac:dyDescent="0.25">
      <c r="A170">
        <v>0.16500000000000001</v>
      </c>
      <c r="B170">
        <f t="shared" si="4"/>
        <v>6.2250250000000005</v>
      </c>
      <c r="C170">
        <f t="shared" si="5"/>
        <v>0.83482662249999984</v>
      </c>
    </row>
    <row r="171" spans="1:3" x14ac:dyDescent="0.25">
      <c r="A171">
        <v>0.16600000000000001</v>
      </c>
      <c r="B171">
        <f t="shared" si="4"/>
        <v>6.2400040000000008</v>
      </c>
      <c r="C171">
        <f t="shared" si="5"/>
        <v>0.84105913699999979</v>
      </c>
    </row>
    <row r="172" spans="1:3" x14ac:dyDescent="0.25">
      <c r="A172">
        <v>0.16700000000000001</v>
      </c>
      <c r="B172">
        <f t="shared" si="4"/>
        <v>6.2550009999999991</v>
      </c>
      <c r="C172">
        <f t="shared" si="5"/>
        <v>0.84730663949999985</v>
      </c>
    </row>
    <row r="173" spans="1:3" x14ac:dyDescent="0.25">
      <c r="A173">
        <v>0.16800000000000001</v>
      </c>
      <c r="B173">
        <f t="shared" si="4"/>
        <v>6.270016</v>
      </c>
      <c r="C173">
        <f t="shared" si="5"/>
        <v>0.85356914799999983</v>
      </c>
    </row>
    <row r="174" spans="1:3" x14ac:dyDescent="0.25">
      <c r="A174">
        <v>0.16900000000000001</v>
      </c>
      <c r="B174">
        <f t="shared" si="4"/>
        <v>6.2850490000000008</v>
      </c>
      <c r="C174">
        <f t="shared" si="5"/>
        <v>0.85984668049999979</v>
      </c>
    </row>
    <row r="175" spans="1:3" x14ac:dyDescent="0.25">
      <c r="A175">
        <v>0.17</v>
      </c>
      <c r="B175">
        <f t="shared" si="4"/>
        <v>6.3000999999999987</v>
      </c>
      <c r="C175">
        <f t="shared" si="5"/>
        <v>0.86613925499999977</v>
      </c>
    </row>
    <row r="176" spans="1:3" x14ac:dyDescent="0.25">
      <c r="A176">
        <v>0.17100000000000001</v>
      </c>
      <c r="B176">
        <f t="shared" si="4"/>
        <v>6.3151689999999991</v>
      </c>
      <c r="C176">
        <f t="shared" si="5"/>
        <v>0.87244688949999982</v>
      </c>
    </row>
    <row r="177" spans="1:3" x14ac:dyDescent="0.25">
      <c r="A177">
        <v>0.17199999999999999</v>
      </c>
      <c r="B177">
        <f t="shared" si="4"/>
        <v>6.3302560000000003</v>
      </c>
      <c r="C177">
        <f t="shared" si="5"/>
        <v>0.87876960199999965</v>
      </c>
    </row>
    <row r="178" spans="1:3" x14ac:dyDescent="0.25">
      <c r="A178">
        <v>0.17299999999999999</v>
      </c>
      <c r="B178">
        <f t="shared" si="4"/>
        <v>6.3453610000000005</v>
      </c>
      <c r="C178">
        <f t="shared" si="5"/>
        <v>0.88510741049999964</v>
      </c>
    </row>
    <row r="179" spans="1:3" x14ac:dyDescent="0.25">
      <c r="A179">
        <v>0.17399999999999999</v>
      </c>
      <c r="B179">
        <f t="shared" si="4"/>
        <v>6.3604840000000014</v>
      </c>
      <c r="C179">
        <f t="shared" si="5"/>
        <v>0.89146033299999961</v>
      </c>
    </row>
    <row r="180" spans="1:3" x14ac:dyDescent="0.25">
      <c r="A180">
        <v>0.17499999999999999</v>
      </c>
      <c r="B180">
        <f t="shared" si="4"/>
        <v>6.3756249999999994</v>
      </c>
      <c r="C180">
        <f t="shared" si="5"/>
        <v>0.8978283874999996</v>
      </c>
    </row>
    <row r="181" spans="1:3" x14ac:dyDescent="0.25">
      <c r="A181">
        <v>0.17599999999999999</v>
      </c>
      <c r="B181">
        <f t="shared" si="4"/>
        <v>6.390784</v>
      </c>
      <c r="C181">
        <f t="shared" si="5"/>
        <v>0.90421159199999956</v>
      </c>
    </row>
    <row r="182" spans="1:3" x14ac:dyDescent="0.25">
      <c r="A182">
        <v>0.17699999999999999</v>
      </c>
      <c r="B182">
        <f t="shared" si="4"/>
        <v>6.4059609999999987</v>
      </c>
      <c r="C182">
        <f t="shared" si="5"/>
        <v>0.91060996449999954</v>
      </c>
    </row>
    <row r="183" spans="1:3" x14ac:dyDescent="0.25">
      <c r="A183">
        <v>0.17799999999999999</v>
      </c>
      <c r="B183">
        <f t="shared" si="4"/>
        <v>6.421155999999999</v>
      </c>
      <c r="C183">
        <f t="shared" si="5"/>
        <v>0.91702352299999956</v>
      </c>
    </row>
    <row r="184" spans="1:3" x14ac:dyDescent="0.25">
      <c r="A184">
        <v>0.17899999999999999</v>
      </c>
      <c r="B184">
        <f t="shared" si="4"/>
        <v>6.436369</v>
      </c>
      <c r="C184">
        <f t="shared" si="5"/>
        <v>0.92345228549999958</v>
      </c>
    </row>
    <row r="185" spans="1:3" x14ac:dyDescent="0.25">
      <c r="A185">
        <v>0.18</v>
      </c>
      <c r="B185">
        <f t="shared" si="4"/>
        <v>6.4516</v>
      </c>
      <c r="C185">
        <f t="shared" si="5"/>
        <v>0.92989626999999964</v>
      </c>
    </row>
    <row r="186" spans="1:3" x14ac:dyDescent="0.25">
      <c r="A186">
        <v>0.18099999999999999</v>
      </c>
      <c r="B186">
        <f t="shared" si="4"/>
        <v>6.4668490000000007</v>
      </c>
      <c r="C186">
        <f t="shared" si="5"/>
        <v>0.93635549449999966</v>
      </c>
    </row>
    <row r="187" spans="1:3" x14ac:dyDescent="0.25">
      <c r="A187">
        <v>0.182</v>
      </c>
      <c r="B187">
        <f t="shared" si="4"/>
        <v>6.4821160000000013</v>
      </c>
      <c r="C187">
        <f t="shared" si="5"/>
        <v>0.94282997699999971</v>
      </c>
    </row>
    <row r="188" spans="1:3" x14ac:dyDescent="0.25">
      <c r="A188">
        <v>0.183</v>
      </c>
      <c r="B188">
        <f t="shared" si="4"/>
        <v>6.497401</v>
      </c>
      <c r="C188">
        <f t="shared" si="5"/>
        <v>0.94931973549999971</v>
      </c>
    </row>
    <row r="189" spans="1:3" x14ac:dyDescent="0.25">
      <c r="A189">
        <v>0.184</v>
      </c>
      <c r="B189">
        <f t="shared" si="4"/>
        <v>6.5127040000000003</v>
      </c>
      <c r="C189">
        <f t="shared" si="5"/>
        <v>0.9558247879999997</v>
      </c>
    </row>
    <row r="190" spans="1:3" x14ac:dyDescent="0.25">
      <c r="A190">
        <v>0.185</v>
      </c>
      <c r="B190">
        <f t="shared" si="4"/>
        <v>6.5280249999999986</v>
      </c>
      <c r="C190">
        <f t="shared" si="5"/>
        <v>0.96234515249999975</v>
      </c>
    </row>
    <row r="191" spans="1:3" x14ac:dyDescent="0.25">
      <c r="A191">
        <v>0.186</v>
      </c>
      <c r="B191">
        <f t="shared" si="4"/>
        <v>6.5433639999999995</v>
      </c>
      <c r="C191">
        <f t="shared" si="5"/>
        <v>0.96888084699999977</v>
      </c>
    </row>
    <row r="192" spans="1:3" x14ac:dyDescent="0.25">
      <c r="A192">
        <v>0.187</v>
      </c>
      <c r="B192">
        <f t="shared" si="4"/>
        <v>6.5587209999999994</v>
      </c>
      <c r="C192">
        <f t="shared" si="5"/>
        <v>0.97543188949999982</v>
      </c>
    </row>
    <row r="193" spans="1:3" x14ac:dyDescent="0.25">
      <c r="A193">
        <v>0.188</v>
      </c>
      <c r="B193">
        <f t="shared" si="4"/>
        <v>6.5740959999999999</v>
      </c>
      <c r="C193">
        <f t="shared" si="5"/>
        <v>0.98199829799999983</v>
      </c>
    </row>
    <row r="194" spans="1:3" x14ac:dyDescent="0.25">
      <c r="A194">
        <v>0.189</v>
      </c>
      <c r="B194">
        <f t="shared" si="4"/>
        <v>6.5894890000000013</v>
      </c>
      <c r="C194">
        <f t="shared" si="5"/>
        <v>0.98858009049999984</v>
      </c>
    </row>
    <row r="195" spans="1:3" x14ac:dyDescent="0.25">
      <c r="A195">
        <v>0.19</v>
      </c>
      <c r="B195">
        <f t="shared" si="4"/>
        <v>6.6049000000000015</v>
      </c>
      <c r="C195">
        <f t="shared" si="5"/>
        <v>0.9951772849999998</v>
      </c>
    </row>
    <row r="196" spans="1:3" x14ac:dyDescent="0.25">
      <c r="A196">
        <v>0.191</v>
      </c>
      <c r="B196">
        <f t="shared" si="4"/>
        <v>6.6203289999999999</v>
      </c>
      <c r="C196">
        <f t="shared" si="5"/>
        <v>1.0017898994999999</v>
      </c>
    </row>
    <row r="197" spans="1:3" x14ac:dyDescent="0.25">
      <c r="A197">
        <v>0.192</v>
      </c>
      <c r="B197">
        <f t="shared" si="4"/>
        <v>6.6357760000000008</v>
      </c>
      <c r="C197">
        <f t="shared" si="5"/>
        <v>1.0084179519999998</v>
      </c>
    </row>
    <row r="198" spans="1:3" x14ac:dyDescent="0.25">
      <c r="A198">
        <v>0.193</v>
      </c>
      <c r="B198">
        <f t="shared" si="4"/>
        <v>6.6512409999999988</v>
      </c>
      <c r="C198">
        <f t="shared" si="5"/>
        <v>1.0150614604999999</v>
      </c>
    </row>
    <row r="199" spans="1:3" x14ac:dyDescent="0.25">
      <c r="A199">
        <v>0.19400000000000001</v>
      </c>
      <c r="B199">
        <f t="shared" ref="B199:B262" si="6">(2+3*A199)^2</f>
        <v>6.6667239999999994</v>
      </c>
      <c r="C199">
        <f t="shared" ref="C199:C262" si="7">C198+(B199+B198)*(A199-A198)/2</f>
        <v>1.021720443</v>
      </c>
    </row>
    <row r="200" spans="1:3" x14ac:dyDescent="0.25">
      <c r="A200">
        <v>0.19500000000000001</v>
      </c>
      <c r="B200">
        <f t="shared" si="6"/>
        <v>6.6822249999999999</v>
      </c>
      <c r="C200">
        <f t="shared" si="7"/>
        <v>1.0283949175</v>
      </c>
    </row>
    <row r="201" spans="1:3" x14ac:dyDescent="0.25">
      <c r="A201">
        <v>0.19600000000000001</v>
      </c>
      <c r="B201">
        <f t="shared" si="6"/>
        <v>6.6977440000000001</v>
      </c>
      <c r="C201">
        <f t="shared" si="7"/>
        <v>1.0350849019999999</v>
      </c>
    </row>
    <row r="202" spans="1:3" x14ac:dyDescent="0.25">
      <c r="A202">
        <v>0.19700000000000001</v>
      </c>
      <c r="B202">
        <f t="shared" si="6"/>
        <v>6.7132810000000012</v>
      </c>
      <c r="C202">
        <f t="shared" si="7"/>
        <v>1.0417904144999999</v>
      </c>
    </row>
    <row r="203" spans="1:3" x14ac:dyDescent="0.25">
      <c r="A203">
        <v>0.19800000000000001</v>
      </c>
      <c r="B203">
        <f t="shared" si="6"/>
        <v>6.7288360000000011</v>
      </c>
      <c r="C203">
        <f t="shared" si="7"/>
        <v>1.0485114729999998</v>
      </c>
    </row>
    <row r="204" spans="1:3" x14ac:dyDescent="0.25">
      <c r="A204">
        <v>0.19900000000000001</v>
      </c>
      <c r="B204">
        <f t="shared" si="6"/>
        <v>6.7444090000000001</v>
      </c>
      <c r="C204">
        <f t="shared" si="7"/>
        <v>1.0552480954999999</v>
      </c>
    </row>
    <row r="205" spans="1:3" x14ac:dyDescent="0.25">
      <c r="A205">
        <v>0.2</v>
      </c>
      <c r="B205">
        <f t="shared" si="6"/>
        <v>6.7600000000000007</v>
      </c>
      <c r="C205">
        <f t="shared" si="7"/>
        <v>1.0620002999999998</v>
      </c>
    </row>
    <row r="206" spans="1:3" x14ac:dyDescent="0.25">
      <c r="A206">
        <v>0.20100000000000001</v>
      </c>
      <c r="B206">
        <f t="shared" si="6"/>
        <v>6.7756089999999984</v>
      </c>
      <c r="C206">
        <f t="shared" si="7"/>
        <v>1.0687681044999997</v>
      </c>
    </row>
    <row r="207" spans="1:3" x14ac:dyDescent="0.25">
      <c r="A207">
        <v>0.20200000000000001</v>
      </c>
      <c r="B207">
        <f t="shared" si="6"/>
        <v>6.7912359999999996</v>
      </c>
      <c r="C207">
        <f t="shared" si="7"/>
        <v>1.0755515269999998</v>
      </c>
    </row>
    <row r="208" spans="1:3" x14ac:dyDescent="0.25">
      <c r="A208">
        <v>0.20300000000000001</v>
      </c>
      <c r="B208">
        <f t="shared" si="6"/>
        <v>6.8068809999999997</v>
      </c>
      <c r="C208">
        <f t="shared" si="7"/>
        <v>1.0823505854999997</v>
      </c>
    </row>
    <row r="209" spans="1:3" x14ac:dyDescent="0.25">
      <c r="A209">
        <v>0.20399999999999999</v>
      </c>
      <c r="B209">
        <f t="shared" si="6"/>
        <v>6.8225440000000006</v>
      </c>
      <c r="C209">
        <f t="shared" si="7"/>
        <v>1.0891652979999995</v>
      </c>
    </row>
    <row r="210" spans="1:3" x14ac:dyDescent="0.25">
      <c r="A210">
        <v>0.20499999999999999</v>
      </c>
      <c r="B210">
        <f t="shared" si="6"/>
        <v>6.8382250000000013</v>
      </c>
      <c r="C210">
        <f t="shared" si="7"/>
        <v>1.0959956824999995</v>
      </c>
    </row>
    <row r="211" spans="1:3" x14ac:dyDescent="0.25">
      <c r="A211">
        <v>0.20599999999999999</v>
      </c>
      <c r="B211">
        <f t="shared" si="6"/>
        <v>6.8539239999999992</v>
      </c>
      <c r="C211">
        <f t="shared" si="7"/>
        <v>1.1028417569999995</v>
      </c>
    </row>
    <row r="212" spans="1:3" x14ac:dyDescent="0.25">
      <c r="A212">
        <v>0.20699999999999999</v>
      </c>
      <c r="B212">
        <f t="shared" si="6"/>
        <v>6.8696409999999997</v>
      </c>
      <c r="C212">
        <f t="shared" si="7"/>
        <v>1.1097035394999994</v>
      </c>
    </row>
    <row r="213" spans="1:3" x14ac:dyDescent="0.25">
      <c r="A213">
        <v>0.20799999999999999</v>
      </c>
      <c r="B213">
        <f t="shared" si="6"/>
        <v>6.8853760000000008</v>
      </c>
      <c r="C213">
        <f t="shared" si="7"/>
        <v>1.1165810479999994</v>
      </c>
    </row>
    <row r="214" spans="1:3" x14ac:dyDescent="0.25">
      <c r="A214">
        <v>0.20899999999999999</v>
      </c>
      <c r="B214">
        <f t="shared" si="6"/>
        <v>6.9011289999999992</v>
      </c>
      <c r="C214">
        <f t="shared" si="7"/>
        <v>1.1234743004999994</v>
      </c>
    </row>
    <row r="215" spans="1:3" x14ac:dyDescent="0.25">
      <c r="A215">
        <v>0.21</v>
      </c>
      <c r="B215">
        <f t="shared" si="6"/>
        <v>6.9168999999999992</v>
      </c>
      <c r="C215">
        <f t="shared" si="7"/>
        <v>1.1303833149999993</v>
      </c>
    </row>
    <row r="216" spans="1:3" x14ac:dyDescent="0.25">
      <c r="A216">
        <v>0.21099999999999999</v>
      </c>
      <c r="B216">
        <f t="shared" si="6"/>
        <v>6.9326889999999999</v>
      </c>
      <c r="C216">
        <f t="shared" si="7"/>
        <v>1.1373081094999993</v>
      </c>
    </row>
    <row r="217" spans="1:3" x14ac:dyDescent="0.25">
      <c r="A217">
        <v>0.21199999999999999</v>
      </c>
      <c r="B217">
        <f t="shared" si="6"/>
        <v>6.9484960000000004</v>
      </c>
      <c r="C217">
        <f t="shared" si="7"/>
        <v>1.1442487019999992</v>
      </c>
    </row>
    <row r="218" spans="1:3" x14ac:dyDescent="0.25">
      <c r="A218">
        <v>0.21299999999999999</v>
      </c>
      <c r="B218">
        <f t="shared" si="6"/>
        <v>6.9643210000000009</v>
      </c>
      <c r="C218">
        <f t="shared" si="7"/>
        <v>1.1512051104999992</v>
      </c>
    </row>
    <row r="219" spans="1:3" x14ac:dyDescent="0.25">
      <c r="A219">
        <v>0.214</v>
      </c>
      <c r="B219">
        <f t="shared" si="6"/>
        <v>6.9801639999999994</v>
      </c>
      <c r="C219">
        <f t="shared" si="7"/>
        <v>1.1581773529999992</v>
      </c>
    </row>
    <row r="220" spans="1:3" x14ac:dyDescent="0.25">
      <c r="A220">
        <v>0.215</v>
      </c>
      <c r="B220">
        <f t="shared" si="6"/>
        <v>6.9960250000000004</v>
      </c>
      <c r="C220">
        <f t="shared" si="7"/>
        <v>1.1651654474999993</v>
      </c>
    </row>
    <row r="221" spans="1:3" x14ac:dyDescent="0.25">
      <c r="A221">
        <v>0.216</v>
      </c>
      <c r="B221">
        <f t="shared" si="6"/>
        <v>7.0119040000000004</v>
      </c>
      <c r="C221">
        <f t="shared" si="7"/>
        <v>1.1721694119999992</v>
      </c>
    </row>
    <row r="222" spans="1:3" x14ac:dyDescent="0.25">
      <c r="A222">
        <v>0.217</v>
      </c>
      <c r="B222">
        <f t="shared" si="6"/>
        <v>7.0278009999999993</v>
      </c>
      <c r="C222">
        <f t="shared" si="7"/>
        <v>1.1791892644999993</v>
      </c>
    </row>
    <row r="223" spans="1:3" x14ac:dyDescent="0.25">
      <c r="A223">
        <v>0.218</v>
      </c>
      <c r="B223">
        <f t="shared" si="6"/>
        <v>7.0437159999999999</v>
      </c>
      <c r="C223">
        <f t="shared" si="7"/>
        <v>1.1862250229999993</v>
      </c>
    </row>
    <row r="224" spans="1:3" x14ac:dyDescent="0.25">
      <c r="A224">
        <v>0.219</v>
      </c>
      <c r="B224">
        <f t="shared" si="6"/>
        <v>7.0596490000000003</v>
      </c>
      <c r="C224">
        <f t="shared" si="7"/>
        <v>1.1932767054999993</v>
      </c>
    </row>
    <row r="225" spans="1:3" x14ac:dyDescent="0.25">
      <c r="A225">
        <v>0.22</v>
      </c>
      <c r="B225">
        <f t="shared" si="6"/>
        <v>7.0756000000000006</v>
      </c>
      <c r="C225">
        <f t="shared" si="7"/>
        <v>1.2003443299999994</v>
      </c>
    </row>
    <row r="226" spans="1:3" x14ac:dyDescent="0.25">
      <c r="A226">
        <v>0.221</v>
      </c>
      <c r="B226">
        <f t="shared" si="6"/>
        <v>7.0915690000000016</v>
      </c>
      <c r="C226">
        <f t="shared" si="7"/>
        <v>1.2074279144999993</v>
      </c>
    </row>
    <row r="227" spans="1:3" x14ac:dyDescent="0.25">
      <c r="A227">
        <v>0.222</v>
      </c>
      <c r="B227">
        <f t="shared" si="6"/>
        <v>7.1075559999999998</v>
      </c>
      <c r="C227">
        <f t="shared" si="7"/>
        <v>1.2145274769999994</v>
      </c>
    </row>
    <row r="228" spans="1:3" x14ac:dyDescent="0.25">
      <c r="A228">
        <v>0.223</v>
      </c>
      <c r="B228">
        <f t="shared" si="6"/>
        <v>7.1235610000000005</v>
      </c>
      <c r="C228">
        <f t="shared" si="7"/>
        <v>1.2216430354999994</v>
      </c>
    </row>
    <row r="229" spans="1:3" x14ac:dyDescent="0.25">
      <c r="A229">
        <v>0.224</v>
      </c>
      <c r="B229">
        <f t="shared" si="6"/>
        <v>7.139584000000001</v>
      </c>
      <c r="C229">
        <f t="shared" si="7"/>
        <v>1.2287746079999995</v>
      </c>
    </row>
    <row r="230" spans="1:3" x14ac:dyDescent="0.25">
      <c r="A230">
        <v>0.22500000000000001</v>
      </c>
      <c r="B230">
        <f t="shared" si="6"/>
        <v>7.1556249999999988</v>
      </c>
      <c r="C230">
        <f t="shared" si="7"/>
        <v>1.2359222124999996</v>
      </c>
    </row>
    <row r="231" spans="1:3" x14ac:dyDescent="0.25">
      <c r="A231">
        <v>0.22600000000000001</v>
      </c>
      <c r="B231">
        <f t="shared" si="6"/>
        <v>7.1716839999999999</v>
      </c>
      <c r="C231">
        <f t="shared" si="7"/>
        <v>1.2430858669999996</v>
      </c>
    </row>
    <row r="232" spans="1:3" x14ac:dyDescent="0.25">
      <c r="A232">
        <v>0.22700000000000001</v>
      </c>
      <c r="B232">
        <f t="shared" si="6"/>
        <v>7.1877610000000001</v>
      </c>
      <c r="C232">
        <f t="shared" si="7"/>
        <v>1.2502655894999997</v>
      </c>
    </row>
    <row r="233" spans="1:3" x14ac:dyDescent="0.25">
      <c r="A233">
        <v>0.22800000000000001</v>
      </c>
      <c r="B233">
        <f t="shared" si="6"/>
        <v>7.2038560000000009</v>
      </c>
      <c r="C233">
        <f t="shared" si="7"/>
        <v>1.2574613979999996</v>
      </c>
    </row>
    <row r="234" spans="1:3" x14ac:dyDescent="0.25">
      <c r="A234">
        <v>0.22900000000000001</v>
      </c>
      <c r="B234">
        <f t="shared" si="6"/>
        <v>7.2199690000000016</v>
      </c>
      <c r="C234">
        <f t="shared" si="7"/>
        <v>1.2646733104999996</v>
      </c>
    </row>
    <row r="235" spans="1:3" x14ac:dyDescent="0.25">
      <c r="A235">
        <v>0.23</v>
      </c>
      <c r="B235">
        <f t="shared" si="6"/>
        <v>7.2360999999999995</v>
      </c>
      <c r="C235">
        <f t="shared" si="7"/>
        <v>1.2719013449999996</v>
      </c>
    </row>
    <row r="236" spans="1:3" x14ac:dyDescent="0.25">
      <c r="A236">
        <v>0.23100000000000001</v>
      </c>
      <c r="B236">
        <f t="shared" si="6"/>
        <v>7.2522489999999999</v>
      </c>
      <c r="C236">
        <f t="shared" si="7"/>
        <v>1.2791455194999997</v>
      </c>
    </row>
    <row r="237" spans="1:3" x14ac:dyDescent="0.25">
      <c r="A237">
        <v>0.23200000000000001</v>
      </c>
      <c r="B237">
        <f t="shared" si="6"/>
        <v>7.2684160000000011</v>
      </c>
      <c r="C237">
        <f t="shared" si="7"/>
        <v>1.2864058519999997</v>
      </c>
    </row>
    <row r="238" spans="1:3" x14ac:dyDescent="0.25">
      <c r="A238">
        <v>0.23300000000000001</v>
      </c>
      <c r="B238">
        <f t="shared" si="6"/>
        <v>7.2846009999999994</v>
      </c>
      <c r="C238">
        <f t="shared" si="7"/>
        <v>1.2936823604999996</v>
      </c>
    </row>
    <row r="239" spans="1:3" x14ac:dyDescent="0.25">
      <c r="A239">
        <v>0.23400000000000001</v>
      </c>
      <c r="B239">
        <f t="shared" si="6"/>
        <v>7.3008039999999994</v>
      </c>
      <c r="C239">
        <f t="shared" si="7"/>
        <v>1.3009750629999997</v>
      </c>
    </row>
    <row r="240" spans="1:3" x14ac:dyDescent="0.25">
      <c r="A240">
        <v>0.23499999999999999</v>
      </c>
      <c r="B240">
        <f t="shared" si="6"/>
        <v>7.3170250000000001</v>
      </c>
      <c r="C240">
        <f t="shared" si="7"/>
        <v>1.3082839774999995</v>
      </c>
    </row>
    <row r="241" spans="1:3" x14ac:dyDescent="0.25">
      <c r="A241">
        <v>0.23599999999999999</v>
      </c>
      <c r="B241">
        <f t="shared" si="6"/>
        <v>7.3332640000000007</v>
      </c>
      <c r="C241">
        <f t="shared" si="7"/>
        <v>1.3156091219999995</v>
      </c>
    </row>
    <row r="242" spans="1:3" x14ac:dyDescent="0.25">
      <c r="A242">
        <v>0.23699999999999999</v>
      </c>
      <c r="B242">
        <f t="shared" si="6"/>
        <v>7.3495209999999993</v>
      </c>
      <c r="C242">
        <f t="shared" si="7"/>
        <v>1.3229505144999996</v>
      </c>
    </row>
    <row r="243" spans="1:3" x14ac:dyDescent="0.25">
      <c r="A243">
        <v>0.23799999999999999</v>
      </c>
      <c r="B243">
        <f t="shared" si="6"/>
        <v>7.3657959999999996</v>
      </c>
      <c r="C243">
        <f t="shared" si="7"/>
        <v>1.3303081729999995</v>
      </c>
    </row>
    <row r="244" spans="1:3" x14ac:dyDescent="0.25">
      <c r="A244">
        <v>0.23899999999999999</v>
      </c>
      <c r="B244">
        <f t="shared" si="6"/>
        <v>7.3820890000000006</v>
      </c>
      <c r="C244">
        <f t="shared" si="7"/>
        <v>1.3376821154999994</v>
      </c>
    </row>
    <row r="245" spans="1:3" x14ac:dyDescent="0.25">
      <c r="A245">
        <v>0.24</v>
      </c>
      <c r="B245">
        <f t="shared" si="6"/>
        <v>7.3983999999999988</v>
      </c>
      <c r="C245">
        <f t="shared" si="7"/>
        <v>1.3450723599999994</v>
      </c>
    </row>
    <row r="246" spans="1:3" x14ac:dyDescent="0.25">
      <c r="A246">
        <v>0.24099999999999999</v>
      </c>
      <c r="B246">
        <f t="shared" si="6"/>
        <v>7.4147289999999995</v>
      </c>
      <c r="C246">
        <f t="shared" si="7"/>
        <v>1.3524789244999995</v>
      </c>
    </row>
    <row r="247" spans="1:3" x14ac:dyDescent="0.25">
      <c r="A247">
        <v>0.24199999999999999</v>
      </c>
      <c r="B247">
        <f t="shared" si="6"/>
        <v>7.431076</v>
      </c>
      <c r="C247">
        <f t="shared" si="7"/>
        <v>1.3599018269999996</v>
      </c>
    </row>
    <row r="248" spans="1:3" x14ac:dyDescent="0.25">
      <c r="A248">
        <v>0.24299999999999999</v>
      </c>
      <c r="B248">
        <f t="shared" si="6"/>
        <v>7.4474410000000004</v>
      </c>
      <c r="C248">
        <f t="shared" si="7"/>
        <v>1.3673410854999997</v>
      </c>
    </row>
    <row r="249" spans="1:3" x14ac:dyDescent="0.25">
      <c r="A249">
        <v>0.24399999999999999</v>
      </c>
      <c r="B249">
        <f t="shared" si="6"/>
        <v>7.4638240000000016</v>
      </c>
      <c r="C249">
        <f t="shared" si="7"/>
        <v>1.3747967179999996</v>
      </c>
    </row>
    <row r="250" spans="1:3" x14ac:dyDescent="0.25">
      <c r="A250">
        <v>0.245</v>
      </c>
      <c r="B250">
        <f t="shared" si="6"/>
        <v>7.480224999999999</v>
      </c>
      <c r="C250">
        <f t="shared" si="7"/>
        <v>1.3822687424999995</v>
      </c>
    </row>
    <row r="251" spans="1:3" x14ac:dyDescent="0.25">
      <c r="A251">
        <v>0.246</v>
      </c>
      <c r="B251">
        <f t="shared" si="6"/>
        <v>7.4966439999999999</v>
      </c>
      <c r="C251">
        <f t="shared" si="7"/>
        <v>1.3897571769999995</v>
      </c>
    </row>
    <row r="252" spans="1:3" x14ac:dyDescent="0.25">
      <c r="A252">
        <v>0.247</v>
      </c>
      <c r="B252">
        <f t="shared" si="6"/>
        <v>7.5130810000000006</v>
      </c>
      <c r="C252">
        <f t="shared" si="7"/>
        <v>1.3972620394999995</v>
      </c>
    </row>
    <row r="253" spans="1:3" x14ac:dyDescent="0.25">
      <c r="A253">
        <v>0.248</v>
      </c>
      <c r="B253">
        <f t="shared" si="6"/>
        <v>7.5295359999999985</v>
      </c>
      <c r="C253">
        <f t="shared" si="7"/>
        <v>1.4047833479999996</v>
      </c>
    </row>
    <row r="254" spans="1:3" x14ac:dyDescent="0.25">
      <c r="A254">
        <v>0.249</v>
      </c>
      <c r="B254">
        <f t="shared" si="6"/>
        <v>7.5460089999999997</v>
      </c>
      <c r="C254">
        <f t="shared" si="7"/>
        <v>1.4123211204999997</v>
      </c>
    </row>
    <row r="255" spans="1:3" x14ac:dyDescent="0.25">
      <c r="A255">
        <v>0.25</v>
      </c>
      <c r="B255">
        <f t="shared" si="6"/>
        <v>7.5625</v>
      </c>
      <c r="C255">
        <f t="shared" si="7"/>
        <v>1.4198753749999997</v>
      </c>
    </row>
    <row r="256" spans="1:3" x14ac:dyDescent="0.25">
      <c r="A256">
        <v>0.251</v>
      </c>
      <c r="B256">
        <f t="shared" si="6"/>
        <v>7.579009000000001</v>
      </c>
      <c r="C256">
        <f t="shared" si="7"/>
        <v>1.4274461294999998</v>
      </c>
    </row>
    <row r="257" spans="1:3" x14ac:dyDescent="0.25">
      <c r="A257">
        <v>0.252</v>
      </c>
      <c r="B257">
        <f t="shared" si="6"/>
        <v>7.595536000000001</v>
      </c>
      <c r="C257">
        <f t="shared" si="7"/>
        <v>1.4350334019999997</v>
      </c>
    </row>
    <row r="258" spans="1:3" x14ac:dyDescent="0.25">
      <c r="A258">
        <v>0.253</v>
      </c>
      <c r="B258">
        <f t="shared" si="6"/>
        <v>7.6120809999999999</v>
      </c>
      <c r="C258">
        <f t="shared" si="7"/>
        <v>1.4426372104999998</v>
      </c>
    </row>
    <row r="259" spans="1:3" x14ac:dyDescent="0.25">
      <c r="A259">
        <v>0.254</v>
      </c>
      <c r="B259">
        <f t="shared" si="6"/>
        <v>7.6286440000000004</v>
      </c>
      <c r="C259">
        <f t="shared" si="7"/>
        <v>1.4502575729999998</v>
      </c>
    </row>
    <row r="260" spans="1:3" x14ac:dyDescent="0.25">
      <c r="A260">
        <v>0.255</v>
      </c>
      <c r="B260">
        <f t="shared" si="6"/>
        <v>7.6452250000000008</v>
      </c>
      <c r="C260">
        <f t="shared" si="7"/>
        <v>1.4578945074999998</v>
      </c>
    </row>
    <row r="261" spans="1:3" x14ac:dyDescent="0.25">
      <c r="A261">
        <v>0.25600000000000001</v>
      </c>
      <c r="B261">
        <f t="shared" si="6"/>
        <v>7.6618239999999993</v>
      </c>
      <c r="C261">
        <f t="shared" si="7"/>
        <v>1.4655480319999998</v>
      </c>
    </row>
    <row r="262" spans="1:3" x14ac:dyDescent="0.25">
      <c r="A262">
        <v>0.25700000000000001</v>
      </c>
      <c r="B262">
        <f t="shared" si="6"/>
        <v>7.6784409999999994</v>
      </c>
      <c r="C262">
        <f t="shared" si="7"/>
        <v>1.4732181644999998</v>
      </c>
    </row>
    <row r="263" spans="1:3" x14ac:dyDescent="0.25">
      <c r="A263">
        <v>0.25800000000000001</v>
      </c>
      <c r="B263">
        <f t="shared" ref="B263:B326" si="8">(2+3*A263)^2</f>
        <v>7.6950760000000002</v>
      </c>
      <c r="C263">
        <f t="shared" ref="C263:C326" si="9">C262+(B263+B262)*(A263-A262)/2</f>
        <v>1.4809049229999998</v>
      </c>
    </row>
    <row r="264" spans="1:3" x14ac:dyDescent="0.25">
      <c r="A264">
        <v>0.25900000000000001</v>
      </c>
      <c r="B264">
        <f t="shared" si="8"/>
        <v>7.7117290000000009</v>
      </c>
      <c r="C264">
        <f t="shared" si="9"/>
        <v>1.4886083254999998</v>
      </c>
    </row>
    <row r="265" spans="1:3" x14ac:dyDescent="0.25">
      <c r="A265">
        <v>0.26</v>
      </c>
      <c r="B265">
        <f t="shared" si="8"/>
        <v>7.7284000000000015</v>
      </c>
      <c r="C265">
        <f t="shared" si="9"/>
        <v>1.4963283899999997</v>
      </c>
    </row>
    <row r="266" spans="1:3" x14ac:dyDescent="0.25">
      <c r="A266">
        <v>0.26100000000000001</v>
      </c>
      <c r="B266">
        <f t="shared" si="8"/>
        <v>7.7450889999999992</v>
      </c>
      <c r="C266">
        <f t="shared" si="9"/>
        <v>1.5040651344999998</v>
      </c>
    </row>
    <row r="267" spans="1:3" x14ac:dyDescent="0.25">
      <c r="A267">
        <v>0.26200000000000001</v>
      </c>
      <c r="B267">
        <f t="shared" si="8"/>
        <v>7.7617960000000004</v>
      </c>
      <c r="C267">
        <f t="shared" si="9"/>
        <v>1.5118185769999999</v>
      </c>
    </row>
    <row r="268" spans="1:3" x14ac:dyDescent="0.25">
      <c r="A268">
        <v>0.26300000000000001</v>
      </c>
      <c r="B268">
        <f t="shared" si="8"/>
        <v>7.7785210000000005</v>
      </c>
      <c r="C268">
        <f t="shared" si="9"/>
        <v>1.5195887355</v>
      </c>
    </row>
    <row r="269" spans="1:3" x14ac:dyDescent="0.25">
      <c r="A269">
        <v>0.26400000000000001</v>
      </c>
      <c r="B269">
        <f t="shared" si="8"/>
        <v>7.7952639999999986</v>
      </c>
      <c r="C269">
        <f t="shared" si="9"/>
        <v>1.5273756279999999</v>
      </c>
    </row>
    <row r="270" spans="1:3" x14ac:dyDescent="0.25">
      <c r="A270">
        <v>0.26500000000000001</v>
      </c>
      <c r="B270">
        <f t="shared" si="8"/>
        <v>7.8120249999999993</v>
      </c>
      <c r="C270">
        <f t="shared" si="9"/>
        <v>1.5351792725</v>
      </c>
    </row>
    <row r="271" spans="1:3" x14ac:dyDescent="0.25">
      <c r="A271">
        <v>0.26600000000000001</v>
      </c>
      <c r="B271">
        <f t="shared" si="8"/>
        <v>7.8288039999999999</v>
      </c>
      <c r="C271">
        <f t="shared" si="9"/>
        <v>1.542999687</v>
      </c>
    </row>
    <row r="272" spans="1:3" x14ac:dyDescent="0.25">
      <c r="A272">
        <v>0.26700000000000002</v>
      </c>
      <c r="B272">
        <f t="shared" si="8"/>
        <v>7.8456010000000012</v>
      </c>
      <c r="C272">
        <f t="shared" si="9"/>
        <v>1.5508368895</v>
      </c>
    </row>
    <row r="273" spans="1:3" x14ac:dyDescent="0.25">
      <c r="A273">
        <v>0.26800000000000002</v>
      </c>
      <c r="B273">
        <f t="shared" si="8"/>
        <v>7.8624160000000014</v>
      </c>
      <c r="C273">
        <f t="shared" si="9"/>
        <v>1.558690898</v>
      </c>
    </row>
    <row r="274" spans="1:3" x14ac:dyDescent="0.25">
      <c r="A274">
        <v>0.26900000000000002</v>
      </c>
      <c r="B274">
        <f t="shared" si="8"/>
        <v>7.8792489999999997</v>
      </c>
      <c r="C274">
        <f t="shared" si="9"/>
        <v>1.5665617305000001</v>
      </c>
    </row>
    <row r="275" spans="1:3" x14ac:dyDescent="0.25">
      <c r="A275">
        <v>0.27</v>
      </c>
      <c r="B275">
        <f t="shared" si="8"/>
        <v>7.8961000000000006</v>
      </c>
      <c r="C275">
        <f t="shared" si="9"/>
        <v>1.5744494050000002</v>
      </c>
    </row>
    <row r="276" spans="1:3" x14ac:dyDescent="0.25">
      <c r="A276">
        <v>0.27100000000000002</v>
      </c>
      <c r="B276">
        <f t="shared" si="8"/>
        <v>7.9129690000000013</v>
      </c>
      <c r="C276">
        <f t="shared" si="9"/>
        <v>1.5823539395000001</v>
      </c>
    </row>
    <row r="277" spans="1:3" x14ac:dyDescent="0.25">
      <c r="A277">
        <v>0.27200000000000002</v>
      </c>
      <c r="B277">
        <f t="shared" si="8"/>
        <v>7.9298559999999991</v>
      </c>
      <c r="C277">
        <f t="shared" si="9"/>
        <v>1.5902753520000001</v>
      </c>
    </row>
    <row r="278" spans="1:3" x14ac:dyDescent="0.25">
      <c r="A278">
        <v>0.27300000000000002</v>
      </c>
      <c r="B278">
        <f t="shared" si="8"/>
        <v>7.9467609999999995</v>
      </c>
      <c r="C278">
        <f t="shared" si="9"/>
        <v>1.5982136605000001</v>
      </c>
    </row>
    <row r="279" spans="1:3" x14ac:dyDescent="0.25">
      <c r="A279">
        <v>0.27400000000000002</v>
      </c>
      <c r="B279">
        <f t="shared" si="8"/>
        <v>7.9636840000000007</v>
      </c>
      <c r="C279">
        <f t="shared" si="9"/>
        <v>1.606168883</v>
      </c>
    </row>
    <row r="280" spans="1:3" x14ac:dyDescent="0.25">
      <c r="A280">
        <v>0.27500000000000002</v>
      </c>
      <c r="B280">
        <f t="shared" si="8"/>
        <v>7.9806250000000007</v>
      </c>
      <c r="C280">
        <f t="shared" si="9"/>
        <v>1.6141410375</v>
      </c>
    </row>
    <row r="281" spans="1:3" x14ac:dyDescent="0.25">
      <c r="A281">
        <v>0.27600000000000002</v>
      </c>
      <c r="B281">
        <f t="shared" si="8"/>
        <v>7.9975840000000016</v>
      </c>
      <c r="C281">
        <f t="shared" si="9"/>
        <v>1.6221301420000001</v>
      </c>
    </row>
    <row r="282" spans="1:3" x14ac:dyDescent="0.25">
      <c r="A282">
        <v>0.27700000000000002</v>
      </c>
      <c r="B282">
        <f t="shared" si="8"/>
        <v>8.0145610000000005</v>
      </c>
      <c r="C282">
        <f t="shared" si="9"/>
        <v>1.6301362145</v>
      </c>
    </row>
    <row r="283" spans="1:3" x14ac:dyDescent="0.25">
      <c r="A283">
        <v>0.27800000000000002</v>
      </c>
      <c r="B283">
        <f t="shared" si="8"/>
        <v>8.0315560000000001</v>
      </c>
      <c r="C283">
        <f t="shared" si="9"/>
        <v>1.6381592730000001</v>
      </c>
    </row>
    <row r="284" spans="1:3" x14ac:dyDescent="0.25">
      <c r="A284">
        <v>0.27900000000000003</v>
      </c>
      <c r="B284">
        <f t="shared" si="8"/>
        <v>8.0485690000000005</v>
      </c>
      <c r="C284">
        <f t="shared" si="9"/>
        <v>1.6461993355000002</v>
      </c>
    </row>
    <row r="285" spans="1:3" x14ac:dyDescent="0.25">
      <c r="A285">
        <v>0.28000000000000003</v>
      </c>
      <c r="B285">
        <f t="shared" si="8"/>
        <v>8.0655999999999999</v>
      </c>
      <c r="C285">
        <f t="shared" si="9"/>
        <v>1.6542564200000003</v>
      </c>
    </row>
    <row r="286" spans="1:3" x14ac:dyDescent="0.25">
      <c r="A286">
        <v>0.28100000000000003</v>
      </c>
      <c r="B286">
        <f t="shared" si="8"/>
        <v>8.082649</v>
      </c>
      <c r="C286">
        <f t="shared" si="9"/>
        <v>1.6623305445000003</v>
      </c>
    </row>
    <row r="287" spans="1:3" x14ac:dyDescent="0.25">
      <c r="A287">
        <v>0.28199999999999997</v>
      </c>
      <c r="B287">
        <f t="shared" si="8"/>
        <v>8.0997160000000008</v>
      </c>
      <c r="C287">
        <f t="shared" si="9"/>
        <v>1.6704217269999999</v>
      </c>
    </row>
    <row r="288" spans="1:3" x14ac:dyDescent="0.25">
      <c r="A288">
        <v>0.28299999999999997</v>
      </c>
      <c r="B288">
        <f t="shared" si="8"/>
        <v>8.1168010000000006</v>
      </c>
      <c r="C288">
        <f t="shared" si="9"/>
        <v>1.6785299855</v>
      </c>
    </row>
    <row r="289" spans="1:3" x14ac:dyDescent="0.25">
      <c r="A289">
        <v>0.28399999999999997</v>
      </c>
      <c r="B289">
        <f t="shared" si="8"/>
        <v>8.1339039999999994</v>
      </c>
      <c r="C289">
        <f t="shared" si="9"/>
        <v>1.686655338</v>
      </c>
    </row>
    <row r="290" spans="1:3" x14ac:dyDescent="0.25">
      <c r="A290">
        <v>0.28499999999999998</v>
      </c>
      <c r="B290">
        <f t="shared" si="8"/>
        <v>8.1510250000000006</v>
      </c>
      <c r="C290">
        <f t="shared" si="9"/>
        <v>1.6947978025000001</v>
      </c>
    </row>
    <row r="291" spans="1:3" x14ac:dyDescent="0.25">
      <c r="A291">
        <v>0.28599999999999998</v>
      </c>
      <c r="B291">
        <f t="shared" si="8"/>
        <v>8.1681639999999973</v>
      </c>
      <c r="C291">
        <f t="shared" si="9"/>
        <v>1.702957397</v>
      </c>
    </row>
    <row r="292" spans="1:3" x14ac:dyDescent="0.25">
      <c r="A292">
        <v>0.28699999999999998</v>
      </c>
      <c r="B292">
        <f t="shared" si="8"/>
        <v>8.1853209999999983</v>
      </c>
      <c r="C292">
        <f t="shared" si="9"/>
        <v>1.7111341395000002</v>
      </c>
    </row>
    <row r="293" spans="1:3" x14ac:dyDescent="0.25">
      <c r="A293">
        <v>0.28799999999999998</v>
      </c>
      <c r="B293">
        <f t="shared" si="8"/>
        <v>8.202496</v>
      </c>
      <c r="C293">
        <f t="shared" si="9"/>
        <v>1.7193280480000002</v>
      </c>
    </row>
    <row r="294" spans="1:3" x14ac:dyDescent="0.25">
      <c r="A294">
        <v>0.28899999999999998</v>
      </c>
      <c r="B294">
        <f t="shared" si="8"/>
        <v>8.2196890000000007</v>
      </c>
      <c r="C294">
        <f t="shared" si="9"/>
        <v>1.7275391405000002</v>
      </c>
    </row>
    <row r="295" spans="1:3" x14ac:dyDescent="0.25">
      <c r="A295">
        <v>0.28999999999999998</v>
      </c>
      <c r="B295">
        <f t="shared" si="8"/>
        <v>8.2369000000000003</v>
      </c>
      <c r="C295">
        <f t="shared" si="9"/>
        <v>1.7357674350000003</v>
      </c>
    </row>
    <row r="296" spans="1:3" x14ac:dyDescent="0.25">
      <c r="A296">
        <v>0.29099999999999998</v>
      </c>
      <c r="B296">
        <f t="shared" si="8"/>
        <v>8.2541290000000007</v>
      </c>
      <c r="C296">
        <f t="shared" si="9"/>
        <v>1.7440129495000003</v>
      </c>
    </row>
    <row r="297" spans="1:3" x14ac:dyDescent="0.25">
      <c r="A297">
        <v>0.29199999999999998</v>
      </c>
      <c r="B297">
        <f t="shared" si="8"/>
        <v>8.2713760000000001</v>
      </c>
      <c r="C297">
        <f t="shared" si="9"/>
        <v>1.7522757020000004</v>
      </c>
    </row>
    <row r="298" spans="1:3" x14ac:dyDescent="0.25">
      <c r="A298">
        <v>0.29299999999999998</v>
      </c>
      <c r="B298">
        <f t="shared" si="8"/>
        <v>8.2886410000000001</v>
      </c>
      <c r="C298">
        <f t="shared" si="9"/>
        <v>1.7605557105000005</v>
      </c>
    </row>
    <row r="299" spans="1:3" x14ac:dyDescent="0.25">
      <c r="A299">
        <v>0.29399999999999998</v>
      </c>
      <c r="B299">
        <f t="shared" si="8"/>
        <v>8.3059239999999974</v>
      </c>
      <c r="C299">
        <f t="shared" si="9"/>
        <v>1.7688529930000005</v>
      </c>
    </row>
    <row r="300" spans="1:3" x14ac:dyDescent="0.25">
      <c r="A300">
        <v>0.29499999999999998</v>
      </c>
      <c r="B300">
        <f t="shared" si="8"/>
        <v>8.323224999999999</v>
      </c>
      <c r="C300">
        <f t="shared" si="9"/>
        <v>1.7771675675000005</v>
      </c>
    </row>
    <row r="301" spans="1:3" x14ac:dyDescent="0.25">
      <c r="A301">
        <v>0.29599999999999999</v>
      </c>
      <c r="B301">
        <f t="shared" si="8"/>
        <v>8.3405439999999995</v>
      </c>
      <c r="C301">
        <f t="shared" si="9"/>
        <v>1.7854994520000005</v>
      </c>
    </row>
    <row r="302" spans="1:3" x14ac:dyDescent="0.25">
      <c r="A302">
        <v>0.29699999999999999</v>
      </c>
      <c r="B302">
        <f t="shared" si="8"/>
        <v>8.3578810000000008</v>
      </c>
      <c r="C302">
        <f t="shared" si="9"/>
        <v>1.7938486645000005</v>
      </c>
    </row>
    <row r="303" spans="1:3" x14ac:dyDescent="0.25">
      <c r="A303">
        <v>0.29799999999999999</v>
      </c>
      <c r="B303">
        <f t="shared" si="8"/>
        <v>8.375236000000001</v>
      </c>
      <c r="C303">
        <f t="shared" si="9"/>
        <v>1.8022152230000004</v>
      </c>
    </row>
    <row r="304" spans="1:3" x14ac:dyDescent="0.25">
      <c r="A304">
        <v>0.29899999999999999</v>
      </c>
      <c r="B304">
        <f t="shared" si="8"/>
        <v>8.392609000000002</v>
      </c>
      <c r="C304">
        <f t="shared" si="9"/>
        <v>1.8105991455000003</v>
      </c>
    </row>
    <row r="305" spans="1:3" x14ac:dyDescent="0.25">
      <c r="A305">
        <v>0.3</v>
      </c>
      <c r="B305">
        <f t="shared" si="8"/>
        <v>8.41</v>
      </c>
      <c r="C305">
        <f t="shared" si="9"/>
        <v>1.8190004500000003</v>
      </c>
    </row>
    <row r="306" spans="1:3" x14ac:dyDescent="0.25">
      <c r="A306">
        <v>0.30099999999999999</v>
      </c>
      <c r="B306">
        <f t="shared" si="8"/>
        <v>8.4274090000000008</v>
      </c>
      <c r="C306">
        <f t="shared" si="9"/>
        <v>1.8274191545000003</v>
      </c>
    </row>
    <row r="307" spans="1:3" x14ac:dyDescent="0.25">
      <c r="A307">
        <v>0.30199999999999999</v>
      </c>
      <c r="B307">
        <f t="shared" si="8"/>
        <v>8.4448359999999987</v>
      </c>
      <c r="C307">
        <f t="shared" si="9"/>
        <v>1.8358552770000003</v>
      </c>
    </row>
    <row r="308" spans="1:3" x14ac:dyDescent="0.25">
      <c r="A308">
        <v>0.30299999999999999</v>
      </c>
      <c r="B308">
        <f t="shared" si="8"/>
        <v>8.4622809999999991</v>
      </c>
      <c r="C308">
        <f t="shared" si="9"/>
        <v>1.8443088355000004</v>
      </c>
    </row>
    <row r="309" spans="1:3" x14ac:dyDescent="0.25">
      <c r="A309">
        <v>0.30399999999999999</v>
      </c>
      <c r="B309">
        <f t="shared" si="8"/>
        <v>8.4797440000000002</v>
      </c>
      <c r="C309">
        <f t="shared" si="9"/>
        <v>1.8527798480000004</v>
      </c>
    </row>
    <row r="310" spans="1:3" x14ac:dyDescent="0.25">
      <c r="A310">
        <v>0.30499999999999999</v>
      </c>
      <c r="B310">
        <f t="shared" si="8"/>
        <v>8.4972250000000003</v>
      </c>
      <c r="C310">
        <f t="shared" si="9"/>
        <v>1.8612683325000003</v>
      </c>
    </row>
    <row r="311" spans="1:3" x14ac:dyDescent="0.25">
      <c r="A311">
        <v>0.30599999999999999</v>
      </c>
      <c r="B311">
        <f t="shared" si="8"/>
        <v>8.5147240000000011</v>
      </c>
      <c r="C311">
        <f t="shared" si="9"/>
        <v>1.8697743070000004</v>
      </c>
    </row>
    <row r="312" spans="1:3" x14ac:dyDescent="0.25">
      <c r="A312">
        <v>0.307</v>
      </c>
      <c r="B312">
        <f t="shared" si="8"/>
        <v>8.5322410000000009</v>
      </c>
      <c r="C312">
        <f t="shared" si="9"/>
        <v>1.8782977895000004</v>
      </c>
    </row>
    <row r="313" spans="1:3" x14ac:dyDescent="0.25">
      <c r="A313">
        <v>0.308</v>
      </c>
      <c r="B313">
        <f t="shared" si="8"/>
        <v>8.5497759999999996</v>
      </c>
      <c r="C313">
        <f t="shared" si="9"/>
        <v>1.8868387980000003</v>
      </c>
    </row>
    <row r="314" spans="1:3" x14ac:dyDescent="0.25">
      <c r="A314">
        <v>0.309</v>
      </c>
      <c r="B314">
        <f t="shared" si="8"/>
        <v>8.5673290000000009</v>
      </c>
      <c r="C314">
        <f t="shared" si="9"/>
        <v>1.8953973505000004</v>
      </c>
    </row>
    <row r="315" spans="1:3" x14ac:dyDescent="0.25">
      <c r="A315">
        <v>0.31</v>
      </c>
      <c r="B315">
        <f t="shared" si="8"/>
        <v>8.5848999999999975</v>
      </c>
      <c r="C315">
        <f t="shared" si="9"/>
        <v>1.9039734650000004</v>
      </c>
    </row>
    <row r="316" spans="1:3" x14ac:dyDescent="0.25">
      <c r="A316">
        <v>0.311</v>
      </c>
      <c r="B316">
        <f t="shared" si="8"/>
        <v>8.6024889999999985</v>
      </c>
      <c r="C316">
        <f t="shared" si="9"/>
        <v>1.9125671595000004</v>
      </c>
    </row>
    <row r="317" spans="1:3" x14ac:dyDescent="0.25">
      <c r="A317">
        <v>0.312</v>
      </c>
      <c r="B317">
        <f t="shared" si="8"/>
        <v>8.6200960000000002</v>
      </c>
      <c r="C317">
        <f t="shared" si="9"/>
        <v>1.9211784520000004</v>
      </c>
    </row>
    <row r="318" spans="1:3" x14ac:dyDescent="0.25">
      <c r="A318">
        <v>0.313</v>
      </c>
      <c r="B318">
        <f t="shared" si="8"/>
        <v>8.6377210000000009</v>
      </c>
      <c r="C318">
        <f t="shared" si="9"/>
        <v>1.9298073605000003</v>
      </c>
    </row>
    <row r="319" spans="1:3" x14ac:dyDescent="0.25">
      <c r="A319">
        <v>0.314</v>
      </c>
      <c r="B319">
        <f t="shared" si="8"/>
        <v>8.6553640000000005</v>
      </c>
      <c r="C319">
        <f t="shared" si="9"/>
        <v>1.9384539030000003</v>
      </c>
    </row>
    <row r="320" spans="1:3" x14ac:dyDescent="0.25">
      <c r="A320">
        <v>0.315</v>
      </c>
      <c r="B320">
        <f t="shared" si="8"/>
        <v>8.6730250000000009</v>
      </c>
      <c r="C320">
        <f t="shared" si="9"/>
        <v>1.9471180975000004</v>
      </c>
    </row>
    <row r="321" spans="1:3" x14ac:dyDescent="0.25">
      <c r="A321">
        <v>0.316</v>
      </c>
      <c r="B321">
        <f t="shared" si="8"/>
        <v>8.6907040000000002</v>
      </c>
      <c r="C321">
        <f t="shared" si="9"/>
        <v>1.9557999620000004</v>
      </c>
    </row>
    <row r="322" spans="1:3" x14ac:dyDescent="0.25">
      <c r="A322">
        <v>0.317</v>
      </c>
      <c r="B322">
        <f t="shared" si="8"/>
        <v>8.7084010000000003</v>
      </c>
      <c r="C322">
        <f t="shared" si="9"/>
        <v>1.9644995145000004</v>
      </c>
    </row>
    <row r="323" spans="1:3" x14ac:dyDescent="0.25">
      <c r="A323">
        <v>0.318</v>
      </c>
      <c r="B323">
        <f t="shared" si="8"/>
        <v>8.7261159999999993</v>
      </c>
      <c r="C323">
        <f t="shared" si="9"/>
        <v>1.9732167730000003</v>
      </c>
    </row>
    <row r="324" spans="1:3" x14ac:dyDescent="0.25">
      <c r="A324">
        <v>0.31900000000000001</v>
      </c>
      <c r="B324">
        <f t="shared" si="8"/>
        <v>8.7438489999999991</v>
      </c>
      <c r="C324">
        <f t="shared" si="9"/>
        <v>1.9819517555000004</v>
      </c>
    </row>
    <row r="325" spans="1:3" x14ac:dyDescent="0.25">
      <c r="A325">
        <v>0.32</v>
      </c>
      <c r="B325">
        <f t="shared" si="8"/>
        <v>8.7615999999999996</v>
      </c>
      <c r="C325">
        <f t="shared" si="9"/>
        <v>1.9907044800000004</v>
      </c>
    </row>
    <row r="326" spans="1:3" x14ac:dyDescent="0.25">
      <c r="A326">
        <v>0.32100000000000001</v>
      </c>
      <c r="B326">
        <f t="shared" si="8"/>
        <v>8.7793690000000009</v>
      </c>
      <c r="C326">
        <f t="shared" si="9"/>
        <v>1.9994749645000005</v>
      </c>
    </row>
    <row r="327" spans="1:3" x14ac:dyDescent="0.25">
      <c r="A327">
        <v>0.32200000000000001</v>
      </c>
      <c r="B327">
        <f t="shared" ref="B327:B390" si="10">(2+3*A327)^2</f>
        <v>8.7971560000000011</v>
      </c>
      <c r="C327">
        <f t="shared" ref="C327:C390" si="11">C326+(B327+B326)*(A327-A326)/2</f>
        <v>2.0082632270000005</v>
      </c>
    </row>
    <row r="328" spans="1:3" x14ac:dyDescent="0.25">
      <c r="A328">
        <v>0.32300000000000001</v>
      </c>
      <c r="B328">
        <f t="shared" si="10"/>
        <v>8.814961000000002</v>
      </c>
      <c r="C328">
        <f t="shared" si="11"/>
        <v>2.0170692855000003</v>
      </c>
    </row>
    <row r="329" spans="1:3" x14ac:dyDescent="0.25">
      <c r="A329">
        <v>0.32400000000000001</v>
      </c>
      <c r="B329">
        <f t="shared" si="10"/>
        <v>8.8327840000000002</v>
      </c>
      <c r="C329">
        <f t="shared" si="11"/>
        <v>2.0258931580000001</v>
      </c>
    </row>
    <row r="330" spans="1:3" x14ac:dyDescent="0.25">
      <c r="A330">
        <v>0.32500000000000001</v>
      </c>
      <c r="B330">
        <f t="shared" si="10"/>
        <v>8.8506250000000009</v>
      </c>
      <c r="C330">
        <f t="shared" si="11"/>
        <v>2.0347348625000001</v>
      </c>
    </row>
    <row r="331" spans="1:3" x14ac:dyDescent="0.25">
      <c r="A331">
        <v>0.32600000000000001</v>
      </c>
      <c r="B331">
        <f t="shared" si="10"/>
        <v>8.8684839999999987</v>
      </c>
      <c r="C331">
        <f t="shared" si="11"/>
        <v>2.043594417</v>
      </c>
    </row>
    <row r="332" spans="1:3" x14ac:dyDescent="0.25">
      <c r="A332">
        <v>0.32700000000000001</v>
      </c>
      <c r="B332">
        <f t="shared" si="10"/>
        <v>8.8863609999999991</v>
      </c>
      <c r="C332">
        <f t="shared" si="11"/>
        <v>2.0524718394999999</v>
      </c>
    </row>
    <row r="333" spans="1:3" x14ac:dyDescent="0.25">
      <c r="A333">
        <v>0.32800000000000001</v>
      </c>
      <c r="B333">
        <f t="shared" si="10"/>
        <v>8.9042560000000002</v>
      </c>
      <c r="C333">
        <f t="shared" si="11"/>
        <v>2.061367148</v>
      </c>
    </row>
    <row r="334" spans="1:3" x14ac:dyDescent="0.25">
      <c r="A334">
        <v>0.32900000000000001</v>
      </c>
      <c r="B334">
        <f t="shared" si="10"/>
        <v>8.9221690000000002</v>
      </c>
      <c r="C334">
        <f t="shared" si="11"/>
        <v>2.0702803605</v>
      </c>
    </row>
    <row r="335" spans="1:3" x14ac:dyDescent="0.25">
      <c r="A335">
        <v>0.33</v>
      </c>
      <c r="B335">
        <f t="shared" si="10"/>
        <v>8.940100000000001</v>
      </c>
      <c r="C335">
        <f t="shared" si="11"/>
        <v>2.079211495</v>
      </c>
    </row>
    <row r="336" spans="1:3" x14ac:dyDescent="0.25">
      <c r="A336">
        <v>0.33100000000000002</v>
      </c>
      <c r="B336">
        <f t="shared" si="10"/>
        <v>8.9580490000000026</v>
      </c>
      <c r="C336">
        <f t="shared" si="11"/>
        <v>2.0881605694999998</v>
      </c>
    </row>
    <row r="337" spans="1:3" x14ac:dyDescent="0.25">
      <c r="A337">
        <v>0.33200000000000002</v>
      </c>
      <c r="B337">
        <f t="shared" si="10"/>
        <v>8.9760159999999996</v>
      </c>
      <c r="C337">
        <f t="shared" si="11"/>
        <v>2.097127602</v>
      </c>
    </row>
    <row r="338" spans="1:3" x14ac:dyDescent="0.25">
      <c r="A338">
        <v>0.33300000000000002</v>
      </c>
      <c r="B338">
        <f t="shared" si="10"/>
        <v>8.9940010000000008</v>
      </c>
      <c r="C338">
        <f t="shared" si="11"/>
        <v>2.1061126104999999</v>
      </c>
    </row>
    <row r="339" spans="1:3" x14ac:dyDescent="0.25">
      <c r="A339">
        <v>0.33400000000000002</v>
      </c>
      <c r="B339">
        <f t="shared" si="10"/>
        <v>9.0120039999999992</v>
      </c>
      <c r="C339">
        <f t="shared" si="11"/>
        <v>2.115115613</v>
      </c>
    </row>
    <row r="340" spans="1:3" x14ac:dyDescent="0.25">
      <c r="A340">
        <v>0.33500000000000002</v>
      </c>
      <c r="B340">
        <f t="shared" si="10"/>
        <v>9.0300250000000002</v>
      </c>
      <c r="C340">
        <f t="shared" si="11"/>
        <v>2.1241366275</v>
      </c>
    </row>
    <row r="341" spans="1:3" x14ac:dyDescent="0.25">
      <c r="A341">
        <v>0.33600000000000002</v>
      </c>
      <c r="B341">
        <f t="shared" si="10"/>
        <v>9.0480640000000001</v>
      </c>
      <c r="C341">
        <f t="shared" si="11"/>
        <v>2.1331756720000001</v>
      </c>
    </row>
    <row r="342" spans="1:3" x14ac:dyDescent="0.25">
      <c r="A342">
        <v>0.33700000000000002</v>
      </c>
      <c r="B342">
        <f t="shared" si="10"/>
        <v>9.0661210000000008</v>
      </c>
      <c r="C342">
        <f t="shared" si="11"/>
        <v>2.1422327645000001</v>
      </c>
    </row>
    <row r="343" spans="1:3" x14ac:dyDescent="0.25">
      <c r="A343">
        <v>0.33800000000000002</v>
      </c>
      <c r="B343">
        <f t="shared" si="10"/>
        <v>9.0841960000000022</v>
      </c>
      <c r="C343">
        <f t="shared" si="11"/>
        <v>2.1513079230000001</v>
      </c>
    </row>
    <row r="344" spans="1:3" x14ac:dyDescent="0.25">
      <c r="A344">
        <v>0.33900000000000002</v>
      </c>
      <c r="B344">
        <f t="shared" si="10"/>
        <v>9.1022890000000025</v>
      </c>
      <c r="C344">
        <f t="shared" si="11"/>
        <v>2.1604011655000002</v>
      </c>
    </row>
    <row r="345" spans="1:3" x14ac:dyDescent="0.25">
      <c r="A345">
        <v>0.34</v>
      </c>
      <c r="B345">
        <f t="shared" si="10"/>
        <v>9.1204000000000001</v>
      </c>
      <c r="C345">
        <f t="shared" si="11"/>
        <v>2.1695125100000001</v>
      </c>
    </row>
    <row r="346" spans="1:3" x14ac:dyDescent="0.25">
      <c r="A346">
        <v>0.34100000000000003</v>
      </c>
      <c r="B346">
        <f t="shared" si="10"/>
        <v>9.1385290000000001</v>
      </c>
      <c r="C346">
        <f t="shared" si="11"/>
        <v>2.1786419745000001</v>
      </c>
    </row>
    <row r="347" spans="1:3" x14ac:dyDescent="0.25">
      <c r="A347">
        <v>0.34200000000000003</v>
      </c>
      <c r="B347">
        <f t="shared" si="10"/>
        <v>9.1566759999999991</v>
      </c>
      <c r="C347">
        <f t="shared" si="11"/>
        <v>2.1877895770000002</v>
      </c>
    </row>
    <row r="348" spans="1:3" x14ac:dyDescent="0.25">
      <c r="A348">
        <v>0.34300000000000003</v>
      </c>
      <c r="B348">
        <f t="shared" si="10"/>
        <v>9.1748409999999989</v>
      </c>
      <c r="C348">
        <f t="shared" si="11"/>
        <v>2.1969553355000002</v>
      </c>
    </row>
    <row r="349" spans="1:3" x14ac:dyDescent="0.25">
      <c r="A349">
        <v>0.34399999999999997</v>
      </c>
      <c r="B349">
        <f t="shared" si="10"/>
        <v>9.1930239999999994</v>
      </c>
      <c r="C349">
        <f t="shared" si="11"/>
        <v>2.2061392679999998</v>
      </c>
    </row>
    <row r="350" spans="1:3" x14ac:dyDescent="0.25">
      <c r="A350">
        <v>0.34499999999999997</v>
      </c>
      <c r="B350">
        <f t="shared" si="10"/>
        <v>9.2112250000000007</v>
      </c>
      <c r="C350">
        <f t="shared" si="11"/>
        <v>2.2153413924999996</v>
      </c>
    </row>
    <row r="351" spans="1:3" x14ac:dyDescent="0.25">
      <c r="A351">
        <v>0.34599999999999997</v>
      </c>
      <c r="B351">
        <f t="shared" si="10"/>
        <v>9.2294439999999991</v>
      </c>
      <c r="C351">
        <f t="shared" si="11"/>
        <v>2.2245617269999998</v>
      </c>
    </row>
    <row r="352" spans="1:3" x14ac:dyDescent="0.25">
      <c r="A352">
        <v>0.34699999999999998</v>
      </c>
      <c r="B352">
        <f t="shared" si="10"/>
        <v>9.247681</v>
      </c>
      <c r="C352">
        <f t="shared" si="11"/>
        <v>2.2338002895</v>
      </c>
    </row>
    <row r="353" spans="1:3" x14ac:dyDescent="0.25">
      <c r="A353">
        <v>0.34799999999999998</v>
      </c>
      <c r="B353">
        <f t="shared" si="10"/>
        <v>9.265936</v>
      </c>
      <c r="C353">
        <f t="shared" si="11"/>
        <v>2.243057098</v>
      </c>
    </row>
    <row r="354" spans="1:3" x14ac:dyDescent="0.25">
      <c r="A354">
        <v>0.34899999999999998</v>
      </c>
      <c r="B354">
        <f t="shared" si="10"/>
        <v>9.2842089999999988</v>
      </c>
      <c r="C354">
        <f t="shared" si="11"/>
        <v>2.2523321704999999</v>
      </c>
    </row>
    <row r="355" spans="1:3" x14ac:dyDescent="0.25">
      <c r="A355">
        <v>0.35</v>
      </c>
      <c r="B355">
        <f t="shared" si="10"/>
        <v>9.3024999999999984</v>
      </c>
      <c r="C355">
        <f t="shared" si="11"/>
        <v>2.2616255249999999</v>
      </c>
    </row>
    <row r="356" spans="1:3" x14ac:dyDescent="0.25">
      <c r="A356">
        <v>0.35099999999999998</v>
      </c>
      <c r="B356">
        <f t="shared" si="10"/>
        <v>9.3208089999999988</v>
      </c>
      <c r="C356">
        <f t="shared" si="11"/>
        <v>2.2709371794999997</v>
      </c>
    </row>
    <row r="357" spans="1:3" x14ac:dyDescent="0.25">
      <c r="A357">
        <v>0.35199999999999998</v>
      </c>
      <c r="B357">
        <f t="shared" si="10"/>
        <v>9.3391359999999999</v>
      </c>
      <c r="C357">
        <f t="shared" si="11"/>
        <v>2.280267152</v>
      </c>
    </row>
    <row r="358" spans="1:3" x14ac:dyDescent="0.25">
      <c r="A358">
        <v>0.35299999999999998</v>
      </c>
      <c r="B358">
        <f t="shared" si="10"/>
        <v>9.3574810000000017</v>
      </c>
      <c r="C358">
        <f t="shared" si="11"/>
        <v>2.2896154604999999</v>
      </c>
    </row>
    <row r="359" spans="1:3" x14ac:dyDescent="0.25">
      <c r="A359">
        <v>0.35399999999999998</v>
      </c>
      <c r="B359">
        <f t="shared" si="10"/>
        <v>9.375843999999999</v>
      </c>
      <c r="C359">
        <f t="shared" si="11"/>
        <v>2.298982123</v>
      </c>
    </row>
    <row r="360" spans="1:3" x14ac:dyDescent="0.25">
      <c r="A360">
        <v>0.35499999999999998</v>
      </c>
      <c r="B360">
        <f t="shared" si="10"/>
        <v>9.3942250000000005</v>
      </c>
      <c r="C360">
        <f t="shared" si="11"/>
        <v>2.3083671575000002</v>
      </c>
    </row>
    <row r="361" spans="1:3" x14ac:dyDescent="0.25">
      <c r="A361">
        <v>0.35599999999999998</v>
      </c>
      <c r="B361">
        <f t="shared" si="10"/>
        <v>9.412624000000001</v>
      </c>
      <c r="C361">
        <f t="shared" si="11"/>
        <v>2.3177705820000001</v>
      </c>
    </row>
    <row r="362" spans="1:3" x14ac:dyDescent="0.25">
      <c r="A362">
        <v>0.35699999999999998</v>
      </c>
      <c r="B362">
        <f t="shared" si="10"/>
        <v>9.4310409999999987</v>
      </c>
      <c r="C362">
        <f t="shared" si="11"/>
        <v>2.3271924145000003</v>
      </c>
    </row>
    <row r="363" spans="1:3" x14ac:dyDescent="0.25">
      <c r="A363">
        <v>0.35799999999999998</v>
      </c>
      <c r="B363">
        <f t="shared" si="10"/>
        <v>9.4494759999999989</v>
      </c>
      <c r="C363">
        <f t="shared" si="11"/>
        <v>2.3366326730000004</v>
      </c>
    </row>
    <row r="364" spans="1:3" x14ac:dyDescent="0.25">
      <c r="A364">
        <v>0.35899999999999999</v>
      </c>
      <c r="B364">
        <f t="shared" si="10"/>
        <v>9.4679289999999998</v>
      </c>
      <c r="C364">
        <f t="shared" si="11"/>
        <v>2.3460913755000004</v>
      </c>
    </row>
    <row r="365" spans="1:3" x14ac:dyDescent="0.25">
      <c r="A365">
        <v>0.36</v>
      </c>
      <c r="B365">
        <f t="shared" si="10"/>
        <v>9.4863999999999997</v>
      </c>
      <c r="C365">
        <f t="shared" si="11"/>
        <v>2.3555685400000002</v>
      </c>
    </row>
    <row r="366" spans="1:3" x14ac:dyDescent="0.25">
      <c r="A366">
        <v>0.36099999999999999</v>
      </c>
      <c r="B366">
        <f t="shared" si="10"/>
        <v>9.5048890000000004</v>
      </c>
      <c r="C366">
        <f t="shared" si="11"/>
        <v>2.3650641845</v>
      </c>
    </row>
    <row r="367" spans="1:3" x14ac:dyDescent="0.25">
      <c r="A367">
        <v>0.36199999999999999</v>
      </c>
      <c r="B367">
        <f t="shared" si="10"/>
        <v>9.523396</v>
      </c>
      <c r="C367">
        <f t="shared" si="11"/>
        <v>2.374578327</v>
      </c>
    </row>
    <row r="368" spans="1:3" x14ac:dyDescent="0.25">
      <c r="A368">
        <v>0.36299999999999999</v>
      </c>
      <c r="B368">
        <f t="shared" si="10"/>
        <v>9.5419210000000003</v>
      </c>
      <c r="C368">
        <f t="shared" si="11"/>
        <v>2.3841109855</v>
      </c>
    </row>
    <row r="369" spans="1:3" x14ac:dyDescent="0.25">
      <c r="A369">
        <v>0.36399999999999999</v>
      </c>
      <c r="B369">
        <f t="shared" si="10"/>
        <v>9.5604639999999996</v>
      </c>
      <c r="C369">
        <f t="shared" si="11"/>
        <v>2.393662178</v>
      </c>
    </row>
    <row r="370" spans="1:3" x14ac:dyDescent="0.25">
      <c r="A370">
        <v>0.36499999999999999</v>
      </c>
      <c r="B370">
        <f t="shared" si="10"/>
        <v>9.5790249999999979</v>
      </c>
      <c r="C370">
        <f t="shared" si="11"/>
        <v>2.4032319224999998</v>
      </c>
    </row>
    <row r="371" spans="1:3" x14ac:dyDescent="0.25">
      <c r="A371">
        <v>0.36599999999999999</v>
      </c>
      <c r="B371">
        <f t="shared" si="10"/>
        <v>9.5976039999999987</v>
      </c>
      <c r="C371">
        <f t="shared" si="11"/>
        <v>2.412820237</v>
      </c>
    </row>
    <row r="372" spans="1:3" x14ac:dyDescent="0.25">
      <c r="A372">
        <v>0.36699999999999999</v>
      </c>
      <c r="B372">
        <f t="shared" si="10"/>
        <v>9.6162010000000002</v>
      </c>
      <c r="C372">
        <f t="shared" si="11"/>
        <v>2.4224271394999999</v>
      </c>
    </row>
    <row r="373" spans="1:3" x14ac:dyDescent="0.25">
      <c r="A373">
        <v>0.36799999999999999</v>
      </c>
      <c r="B373">
        <f t="shared" si="10"/>
        <v>9.6348160000000007</v>
      </c>
      <c r="C373">
        <f t="shared" si="11"/>
        <v>2.432052648</v>
      </c>
    </row>
    <row r="374" spans="1:3" x14ac:dyDescent="0.25">
      <c r="A374">
        <v>0.36899999999999999</v>
      </c>
      <c r="B374">
        <f t="shared" si="10"/>
        <v>9.6534490000000019</v>
      </c>
      <c r="C374">
        <f t="shared" si="11"/>
        <v>2.4416967805000001</v>
      </c>
    </row>
    <row r="375" spans="1:3" x14ac:dyDescent="0.25">
      <c r="A375">
        <v>0.37</v>
      </c>
      <c r="B375">
        <f t="shared" si="10"/>
        <v>9.6720999999999986</v>
      </c>
      <c r="C375">
        <f t="shared" si="11"/>
        <v>2.4513595550000002</v>
      </c>
    </row>
    <row r="376" spans="1:3" x14ac:dyDescent="0.25">
      <c r="A376">
        <v>0.371</v>
      </c>
      <c r="B376">
        <f t="shared" si="10"/>
        <v>9.6907689999999995</v>
      </c>
      <c r="C376">
        <f t="shared" si="11"/>
        <v>2.4610409895000003</v>
      </c>
    </row>
    <row r="377" spans="1:3" x14ac:dyDescent="0.25">
      <c r="A377">
        <v>0.372</v>
      </c>
      <c r="B377">
        <f t="shared" si="10"/>
        <v>9.7094560000000012</v>
      </c>
      <c r="C377">
        <f t="shared" si="11"/>
        <v>2.4707411020000003</v>
      </c>
    </row>
    <row r="378" spans="1:3" x14ac:dyDescent="0.25">
      <c r="A378">
        <v>0.373</v>
      </c>
      <c r="B378">
        <f t="shared" si="10"/>
        <v>9.7281609999999983</v>
      </c>
      <c r="C378">
        <f t="shared" si="11"/>
        <v>2.4804599105000005</v>
      </c>
    </row>
    <row r="379" spans="1:3" x14ac:dyDescent="0.25">
      <c r="A379">
        <v>0.374</v>
      </c>
      <c r="B379">
        <f t="shared" si="10"/>
        <v>9.7468839999999997</v>
      </c>
      <c r="C379">
        <f t="shared" si="11"/>
        <v>2.4901974330000005</v>
      </c>
    </row>
    <row r="380" spans="1:3" x14ac:dyDescent="0.25">
      <c r="A380">
        <v>0.375</v>
      </c>
      <c r="B380">
        <f t="shared" si="10"/>
        <v>9.765625</v>
      </c>
      <c r="C380">
        <f t="shared" si="11"/>
        <v>2.4999536875000006</v>
      </c>
    </row>
    <row r="381" spans="1:3" x14ac:dyDescent="0.25">
      <c r="A381">
        <v>0.376</v>
      </c>
      <c r="B381">
        <f t="shared" si="10"/>
        <v>9.7843840000000011</v>
      </c>
      <c r="C381">
        <f t="shared" si="11"/>
        <v>2.5097286920000004</v>
      </c>
    </row>
    <row r="382" spans="1:3" x14ac:dyDescent="0.25">
      <c r="A382">
        <v>0.377</v>
      </c>
      <c r="B382">
        <f t="shared" si="10"/>
        <v>9.8031610000000011</v>
      </c>
      <c r="C382">
        <f t="shared" si="11"/>
        <v>2.5195224645000005</v>
      </c>
    </row>
    <row r="383" spans="1:3" x14ac:dyDescent="0.25">
      <c r="A383">
        <v>0.378</v>
      </c>
      <c r="B383">
        <f t="shared" si="10"/>
        <v>9.8219560000000001</v>
      </c>
      <c r="C383">
        <f t="shared" si="11"/>
        <v>2.5293350230000007</v>
      </c>
    </row>
    <row r="384" spans="1:3" x14ac:dyDescent="0.25">
      <c r="A384">
        <v>0.379</v>
      </c>
      <c r="B384">
        <f t="shared" si="10"/>
        <v>9.8407689999999999</v>
      </c>
      <c r="C384">
        <f t="shared" si="11"/>
        <v>2.5391663855000006</v>
      </c>
    </row>
    <row r="385" spans="1:3" x14ac:dyDescent="0.25">
      <c r="A385">
        <v>0.38</v>
      </c>
      <c r="B385">
        <f t="shared" si="10"/>
        <v>9.8596000000000004</v>
      </c>
      <c r="C385">
        <f t="shared" si="11"/>
        <v>2.5490165700000005</v>
      </c>
    </row>
    <row r="386" spans="1:3" x14ac:dyDescent="0.25">
      <c r="A386">
        <v>0.38100000000000001</v>
      </c>
      <c r="B386">
        <f t="shared" si="10"/>
        <v>9.878448999999998</v>
      </c>
      <c r="C386">
        <f t="shared" si="11"/>
        <v>2.5588855945000004</v>
      </c>
    </row>
    <row r="387" spans="1:3" x14ac:dyDescent="0.25">
      <c r="A387">
        <v>0.38200000000000001</v>
      </c>
      <c r="B387">
        <f t="shared" si="10"/>
        <v>9.897316</v>
      </c>
      <c r="C387">
        <f t="shared" si="11"/>
        <v>2.5687734770000006</v>
      </c>
    </row>
    <row r="388" spans="1:3" x14ac:dyDescent="0.25">
      <c r="A388">
        <v>0.38300000000000001</v>
      </c>
      <c r="B388">
        <f t="shared" si="10"/>
        <v>9.9162010000000009</v>
      </c>
      <c r="C388">
        <f t="shared" si="11"/>
        <v>2.5786802355000007</v>
      </c>
    </row>
    <row r="389" spans="1:3" x14ac:dyDescent="0.25">
      <c r="A389">
        <v>0.38400000000000001</v>
      </c>
      <c r="B389">
        <f t="shared" si="10"/>
        <v>9.9351040000000008</v>
      </c>
      <c r="C389">
        <f t="shared" si="11"/>
        <v>2.5886058880000009</v>
      </c>
    </row>
    <row r="390" spans="1:3" x14ac:dyDescent="0.25">
      <c r="A390">
        <v>0.38500000000000001</v>
      </c>
      <c r="B390">
        <f t="shared" si="10"/>
        <v>9.9540250000000015</v>
      </c>
      <c r="C390">
        <f t="shared" si="11"/>
        <v>2.5985504525000009</v>
      </c>
    </row>
    <row r="391" spans="1:3" x14ac:dyDescent="0.25">
      <c r="A391">
        <v>0.38600000000000001</v>
      </c>
      <c r="B391">
        <f t="shared" ref="B391:B454" si="12">(2+3*A391)^2</f>
        <v>9.9729639999999993</v>
      </c>
      <c r="C391">
        <f t="shared" ref="C391:C454" si="13">C390+(B391+B390)*(A391-A390)/2</f>
        <v>2.6085139470000009</v>
      </c>
    </row>
    <row r="392" spans="1:3" x14ac:dyDescent="0.25">
      <c r="A392">
        <v>0.38700000000000001</v>
      </c>
      <c r="B392">
        <f t="shared" si="12"/>
        <v>9.9919209999999996</v>
      </c>
      <c r="C392">
        <f t="shared" si="13"/>
        <v>2.6184963895000011</v>
      </c>
    </row>
    <row r="393" spans="1:3" x14ac:dyDescent="0.25">
      <c r="A393">
        <v>0.38800000000000001</v>
      </c>
      <c r="B393">
        <f t="shared" si="12"/>
        <v>10.010896000000001</v>
      </c>
      <c r="C393">
        <f t="shared" si="13"/>
        <v>2.6284977980000011</v>
      </c>
    </row>
    <row r="394" spans="1:3" x14ac:dyDescent="0.25">
      <c r="A394">
        <v>0.38900000000000001</v>
      </c>
      <c r="B394">
        <f t="shared" si="12"/>
        <v>10.029888999999999</v>
      </c>
      <c r="C394">
        <f t="shared" si="13"/>
        <v>2.638518190500001</v>
      </c>
    </row>
    <row r="395" spans="1:3" x14ac:dyDescent="0.25">
      <c r="A395">
        <v>0.39</v>
      </c>
      <c r="B395">
        <f t="shared" si="12"/>
        <v>10.0489</v>
      </c>
      <c r="C395">
        <f t="shared" si="13"/>
        <v>2.6485575850000012</v>
      </c>
    </row>
    <row r="396" spans="1:3" x14ac:dyDescent="0.25">
      <c r="A396">
        <v>0.39100000000000001</v>
      </c>
      <c r="B396">
        <f t="shared" si="12"/>
        <v>10.067928999999999</v>
      </c>
      <c r="C396">
        <f t="shared" si="13"/>
        <v>2.6586159995000012</v>
      </c>
    </row>
    <row r="397" spans="1:3" x14ac:dyDescent="0.25">
      <c r="A397">
        <v>0.39200000000000002</v>
      </c>
      <c r="B397">
        <f t="shared" si="12"/>
        <v>10.086976000000002</v>
      </c>
      <c r="C397">
        <f t="shared" si="13"/>
        <v>2.6686934520000012</v>
      </c>
    </row>
    <row r="398" spans="1:3" x14ac:dyDescent="0.25">
      <c r="A398">
        <v>0.39300000000000002</v>
      </c>
      <c r="B398">
        <f t="shared" si="12"/>
        <v>10.106041000000001</v>
      </c>
      <c r="C398">
        <f t="shared" si="13"/>
        <v>2.6787899605000014</v>
      </c>
    </row>
    <row r="399" spans="1:3" x14ac:dyDescent="0.25">
      <c r="A399">
        <v>0.39400000000000002</v>
      </c>
      <c r="B399">
        <f t="shared" si="12"/>
        <v>10.125124</v>
      </c>
      <c r="C399">
        <f t="shared" si="13"/>
        <v>2.6889055430000015</v>
      </c>
    </row>
    <row r="400" spans="1:3" x14ac:dyDescent="0.25">
      <c r="A400">
        <v>0.39500000000000002</v>
      </c>
      <c r="B400">
        <f t="shared" si="12"/>
        <v>10.144225</v>
      </c>
      <c r="C400">
        <f t="shared" si="13"/>
        <v>2.6990402175000017</v>
      </c>
    </row>
    <row r="401" spans="1:3" x14ac:dyDescent="0.25">
      <c r="A401">
        <v>0.39600000000000002</v>
      </c>
      <c r="B401">
        <f t="shared" si="12"/>
        <v>10.163344</v>
      </c>
      <c r="C401">
        <f t="shared" si="13"/>
        <v>2.7091940020000016</v>
      </c>
    </row>
    <row r="402" spans="1:3" x14ac:dyDescent="0.25">
      <c r="A402">
        <v>0.39700000000000002</v>
      </c>
      <c r="B402">
        <f t="shared" si="12"/>
        <v>10.182480999999999</v>
      </c>
      <c r="C402">
        <f t="shared" si="13"/>
        <v>2.7193669145000015</v>
      </c>
    </row>
    <row r="403" spans="1:3" x14ac:dyDescent="0.25">
      <c r="A403">
        <v>0.39800000000000002</v>
      </c>
      <c r="B403">
        <f t="shared" si="12"/>
        <v>10.201635999999999</v>
      </c>
      <c r="C403">
        <f t="shared" si="13"/>
        <v>2.7295589730000014</v>
      </c>
    </row>
    <row r="404" spans="1:3" x14ac:dyDescent="0.25">
      <c r="A404">
        <v>0.39900000000000002</v>
      </c>
      <c r="B404">
        <f t="shared" si="12"/>
        <v>10.220809000000001</v>
      </c>
      <c r="C404">
        <f t="shared" si="13"/>
        <v>2.7397701955000016</v>
      </c>
    </row>
    <row r="405" spans="1:3" x14ac:dyDescent="0.25">
      <c r="A405">
        <v>0.4</v>
      </c>
      <c r="B405">
        <f t="shared" si="12"/>
        <v>10.240000000000002</v>
      </c>
      <c r="C405">
        <f t="shared" si="13"/>
        <v>2.7500006000000017</v>
      </c>
    </row>
    <row r="406" spans="1:3" x14ac:dyDescent="0.25">
      <c r="A406">
        <v>0.40100000000000002</v>
      </c>
      <c r="B406">
        <f t="shared" si="12"/>
        <v>10.259209000000002</v>
      </c>
      <c r="C406">
        <f t="shared" si="13"/>
        <v>2.7602502045000019</v>
      </c>
    </row>
    <row r="407" spans="1:3" x14ac:dyDescent="0.25">
      <c r="A407">
        <v>0.40200000000000002</v>
      </c>
      <c r="B407">
        <f t="shared" si="12"/>
        <v>10.278435999999999</v>
      </c>
      <c r="C407">
        <f t="shared" si="13"/>
        <v>2.770519027000002</v>
      </c>
    </row>
    <row r="408" spans="1:3" x14ac:dyDescent="0.25">
      <c r="A408">
        <v>0.40300000000000002</v>
      </c>
      <c r="B408">
        <f t="shared" si="12"/>
        <v>10.297681000000001</v>
      </c>
      <c r="C408">
        <f t="shared" si="13"/>
        <v>2.780807085500002</v>
      </c>
    </row>
    <row r="409" spans="1:3" x14ac:dyDescent="0.25">
      <c r="A409">
        <v>0.40400000000000003</v>
      </c>
      <c r="B409">
        <f t="shared" si="12"/>
        <v>10.316944000000001</v>
      </c>
      <c r="C409">
        <f t="shared" si="13"/>
        <v>2.7911143980000022</v>
      </c>
    </row>
    <row r="410" spans="1:3" x14ac:dyDescent="0.25">
      <c r="A410">
        <v>0.40500000000000003</v>
      </c>
      <c r="B410">
        <f t="shared" si="12"/>
        <v>10.336224999999999</v>
      </c>
      <c r="C410">
        <f t="shared" si="13"/>
        <v>2.8014409825000022</v>
      </c>
    </row>
    <row r="411" spans="1:3" x14ac:dyDescent="0.25">
      <c r="A411">
        <v>0.40600000000000003</v>
      </c>
      <c r="B411">
        <f t="shared" si="12"/>
        <v>10.355523999999999</v>
      </c>
      <c r="C411">
        <f t="shared" si="13"/>
        <v>2.8117868570000022</v>
      </c>
    </row>
    <row r="412" spans="1:3" x14ac:dyDescent="0.25">
      <c r="A412">
        <v>0.40699999999999997</v>
      </c>
      <c r="B412">
        <f t="shared" si="12"/>
        <v>10.374841</v>
      </c>
      <c r="C412">
        <f t="shared" si="13"/>
        <v>2.8221520395000015</v>
      </c>
    </row>
    <row r="413" spans="1:3" x14ac:dyDescent="0.25">
      <c r="A413">
        <v>0.40799999999999997</v>
      </c>
      <c r="B413">
        <f t="shared" si="12"/>
        <v>10.394176000000002</v>
      </c>
      <c r="C413">
        <f t="shared" si="13"/>
        <v>2.8325365480000015</v>
      </c>
    </row>
    <row r="414" spans="1:3" x14ac:dyDescent="0.25">
      <c r="A414">
        <v>0.40899999999999997</v>
      </c>
      <c r="B414">
        <f t="shared" si="12"/>
        <v>10.413528999999999</v>
      </c>
      <c r="C414">
        <f t="shared" si="13"/>
        <v>2.8429404005000016</v>
      </c>
    </row>
    <row r="415" spans="1:3" x14ac:dyDescent="0.25">
      <c r="A415">
        <v>0.41</v>
      </c>
      <c r="B415">
        <f t="shared" si="12"/>
        <v>10.4329</v>
      </c>
      <c r="C415">
        <f t="shared" si="13"/>
        <v>2.8533636150000015</v>
      </c>
    </row>
    <row r="416" spans="1:3" x14ac:dyDescent="0.25">
      <c r="A416">
        <v>0.41099999999999998</v>
      </c>
      <c r="B416">
        <f t="shared" si="12"/>
        <v>10.452288999999999</v>
      </c>
      <c r="C416">
        <f t="shared" si="13"/>
        <v>2.8638062095000016</v>
      </c>
    </row>
    <row r="417" spans="1:3" x14ac:dyDescent="0.25">
      <c r="A417">
        <v>0.41199999999999998</v>
      </c>
      <c r="B417">
        <f t="shared" si="12"/>
        <v>10.471695999999998</v>
      </c>
      <c r="C417">
        <f t="shared" si="13"/>
        <v>2.8742682020000014</v>
      </c>
    </row>
    <row r="418" spans="1:3" x14ac:dyDescent="0.25">
      <c r="A418">
        <v>0.41299999999999998</v>
      </c>
      <c r="B418">
        <f t="shared" si="12"/>
        <v>10.491121</v>
      </c>
      <c r="C418">
        <f t="shared" si="13"/>
        <v>2.8847496105000014</v>
      </c>
    </row>
    <row r="419" spans="1:3" x14ac:dyDescent="0.25">
      <c r="A419">
        <v>0.41399999999999998</v>
      </c>
      <c r="B419">
        <f t="shared" si="12"/>
        <v>10.510564</v>
      </c>
      <c r="C419">
        <f t="shared" si="13"/>
        <v>2.8952504530000014</v>
      </c>
    </row>
    <row r="420" spans="1:3" x14ac:dyDescent="0.25">
      <c r="A420">
        <v>0.41499999999999998</v>
      </c>
      <c r="B420">
        <f t="shared" si="12"/>
        <v>10.530025</v>
      </c>
      <c r="C420">
        <f t="shared" si="13"/>
        <v>2.9057707475000014</v>
      </c>
    </row>
    <row r="421" spans="1:3" x14ac:dyDescent="0.25">
      <c r="A421">
        <v>0.41599999999999998</v>
      </c>
      <c r="B421">
        <f t="shared" si="12"/>
        <v>10.549504000000001</v>
      </c>
      <c r="C421">
        <f t="shared" si="13"/>
        <v>2.9163105120000012</v>
      </c>
    </row>
    <row r="422" spans="1:3" x14ac:dyDescent="0.25">
      <c r="A422">
        <v>0.41699999999999998</v>
      </c>
      <c r="B422">
        <f t="shared" si="12"/>
        <v>10.569001</v>
      </c>
      <c r="C422">
        <f t="shared" si="13"/>
        <v>2.9268697645000015</v>
      </c>
    </row>
    <row r="423" spans="1:3" x14ac:dyDescent="0.25">
      <c r="A423">
        <v>0.41799999999999998</v>
      </c>
      <c r="B423">
        <f t="shared" si="12"/>
        <v>10.588516</v>
      </c>
      <c r="C423">
        <f t="shared" si="13"/>
        <v>2.9374485230000014</v>
      </c>
    </row>
    <row r="424" spans="1:3" x14ac:dyDescent="0.25">
      <c r="A424">
        <v>0.41899999999999998</v>
      </c>
      <c r="B424">
        <f t="shared" si="12"/>
        <v>10.608048999999998</v>
      </c>
      <c r="C424">
        <f t="shared" si="13"/>
        <v>2.9480468055000015</v>
      </c>
    </row>
    <row r="425" spans="1:3" x14ac:dyDescent="0.25">
      <c r="A425">
        <v>0.42</v>
      </c>
      <c r="B425">
        <f t="shared" si="12"/>
        <v>10.627599999999999</v>
      </c>
      <c r="C425">
        <f t="shared" si="13"/>
        <v>2.9586646300000017</v>
      </c>
    </row>
    <row r="426" spans="1:3" x14ac:dyDescent="0.25">
      <c r="A426">
        <v>0.42099999999999999</v>
      </c>
      <c r="B426">
        <f t="shared" si="12"/>
        <v>10.647169</v>
      </c>
      <c r="C426">
        <f t="shared" si="13"/>
        <v>2.9693020145000015</v>
      </c>
    </row>
    <row r="427" spans="1:3" x14ac:dyDescent="0.25">
      <c r="A427">
        <v>0.42199999999999999</v>
      </c>
      <c r="B427">
        <f t="shared" si="12"/>
        <v>10.666755999999999</v>
      </c>
      <c r="C427">
        <f t="shared" si="13"/>
        <v>2.9799589770000017</v>
      </c>
    </row>
    <row r="428" spans="1:3" x14ac:dyDescent="0.25">
      <c r="A428">
        <v>0.42299999999999999</v>
      </c>
      <c r="B428">
        <f t="shared" si="12"/>
        <v>10.686361000000002</v>
      </c>
      <c r="C428">
        <f t="shared" si="13"/>
        <v>2.9906355355000018</v>
      </c>
    </row>
    <row r="429" spans="1:3" x14ac:dyDescent="0.25">
      <c r="A429">
        <v>0.42399999999999999</v>
      </c>
      <c r="B429">
        <f t="shared" si="12"/>
        <v>10.705984000000001</v>
      </c>
      <c r="C429">
        <f t="shared" si="13"/>
        <v>3.0013317080000017</v>
      </c>
    </row>
    <row r="430" spans="1:3" x14ac:dyDescent="0.25">
      <c r="A430">
        <v>0.42499999999999999</v>
      </c>
      <c r="B430">
        <f t="shared" si="12"/>
        <v>10.725624999999999</v>
      </c>
      <c r="C430">
        <f t="shared" si="13"/>
        <v>3.0120475125000019</v>
      </c>
    </row>
    <row r="431" spans="1:3" x14ac:dyDescent="0.25">
      <c r="A431">
        <v>0.42599999999999999</v>
      </c>
      <c r="B431">
        <f t="shared" si="12"/>
        <v>10.745284</v>
      </c>
      <c r="C431">
        <f t="shared" si="13"/>
        <v>3.0227829670000017</v>
      </c>
    </row>
    <row r="432" spans="1:3" x14ac:dyDescent="0.25">
      <c r="A432">
        <v>0.42699999999999999</v>
      </c>
      <c r="B432">
        <f t="shared" si="12"/>
        <v>10.764960999999998</v>
      </c>
      <c r="C432">
        <f t="shared" si="13"/>
        <v>3.0335380895000017</v>
      </c>
    </row>
    <row r="433" spans="1:3" x14ac:dyDescent="0.25">
      <c r="A433">
        <v>0.42799999999999999</v>
      </c>
      <c r="B433">
        <f t="shared" si="12"/>
        <v>10.784655999999998</v>
      </c>
      <c r="C433">
        <f t="shared" si="13"/>
        <v>3.0443128980000016</v>
      </c>
    </row>
    <row r="434" spans="1:3" x14ac:dyDescent="0.25">
      <c r="A434">
        <v>0.42899999999999999</v>
      </c>
      <c r="B434">
        <f t="shared" si="12"/>
        <v>10.804368999999999</v>
      </c>
      <c r="C434">
        <f t="shared" si="13"/>
        <v>3.0551074105000016</v>
      </c>
    </row>
    <row r="435" spans="1:3" x14ac:dyDescent="0.25">
      <c r="A435">
        <v>0.43</v>
      </c>
      <c r="B435">
        <f t="shared" si="12"/>
        <v>10.8241</v>
      </c>
      <c r="C435">
        <f t="shared" si="13"/>
        <v>3.0659216450000017</v>
      </c>
    </row>
    <row r="436" spans="1:3" x14ac:dyDescent="0.25">
      <c r="A436">
        <v>0.43099999999999999</v>
      </c>
      <c r="B436">
        <f t="shared" si="12"/>
        <v>10.843849000000001</v>
      </c>
      <c r="C436">
        <f t="shared" si="13"/>
        <v>3.0767556195000019</v>
      </c>
    </row>
    <row r="437" spans="1:3" x14ac:dyDescent="0.25">
      <c r="A437">
        <v>0.432</v>
      </c>
      <c r="B437">
        <f t="shared" si="12"/>
        <v>10.863616000000002</v>
      </c>
      <c r="C437">
        <f t="shared" si="13"/>
        <v>3.0876093520000021</v>
      </c>
    </row>
    <row r="438" spans="1:3" x14ac:dyDescent="0.25">
      <c r="A438">
        <v>0.433</v>
      </c>
      <c r="B438">
        <f t="shared" si="12"/>
        <v>10.883400999999999</v>
      </c>
      <c r="C438">
        <f t="shared" si="13"/>
        <v>3.0984828605000021</v>
      </c>
    </row>
    <row r="439" spans="1:3" x14ac:dyDescent="0.25">
      <c r="A439">
        <v>0.434</v>
      </c>
      <c r="B439">
        <f t="shared" si="12"/>
        <v>10.903204000000001</v>
      </c>
      <c r="C439">
        <f t="shared" si="13"/>
        <v>3.1093761630000021</v>
      </c>
    </row>
    <row r="440" spans="1:3" x14ac:dyDescent="0.25">
      <c r="A440">
        <v>0.435</v>
      </c>
      <c r="B440">
        <f t="shared" si="12"/>
        <v>10.923024999999997</v>
      </c>
      <c r="C440">
        <f t="shared" si="13"/>
        <v>3.1202892775000022</v>
      </c>
    </row>
    <row r="441" spans="1:3" x14ac:dyDescent="0.25">
      <c r="A441">
        <v>0.436</v>
      </c>
      <c r="B441">
        <f t="shared" si="12"/>
        <v>10.942863999999998</v>
      </c>
      <c r="C441">
        <f t="shared" si="13"/>
        <v>3.1312222220000021</v>
      </c>
    </row>
    <row r="442" spans="1:3" x14ac:dyDescent="0.25">
      <c r="A442">
        <v>0.437</v>
      </c>
      <c r="B442">
        <f t="shared" si="12"/>
        <v>10.962721</v>
      </c>
      <c r="C442">
        <f t="shared" si="13"/>
        <v>3.142175014500002</v>
      </c>
    </row>
    <row r="443" spans="1:3" x14ac:dyDescent="0.25">
      <c r="A443">
        <v>0.438</v>
      </c>
      <c r="B443">
        <f t="shared" si="12"/>
        <v>10.982596000000001</v>
      </c>
      <c r="C443">
        <f t="shared" si="13"/>
        <v>3.1531476730000021</v>
      </c>
    </row>
    <row r="444" spans="1:3" x14ac:dyDescent="0.25">
      <c r="A444">
        <v>0.439</v>
      </c>
      <c r="B444">
        <f t="shared" si="12"/>
        <v>11.002489000000001</v>
      </c>
      <c r="C444">
        <f t="shared" si="13"/>
        <v>3.164140215500002</v>
      </c>
    </row>
    <row r="445" spans="1:3" x14ac:dyDescent="0.25">
      <c r="A445">
        <v>0.44</v>
      </c>
      <c r="B445">
        <f t="shared" si="12"/>
        <v>11.022400000000001</v>
      </c>
      <c r="C445">
        <f t="shared" si="13"/>
        <v>3.175152660000002</v>
      </c>
    </row>
    <row r="446" spans="1:3" x14ac:dyDescent="0.25">
      <c r="A446">
        <v>0.441</v>
      </c>
      <c r="B446">
        <f t="shared" si="12"/>
        <v>11.042329000000001</v>
      </c>
      <c r="C446">
        <f t="shared" si="13"/>
        <v>3.1861850245000021</v>
      </c>
    </row>
    <row r="447" spans="1:3" x14ac:dyDescent="0.25">
      <c r="A447">
        <v>0.442</v>
      </c>
      <c r="B447">
        <f t="shared" si="12"/>
        <v>11.062276000000001</v>
      </c>
      <c r="C447">
        <f t="shared" si="13"/>
        <v>3.1972373270000021</v>
      </c>
    </row>
    <row r="448" spans="1:3" x14ac:dyDescent="0.25">
      <c r="A448">
        <v>0.443</v>
      </c>
      <c r="B448">
        <f t="shared" si="12"/>
        <v>11.082240999999998</v>
      </c>
      <c r="C448">
        <f t="shared" si="13"/>
        <v>3.2083095855000021</v>
      </c>
    </row>
    <row r="449" spans="1:3" x14ac:dyDescent="0.25">
      <c r="A449">
        <v>0.44400000000000001</v>
      </c>
      <c r="B449">
        <f t="shared" si="12"/>
        <v>11.102224</v>
      </c>
      <c r="C449">
        <f t="shared" si="13"/>
        <v>3.2194018180000019</v>
      </c>
    </row>
    <row r="450" spans="1:3" x14ac:dyDescent="0.25">
      <c r="A450">
        <v>0.44500000000000001</v>
      </c>
      <c r="B450">
        <f t="shared" si="12"/>
        <v>11.122225</v>
      </c>
      <c r="C450">
        <f t="shared" si="13"/>
        <v>3.2305140425000021</v>
      </c>
    </row>
    <row r="451" spans="1:3" x14ac:dyDescent="0.25">
      <c r="A451">
        <v>0.44600000000000001</v>
      </c>
      <c r="B451">
        <f t="shared" si="12"/>
        <v>11.142244</v>
      </c>
      <c r="C451">
        <f t="shared" si="13"/>
        <v>3.2416462770000023</v>
      </c>
    </row>
    <row r="452" spans="1:3" x14ac:dyDescent="0.25">
      <c r="A452">
        <v>0.44700000000000001</v>
      </c>
      <c r="B452">
        <f t="shared" si="12"/>
        <v>11.162281000000002</v>
      </c>
      <c r="C452">
        <f t="shared" si="13"/>
        <v>3.2527985395000023</v>
      </c>
    </row>
    <row r="453" spans="1:3" x14ac:dyDescent="0.25">
      <c r="A453">
        <v>0.44800000000000001</v>
      </c>
      <c r="B453">
        <f t="shared" si="12"/>
        <v>11.182336000000001</v>
      </c>
      <c r="C453">
        <f t="shared" si="13"/>
        <v>3.2639708480000023</v>
      </c>
    </row>
    <row r="454" spans="1:3" x14ac:dyDescent="0.25">
      <c r="A454">
        <v>0.44900000000000001</v>
      </c>
      <c r="B454">
        <f t="shared" si="12"/>
        <v>11.202408999999999</v>
      </c>
      <c r="C454">
        <f t="shared" si="13"/>
        <v>3.2751632205000023</v>
      </c>
    </row>
    <row r="455" spans="1:3" x14ac:dyDescent="0.25">
      <c r="A455">
        <v>0.45</v>
      </c>
      <c r="B455">
        <f t="shared" ref="B455:B518" si="14">(2+3*A455)^2</f>
        <v>11.2225</v>
      </c>
      <c r="C455">
        <f t="shared" ref="C455:C518" si="15">C454+(B455+B454)*(A455-A454)/2</f>
        <v>3.2863756750000022</v>
      </c>
    </row>
    <row r="456" spans="1:3" x14ac:dyDescent="0.25">
      <c r="A456">
        <v>0.45100000000000001</v>
      </c>
      <c r="B456">
        <f t="shared" si="14"/>
        <v>11.242608999999998</v>
      </c>
      <c r="C456">
        <f t="shared" si="15"/>
        <v>3.297608229500002</v>
      </c>
    </row>
    <row r="457" spans="1:3" x14ac:dyDescent="0.25">
      <c r="A457">
        <v>0.45200000000000001</v>
      </c>
      <c r="B457">
        <f t="shared" si="14"/>
        <v>11.262735999999999</v>
      </c>
      <c r="C457">
        <f t="shared" si="15"/>
        <v>3.3088609020000019</v>
      </c>
    </row>
    <row r="458" spans="1:3" x14ac:dyDescent="0.25">
      <c r="A458">
        <v>0.45300000000000001</v>
      </c>
      <c r="B458">
        <f t="shared" si="14"/>
        <v>11.282881</v>
      </c>
      <c r="C458">
        <f t="shared" si="15"/>
        <v>3.3201337105000022</v>
      </c>
    </row>
    <row r="459" spans="1:3" x14ac:dyDescent="0.25">
      <c r="A459">
        <v>0.45400000000000001</v>
      </c>
      <c r="B459">
        <f t="shared" si="14"/>
        <v>11.303044</v>
      </c>
      <c r="C459">
        <f t="shared" si="15"/>
        <v>3.3314266730000024</v>
      </c>
    </row>
    <row r="460" spans="1:3" x14ac:dyDescent="0.25">
      <c r="A460">
        <v>0.45500000000000002</v>
      </c>
      <c r="B460">
        <f t="shared" si="14"/>
        <v>11.323225000000001</v>
      </c>
      <c r="C460">
        <f t="shared" si="15"/>
        <v>3.3427398075000023</v>
      </c>
    </row>
    <row r="461" spans="1:3" x14ac:dyDescent="0.25">
      <c r="A461">
        <v>0.45600000000000002</v>
      </c>
      <c r="B461">
        <f t="shared" si="14"/>
        <v>11.343424000000002</v>
      </c>
      <c r="C461">
        <f t="shared" si="15"/>
        <v>3.3540731320000021</v>
      </c>
    </row>
    <row r="462" spans="1:3" x14ac:dyDescent="0.25">
      <c r="A462">
        <v>0.45700000000000002</v>
      </c>
      <c r="B462">
        <f t="shared" si="14"/>
        <v>11.363640999999999</v>
      </c>
      <c r="C462">
        <f t="shared" si="15"/>
        <v>3.3654266645000019</v>
      </c>
    </row>
    <row r="463" spans="1:3" x14ac:dyDescent="0.25">
      <c r="A463">
        <v>0.45800000000000002</v>
      </c>
      <c r="B463">
        <f t="shared" si="14"/>
        <v>11.383876000000001</v>
      </c>
      <c r="C463">
        <f t="shared" si="15"/>
        <v>3.3768004230000019</v>
      </c>
    </row>
    <row r="464" spans="1:3" x14ac:dyDescent="0.25">
      <c r="A464">
        <v>0.45900000000000002</v>
      </c>
      <c r="B464">
        <f t="shared" si="14"/>
        <v>11.404128999999999</v>
      </c>
      <c r="C464">
        <f t="shared" si="15"/>
        <v>3.3881944255000018</v>
      </c>
    </row>
    <row r="465" spans="1:3" x14ac:dyDescent="0.25">
      <c r="A465">
        <v>0.46</v>
      </c>
      <c r="B465">
        <f t="shared" si="14"/>
        <v>11.424399999999999</v>
      </c>
      <c r="C465">
        <f t="shared" si="15"/>
        <v>3.3996086900000018</v>
      </c>
    </row>
    <row r="466" spans="1:3" x14ac:dyDescent="0.25">
      <c r="A466">
        <v>0.46100000000000002</v>
      </c>
      <c r="B466">
        <f t="shared" si="14"/>
        <v>11.444689</v>
      </c>
      <c r="C466">
        <f t="shared" si="15"/>
        <v>3.4110432345000019</v>
      </c>
    </row>
    <row r="467" spans="1:3" x14ac:dyDescent="0.25">
      <c r="A467">
        <v>0.46200000000000002</v>
      </c>
      <c r="B467">
        <f t="shared" si="14"/>
        <v>11.464996000000001</v>
      </c>
      <c r="C467">
        <f t="shared" si="15"/>
        <v>3.422498077000002</v>
      </c>
    </row>
    <row r="468" spans="1:3" x14ac:dyDescent="0.25">
      <c r="A468">
        <v>0.46300000000000002</v>
      </c>
      <c r="B468">
        <f t="shared" si="14"/>
        <v>11.485321000000001</v>
      </c>
      <c r="C468">
        <f t="shared" si="15"/>
        <v>3.4339732355000021</v>
      </c>
    </row>
    <row r="469" spans="1:3" x14ac:dyDescent="0.25">
      <c r="A469">
        <v>0.46400000000000002</v>
      </c>
      <c r="B469">
        <f t="shared" si="14"/>
        <v>11.505664000000003</v>
      </c>
      <c r="C469">
        <f t="shared" si="15"/>
        <v>3.445468728000002</v>
      </c>
    </row>
    <row r="470" spans="1:3" x14ac:dyDescent="0.25">
      <c r="A470">
        <v>0.46500000000000002</v>
      </c>
      <c r="B470">
        <f t="shared" si="14"/>
        <v>11.526025000000001</v>
      </c>
      <c r="C470">
        <f t="shared" si="15"/>
        <v>3.4569845725000019</v>
      </c>
    </row>
    <row r="471" spans="1:3" x14ac:dyDescent="0.25">
      <c r="A471">
        <v>0.46600000000000003</v>
      </c>
      <c r="B471">
        <f t="shared" si="14"/>
        <v>11.546404000000001</v>
      </c>
      <c r="C471">
        <f t="shared" si="15"/>
        <v>3.4685207870000019</v>
      </c>
    </row>
    <row r="472" spans="1:3" x14ac:dyDescent="0.25">
      <c r="A472">
        <v>0.46700000000000003</v>
      </c>
      <c r="B472">
        <f t="shared" si="14"/>
        <v>11.566800999999998</v>
      </c>
      <c r="C472">
        <f t="shared" si="15"/>
        <v>3.4800773895000017</v>
      </c>
    </row>
    <row r="473" spans="1:3" x14ac:dyDescent="0.25">
      <c r="A473">
        <v>0.46800000000000003</v>
      </c>
      <c r="B473">
        <f t="shared" si="14"/>
        <v>11.587216</v>
      </c>
      <c r="C473">
        <f t="shared" si="15"/>
        <v>3.4916543980000019</v>
      </c>
    </row>
    <row r="474" spans="1:3" x14ac:dyDescent="0.25">
      <c r="A474">
        <v>0.46899999999999997</v>
      </c>
      <c r="B474">
        <f t="shared" si="14"/>
        <v>11.607649</v>
      </c>
      <c r="C474">
        <f t="shared" si="15"/>
        <v>3.5032518305000013</v>
      </c>
    </row>
    <row r="475" spans="1:3" x14ac:dyDescent="0.25">
      <c r="A475">
        <v>0.47</v>
      </c>
      <c r="B475">
        <f t="shared" si="14"/>
        <v>11.628100000000002</v>
      </c>
      <c r="C475">
        <f t="shared" si="15"/>
        <v>3.5148697050000015</v>
      </c>
    </row>
    <row r="476" spans="1:3" x14ac:dyDescent="0.25">
      <c r="A476">
        <v>0.47099999999999997</v>
      </c>
      <c r="B476">
        <f t="shared" si="14"/>
        <v>11.648568999999998</v>
      </c>
      <c r="C476">
        <f t="shared" si="15"/>
        <v>3.5265080395000017</v>
      </c>
    </row>
    <row r="477" spans="1:3" x14ac:dyDescent="0.25">
      <c r="A477">
        <v>0.47199999999999998</v>
      </c>
      <c r="B477">
        <f t="shared" si="14"/>
        <v>11.669055999999999</v>
      </c>
      <c r="C477">
        <f t="shared" si="15"/>
        <v>3.5381668520000016</v>
      </c>
    </row>
    <row r="478" spans="1:3" x14ac:dyDescent="0.25">
      <c r="A478">
        <v>0.47299999999999998</v>
      </c>
      <c r="B478">
        <f t="shared" si="14"/>
        <v>11.689560999999999</v>
      </c>
      <c r="C478">
        <f t="shared" si="15"/>
        <v>3.5498461605000018</v>
      </c>
    </row>
    <row r="479" spans="1:3" x14ac:dyDescent="0.25">
      <c r="A479">
        <v>0.47399999999999998</v>
      </c>
      <c r="B479">
        <f t="shared" si="14"/>
        <v>11.710083999999998</v>
      </c>
      <c r="C479">
        <f t="shared" si="15"/>
        <v>3.5615459830000016</v>
      </c>
    </row>
    <row r="480" spans="1:3" x14ac:dyDescent="0.25">
      <c r="A480">
        <v>0.47499999999999998</v>
      </c>
      <c r="B480">
        <f t="shared" si="14"/>
        <v>11.730624999999998</v>
      </c>
      <c r="C480">
        <f t="shared" si="15"/>
        <v>3.5732663375000016</v>
      </c>
    </row>
    <row r="481" spans="1:3" x14ac:dyDescent="0.25">
      <c r="A481">
        <v>0.47599999999999998</v>
      </c>
      <c r="B481">
        <f t="shared" si="14"/>
        <v>11.751184</v>
      </c>
      <c r="C481">
        <f t="shared" si="15"/>
        <v>3.5850072420000014</v>
      </c>
    </row>
    <row r="482" spans="1:3" x14ac:dyDescent="0.25">
      <c r="A482">
        <v>0.47699999999999998</v>
      </c>
      <c r="B482">
        <f t="shared" si="14"/>
        <v>11.771761</v>
      </c>
      <c r="C482">
        <f t="shared" si="15"/>
        <v>3.5967687145000014</v>
      </c>
    </row>
    <row r="483" spans="1:3" x14ac:dyDescent="0.25">
      <c r="A483">
        <v>0.47799999999999998</v>
      </c>
      <c r="B483">
        <f t="shared" si="14"/>
        <v>11.792356000000002</v>
      </c>
      <c r="C483">
        <f t="shared" si="15"/>
        <v>3.6085507730000015</v>
      </c>
    </row>
    <row r="484" spans="1:3" x14ac:dyDescent="0.25">
      <c r="A484">
        <v>0.47899999999999998</v>
      </c>
      <c r="B484">
        <f t="shared" si="14"/>
        <v>11.812968999999999</v>
      </c>
      <c r="C484">
        <f t="shared" si="15"/>
        <v>3.6203534355000015</v>
      </c>
    </row>
    <row r="485" spans="1:3" x14ac:dyDescent="0.25">
      <c r="A485">
        <v>0.48</v>
      </c>
      <c r="B485">
        <f t="shared" si="14"/>
        <v>11.833599999999999</v>
      </c>
      <c r="C485">
        <f t="shared" si="15"/>
        <v>3.6321767200000017</v>
      </c>
    </row>
    <row r="486" spans="1:3" x14ac:dyDescent="0.25">
      <c r="A486">
        <v>0.48099999999999998</v>
      </c>
      <c r="B486">
        <f t="shared" si="14"/>
        <v>11.854249000000001</v>
      </c>
      <c r="C486">
        <f t="shared" si="15"/>
        <v>3.6440206445000016</v>
      </c>
    </row>
    <row r="487" spans="1:3" x14ac:dyDescent="0.25">
      <c r="A487">
        <v>0.48199999999999998</v>
      </c>
      <c r="B487">
        <f t="shared" si="14"/>
        <v>11.874915999999999</v>
      </c>
      <c r="C487">
        <f t="shared" si="15"/>
        <v>3.6558852270000015</v>
      </c>
    </row>
    <row r="488" spans="1:3" x14ac:dyDescent="0.25">
      <c r="A488">
        <v>0.48299999999999998</v>
      </c>
      <c r="B488">
        <f t="shared" si="14"/>
        <v>11.895600999999999</v>
      </c>
      <c r="C488">
        <f t="shared" si="15"/>
        <v>3.6677704855000015</v>
      </c>
    </row>
    <row r="489" spans="1:3" x14ac:dyDescent="0.25">
      <c r="A489">
        <v>0.48399999999999999</v>
      </c>
      <c r="B489">
        <f t="shared" si="14"/>
        <v>11.916304</v>
      </c>
      <c r="C489">
        <f t="shared" si="15"/>
        <v>3.6796764380000013</v>
      </c>
    </row>
    <row r="490" spans="1:3" x14ac:dyDescent="0.25">
      <c r="A490">
        <v>0.48499999999999999</v>
      </c>
      <c r="B490">
        <f t="shared" si="14"/>
        <v>11.937025</v>
      </c>
      <c r="C490">
        <f t="shared" si="15"/>
        <v>3.6916031025000011</v>
      </c>
    </row>
    <row r="491" spans="1:3" x14ac:dyDescent="0.25">
      <c r="A491">
        <v>0.48599999999999999</v>
      </c>
      <c r="B491">
        <f t="shared" si="14"/>
        <v>11.957764000000001</v>
      </c>
      <c r="C491">
        <f t="shared" si="15"/>
        <v>3.7035504970000011</v>
      </c>
    </row>
    <row r="492" spans="1:3" x14ac:dyDescent="0.25">
      <c r="A492">
        <v>0.48699999999999999</v>
      </c>
      <c r="B492">
        <f t="shared" si="14"/>
        <v>11.978520999999999</v>
      </c>
      <c r="C492">
        <f t="shared" si="15"/>
        <v>3.7155186395000013</v>
      </c>
    </row>
    <row r="493" spans="1:3" x14ac:dyDescent="0.25">
      <c r="A493">
        <v>0.48799999999999999</v>
      </c>
      <c r="B493">
        <f t="shared" si="14"/>
        <v>11.999295999999999</v>
      </c>
      <c r="C493">
        <f t="shared" si="15"/>
        <v>3.7275075480000015</v>
      </c>
    </row>
    <row r="494" spans="1:3" x14ac:dyDescent="0.25">
      <c r="A494">
        <v>0.48899999999999999</v>
      </c>
      <c r="B494">
        <f t="shared" si="14"/>
        <v>12.020089</v>
      </c>
      <c r="C494">
        <f t="shared" si="15"/>
        <v>3.7395172405000014</v>
      </c>
    </row>
    <row r="495" spans="1:3" x14ac:dyDescent="0.25">
      <c r="A495">
        <v>0.49</v>
      </c>
      <c r="B495">
        <f t="shared" si="14"/>
        <v>12.040899999999999</v>
      </c>
      <c r="C495">
        <f t="shared" si="15"/>
        <v>3.7515477350000013</v>
      </c>
    </row>
    <row r="496" spans="1:3" x14ac:dyDescent="0.25">
      <c r="A496">
        <v>0.49099999999999999</v>
      </c>
      <c r="B496">
        <f t="shared" si="14"/>
        <v>12.061729</v>
      </c>
      <c r="C496">
        <f t="shared" si="15"/>
        <v>3.7635990495000011</v>
      </c>
    </row>
    <row r="497" spans="1:3" x14ac:dyDescent="0.25">
      <c r="A497">
        <v>0.49199999999999999</v>
      </c>
      <c r="B497">
        <f t="shared" si="14"/>
        <v>12.082576</v>
      </c>
      <c r="C497">
        <f t="shared" si="15"/>
        <v>3.7756712020000012</v>
      </c>
    </row>
    <row r="498" spans="1:3" x14ac:dyDescent="0.25">
      <c r="A498">
        <v>0.49299999999999999</v>
      </c>
      <c r="B498">
        <f t="shared" si="14"/>
        <v>12.103441</v>
      </c>
      <c r="C498">
        <f t="shared" si="15"/>
        <v>3.7877642105000011</v>
      </c>
    </row>
    <row r="499" spans="1:3" x14ac:dyDescent="0.25">
      <c r="A499">
        <v>0.49399999999999999</v>
      </c>
      <c r="B499">
        <f t="shared" si="14"/>
        <v>12.124324000000001</v>
      </c>
      <c r="C499">
        <f t="shared" si="15"/>
        <v>3.7998780930000011</v>
      </c>
    </row>
    <row r="500" spans="1:3" x14ac:dyDescent="0.25">
      <c r="A500">
        <v>0.495</v>
      </c>
      <c r="B500">
        <f t="shared" si="14"/>
        <v>12.145225</v>
      </c>
      <c r="C500">
        <f t="shared" si="15"/>
        <v>3.8120128675000013</v>
      </c>
    </row>
    <row r="501" spans="1:3" x14ac:dyDescent="0.25">
      <c r="A501">
        <v>0.496</v>
      </c>
      <c r="B501">
        <f t="shared" si="14"/>
        <v>12.166143999999999</v>
      </c>
      <c r="C501">
        <f t="shared" si="15"/>
        <v>3.8241685520000015</v>
      </c>
    </row>
    <row r="502" spans="1:3" x14ac:dyDescent="0.25">
      <c r="A502">
        <v>0.497</v>
      </c>
      <c r="B502">
        <f t="shared" si="14"/>
        <v>12.187081000000001</v>
      </c>
      <c r="C502">
        <f t="shared" si="15"/>
        <v>3.8363451645000013</v>
      </c>
    </row>
    <row r="503" spans="1:3" x14ac:dyDescent="0.25">
      <c r="A503">
        <v>0.498</v>
      </c>
      <c r="B503">
        <f t="shared" si="14"/>
        <v>12.208035999999998</v>
      </c>
      <c r="C503">
        <f t="shared" si="15"/>
        <v>3.8485427230000013</v>
      </c>
    </row>
    <row r="504" spans="1:3" x14ac:dyDescent="0.25">
      <c r="A504">
        <v>0.499</v>
      </c>
      <c r="B504">
        <f t="shared" si="14"/>
        <v>12.229009</v>
      </c>
      <c r="C504">
        <f t="shared" si="15"/>
        <v>3.8607612455000013</v>
      </c>
    </row>
    <row r="505" spans="1:3" x14ac:dyDescent="0.25">
      <c r="A505">
        <v>0.5</v>
      </c>
      <c r="B505">
        <f t="shared" si="14"/>
        <v>12.25</v>
      </c>
      <c r="C505">
        <f t="shared" si="15"/>
        <v>3.8730007500000014</v>
      </c>
    </row>
    <row r="506" spans="1:3" x14ac:dyDescent="0.25">
      <c r="A506">
        <v>0.501</v>
      </c>
      <c r="B506">
        <f t="shared" si="14"/>
        <v>12.271009000000001</v>
      </c>
      <c r="C506">
        <f t="shared" si="15"/>
        <v>3.8852612545000014</v>
      </c>
    </row>
    <row r="507" spans="1:3" x14ac:dyDescent="0.25">
      <c r="A507">
        <v>0.502</v>
      </c>
      <c r="B507">
        <f t="shared" si="14"/>
        <v>12.292036000000001</v>
      </c>
      <c r="C507">
        <f t="shared" si="15"/>
        <v>3.8975427770000013</v>
      </c>
    </row>
    <row r="508" spans="1:3" x14ac:dyDescent="0.25">
      <c r="A508">
        <v>0.503</v>
      </c>
      <c r="B508">
        <f t="shared" si="14"/>
        <v>12.313080999999999</v>
      </c>
      <c r="C508">
        <f t="shared" si="15"/>
        <v>3.9098453355000014</v>
      </c>
    </row>
    <row r="509" spans="1:3" x14ac:dyDescent="0.25">
      <c r="A509">
        <v>0.504</v>
      </c>
      <c r="B509">
        <f t="shared" si="14"/>
        <v>12.334144</v>
      </c>
      <c r="C509">
        <f t="shared" si="15"/>
        <v>3.9221689480000013</v>
      </c>
    </row>
    <row r="510" spans="1:3" x14ac:dyDescent="0.25">
      <c r="A510">
        <v>0.505</v>
      </c>
      <c r="B510">
        <f t="shared" si="14"/>
        <v>12.355225000000001</v>
      </c>
      <c r="C510">
        <f t="shared" si="15"/>
        <v>3.9345136325000012</v>
      </c>
    </row>
    <row r="511" spans="1:3" x14ac:dyDescent="0.25">
      <c r="A511">
        <v>0.50600000000000001</v>
      </c>
      <c r="B511">
        <f t="shared" si="14"/>
        <v>12.376323999999999</v>
      </c>
      <c r="C511">
        <f t="shared" si="15"/>
        <v>3.9468794070000013</v>
      </c>
    </row>
    <row r="512" spans="1:3" x14ac:dyDescent="0.25">
      <c r="A512">
        <v>0.50700000000000001</v>
      </c>
      <c r="B512">
        <f t="shared" si="14"/>
        <v>12.397440999999999</v>
      </c>
      <c r="C512">
        <f t="shared" si="15"/>
        <v>3.9592662895000013</v>
      </c>
    </row>
    <row r="513" spans="1:3" x14ac:dyDescent="0.25">
      <c r="A513">
        <v>0.50800000000000001</v>
      </c>
      <c r="B513">
        <f t="shared" si="14"/>
        <v>12.418576</v>
      </c>
      <c r="C513">
        <f t="shared" si="15"/>
        <v>3.9716742980000013</v>
      </c>
    </row>
    <row r="514" spans="1:3" x14ac:dyDescent="0.25">
      <c r="A514">
        <v>0.50900000000000001</v>
      </c>
      <c r="B514">
        <f t="shared" si="14"/>
        <v>12.439729000000002</v>
      </c>
      <c r="C514">
        <f t="shared" si="15"/>
        <v>3.9841034505000015</v>
      </c>
    </row>
    <row r="515" spans="1:3" x14ac:dyDescent="0.25">
      <c r="A515">
        <v>0.51</v>
      </c>
      <c r="B515">
        <f t="shared" si="14"/>
        <v>12.460900000000002</v>
      </c>
      <c r="C515">
        <f t="shared" si="15"/>
        <v>3.9965537650000016</v>
      </c>
    </row>
    <row r="516" spans="1:3" x14ac:dyDescent="0.25">
      <c r="A516">
        <v>0.51100000000000001</v>
      </c>
      <c r="B516">
        <f t="shared" si="14"/>
        <v>12.482089</v>
      </c>
      <c r="C516">
        <f t="shared" si="15"/>
        <v>4.0090252595000013</v>
      </c>
    </row>
    <row r="517" spans="1:3" x14ac:dyDescent="0.25">
      <c r="A517">
        <v>0.51200000000000001</v>
      </c>
      <c r="B517">
        <f t="shared" si="14"/>
        <v>12.503296000000001</v>
      </c>
      <c r="C517">
        <f t="shared" si="15"/>
        <v>4.0215179520000017</v>
      </c>
    </row>
    <row r="518" spans="1:3" x14ac:dyDescent="0.25">
      <c r="A518">
        <v>0.51300000000000001</v>
      </c>
      <c r="B518">
        <f t="shared" si="14"/>
        <v>12.524521000000002</v>
      </c>
      <c r="C518">
        <f t="shared" si="15"/>
        <v>4.0340318605000016</v>
      </c>
    </row>
    <row r="519" spans="1:3" x14ac:dyDescent="0.25">
      <c r="A519">
        <v>0.51400000000000001</v>
      </c>
      <c r="B519">
        <f t="shared" ref="B519:B582" si="16">(2+3*A519)^2</f>
        <v>12.545763999999998</v>
      </c>
      <c r="C519">
        <f t="shared" ref="C519:C582" si="17">C518+(B519+B518)*(A519-A518)/2</f>
        <v>4.0465670030000016</v>
      </c>
    </row>
    <row r="520" spans="1:3" x14ac:dyDescent="0.25">
      <c r="A520">
        <v>0.51500000000000001</v>
      </c>
      <c r="B520">
        <f t="shared" si="16"/>
        <v>12.567024999999999</v>
      </c>
      <c r="C520">
        <f t="shared" si="17"/>
        <v>4.0591233975000014</v>
      </c>
    </row>
    <row r="521" spans="1:3" x14ac:dyDescent="0.25">
      <c r="A521">
        <v>0.51600000000000001</v>
      </c>
      <c r="B521">
        <f t="shared" si="16"/>
        <v>12.588304000000001</v>
      </c>
      <c r="C521">
        <f t="shared" si="17"/>
        <v>4.0717010620000016</v>
      </c>
    </row>
    <row r="522" spans="1:3" x14ac:dyDescent="0.25">
      <c r="A522">
        <v>0.51700000000000002</v>
      </c>
      <c r="B522">
        <f t="shared" si="16"/>
        <v>12.609601000000001</v>
      </c>
      <c r="C522">
        <f t="shared" si="17"/>
        <v>4.0843000145000019</v>
      </c>
    </row>
    <row r="523" spans="1:3" x14ac:dyDescent="0.25">
      <c r="A523">
        <v>0.51800000000000002</v>
      </c>
      <c r="B523">
        <f t="shared" si="16"/>
        <v>12.630916000000003</v>
      </c>
      <c r="C523">
        <f t="shared" si="17"/>
        <v>4.0969202730000021</v>
      </c>
    </row>
    <row r="524" spans="1:3" x14ac:dyDescent="0.25">
      <c r="A524">
        <v>0.51900000000000002</v>
      </c>
      <c r="B524">
        <f t="shared" si="16"/>
        <v>12.652248999999999</v>
      </c>
      <c r="C524">
        <f t="shared" si="17"/>
        <v>4.1095618555000017</v>
      </c>
    </row>
    <row r="525" spans="1:3" x14ac:dyDescent="0.25">
      <c r="A525">
        <v>0.52</v>
      </c>
      <c r="B525">
        <f t="shared" si="16"/>
        <v>12.6736</v>
      </c>
      <c r="C525">
        <f t="shared" si="17"/>
        <v>4.1222247800000016</v>
      </c>
    </row>
    <row r="526" spans="1:3" x14ac:dyDescent="0.25">
      <c r="A526">
        <v>0.52100000000000002</v>
      </c>
      <c r="B526">
        <f t="shared" si="16"/>
        <v>12.694969</v>
      </c>
      <c r="C526">
        <f t="shared" si="17"/>
        <v>4.1349090645000013</v>
      </c>
    </row>
    <row r="527" spans="1:3" x14ac:dyDescent="0.25">
      <c r="A527">
        <v>0.52200000000000002</v>
      </c>
      <c r="B527">
        <f t="shared" si="16"/>
        <v>12.716355999999999</v>
      </c>
      <c r="C527">
        <f t="shared" si="17"/>
        <v>4.1476147270000014</v>
      </c>
    </row>
    <row r="528" spans="1:3" x14ac:dyDescent="0.25">
      <c r="A528">
        <v>0.52300000000000002</v>
      </c>
      <c r="B528">
        <f t="shared" si="16"/>
        <v>12.737760999999999</v>
      </c>
      <c r="C528">
        <f t="shared" si="17"/>
        <v>4.1603417855000018</v>
      </c>
    </row>
    <row r="529" spans="1:3" x14ac:dyDescent="0.25">
      <c r="A529">
        <v>0.52400000000000002</v>
      </c>
      <c r="B529">
        <f t="shared" si="16"/>
        <v>12.759184000000001</v>
      </c>
      <c r="C529">
        <f t="shared" si="17"/>
        <v>4.173090258000002</v>
      </c>
    </row>
    <row r="530" spans="1:3" x14ac:dyDescent="0.25">
      <c r="A530">
        <v>0.52500000000000002</v>
      </c>
      <c r="B530">
        <f t="shared" si="16"/>
        <v>12.780625000000001</v>
      </c>
      <c r="C530">
        <f t="shared" si="17"/>
        <v>4.1858601625000018</v>
      </c>
    </row>
    <row r="531" spans="1:3" x14ac:dyDescent="0.25">
      <c r="A531">
        <v>0.52600000000000002</v>
      </c>
      <c r="B531">
        <f t="shared" si="16"/>
        <v>12.802084000000002</v>
      </c>
      <c r="C531">
        <f t="shared" si="17"/>
        <v>4.1986515170000018</v>
      </c>
    </row>
    <row r="532" spans="1:3" x14ac:dyDescent="0.25">
      <c r="A532">
        <v>0.52700000000000002</v>
      </c>
      <c r="B532">
        <f t="shared" si="16"/>
        <v>12.823561</v>
      </c>
      <c r="C532">
        <f t="shared" si="17"/>
        <v>4.2114643395000018</v>
      </c>
    </row>
    <row r="533" spans="1:3" x14ac:dyDescent="0.25">
      <c r="A533">
        <v>0.52800000000000002</v>
      </c>
      <c r="B533">
        <f t="shared" si="16"/>
        <v>12.845056000000001</v>
      </c>
      <c r="C533">
        <f t="shared" si="17"/>
        <v>4.2242986480000022</v>
      </c>
    </row>
    <row r="534" spans="1:3" x14ac:dyDescent="0.25">
      <c r="A534">
        <v>0.52900000000000003</v>
      </c>
      <c r="B534">
        <f t="shared" si="16"/>
        <v>12.866569000000002</v>
      </c>
      <c r="C534">
        <f t="shared" si="17"/>
        <v>4.237154460500002</v>
      </c>
    </row>
    <row r="535" spans="1:3" x14ac:dyDescent="0.25">
      <c r="A535">
        <v>0.53</v>
      </c>
      <c r="B535">
        <f t="shared" si="16"/>
        <v>12.8881</v>
      </c>
      <c r="C535">
        <f t="shared" si="17"/>
        <v>4.2500317950000017</v>
      </c>
    </row>
    <row r="536" spans="1:3" x14ac:dyDescent="0.25">
      <c r="A536">
        <v>0.53100000000000003</v>
      </c>
      <c r="B536">
        <f t="shared" si="16"/>
        <v>12.909649</v>
      </c>
      <c r="C536">
        <f t="shared" si="17"/>
        <v>4.262930669500002</v>
      </c>
    </row>
    <row r="537" spans="1:3" x14ac:dyDescent="0.25">
      <c r="A537">
        <v>0.53200000000000003</v>
      </c>
      <c r="B537">
        <f t="shared" si="16"/>
        <v>12.931216000000001</v>
      </c>
      <c r="C537">
        <f t="shared" si="17"/>
        <v>4.2758511020000016</v>
      </c>
    </row>
    <row r="538" spans="1:3" x14ac:dyDescent="0.25">
      <c r="A538">
        <v>0.53300000000000003</v>
      </c>
      <c r="B538">
        <f t="shared" si="16"/>
        <v>12.952801000000001</v>
      </c>
      <c r="C538">
        <f t="shared" si="17"/>
        <v>4.2887931105000012</v>
      </c>
    </row>
    <row r="539" spans="1:3" x14ac:dyDescent="0.25">
      <c r="A539">
        <v>0.53400000000000003</v>
      </c>
      <c r="B539">
        <f t="shared" si="16"/>
        <v>12.974404000000002</v>
      </c>
      <c r="C539">
        <f t="shared" si="17"/>
        <v>4.3017567130000014</v>
      </c>
    </row>
    <row r="540" spans="1:3" x14ac:dyDescent="0.25">
      <c r="A540">
        <v>0.53500000000000003</v>
      </c>
      <c r="B540">
        <f t="shared" si="16"/>
        <v>12.996024999999999</v>
      </c>
      <c r="C540">
        <f t="shared" si="17"/>
        <v>4.3147419275000019</v>
      </c>
    </row>
    <row r="541" spans="1:3" x14ac:dyDescent="0.25">
      <c r="A541">
        <v>0.53600000000000003</v>
      </c>
      <c r="B541">
        <f t="shared" si="16"/>
        <v>13.017664</v>
      </c>
      <c r="C541">
        <f t="shared" si="17"/>
        <v>4.3277487720000023</v>
      </c>
    </row>
    <row r="542" spans="1:3" x14ac:dyDescent="0.25">
      <c r="A542">
        <v>0.53700000000000003</v>
      </c>
      <c r="B542">
        <f t="shared" si="16"/>
        <v>13.039321000000001</v>
      </c>
      <c r="C542">
        <f t="shared" si="17"/>
        <v>4.3407772645000025</v>
      </c>
    </row>
    <row r="543" spans="1:3" x14ac:dyDescent="0.25">
      <c r="A543">
        <v>0.53800000000000003</v>
      </c>
      <c r="B543">
        <f t="shared" si="16"/>
        <v>13.060995999999999</v>
      </c>
      <c r="C543">
        <f t="shared" si="17"/>
        <v>4.353827423000002</v>
      </c>
    </row>
    <row r="544" spans="1:3" x14ac:dyDescent="0.25">
      <c r="A544">
        <v>0.53900000000000003</v>
      </c>
      <c r="B544">
        <f t="shared" si="16"/>
        <v>13.082689</v>
      </c>
      <c r="C544">
        <f t="shared" si="17"/>
        <v>4.3668992655000016</v>
      </c>
    </row>
    <row r="545" spans="1:3" x14ac:dyDescent="0.25">
      <c r="A545">
        <v>0.54</v>
      </c>
      <c r="B545">
        <f t="shared" si="16"/>
        <v>13.1044</v>
      </c>
      <c r="C545">
        <f t="shared" si="17"/>
        <v>4.3799928100000018</v>
      </c>
    </row>
    <row r="546" spans="1:3" x14ac:dyDescent="0.25">
      <c r="A546">
        <v>0.54100000000000004</v>
      </c>
      <c r="B546">
        <f t="shared" si="16"/>
        <v>13.126129000000002</v>
      </c>
      <c r="C546">
        <f t="shared" si="17"/>
        <v>4.3931080745000015</v>
      </c>
    </row>
    <row r="547" spans="1:3" x14ac:dyDescent="0.25">
      <c r="A547">
        <v>0.54200000000000004</v>
      </c>
      <c r="B547">
        <f t="shared" si="16"/>
        <v>13.147876000000002</v>
      </c>
      <c r="C547">
        <f t="shared" si="17"/>
        <v>4.4062450770000012</v>
      </c>
    </row>
    <row r="548" spans="1:3" x14ac:dyDescent="0.25">
      <c r="A548">
        <v>0.54300000000000004</v>
      </c>
      <c r="B548">
        <f t="shared" si="16"/>
        <v>13.169641</v>
      </c>
      <c r="C548">
        <f t="shared" si="17"/>
        <v>4.4194038355000016</v>
      </c>
    </row>
    <row r="549" spans="1:3" x14ac:dyDescent="0.25">
      <c r="A549">
        <v>0.54400000000000004</v>
      </c>
      <c r="B549">
        <f t="shared" si="16"/>
        <v>13.191424000000001</v>
      </c>
      <c r="C549">
        <f t="shared" si="17"/>
        <v>4.4325843680000014</v>
      </c>
    </row>
    <row r="550" spans="1:3" x14ac:dyDescent="0.25">
      <c r="A550">
        <v>0.54500000000000004</v>
      </c>
      <c r="B550">
        <f t="shared" si="16"/>
        <v>13.213225000000001</v>
      </c>
      <c r="C550">
        <f t="shared" si="17"/>
        <v>4.4457866925000014</v>
      </c>
    </row>
    <row r="551" spans="1:3" x14ac:dyDescent="0.25">
      <c r="A551">
        <v>0.54600000000000004</v>
      </c>
      <c r="B551">
        <f t="shared" si="16"/>
        <v>13.235043999999998</v>
      </c>
      <c r="C551">
        <f t="shared" si="17"/>
        <v>4.4590108270000011</v>
      </c>
    </row>
    <row r="552" spans="1:3" x14ac:dyDescent="0.25">
      <c r="A552">
        <v>0.54700000000000004</v>
      </c>
      <c r="B552">
        <f t="shared" si="16"/>
        <v>13.256881</v>
      </c>
      <c r="C552">
        <f t="shared" si="17"/>
        <v>4.4722567895000012</v>
      </c>
    </row>
    <row r="553" spans="1:3" x14ac:dyDescent="0.25">
      <c r="A553">
        <v>0.54800000000000004</v>
      </c>
      <c r="B553">
        <f t="shared" si="16"/>
        <v>13.278736</v>
      </c>
      <c r="C553">
        <f t="shared" si="17"/>
        <v>4.4855245980000014</v>
      </c>
    </row>
    <row r="554" spans="1:3" x14ac:dyDescent="0.25">
      <c r="A554">
        <v>0.54900000000000004</v>
      </c>
      <c r="B554">
        <f t="shared" si="16"/>
        <v>13.300609000000001</v>
      </c>
      <c r="C554">
        <f t="shared" si="17"/>
        <v>4.4988142705000014</v>
      </c>
    </row>
    <row r="555" spans="1:3" x14ac:dyDescent="0.25">
      <c r="A555">
        <v>0.55000000000000004</v>
      </c>
      <c r="B555">
        <f t="shared" si="16"/>
        <v>13.322500000000003</v>
      </c>
      <c r="C555">
        <f t="shared" si="17"/>
        <v>4.5121258250000018</v>
      </c>
    </row>
    <row r="556" spans="1:3" x14ac:dyDescent="0.25">
      <c r="A556">
        <v>0.55100000000000005</v>
      </c>
      <c r="B556">
        <f t="shared" si="16"/>
        <v>13.344409000000001</v>
      </c>
      <c r="C556">
        <f t="shared" si="17"/>
        <v>4.5254592795000015</v>
      </c>
    </row>
    <row r="557" spans="1:3" x14ac:dyDescent="0.25">
      <c r="A557">
        <v>0.55200000000000005</v>
      </c>
      <c r="B557">
        <f t="shared" si="16"/>
        <v>13.366336</v>
      </c>
      <c r="C557">
        <f t="shared" si="17"/>
        <v>4.5388146520000019</v>
      </c>
    </row>
    <row r="558" spans="1:3" x14ac:dyDescent="0.25">
      <c r="A558">
        <v>0.55300000000000005</v>
      </c>
      <c r="B558">
        <f t="shared" si="16"/>
        <v>13.388281000000001</v>
      </c>
      <c r="C558">
        <f t="shared" si="17"/>
        <v>4.5521919605000019</v>
      </c>
    </row>
    <row r="559" spans="1:3" x14ac:dyDescent="0.25">
      <c r="A559">
        <v>0.55400000000000005</v>
      </c>
      <c r="B559">
        <f t="shared" si="16"/>
        <v>13.410243999999999</v>
      </c>
      <c r="C559">
        <f t="shared" si="17"/>
        <v>4.565591223000002</v>
      </c>
    </row>
    <row r="560" spans="1:3" x14ac:dyDescent="0.25">
      <c r="A560">
        <v>0.55500000000000005</v>
      </c>
      <c r="B560">
        <f t="shared" si="16"/>
        <v>13.432225000000001</v>
      </c>
      <c r="C560">
        <f t="shared" si="17"/>
        <v>4.579012457500002</v>
      </c>
    </row>
    <row r="561" spans="1:3" x14ac:dyDescent="0.25">
      <c r="A561">
        <v>0.55600000000000005</v>
      </c>
      <c r="B561">
        <f t="shared" si="16"/>
        <v>13.454224000000002</v>
      </c>
      <c r="C561">
        <f t="shared" si="17"/>
        <v>4.5924556820000015</v>
      </c>
    </row>
    <row r="562" spans="1:3" x14ac:dyDescent="0.25">
      <c r="A562">
        <v>0.55700000000000005</v>
      </c>
      <c r="B562">
        <f t="shared" si="16"/>
        <v>13.476241000000002</v>
      </c>
      <c r="C562">
        <f t="shared" si="17"/>
        <v>4.6059209145000013</v>
      </c>
    </row>
    <row r="563" spans="1:3" x14ac:dyDescent="0.25">
      <c r="A563">
        <v>0.55800000000000005</v>
      </c>
      <c r="B563">
        <f t="shared" si="16"/>
        <v>13.498276000000002</v>
      </c>
      <c r="C563">
        <f t="shared" si="17"/>
        <v>4.619408173000001</v>
      </c>
    </row>
    <row r="564" spans="1:3" x14ac:dyDescent="0.25">
      <c r="A564">
        <v>0.55900000000000005</v>
      </c>
      <c r="B564">
        <f t="shared" si="16"/>
        <v>13.520329</v>
      </c>
      <c r="C564">
        <f t="shared" si="17"/>
        <v>4.6329174755000011</v>
      </c>
    </row>
    <row r="565" spans="1:3" x14ac:dyDescent="0.25">
      <c r="A565">
        <v>0.56000000000000005</v>
      </c>
      <c r="B565">
        <f t="shared" si="16"/>
        <v>13.542400000000001</v>
      </c>
      <c r="C565">
        <f t="shared" si="17"/>
        <v>4.6464488400000015</v>
      </c>
    </row>
    <row r="566" spans="1:3" x14ac:dyDescent="0.25">
      <c r="A566">
        <v>0.56100000000000005</v>
      </c>
      <c r="B566">
        <f t="shared" si="16"/>
        <v>13.564489000000002</v>
      </c>
      <c r="C566">
        <f t="shared" si="17"/>
        <v>4.6600022845000018</v>
      </c>
    </row>
    <row r="567" spans="1:3" x14ac:dyDescent="0.25">
      <c r="A567">
        <v>0.56200000000000006</v>
      </c>
      <c r="B567">
        <f t="shared" si="16"/>
        <v>13.586596</v>
      </c>
      <c r="C567">
        <f t="shared" si="17"/>
        <v>4.6735778270000017</v>
      </c>
    </row>
    <row r="568" spans="1:3" x14ac:dyDescent="0.25">
      <c r="A568">
        <v>0.56299999999999994</v>
      </c>
      <c r="B568">
        <f t="shared" si="16"/>
        <v>13.608721000000001</v>
      </c>
      <c r="C568">
        <f t="shared" si="17"/>
        <v>4.6871754855000001</v>
      </c>
    </row>
    <row r="569" spans="1:3" x14ac:dyDescent="0.25">
      <c r="A569">
        <v>0.56399999999999995</v>
      </c>
      <c r="B569">
        <f t="shared" si="16"/>
        <v>13.630863999999997</v>
      </c>
      <c r="C569">
        <f t="shared" si="17"/>
        <v>4.7007952780000002</v>
      </c>
    </row>
    <row r="570" spans="1:3" x14ac:dyDescent="0.25">
      <c r="A570">
        <v>0.56499999999999995</v>
      </c>
      <c r="B570">
        <f t="shared" si="16"/>
        <v>13.653025</v>
      </c>
      <c r="C570">
        <f t="shared" si="17"/>
        <v>4.7144372225</v>
      </c>
    </row>
    <row r="571" spans="1:3" x14ac:dyDescent="0.25">
      <c r="A571">
        <v>0.56599999999999995</v>
      </c>
      <c r="B571">
        <f t="shared" si="16"/>
        <v>13.675203999999999</v>
      </c>
      <c r="C571">
        <f t="shared" si="17"/>
        <v>4.728101337</v>
      </c>
    </row>
    <row r="572" spans="1:3" x14ac:dyDescent="0.25">
      <c r="A572">
        <v>0.56699999999999995</v>
      </c>
      <c r="B572">
        <f t="shared" si="16"/>
        <v>13.697400999999997</v>
      </c>
      <c r="C572">
        <f t="shared" si="17"/>
        <v>4.7417876395</v>
      </c>
    </row>
    <row r="573" spans="1:3" x14ac:dyDescent="0.25">
      <c r="A573">
        <v>0.56799999999999995</v>
      </c>
      <c r="B573">
        <f t="shared" si="16"/>
        <v>13.719615999999998</v>
      </c>
      <c r="C573">
        <f t="shared" si="17"/>
        <v>4.7554961479999998</v>
      </c>
    </row>
    <row r="574" spans="1:3" x14ac:dyDescent="0.25">
      <c r="A574">
        <v>0.56899999999999995</v>
      </c>
      <c r="B574">
        <f t="shared" si="16"/>
        <v>13.741848999999998</v>
      </c>
      <c r="C574">
        <f t="shared" si="17"/>
        <v>4.7692268804999998</v>
      </c>
    </row>
    <row r="575" spans="1:3" x14ac:dyDescent="0.25">
      <c r="A575">
        <v>0.56999999999999995</v>
      </c>
      <c r="B575">
        <f t="shared" si="16"/>
        <v>13.764099999999999</v>
      </c>
      <c r="C575">
        <f t="shared" si="17"/>
        <v>4.7829798549999998</v>
      </c>
    </row>
    <row r="576" spans="1:3" x14ac:dyDescent="0.25">
      <c r="A576">
        <v>0.57099999999999995</v>
      </c>
      <c r="B576">
        <f t="shared" si="16"/>
        <v>13.786369000000001</v>
      </c>
      <c r="C576">
        <f t="shared" si="17"/>
        <v>4.7967550894999995</v>
      </c>
    </row>
    <row r="577" spans="1:3" x14ac:dyDescent="0.25">
      <c r="A577">
        <v>0.57199999999999995</v>
      </c>
      <c r="B577">
        <f t="shared" si="16"/>
        <v>13.808655999999997</v>
      </c>
      <c r="C577">
        <f t="shared" si="17"/>
        <v>4.8105526019999996</v>
      </c>
    </row>
    <row r="578" spans="1:3" x14ac:dyDescent="0.25">
      <c r="A578">
        <v>0.57299999999999995</v>
      </c>
      <c r="B578">
        <f t="shared" si="16"/>
        <v>13.830960999999999</v>
      </c>
      <c r="C578">
        <f t="shared" si="17"/>
        <v>4.8243724104999997</v>
      </c>
    </row>
    <row r="579" spans="1:3" x14ac:dyDescent="0.25">
      <c r="A579">
        <v>0.57399999999999995</v>
      </c>
      <c r="B579">
        <f t="shared" si="16"/>
        <v>13.853284</v>
      </c>
      <c r="C579">
        <f t="shared" si="17"/>
        <v>4.8382145329999995</v>
      </c>
    </row>
    <row r="580" spans="1:3" x14ac:dyDescent="0.25">
      <c r="A580">
        <v>0.57499999999999996</v>
      </c>
      <c r="B580">
        <f t="shared" si="16"/>
        <v>13.875624999999998</v>
      </c>
      <c r="C580">
        <f t="shared" si="17"/>
        <v>4.8520789874999997</v>
      </c>
    </row>
    <row r="581" spans="1:3" x14ac:dyDescent="0.25">
      <c r="A581">
        <v>0.57599999999999996</v>
      </c>
      <c r="B581">
        <f t="shared" si="16"/>
        <v>13.897983999999997</v>
      </c>
      <c r="C581">
        <f t="shared" si="17"/>
        <v>4.8659657919999999</v>
      </c>
    </row>
    <row r="582" spans="1:3" x14ac:dyDescent="0.25">
      <c r="A582">
        <v>0.57699999999999996</v>
      </c>
      <c r="B582">
        <f t="shared" si="16"/>
        <v>13.920361</v>
      </c>
      <c r="C582">
        <f t="shared" si="17"/>
        <v>4.8798749644999999</v>
      </c>
    </row>
    <row r="583" spans="1:3" x14ac:dyDescent="0.25">
      <c r="A583">
        <v>0.57799999999999996</v>
      </c>
      <c r="B583">
        <f t="shared" ref="B583:B646" si="18">(2+3*A583)^2</f>
        <v>13.942755999999999</v>
      </c>
      <c r="C583">
        <f t="shared" ref="C583:C646" si="19">C582+(B583+B582)*(A583-A582)/2</f>
        <v>4.8938065230000003</v>
      </c>
    </row>
    <row r="584" spans="1:3" x14ac:dyDescent="0.25">
      <c r="A584">
        <v>0.57899999999999996</v>
      </c>
      <c r="B584">
        <f t="shared" si="18"/>
        <v>13.965169000000001</v>
      </c>
      <c r="C584">
        <f t="shared" si="19"/>
        <v>4.9077604854999999</v>
      </c>
    </row>
    <row r="585" spans="1:3" x14ac:dyDescent="0.25">
      <c r="A585">
        <v>0.57999999999999996</v>
      </c>
      <c r="B585">
        <f t="shared" si="18"/>
        <v>13.987599999999999</v>
      </c>
      <c r="C585">
        <f t="shared" si="19"/>
        <v>4.9217368700000002</v>
      </c>
    </row>
    <row r="586" spans="1:3" x14ac:dyDescent="0.25">
      <c r="A586">
        <v>0.58099999999999996</v>
      </c>
      <c r="B586">
        <f t="shared" si="18"/>
        <v>14.010048999999999</v>
      </c>
      <c r="C586">
        <f t="shared" si="19"/>
        <v>4.9357356944999999</v>
      </c>
    </row>
    <row r="587" spans="1:3" x14ac:dyDescent="0.25">
      <c r="A587">
        <v>0.58199999999999996</v>
      </c>
      <c r="B587">
        <f t="shared" si="18"/>
        <v>14.032515999999999</v>
      </c>
      <c r="C587">
        <f t="shared" si="19"/>
        <v>4.9497569769999998</v>
      </c>
    </row>
    <row r="588" spans="1:3" x14ac:dyDescent="0.25">
      <c r="A588">
        <v>0.58299999999999996</v>
      </c>
      <c r="B588">
        <f t="shared" si="18"/>
        <v>14.055000999999997</v>
      </c>
      <c r="C588">
        <f t="shared" si="19"/>
        <v>4.9638007354999996</v>
      </c>
    </row>
    <row r="589" spans="1:3" x14ac:dyDescent="0.25">
      <c r="A589">
        <v>0.58399999999999996</v>
      </c>
      <c r="B589">
        <f t="shared" si="18"/>
        <v>14.077503999999998</v>
      </c>
      <c r="C589">
        <f t="shared" si="19"/>
        <v>4.9778669879999997</v>
      </c>
    </row>
    <row r="590" spans="1:3" x14ac:dyDescent="0.25">
      <c r="A590">
        <v>0.58499999999999996</v>
      </c>
      <c r="B590">
        <f t="shared" si="18"/>
        <v>14.100024999999999</v>
      </c>
      <c r="C590">
        <f t="shared" si="19"/>
        <v>4.9919557525</v>
      </c>
    </row>
    <row r="591" spans="1:3" x14ac:dyDescent="0.25">
      <c r="A591">
        <v>0.58599999999999997</v>
      </c>
      <c r="B591">
        <f t="shared" si="18"/>
        <v>14.122564000000001</v>
      </c>
      <c r="C591">
        <f t="shared" si="19"/>
        <v>5.0060670470000002</v>
      </c>
    </row>
    <row r="592" spans="1:3" x14ac:dyDescent="0.25">
      <c r="A592">
        <v>0.58699999999999997</v>
      </c>
      <c r="B592">
        <f t="shared" si="18"/>
        <v>14.145121000000001</v>
      </c>
      <c r="C592">
        <f t="shared" si="19"/>
        <v>5.0202008894999999</v>
      </c>
    </row>
    <row r="593" spans="1:3" x14ac:dyDescent="0.25">
      <c r="A593">
        <v>0.58799999999999997</v>
      </c>
      <c r="B593">
        <f t="shared" si="18"/>
        <v>14.167695999999998</v>
      </c>
      <c r="C593">
        <f t="shared" si="19"/>
        <v>5.0343572979999998</v>
      </c>
    </row>
    <row r="594" spans="1:3" x14ac:dyDescent="0.25">
      <c r="A594">
        <v>0.58899999999999997</v>
      </c>
      <c r="B594">
        <f t="shared" si="18"/>
        <v>14.190289</v>
      </c>
      <c r="C594">
        <f t="shared" si="19"/>
        <v>5.0485362904999995</v>
      </c>
    </row>
    <row r="595" spans="1:3" x14ac:dyDescent="0.25">
      <c r="A595">
        <v>0.59</v>
      </c>
      <c r="B595">
        <f t="shared" si="18"/>
        <v>14.212899999999999</v>
      </c>
      <c r="C595">
        <f t="shared" si="19"/>
        <v>5.0627378849999998</v>
      </c>
    </row>
    <row r="596" spans="1:3" x14ac:dyDescent="0.25">
      <c r="A596">
        <v>0.59099999999999997</v>
      </c>
      <c r="B596">
        <f t="shared" si="18"/>
        <v>14.235528999999998</v>
      </c>
      <c r="C596">
        <f t="shared" si="19"/>
        <v>5.0769620995000002</v>
      </c>
    </row>
    <row r="597" spans="1:3" x14ac:dyDescent="0.25">
      <c r="A597">
        <v>0.59199999999999997</v>
      </c>
      <c r="B597">
        <f t="shared" si="18"/>
        <v>14.258175999999999</v>
      </c>
      <c r="C597">
        <f t="shared" si="19"/>
        <v>5.0912089520000006</v>
      </c>
    </row>
    <row r="598" spans="1:3" x14ac:dyDescent="0.25">
      <c r="A598">
        <v>0.59299999999999997</v>
      </c>
      <c r="B598">
        <f t="shared" si="18"/>
        <v>14.280840999999999</v>
      </c>
      <c r="C598">
        <f t="shared" si="19"/>
        <v>5.1054784605000005</v>
      </c>
    </row>
    <row r="599" spans="1:3" x14ac:dyDescent="0.25">
      <c r="A599">
        <v>0.59399999999999997</v>
      </c>
      <c r="B599">
        <f t="shared" si="18"/>
        <v>14.303523999999999</v>
      </c>
      <c r="C599">
        <f t="shared" si="19"/>
        <v>5.1197706430000007</v>
      </c>
    </row>
    <row r="600" spans="1:3" x14ac:dyDescent="0.25">
      <c r="A600">
        <v>0.59499999999999997</v>
      </c>
      <c r="B600">
        <f t="shared" si="18"/>
        <v>14.326225000000001</v>
      </c>
      <c r="C600">
        <f t="shared" si="19"/>
        <v>5.1340855175000009</v>
      </c>
    </row>
    <row r="601" spans="1:3" x14ac:dyDescent="0.25">
      <c r="A601">
        <v>0.59599999999999997</v>
      </c>
      <c r="B601">
        <f t="shared" si="18"/>
        <v>14.348943999999998</v>
      </c>
      <c r="C601">
        <f t="shared" si="19"/>
        <v>5.1484231020000006</v>
      </c>
    </row>
    <row r="602" spans="1:3" x14ac:dyDescent="0.25">
      <c r="A602">
        <v>0.59699999999999998</v>
      </c>
      <c r="B602">
        <f t="shared" si="18"/>
        <v>14.371680999999999</v>
      </c>
      <c r="C602">
        <f t="shared" si="19"/>
        <v>5.1627834145000007</v>
      </c>
    </row>
    <row r="603" spans="1:3" x14ac:dyDescent="0.25">
      <c r="A603">
        <v>0.59799999999999998</v>
      </c>
      <c r="B603">
        <f t="shared" si="18"/>
        <v>14.394436000000001</v>
      </c>
      <c r="C603">
        <f t="shared" si="19"/>
        <v>5.1771664730000007</v>
      </c>
    </row>
    <row r="604" spans="1:3" x14ac:dyDescent="0.25">
      <c r="A604">
        <v>0.59899999999999998</v>
      </c>
      <c r="B604">
        <f t="shared" si="18"/>
        <v>14.417208999999998</v>
      </c>
      <c r="C604">
        <f t="shared" si="19"/>
        <v>5.1915722955000003</v>
      </c>
    </row>
    <row r="605" spans="1:3" x14ac:dyDescent="0.25">
      <c r="A605">
        <v>0.6</v>
      </c>
      <c r="B605">
        <f t="shared" si="18"/>
        <v>14.44</v>
      </c>
      <c r="C605">
        <f t="shared" si="19"/>
        <v>5.2060009000000003</v>
      </c>
    </row>
    <row r="606" spans="1:3" x14ac:dyDescent="0.25">
      <c r="A606">
        <v>0.60099999999999998</v>
      </c>
      <c r="B606">
        <f t="shared" si="18"/>
        <v>14.462809</v>
      </c>
      <c r="C606">
        <f t="shared" si="19"/>
        <v>5.2204523045000002</v>
      </c>
    </row>
    <row r="607" spans="1:3" x14ac:dyDescent="0.25">
      <c r="A607">
        <v>0.60199999999999998</v>
      </c>
      <c r="B607">
        <f t="shared" si="18"/>
        <v>14.485636</v>
      </c>
      <c r="C607">
        <f t="shared" si="19"/>
        <v>5.2349265269999998</v>
      </c>
    </row>
    <row r="608" spans="1:3" x14ac:dyDescent="0.25">
      <c r="A608">
        <v>0.60299999999999998</v>
      </c>
      <c r="B608">
        <f t="shared" si="18"/>
        <v>14.508481000000002</v>
      </c>
      <c r="C608">
        <f t="shared" si="19"/>
        <v>5.2494235854999998</v>
      </c>
    </row>
    <row r="609" spans="1:3" x14ac:dyDescent="0.25">
      <c r="A609">
        <v>0.60399999999999998</v>
      </c>
      <c r="B609">
        <f t="shared" si="18"/>
        <v>14.531343999999999</v>
      </c>
      <c r="C609">
        <f t="shared" si="19"/>
        <v>5.2639434979999997</v>
      </c>
    </row>
    <row r="610" spans="1:3" x14ac:dyDescent="0.25">
      <c r="A610">
        <v>0.60499999999999998</v>
      </c>
      <c r="B610">
        <f t="shared" si="18"/>
        <v>14.554224999999999</v>
      </c>
      <c r="C610">
        <f t="shared" si="19"/>
        <v>5.2784862824999994</v>
      </c>
    </row>
    <row r="611" spans="1:3" x14ac:dyDescent="0.25">
      <c r="A611">
        <v>0.60599999999999998</v>
      </c>
      <c r="B611">
        <f t="shared" si="18"/>
        <v>14.577124000000001</v>
      </c>
      <c r="C611">
        <f t="shared" si="19"/>
        <v>5.2930519569999994</v>
      </c>
    </row>
    <row r="612" spans="1:3" x14ac:dyDescent="0.25">
      <c r="A612">
        <v>0.60699999999999998</v>
      </c>
      <c r="B612">
        <f t="shared" si="18"/>
        <v>14.600040999999997</v>
      </c>
      <c r="C612">
        <f t="shared" si="19"/>
        <v>5.3076405394999995</v>
      </c>
    </row>
    <row r="613" spans="1:3" x14ac:dyDescent="0.25">
      <c r="A613">
        <v>0.60799999999999998</v>
      </c>
      <c r="B613">
        <f t="shared" si="18"/>
        <v>14.622976</v>
      </c>
      <c r="C613">
        <f t="shared" si="19"/>
        <v>5.3222520479999993</v>
      </c>
    </row>
    <row r="614" spans="1:3" x14ac:dyDescent="0.25">
      <c r="A614">
        <v>0.60899999999999999</v>
      </c>
      <c r="B614">
        <f t="shared" si="18"/>
        <v>14.645928999999999</v>
      </c>
      <c r="C614">
        <f t="shared" si="19"/>
        <v>5.3368865004999995</v>
      </c>
    </row>
    <row r="615" spans="1:3" x14ac:dyDescent="0.25">
      <c r="A615">
        <v>0.61</v>
      </c>
      <c r="B615">
        <f t="shared" si="18"/>
        <v>14.668900000000001</v>
      </c>
      <c r="C615">
        <f t="shared" si="19"/>
        <v>5.3515439149999997</v>
      </c>
    </row>
    <row r="616" spans="1:3" x14ac:dyDescent="0.25">
      <c r="A616">
        <v>0.61099999999999999</v>
      </c>
      <c r="B616">
        <f t="shared" si="18"/>
        <v>14.691889000000002</v>
      </c>
      <c r="C616">
        <f t="shared" si="19"/>
        <v>5.3662243094999997</v>
      </c>
    </row>
    <row r="617" spans="1:3" x14ac:dyDescent="0.25">
      <c r="A617">
        <v>0.61199999999999999</v>
      </c>
      <c r="B617">
        <f t="shared" si="18"/>
        <v>14.714896</v>
      </c>
      <c r="C617">
        <f t="shared" si="19"/>
        <v>5.3809277020000001</v>
      </c>
    </row>
    <row r="618" spans="1:3" x14ac:dyDescent="0.25">
      <c r="A618">
        <v>0.61299999999999999</v>
      </c>
      <c r="B618">
        <f t="shared" si="18"/>
        <v>14.737921</v>
      </c>
      <c r="C618">
        <f t="shared" si="19"/>
        <v>5.3956541104999998</v>
      </c>
    </row>
    <row r="619" spans="1:3" x14ac:dyDescent="0.25">
      <c r="A619">
        <v>0.61399999999999999</v>
      </c>
      <c r="B619">
        <f t="shared" si="18"/>
        <v>14.760964000000001</v>
      </c>
      <c r="C619">
        <f t="shared" si="19"/>
        <v>5.4104035530000001</v>
      </c>
    </row>
    <row r="620" spans="1:3" x14ac:dyDescent="0.25">
      <c r="A620">
        <v>0.61499999999999999</v>
      </c>
      <c r="B620">
        <f t="shared" si="18"/>
        <v>14.784024999999998</v>
      </c>
      <c r="C620">
        <f t="shared" si="19"/>
        <v>5.4251760474999999</v>
      </c>
    </row>
    <row r="621" spans="1:3" x14ac:dyDescent="0.25">
      <c r="A621">
        <v>0.61599999999999999</v>
      </c>
      <c r="B621">
        <f t="shared" si="18"/>
        <v>14.807103999999999</v>
      </c>
      <c r="C621">
        <f t="shared" si="19"/>
        <v>5.4399716119999999</v>
      </c>
    </row>
    <row r="622" spans="1:3" x14ac:dyDescent="0.25">
      <c r="A622">
        <v>0.61699999999999999</v>
      </c>
      <c r="B622">
        <f t="shared" si="18"/>
        <v>14.830201000000001</v>
      </c>
      <c r="C622">
        <f t="shared" si="19"/>
        <v>5.4547902644999997</v>
      </c>
    </row>
    <row r="623" spans="1:3" x14ac:dyDescent="0.25">
      <c r="A623">
        <v>0.61799999999999999</v>
      </c>
      <c r="B623">
        <f t="shared" si="18"/>
        <v>14.853316000000001</v>
      </c>
      <c r="C623">
        <f t="shared" si="19"/>
        <v>5.469632023</v>
      </c>
    </row>
    <row r="624" spans="1:3" x14ac:dyDescent="0.25">
      <c r="A624">
        <v>0.61899999999999999</v>
      </c>
      <c r="B624">
        <f t="shared" si="18"/>
        <v>14.876449000000001</v>
      </c>
      <c r="C624">
        <f t="shared" si="19"/>
        <v>5.4844969055000004</v>
      </c>
    </row>
    <row r="625" spans="1:3" x14ac:dyDescent="0.25">
      <c r="A625">
        <v>0.62</v>
      </c>
      <c r="B625">
        <f t="shared" si="18"/>
        <v>14.8996</v>
      </c>
      <c r="C625">
        <f t="shared" si="19"/>
        <v>5.4993849300000006</v>
      </c>
    </row>
    <row r="626" spans="1:3" x14ac:dyDescent="0.25">
      <c r="A626">
        <v>0.621</v>
      </c>
      <c r="B626">
        <f t="shared" si="18"/>
        <v>14.922769000000001</v>
      </c>
      <c r="C626">
        <f t="shared" si="19"/>
        <v>5.5142961145000005</v>
      </c>
    </row>
    <row r="627" spans="1:3" x14ac:dyDescent="0.25">
      <c r="A627">
        <v>0.622</v>
      </c>
      <c r="B627">
        <f t="shared" si="18"/>
        <v>14.945956000000001</v>
      </c>
      <c r="C627">
        <f t="shared" si="19"/>
        <v>5.5292304770000005</v>
      </c>
    </row>
    <row r="628" spans="1:3" x14ac:dyDescent="0.25">
      <c r="A628">
        <v>0.623</v>
      </c>
      <c r="B628">
        <f t="shared" si="18"/>
        <v>14.969160999999998</v>
      </c>
      <c r="C628">
        <f t="shared" si="19"/>
        <v>5.5441880355000004</v>
      </c>
    </row>
    <row r="629" spans="1:3" x14ac:dyDescent="0.25">
      <c r="A629">
        <v>0.624</v>
      </c>
      <c r="B629">
        <f t="shared" si="18"/>
        <v>14.992383999999999</v>
      </c>
      <c r="C629">
        <f t="shared" si="19"/>
        <v>5.5591688080000008</v>
      </c>
    </row>
    <row r="630" spans="1:3" x14ac:dyDescent="0.25">
      <c r="A630">
        <v>0.625</v>
      </c>
      <c r="B630">
        <f t="shared" si="18"/>
        <v>15.015625</v>
      </c>
      <c r="C630">
        <f t="shared" si="19"/>
        <v>5.5741728125000005</v>
      </c>
    </row>
    <row r="631" spans="1:3" x14ac:dyDescent="0.25">
      <c r="A631">
        <v>0.626</v>
      </c>
      <c r="B631">
        <f t="shared" si="18"/>
        <v>15.038884000000001</v>
      </c>
      <c r="C631">
        <f t="shared" si="19"/>
        <v>5.5892000670000002</v>
      </c>
    </row>
    <row r="632" spans="1:3" x14ac:dyDescent="0.25">
      <c r="A632">
        <v>0.627</v>
      </c>
      <c r="B632">
        <f t="shared" si="18"/>
        <v>15.062161000000001</v>
      </c>
      <c r="C632">
        <f t="shared" si="19"/>
        <v>5.6042505895000003</v>
      </c>
    </row>
    <row r="633" spans="1:3" x14ac:dyDescent="0.25">
      <c r="A633">
        <v>0.628</v>
      </c>
      <c r="B633">
        <f t="shared" si="18"/>
        <v>15.085455999999999</v>
      </c>
      <c r="C633">
        <f t="shared" si="19"/>
        <v>5.6193243980000007</v>
      </c>
    </row>
    <row r="634" spans="1:3" x14ac:dyDescent="0.25">
      <c r="A634">
        <v>0.629</v>
      </c>
      <c r="B634">
        <f t="shared" si="18"/>
        <v>15.108769000000001</v>
      </c>
      <c r="C634">
        <f t="shared" si="19"/>
        <v>5.6344215105000011</v>
      </c>
    </row>
    <row r="635" spans="1:3" x14ac:dyDescent="0.25">
      <c r="A635">
        <v>0.63</v>
      </c>
      <c r="B635">
        <f t="shared" si="18"/>
        <v>15.132100000000001</v>
      </c>
      <c r="C635">
        <f t="shared" si="19"/>
        <v>5.6495419450000011</v>
      </c>
    </row>
    <row r="636" spans="1:3" x14ac:dyDescent="0.25">
      <c r="A636">
        <v>0.63100000000000001</v>
      </c>
      <c r="B636">
        <f t="shared" si="18"/>
        <v>15.155448999999999</v>
      </c>
      <c r="C636">
        <f t="shared" si="19"/>
        <v>5.6646857195000013</v>
      </c>
    </row>
    <row r="637" spans="1:3" x14ac:dyDescent="0.25">
      <c r="A637">
        <v>0.63200000000000001</v>
      </c>
      <c r="B637">
        <f t="shared" si="18"/>
        <v>15.178815999999999</v>
      </c>
      <c r="C637">
        <f t="shared" si="19"/>
        <v>5.6798528520000016</v>
      </c>
    </row>
    <row r="638" spans="1:3" x14ac:dyDescent="0.25">
      <c r="A638">
        <v>0.63300000000000001</v>
      </c>
      <c r="B638">
        <f t="shared" si="18"/>
        <v>15.202201000000001</v>
      </c>
      <c r="C638">
        <f t="shared" si="19"/>
        <v>5.6950433605000015</v>
      </c>
    </row>
    <row r="639" spans="1:3" x14ac:dyDescent="0.25">
      <c r="A639">
        <v>0.63400000000000001</v>
      </c>
      <c r="B639">
        <f t="shared" si="18"/>
        <v>15.225604000000001</v>
      </c>
      <c r="C639">
        <f t="shared" si="19"/>
        <v>5.7102572630000017</v>
      </c>
    </row>
    <row r="640" spans="1:3" x14ac:dyDescent="0.25">
      <c r="A640">
        <v>0.63500000000000001</v>
      </c>
      <c r="B640">
        <f t="shared" si="18"/>
        <v>15.249025000000001</v>
      </c>
      <c r="C640">
        <f t="shared" si="19"/>
        <v>5.7254945775000019</v>
      </c>
    </row>
    <row r="641" spans="1:3" x14ac:dyDescent="0.25">
      <c r="A641">
        <v>0.63600000000000001</v>
      </c>
      <c r="B641">
        <f t="shared" si="18"/>
        <v>15.272463999999999</v>
      </c>
      <c r="C641">
        <f t="shared" si="19"/>
        <v>5.7407553220000018</v>
      </c>
    </row>
    <row r="642" spans="1:3" x14ac:dyDescent="0.25">
      <c r="A642">
        <v>0.63700000000000001</v>
      </c>
      <c r="B642">
        <f t="shared" si="18"/>
        <v>15.295921</v>
      </c>
      <c r="C642">
        <f t="shared" si="19"/>
        <v>5.7560395145000021</v>
      </c>
    </row>
    <row r="643" spans="1:3" x14ac:dyDescent="0.25">
      <c r="A643">
        <v>0.63800000000000001</v>
      </c>
      <c r="B643">
        <f t="shared" si="18"/>
        <v>15.319396000000001</v>
      </c>
      <c r="C643">
        <f t="shared" si="19"/>
        <v>5.7713471730000023</v>
      </c>
    </row>
    <row r="644" spans="1:3" x14ac:dyDescent="0.25">
      <c r="A644">
        <v>0.63900000000000001</v>
      </c>
      <c r="B644">
        <f t="shared" si="18"/>
        <v>15.342888999999998</v>
      </c>
      <c r="C644">
        <f t="shared" si="19"/>
        <v>5.7866783155000023</v>
      </c>
    </row>
    <row r="645" spans="1:3" x14ac:dyDescent="0.25">
      <c r="A645">
        <v>0.64</v>
      </c>
      <c r="B645">
        <f t="shared" si="18"/>
        <v>15.366399999999999</v>
      </c>
      <c r="C645">
        <f t="shared" si="19"/>
        <v>5.8020329600000027</v>
      </c>
    </row>
    <row r="646" spans="1:3" x14ac:dyDescent="0.25">
      <c r="A646">
        <v>0.64100000000000001</v>
      </c>
      <c r="B646">
        <f t="shared" si="18"/>
        <v>15.389929</v>
      </c>
      <c r="C646">
        <f t="shared" si="19"/>
        <v>5.8174111245000031</v>
      </c>
    </row>
    <row r="647" spans="1:3" x14ac:dyDescent="0.25">
      <c r="A647">
        <v>0.64200000000000002</v>
      </c>
      <c r="B647">
        <f t="shared" ref="B647:B710" si="20">(2+3*A647)^2</f>
        <v>15.413476000000001</v>
      </c>
      <c r="C647">
        <f t="shared" ref="C647:C710" si="21">C646+(B647+B646)*(A647-A646)/2</f>
        <v>5.8328128270000033</v>
      </c>
    </row>
    <row r="648" spans="1:3" x14ac:dyDescent="0.25">
      <c r="A648">
        <v>0.64300000000000002</v>
      </c>
      <c r="B648">
        <f t="shared" si="20"/>
        <v>15.437041000000002</v>
      </c>
      <c r="C648">
        <f t="shared" si="21"/>
        <v>5.8482380855000029</v>
      </c>
    </row>
    <row r="649" spans="1:3" x14ac:dyDescent="0.25">
      <c r="A649">
        <v>0.64400000000000002</v>
      </c>
      <c r="B649">
        <f t="shared" si="20"/>
        <v>15.460623999999999</v>
      </c>
      <c r="C649">
        <f t="shared" si="21"/>
        <v>5.8636869180000026</v>
      </c>
    </row>
    <row r="650" spans="1:3" x14ac:dyDescent="0.25">
      <c r="A650">
        <v>0.64500000000000002</v>
      </c>
      <c r="B650">
        <f t="shared" si="20"/>
        <v>15.484225</v>
      </c>
      <c r="C650">
        <f t="shared" si="21"/>
        <v>5.879159342500003</v>
      </c>
    </row>
    <row r="651" spans="1:3" x14ac:dyDescent="0.25">
      <c r="A651">
        <v>0.64600000000000002</v>
      </c>
      <c r="B651">
        <f t="shared" si="20"/>
        <v>15.507844000000002</v>
      </c>
      <c r="C651">
        <f t="shared" si="21"/>
        <v>5.894655377000003</v>
      </c>
    </row>
    <row r="652" spans="1:3" x14ac:dyDescent="0.25">
      <c r="A652">
        <v>0.64700000000000002</v>
      </c>
      <c r="B652">
        <f t="shared" si="20"/>
        <v>15.531480999999999</v>
      </c>
      <c r="C652">
        <f t="shared" si="21"/>
        <v>5.910175039500003</v>
      </c>
    </row>
    <row r="653" spans="1:3" x14ac:dyDescent="0.25">
      <c r="A653">
        <v>0.64800000000000002</v>
      </c>
      <c r="B653">
        <f t="shared" si="20"/>
        <v>15.555135999999999</v>
      </c>
      <c r="C653">
        <f t="shared" si="21"/>
        <v>5.9257183480000029</v>
      </c>
    </row>
    <row r="654" spans="1:3" x14ac:dyDescent="0.25">
      <c r="A654">
        <v>0.64900000000000002</v>
      </c>
      <c r="B654">
        <f t="shared" si="20"/>
        <v>15.578809</v>
      </c>
      <c r="C654">
        <f t="shared" si="21"/>
        <v>5.9412853205000031</v>
      </c>
    </row>
    <row r="655" spans="1:3" x14ac:dyDescent="0.25">
      <c r="A655">
        <v>0.65</v>
      </c>
      <c r="B655">
        <f t="shared" si="20"/>
        <v>15.602500000000001</v>
      </c>
      <c r="C655">
        <f t="shared" si="21"/>
        <v>5.9568759750000035</v>
      </c>
    </row>
    <row r="656" spans="1:3" x14ac:dyDescent="0.25">
      <c r="A656">
        <v>0.65100000000000002</v>
      </c>
      <c r="B656">
        <f t="shared" si="20"/>
        <v>15.626209000000003</v>
      </c>
      <c r="C656">
        <f t="shared" si="21"/>
        <v>5.9724903295000038</v>
      </c>
    </row>
    <row r="657" spans="1:3" x14ac:dyDescent="0.25">
      <c r="A657">
        <v>0.65200000000000002</v>
      </c>
      <c r="B657">
        <f t="shared" si="20"/>
        <v>15.649936</v>
      </c>
      <c r="C657">
        <f t="shared" si="21"/>
        <v>5.9881284020000036</v>
      </c>
    </row>
    <row r="658" spans="1:3" x14ac:dyDescent="0.25">
      <c r="A658">
        <v>0.65300000000000002</v>
      </c>
      <c r="B658">
        <f t="shared" si="20"/>
        <v>15.673681</v>
      </c>
      <c r="C658">
        <f t="shared" si="21"/>
        <v>6.0037902105000036</v>
      </c>
    </row>
    <row r="659" spans="1:3" x14ac:dyDescent="0.25">
      <c r="A659">
        <v>0.65400000000000003</v>
      </c>
      <c r="B659">
        <f t="shared" si="20"/>
        <v>15.697444000000001</v>
      </c>
      <c r="C659">
        <f t="shared" si="21"/>
        <v>6.0194757730000035</v>
      </c>
    </row>
    <row r="660" spans="1:3" x14ac:dyDescent="0.25">
      <c r="A660">
        <v>0.65500000000000003</v>
      </c>
      <c r="B660">
        <f t="shared" si="20"/>
        <v>15.721224999999999</v>
      </c>
      <c r="C660">
        <f t="shared" si="21"/>
        <v>6.0351851075000038</v>
      </c>
    </row>
    <row r="661" spans="1:3" x14ac:dyDescent="0.25">
      <c r="A661">
        <v>0.65600000000000003</v>
      </c>
      <c r="B661">
        <f t="shared" si="20"/>
        <v>15.745023999999999</v>
      </c>
      <c r="C661">
        <f t="shared" si="21"/>
        <v>6.0509182320000034</v>
      </c>
    </row>
    <row r="662" spans="1:3" x14ac:dyDescent="0.25">
      <c r="A662">
        <v>0.65700000000000003</v>
      </c>
      <c r="B662">
        <f t="shared" si="20"/>
        <v>15.768841</v>
      </c>
      <c r="C662">
        <f t="shared" si="21"/>
        <v>6.0666751645000039</v>
      </c>
    </row>
    <row r="663" spans="1:3" x14ac:dyDescent="0.25">
      <c r="A663">
        <v>0.65800000000000003</v>
      </c>
      <c r="B663">
        <f t="shared" si="20"/>
        <v>15.792676000000002</v>
      </c>
      <c r="C663">
        <f t="shared" si="21"/>
        <v>6.0824559230000039</v>
      </c>
    </row>
    <row r="664" spans="1:3" x14ac:dyDescent="0.25">
      <c r="A664">
        <v>0.65900000000000003</v>
      </c>
      <c r="B664">
        <f t="shared" si="20"/>
        <v>15.816529000000003</v>
      </c>
      <c r="C664">
        <f t="shared" si="21"/>
        <v>6.0982605255000042</v>
      </c>
    </row>
    <row r="665" spans="1:3" x14ac:dyDescent="0.25">
      <c r="A665">
        <v>0.66</v>
      </c>
      <c r="B665">
        <f t="shared" si="20"/>
        <v>15.840400000000001</v>
      </c>
      <c r="C665">
        <f t="shared" si="21"/>
        <v>6.1140889900000044</v>
      </c>
    </row>
    <row r="666" spans="1:3" x14ac:dyDescent="0.25">
      <c r="A666">
        <v>0.66100000000000003</v>
      </c>
      <c r="B666">
        <f t="shared" si="20"/>
        <v>15.864289000000001</v>
      </c>
      <c r="C666">
        <f t="shared" si="21"/>
        <v>6.1299413345000042</v>
      </c>
    </row>
    <row r="667" spans="1:3" x14ac:dyDescent="0.25">
      <c r="A667">
        <v>0.66200000000000003</v>
      </c>
      <c r="B667">
        <f t="shared" si="20"/>
        <v>15.888196000000002</v>
      </c>
      <c r="C667">
        <f t="shared" si="21"/>
        <v>6.1458175770000043</v>
      </c>
    </row>
    <row r="668" spans="1:3" x14ac:dyDescent="0.25">
      <c r="A668">
        <v>0.66300000000000003</v>
      </c>
      <c r="B668">
        <f t="shared" si="20"/>
        <v>15.912120999999999</v>
      </c>
      <c r="C668">
        <f t="shared" si="21"/>
        <v>6.1617177355000043</v>
      </c>
    </row>
    <row r="669" spans="1:3" x14ac:dyDescent="0.25">
      <c r="A669">
        <v>0.66400000000000003</v>
      </c>
      <c r="B669">
        <f t="shared" si="20"/>
        <v>15.936064</v>
      </c>
      <c r="C669">
        <f t="shared" si="21"/>
        <v>6.1776418280000041</v>
      </c>
    </row>
    <row r="670" spans="1:3" x14ac:dyDescent="0.25">
      <c r="A670">
        <v>0.66500000000000004</v>
      </c>
      <c r="B670">
        <f t="shared" si="20"/>
        <v>15.960025000000002</v>
      </c>
      <c r="C670">
        <f t="shared" si="21"/>
        <v>6.193589872500004</v>
      </c>
    </row>
    <row r="671" spans="1:3" x14ac:dyDescent="0.25">
      <c r="A671">
        <v>0.66600000000000004</v>
      </c>
      <c r="B671">
        <f t="shared" si="20"/>
        <v>15.984004000000002</v>
      </c>
      <c r="C671">
        <f t="shared" si="21"/>
        <v>6.209561887000004</v>
      </c>
    </row>
    <row r="672" spans="1:3" x14ac:dyDescent="0.25">
      <c r="A672">
        <v>0.66700000000000004</v>
      </c>
      <c r="B672">
        <f t="shared" si="20"/>
        <v>16.008001000000004</v>
      </c>
      <c r="C672">
        <f t="shared" si="21"/>
        <v>6.2255578895000037</v>
      </c>
    </row>
    <row r="673" spans="1:3" x14ac:dyDescent="0.25">
      <c r="A673">
        <v>0.66800000000000004</v>
      </c>
      <c r="B673">
        <f t="shared" si="20"/>
        <v>16.032015999999995</v>
      </c>
      <c r="C673">
        <f t="shared" si="21"/>
        <v>6.2415778980000036</v>
      </c>
    </row>
    <row r="674" spans="1:3" x14ac:dyDescent="0.25">
      <c r="A674">
        <v>0.66900000000000004</v>
      </c>
      <c r="B674">
        <f t="shared" si="20"/>
        <v>16.056048999999998</v>
      </c>
      <c r="C674">
        <f t="shared" si="21"/>
        <v>6.2576219305000036</v>
      </c>
    </row>
    <row r="675" spans="1:3" x14ac:dyDescent="0.25">
      <c r="A675">
        <v>0.67</v>
      </c>
      <c r="B675">
        <f t="shared" si="20"/>
        <v>16.080099999999998</v>
      </c>
      <c r="C675">
        <f t="shared" si="21"/>
        <v>6.2736900050000033</v>
      </c>
    </row>
    <row r="676" spans="1:3" x14ac:dyDescent="0.25">
      <c r="A676">
        <v>0.67100000000000004</v>
      </c>
      <c r="B676">
        <f t="shared" si="20"/>
        <v>16.104168999999999</v>
      </c>
      <c r="C676">
        <f t="shared" si="21"/>
        <v>6.2897821395000033</v>
      </c>
    </row>
    <row r="677" spans="1:3" x14ac:dyDescent="0.25">
      <c r="A677">
        <v>0.67200000000000004</v>
      </c>
      <c r="B677">
        <f t="shared" si="20"/>
        <v>16.128256</v>
      </c>
      <c r="C677">
        <f t="shared" si="21"/>
        <v>6.3058983520000034</v>
      </c>
    </row>
    <row r="678" spans="1:3" x14ac:dyDescent="0.25">
      <c r="A678">
        <v>0.67300000000000004</v>
      </c>
      <c r="B678">
        <f t="shared" si="20"/>
        <v>16.152361000000003</v>
      </c>
      <c r="C678">
        <f t="shared" si="21"/>
        <v>6.3220386605000032</v>
      </c>
    </row>
    <row r="679" spans="1:3" x14ac:dyDescent="0.25">
      <c r="A679">
        <v>0.67400000000000004</v>
      </c>
      <c r="B679">
        <f t="shared" si="20"/>
        <v>16.176484000000002</v>
      </c>
      <c r="C679">
        <f t="shared" si="21"/>
        <v>6.3382030830000033</v>
      </c>
    </row>
    <row r="680" spans="1:3" x14ac:dyDescent="0.25">
      <c r="A680">
        <v>0.67500000000000004</v>
      </c>
      <c r="B680">
        <f t="shared" si="20"/>
        <v>16.200625000000002</v>
      </c>
      <c r="C680">
        <f t="shared" si="21"/>
        <v>6.3543916375000036</v>
      </c>
    </row>
    <row r="681" spans="1:3" x14ac:dyDescent="0.25">
      <c r="A681">
        <v>0.67600000000000005</v>
      </c>
      <c r="B681">
        <f t="shared" si="20"/>
        <v>16.224784000000003</v>
      </c>
      <c r="C681">
        <f t="shared" si="21"/>
        <v>6.3706043420000036</v>
      </c>
    </row>
    <row r="682" spans="1:3" x14ac:dyDescent="0.25">
      <c r="A682">
        <v>0.67700000000000005</v>
      </c>
      <c r="B682">
        <f t="shared" si="20"/>
        <v>16.248961000000005</v>
      </c>
      <c r="C682">
        <f t="shared" si="21"/>
        <v>6.386841214500004</v>
      </c>
    </row>
    <row r="683" spans="1:3" x14ac:dyDescent="0.25">
      <c r="A683">
        <v>0.67800000000000005</v>
      </c>
      <c r="B683">
        <f t="shared" si="20"/>
        <v>16.273156000000007</v>
      </c>
      <c r="C683">
        <f t="shared" si="21"/>
        <v>6.4031022730000036</v>
      </c>
    </row>
    <row r="684" spans="1:3" x14ac:dyDescent="0.25">
      <c r="A684">
        <v>0.67900000000000005</v>
      </c>
      <c r="B684">
        <f t="shared" si="20"/>
        <v>16.297369</v>
      </c>
      <c r="C684">
        <f t="shared" si="21"/>
        <v>6.4193875355000038</v>
      </c>
    </row>
    <row r="685" spans="1:3" x14ac:dyDescent="0.25">
      <c r="A685">
        <v>0.68</v>
      </c>
      <c r="B685">
        <f t="shared" si="20"/>
        <v>16.3216</v>
      </c>
      <c r="C685">
        <f t="shared" si="21"/>
        <v>6.4356970200000037</v>
      </c>
    </row>
    <row r="686" spans="1:3" x14ac:dyDescent="0.25">
      <c r="A686">
        <v>0.68100000000000005</v>
      </c>
      <c r="B686">
        <f t="shared" si="20"/>
        <v>16.345849000000001</v>
      </c>
      <c r="C686">
        <f t="shared" si="21"/>
        <v>6.4520307445000036</v>
      </c>
    </row>
    <row r="687" spans="1:3" x14ac:dyDescent="0.25">
      <c r="A687">
        <v>0.68200000000000005</v>
      </c>
      <c r="B687">
        <f t="shared" si="20"/>
        <v>16.370116000000003</v>
      </c>
      <c r="C687">
        <f t="shared" si="21"/>
        <v>6.4683887270000033</v>
      </c>
    </row>
    <row r="688" spans="1:3" x14ac:dyDescent="0.25">
      <c r="A688">
        <v>0.68300000000000005</v>
      </c>
      <c r="B688">
        <f t="shared" si="20"/>
        <v>16.394401000000002</v>
      </c>
      <c r="C688">
        <f t="shared" si="21"/>
        <v>6.4847709855000035</v>
      </c>
    </row>
    <row r="689" spans="1:3" x14ac:dyDescent="0.25">
      <c r="A689">
        <v>0.68400000000000005</v>
      </c>
      <c r="B689">
        <f t="shared" si="20"/>
        <v>16.418703999999998</v>
      </c>
      <c r="C689">
        <f t="shared" si="21"/>
        <v>6.5011775380000039</v>
      </c>
    </row>
    <row r="690" spans="1:3" x14ac:dyDescent="0.25">
      <c r="A690">
        <v>0.68500000000000005</v>
      </c>
      <c r="B690">
        <f t="shared" si="20"/>
        <v>16.443024999999999</v>
      </c>
      <c r="C690">
        <f t="shared" si="21"/>
        <v>6.5176084025000041</v>
      </c>
    </row>
    <row r="691" spans="1:3" x14ac:dyDescent="0.25">
      <c r="A691">
        <v>0.68600000000000005</v>
      </c>
      <c r="B691">
        <f t="shared" si="20"/>
        <v>16.467364</v>
      </c>
      <c r="C691">
        <f t="shared" si="21"/>
        <v>6.5340635970000038</v>
      </c>
    </row>
    <row r="692" spans="1:3" x14ac:dyDescent="0.25">
      <c r="A692">
        <v>0.68700000000000006</v>
      </c>
      <c r="B692">
        <f t="shared" si="20"/>
        <v>16.491720999999998</v>
      </c>
      <c r="C692">
        <f t="shared" si="21"/>
        <v>6.5505431395000038</v>
      </c>
    </row>
    <row r="693" spans="1:3" x14ac:dyDescent="0.25">
      <c r="A693">
        <v>0.68799999999999994</v>
      </c>
      <c r="B693">
        <f t="shared" si="20"/>
        <v>16.516096000000001</v>
      </c>
      <c r="C693">
        <f t="shared" si="21"/>
        <v>6.5670470480000018</v>
      </c>
    </row>
    <row r="694" spans="1:3" x14ac:dyDescent="0.25">
      <c r="A694">
        <v>0.68899999999999995</v>
      </c>
      <c r="B694">
        <f t="shared" si="20"/>
        <v>16.540489000000001</v>
      </c>
      <c r="C694">
        <f t="shared" si="21"/>
        <v>6.5835753405000021</v>
      </c>
    </row>
    <row r="695" spans="1:3" x14ac:dyDescent="0.25">
      <c r="A695">
        <v>0.69</v>
      </c>
      <c r="B695">
        <f t="shared" si="20"/>
        <v>16.564900000000002</v>
      </c>
      <c r="C695">
        <f t="shared" si="21"/>
        <v>6.6001280350000018</v>
      </c>
    </row>
    <row r="696" spans="1:3" x14ac:dyDescent="0.25">
      <c r="A696">
        <v>0.69099999999999995</v>
      </c>
      <c r="B696">
        <f t="shared" si="20"/>
        <v>16.589329000000003</v>
      </c>
      <c r="C696">
        <f t="shared" si="21"/>
        <v>6.6167051495000022</v>
      </c>
    </row>
    <row r="697" spans="1:3" x14ac:dyDescent="0.25">
      <c r="A697">
        <v>0.69199999999999995</v>
      </c>
      <c r="B697">
        <f t="shared" si="20"/>
        <v>16.613775999999998</v>
      </c>
      <c r="C697">
        <f t="shared" si="21"/>
        <v>6.6333067020000023</v>
      </c>
    </row>
    <row r="698" spans="1:3" x14ac:dyDescent="0.25">
      <c r="A698">
        <v>0.69299999999999995</v>
      </c>
      <c r="B698">
        <f t="shared" si="20"/>
        <v>16.638240999999997</v>
      </c>
      <c r="C698">
        <f t="shared" si="21"/>
        <v>6.6499327105000026</v>
      </c>
    </row>
    <row r="699" spans="1:3" x14ac:dyDescent="0.25">
      <c r="A699">
        <v>0.69399999999999995</v>
      </c>
      <c r="B699">
        <f t="shared" si="20"/>
        <v>16.662723999999997</v>
      </c>
      <c r="C699">
        <f t="shared" si="21"/>
        <v>6.6665831930000028</v>
      </c>
    </row>
    <row r="700" spans="1:3" x14ac:dyDescent="0.25">
      <c r="A700">
        <v>0.69499999999999995</v>
      </c>
      <c r="B700">
        <f t="shared" si="20"/>
        <v>16.687224999999998</v>
      </c>
      <c r="C700">
        <f t="shared" si="21"/>
        <v>6.6832581675000027</v>
      </c>
    </row>
    <row r="701" spans="1:3" x14ac:dyDescent="0.25">
      <c r="A701">
        <v>0.69599999999999995</v>
      </c>
      <c r="B701">
        <f t="shared" si="20"/>
        <v>16.711743999999999</v>
      </c>
      <c r="C701">
        <f t="shared" si="21"/>
        <v>6.6999576520000028</v>
      </c>
    </row>
    <row r="702" spans="1:3" x14ac:dyDescent="0.25">
      <c r="A702">
        <v>0.69699999999999995</v>
      </c>
      <c r="B702">
        <f t="shared" si="20"/>
        <v>16.736280999999995</v>
      </c>
      <c r="C702">
        <f t="shared" si="21"/>
        <v>6.7166816645000029</v>
      </c>
    </row>
    <row r="703" spans="1:3" x14ac:dyDescent="0.25">
      <c r="A703">
        <v>0.69799999999999995</v>
      </c>
      <c r="B703">
        <f t="shared" si="20"/>
        <v>16.760835999999994</v>
      </c>
      <c r="C703">
        <f t="shared" si="21"/>
        <v>6.7334302230000027</v>
      </c>
    </row>
    <row r="704" spans="1:3" x14ac:dyDescent="0.25">
      <c r="A704">
        <v>0.69899999999999995</v>
      </c>
      <c r="B704">
        <f t="shared" si="20"/>
        <v>16.785408999999998</v>
      </c>
      <c r="C704">
        <f t="shared" si="21"/>
        <v>6.7502033455000028</v>
      </c>
    </row>
    <row r="705" spans="1:3" x14ac:dyDescent="0.25">
      <c r="A705">
        <v>0.7</v>
      </c>
      <c r="B705">
        <f t="shared" si="20"/>
        <v>16.809999999999999</v>
      </c>
      <c r="C705">
        <f t="shared" si="21"/>
        <v>6.7670010500000028</v>
      </c>
    </row>
    <row r="706" spans="1:3" x14ac:dyDescent="0.25">
      <c r="A706">
        <v>0.70099999999999996</v>
      </c>
      <c r="B706">
        <f t="shared" si="20"/>
        <v>16.834608999999997</v>
      </c>
      <c r="C706">
        <f t="shared" si="21"/>
        <v>6.7838233545000026</v>
      </c>
    </row>
    <row r="707" spans="1:3" x14ac:dyDescent="0.25">
      <c r="A707">
        <v>0.70199999999999996</v>
      </c>
      <c r="B707">
        <f t="shared" si="20"/>
        <v>16.859235999999999</v>
      </c>
      <c r="C707">
        <f t="shared" si="21"/>
        <v>6.8006702770000027</v>
      </c>
    </row>
    <row r="708" spans="1:3" x14ac:dyDescent="0.25">
      <c r="A708">
        <v>0.70299999999999996</v>
      </c>
      <c r="B708">
        <f t="shared" si="20"/>
        <v>16.883880999999999</v>
      </c>
      <c r="C708">
        <f t="shared" si="21"/>
        <v>6.8175418355000028</v>
      </c>
    </row>
    <row r="709" spans="1:3" x14ac:dyDescent="0.25">
      <c r="A709">
        <v>0.70399999999999996</v>
      </c>
      <c r="B709">
        <f t="shared" si="20"/>
        <v>16.908543999999999</v>
      </c>
      <c r="C709">
        <f t="shared" si="21"/>
        <v>6.8344380480000027</v>
      </c>
    </row>
    <row r="710" spans="1:3" x14ac:dyDescent="0.25">
      <c r="A710">
        <v>0.70499999999999996</v>
      </c>
      <c r="B710">
        <f t="shared" si="20"/>
        <v>16.933225</v>
      </c>
      <c r="C710">
        <f t="shared" si="21"/>
        <v>6.8513589325000028</v>
      </c>
    </row>
    <row r="711" spans="1:3" x14ac:dyDescent="0.25">
      <c r="A711">
        <v>0.70599999999999996</v>
      </c>
      <c r="B711">
        <f t="shared" ref="B711:B774" si="22">(2+3*A711)^2</f>
        <v>16.957924000000002</v>
      </c>
      <c r="C711">
        <f t="shared" ref="C711:C774" si="23">C710+(B711+B710)*(A711-A710)/2</f>
        <v>6.8683045070000031</v>
      </c>
    </row>
    <row r="712" spans="1:3" x14ac:dyDescent="0.25">
      <c r="A712">
        <v>0.70699999999999996</v>
      </c>
      <c r="B712">
        <f t="shared" si="22"/>
        <v>16.982641000000005</v>
      </c>
      <c r="C712">
        <f t="shared" si="23"/>
        <v>6.885274789500003</v>
      </c>
    </row>
    <row r="713" spans="1:3" x14ac:dyDescent="0.25">
      <c r="A713">
        <v>0.70799999999999996</v>
      </c>
      <c r="B713">
        <f t="shared" si="22"/>
        <v>17.007375999999997</v>
      </c>
      <c r="C713">
        <f t="shared" si="23"/>
        <v>6.9022697980000034</v>
      </c>
    </row>
    <row r="714" spans="1:3" x14ac:dyDescent="0.25">
      <c r="A714">
        <v>0.70899999999999996</v>
      </c>
      <c r="B714">
        <f t="shared" si="22"/>
        <v>17.032128999999998</v>
      </c>
      <c r="C714">
        <f t="shared" si="23"/>
        <v>6.9192895505000038</v>
      </c>
    </row>
    <row r="715" spans="1:3" x14ac:dyDescent="0.25">
      <c r="A715">
        <v>0.71</v>
      </c>
      <c r="B715">
        <f t="shared" si="22"/>
        <v>17.056899999999999</v>
      </c>
      <c r="C715">
        <f t="shared" si="23"/>
        <v>6.936334065000004</v>
      </c>
    </row>
    <row r="716" spans="1:3" x14ac:dyDescent="0.25">
      <c r="A716">
        <v>0.71099999999999997</v>
      </c>
      <c r="B716">
        <f t="shared" si="22"/>
        <v>17.081689000000001</v>
      </c>
      <c r="C716">
        <f t="shared" si="23"/>
        <v>6.9534033595000038</v>
      </c>
    </row>
    <row r="717" spans="1:3" x14ac:dyDescent="0.25">
      <c r="A717">
        <v>0.71199999999999997</v>
      </c>
      <c r="B717">
        <f t="shared" si="22"/>
        <v>17.106496</v>
      </c>
      <c r="C717">
        <f t="shared" si="23"/>
        <v>6.9704974520000036</v>
      </c>
    </row>
    <row r="718" spans="1:3" x14ac:dyDescent="0.25">
      <c r="A718">
        <v>0.71299999999999997</v>
      </c>
      <c r="B718">
        <f t="shared" si="22"/>
        <v>17.131320999999996</v>
      </c>
      <c r="C718">
        <f t="shared" si="23"/>
        <v>6.9876163605000032</v>
      </c>
    </row>
    <row r="719" spans="1:3" x14ac:dyDescent="0.25">
      <c r="A719">
        <v>0.71399999999999997</v>
      </c>
      <c r="B719">
        <f t="shared" si="22"/>
        <v>17.156163999999997</v>
      </c>
      <c r="C719">
        <f t="shared" si="23"/>
        <v>7.0047601030000033</v>
      </c>
    </row>
    <row r="720" spans="1:3" x14ac:dyDescent="0.25">
      <c r="A720">
        <v>0.71499999999999997</v>
      </c>
      <c r="B720">
        <f t="shared" si="22"/>
        <v>17.181024999999998</v>
      </c>
      <c r="C720">
        <f t="shared" si="23"/>
        <v>7.0219286975000035</v>
      </c>
    </row>
    <row r="721" spans="1:3" x14ac:dyDescent="0.25">
      <c r="A721">
        <v>0.71599999999999997</v>
      </c>
      <c r="B721">
        <f t="shared" si="22"/>
        <v>17.205903999999997</v>
      </c>
      <c r="C721">
        <f t="shared" si="23"/>
        <v>7.0391221620000035</v>
      </c>
    </row>
    <row r="722" spans="1:3" x14ac:dyDescent="0.25">
      <c r="A722">
        <v>0.71699999999999997</v>
      </c>
      <c r="B722">
        <f t="shared" si="22"/>
        <v>17.230801</v>
      </c>
      <c r="C722">
        <f t="shared" si="23"/>
        <v>7.0563405145000031</v>
      </c>
    </row>
    <row r="723" spans="1:3" x14ac:dyDescent="0.25">
      <c r="A723">
        <v>0.71799999999999997</v>
      </c>
      <c r="B723">
        <f t="shared" si="22"/>
        <v>17.255716</v>
      </c>
      <c r="C723">
        <f t="shared" si="23"/>
        <v>7.0735837730000029</v>
      </c>
    </row>
    <row r="724" spans="1:3" x14ac:dyDescent="0.25">
      <c r="A724">
        <v>0.71899999999999997</v>
      </c>
      <c r="B724">
        <f t="shared" si="22"/>
        <v>17.280649</v>
      </c>
      <c r="C724">
        <f t="shared" si="23"/>
        <v>7.0908519555000025</v>
      </c>
    </row>
    <row r="725" spans="1:3" x14ac:dyDescent="0.25">
      <c r="A725">
        <v>0.72</v>
      </c>
      <c r="B725">
        <f t="shared" si="22"/>
        <v>17.305600000000002</v>
      </c>
      <c r="C725">
        <f t="shared" si="23"/>
        <v>7.1081450800000026</v>
      </c>
    </row>
    <row r="726" spans="1:3" x14ac:dyDescent="0.25">
      <c r="A726">
        <v>0.72099999999999997</v>
      </c>
      <c r="B726">
        <f t="shared" si="22"/>
        <v>17.330569000000001</v>
      </c>
      <c r="C726">
        <f t="shared" si="23"/>
        <v>7.1254631645000028</v>
      </c>
    </row>
    <row r="727" spans="1:3" x14ac:dyDescent="0.25">
      <c r="A727">
        <v>0.72199999999999998</v>
      </c>
      <c r="B727">
        <f t="shared" si="22"/>
        <v>17.355556000000004</v>
      </c>
      <c r="C727">
        <f t="shared" si="23"/>
        <v>7.142806227000003</v>
      </c>
    </row>
    <row r="728" spans="1:3" x14ac:dyDescent="0.25">
      <c r="A728">
        <v>0.72299999999999998</v>
      </c>
      <c r="B728">
        <f t="shared" si="22"/>
        <v>17.380561000000004</v>
      </c>
      <c r="C728">
        <f t="shared" si="23"/>
        <v>7.1601742855000028</v>
      </c>
    </row>
    <row r="729" spans="1:3" x14ac:dyDescent="0.25">
      <c r="A729">
        <v>0.72399999999999998</v>
      </c>
      <c r="B729">
        <f t="shared" si="22"/>
        <v>17.405583999999998</v>
      </c>
      <c r="C729">
        <f t="shared" si="23"/>
        <v>7.1775673580000028</v>
      </c>
    </row>
    <row r="730" spans="1:3" x14ac:dyDescent="0.25">
      <c r="A730">
        <v>0.72499999999999998</v>
      </c>
      <c r="B730">
        <f t="shared" si="22"/>
        <v>17.430624999999999</v>
      </c>
      <c r="C730">
        <f t="shared" si="23"/>
        <v>7.1949854625000027</v>
      </c>
    </row>
    <row r="731" spans="1:3" x14ac:dyDescent="0.25">
      <c r="A731">
        <v>0.72599999999999998</v>
      </c>
      <c r="B731">
        <f t="shared" si="22"/>
        <v>17.455683999999998</v>
      </c>
      <c r="C731">
        <f t="shared" si="23"/>
        <v>7.2124286170000032</v>
      </c>
    </row>
    <row r="732" spans="1:3" x14ac:dyDescent="0.25">
      <c r="A732">
        <v>0.72699999999999998</v>
      </c>
      <c r="B732">
        <f t="shared" si="22"/>
        <v>17.480761000000001</v>
      </c>
      <c r="C732">
        <f t="shared" si="23"/>
        <v>7.2298968395000029</v>
      </c>
    </row>
    <row r="733" spans="1:3" x14ac:dyDescent="0.25">
      <c r="A733">
        <v>0.72799999999999998</v>
      </c>
      <c r="B733">
        <f t="shared" si="22"/>
        <v>17.505856000000001</v>
      </c>
      <c r="C733">
        <f t="shared" si="23"/>
        <v>7.2473901480000027</v>
      </c>
    </row>
    <row r="734" spans="1:3" x14ac:dyDescent="0.25">
      <c r="A734">
        <v>0.72899999999999998</v>
      </c>
      <c r="B734">
        <f t="shared" si="22"/>
        <v>17.530968999999995</v>
      </c>
      <c r="C734">
        <f t="shared" si="23"/>
        <v>7.264908560500003</v>
      </c>
    </row>
    <row r="735" spans="1:3" x14ac:dyDescent="0.25">
      <c r="A735">
        <v>0.73</v>
      </c>
      <c r="B735">
        <f t="shared" si="22"/>
        <v>17.556099999999997</v>
      </c>
      <c r="C735">
        <f t="shared" si="23"/>
        <v>7.2824520950000027</v>
      </c>
    </row>
    <row r="736" spans="1:3" x14ac:dyDescent="0.25">
      <c r="A736">
        <v>0.73099999999999998</v>
      </c>
      <c r="B736">
        <f t="shared" si="22"/>
        <v>17.581248999999996</v>
      </c>
      <c r="C736">
        <f t="shared" si="23"/>
        <v>7.3000207695000023</v>
      </c>
    </row>
    <row r="737" spans="1:3" x14ac:dyDescent="0.25">
      <c r="A737">
        <v>0.73199999999999998</v>
      </c>
      <c r="B737">
        <f t="shared" si="22"/>
        <v>17.606415999999999</v>
      </c>
      <c r="C737">
        <f t="shared" si="23"/>
        <v>7.3176146020000026</v>
      </c>
    </row>
    <row r="738" spans="1:3" x14ac:dyDescent="0.25">
      <c r="A738">
        <v>0.73299999999999998</v>
      </c>
      <c r="B738">
        <f t="shared" si="22"/>
        <v>17.631601</v>
      </c>
      <c r="C738">
        <f t="shared" si="23"/>
        <v>7.3352336105000022</v>
      </c>
    </row>
    <row r="739" spans="1:3" x14ac:dyDescent="0.25">
      <c r="A739">
        <v>0.73399999999999999</v>
      </c>
      <c r="B739">
        <f t="shared" si="22"/>
        <v>17.656804000000001</v>
      </c>
      <c r="C739">
        <f t="shared" si="23"/>
        <v>7.3528778130000019</v>
      </c>
    </row>
    <row r="740" spans="1:3" x14ac:dyDescent="0.25">
      <c r="A740">
        <v>0.73499999999999999</v>
      </c>
      <c r="B740">
        <f t="shared" si="22"/>
        <v>17.682024999999999</v>
      </c>
      <c r="C740">
        <f t="shared" si="23"/>
        <v>7.3705472275000021</v>
      </c>
    </row>
    <row r="741" spans="1:3" x14ac:dyDescent="0.25">
      <c r="A741">
        <v>0.73599999999999999</v>
      </c>
      <c r="B741">
        <f t="shared" si="22"/>
        <v>17.707264000000002</v>
      </c>
      <c r="C741">
        <f t="shared" si="23"/>
        <v>7.3882418720000018</v>
      </c>
    </row>
    <row r="742" spans="1:3" x14ac:dyDescent="0.25">
      <c r="A742">
        <v>0.73699999999999999</v>
      </c>
      <c r="B742">
        <f t="shared" si="22"/>
        <v>17.732521000000002</v>
      </c>
      <c r="C742">
        <f t="shared" si="23"/>
        <v>7.4059617645000015</v>
      </c>
    </row>
    <row r="743" spans="1:3" x14ac:dyDescent="0.25">
      <c r="A743">
        <v>0.73799999999999999</v>
      </c>
      <c r="B743">
        <f t="shared" si="22"/>
        <v>17.757796000000003</v>
      </c>
      <c r="C743">
        <f t="shared" si="23"/>
        <v>7.4237069230000019</v>
      </c>
    </row>
    <row r="744" spans="1:3" x14ac:dyDescent="0.25">
      <c r="A744">
        <v>0.73899999999999999</v>
      </c>
      <c r="B744">
        <f t="shared" si="22"/>
        <v>17.783089000000004</v>
      </c>
      <c r="C744">
        <f t="shared" si="23"/>
        <v>7.4414773655000017</v>
      </c>
    </row>
    <row r="745" spans="1:3" x14ac:dyDescent="0.25">
      <c r="A745">
        <v>0.74</v>
      </c>
      <c r="B745">
        <f t="shared" si="22"/>
        <v>17.808399999999999</v>
      </c>
      <c r="C745">
        <f t="shared" si="23"/>
        <v>7.4592731100000016</v>
      </c>
    </row>
    <row r="746" spans="1:3" x14ac:dyDescent="0.25">
      <c r="A746">
        <v>0.74099999999999999</v>
      </c>
      <c r="B746">
        <f t="shared" si="22"/>
        <v>17.833728999999998</v>
      </c>
      <c r="C746">
        <f t="shared" si="23"/>
        <v>7.4770941745000012</v>
      </c>
    </row>
    <row r="747" spans="1:3" x14ac:dyDescent="0.25">
      <c r="A747">
        <v>0.74199999999999999</v>
      </c>
      <c r="B747">
        <f t="shared" si="22"/>
        <v>17.859075999999998</v>
      </c>
      <c r="C747">
        <f t="shared" si="23"/>
        <v>7.4949405770000013</v>
      </c>
    </row>
    <row r="748" spans="1:3" x14ac:dyDescent="0.25">
      <c r="A748">
        <v>0.74299999999999999</v>
      </c>
      <c r="B748">
        <f t="shared" si="22"/>
        <v>17.884441000000002</v>
      </c>
      <c r="C748">
        <f t="shared" si="23"/>
        <v>7.5128123355000014</v>
      </c>
    </row>
    <row r="749" spans="1:3" x14ac:dyDescent="0.25">
      <c r="A749">
        <v>0.74399999999999999</v>
      </c>
      <c r="B749">
        <f t="shared" si="22"/>
        <v>17.909824</v>
      </c>
      <c r="C749">
        <f t="shared" si="23"/>
        <v>7.5307094680000013</v>
      </c>
    </row>
    <row r="750" spans="1:3" x14ac:dyDescent="0.25">
      <c r="A750">
        <v>0.745</v>
      </c>
      <c r="B750">
        <f t="shared" si="22"/>
        <v>17.935224999999996</v>
      </c>
      <c r="C750">
        <f t="shared" si="23"/>
        <v>7.5486319925000016</v>
      </c>
    </row>
    <row r="751" spans="1:3" x14ac:dyDescent="0.25">
      <c r="A751">
        <v>0.746</v>
      </c>
      <c r="B751">
        <f t="shared" si="22"/>
        <v>17.960643999999995</v>
      </c>
      <c r="C751">
        <f t="shared" si="23"/>
        <v>7.566579927000002</v>
      </c>
    </row>
    <row r="752" spans="1:3" x14ac:dyDescent="0.25">
      <c r="A752">
        <v>0.747</v>
      </c>
      <c r="B752">
        <f t="shared" si="22"/>
        <v>17.986080999999999</v>
      </c>
      <c r="C752">
        <f t="shared" si="23"/>
        <v>7.5845532895000023</v>
      </c>
    </row>
    <row r="753" spans="1:3" x14ac:dyDescent="0.25">
      <c r="A753">
        <v>0.748</v>
      </c>
      <c r="B753">
        <f t="shared" si="22"/>
        <v>18.011536</v>
      </c>
      <c r="C753">
        <f t="shared" si="23"/>
        <v>7.6025520980000021</v>
      </c>
    </row>
    <row r="754" spans="1:3" x14ac:dyDescent="0.25">
      <c r="A754">
        <v>0.749</v>
      </c>
      <c r="B754">
        <f t="shared" si="22"/>
        <v>18.037008999999998</v>
      </c>
      <c r="C754">
        <f t="shared" si="23"/>
        <v>7.620576370500002</v>
      </c>
    </row>
    <row r="755" spans="1:3" x14ac:dyDescent="0.25">
      <c r="A755">
        <v>0.75</v>
      </c>
      <c r="B755">
        <f t="shared" si="22"/>
        <v>18.0625</v>
      </c>
      <c r="C755">
        <f t="shared" si="23"/>
        <v>7.6386261250000018</v>
      </c>
    </row>
    <row r="756" spans="1:3" x14ac:dyDescent="0.25">
      <c r="A756">
        <v>0.751</v>
      </c>
      <c r="B756">
        <f t="shared" si="22"/>
        <v>18.088009</v>
      </c>
      <c r="C756">
        <f t="shared" si="23"/>
        <v>7.6567013795000021</v>
      </c>
    </row>
    <row r="757" spans="1:3" x14ac:dyDescent="0.25">
      <c r="A757">
        <v>0.752</v>
      </c>
      <c r="B757">
        <f t="shared" si="22"/>
        <v>18.113536000000003</v>
      </c>
      <c r="C757">
        <f t="shared" si="23"/>
        <v>7.6748021520000025</v>
      </c>
    </row>
    <row r="758" spans="1:3" x14ac:dyDescent="0.25">
      <c r="A758">
        <v>0.753</v>
      </c>
      <c r="B758">
        <f t="shared" si="22"/>
        <v>18.139081000000004</v>
      </c>
      <c r="C758">
        <f t="shared" si="23"/>
        <v>7.6929284605000028</v>
      </c>
    </row>
    <row r="759" spans="1:3" x14ac:dyDescent="0.25">
      <c r="A759">
        <v>0.754</v>
      </c>
      <c r="B759">
        <f t="shared" si="22"/>
        <v>18.164644000000003</v>
      </c>
      <c r="C759">
        <f t="shared" si="23"/>
        <v>7.7110803230000027</v>
      </c>
    </row>
    <row r="760" spans="1:3" x14ac:dyDescent="0.25">
      <c r="A760">
        <v>0.755</v>
      </c>
      <c r="B760">
        <f t="shared" si="22"/>
        <v>18.190225000000005</v>
      </c>
      <c r="C760">
        <f t="shared" si="23"/>
        <v>7.7292577575000028</v>
      </c>
    </row>
    <row r="761" spans="1:3" x14ac:dyDescent="0.25">
      <c r="A761">
        <v>0.75600000000000001</v>
      </c>
      <c r="B761">
        <f t="shared" si="22"/>
        <v>18.215823999999998</v>
      </c>
      <c r="C761">
        <f t="shared" si="23"/>
        <v>7.7474607820000028</v>
      </c>
    </row>
    <row r="762" spans="1:3" x14ac:dyDescent="0.25">
      <c r="A762">
        <v>0.75700000000000001</v>
      </c>
      <c r="B762">
        <f t="shared" si="22"/>
        <v>18.241440999999998</v>
      </c>
      <c r="C762">
        <f t="shared" si="23"/>
        <v>7.7656894145000024</v>
      </c>
    </row>
    <row r="763" spans="1:3" x14ac:dyDescent="0.25">
      <c r="A763">
        <v>0.75800000000000001</v>
      </c>
      <c r="B763">
        <f t="shared" si="22"/>
        <v>18.267075999999999</v>
      </c>
      <c r="C763">
        <f t="shared" si="23"/>
        <v>7.7839436730000022</v>
      </c>
    </row>
    <row r="764" spans="1:3" x14ac:dyDescent="0.25">
      <c r="A764">
        <v>0.75900000000000001</v>
      </c>
      <c r="B764">
        <f t="shared" si="22"/>
        <v>18.292729000000001</v>
      </c>
      <c r="C764">
        <f t="shared" si="23"/>
        <v>7.802223575500002</v>
      </c>
    </row>
    <row r="765" spans="1:3" x14ac:dyDescent="0.25">
      <c r="A765">
        <v>0.76</v>
      </c>
      <c r="B765">
        <f t="shared" si="22"/>
        <v>18.3184</v>
      </c>
      <c r="C765">
        <f t="shared" si="23"/>
        <v>7.8205291400000023</v>
      </c>
    </row>
    <row r="766" spans="1:3" x14ac:dyDescent="0.25">
      <c r="A766">
        <v>0.76100000000000001</v>
      </c>
      <c r="B766">
        <f t="shared" si="22"/>
        <v>18.344088999999997</v>
      </c>
      <c r="C766">
        <f t="shared" si="23"/>
        <v>7.838860384500002</v>
      </c>
    </row>
    <row r="767" spans="1:3" x14ac:dyDescent="0.25">
      <c r="A767">
        <v>0.76200000000000001</v>
      </c>
      <c r="B767">
        <f t="shared" si="22"/>
        <v>18.369795999999997</v>
      </c>
      <c r="C767">
        <f t="shared" si="23"/>
        <v>7.8572173270000016</v>
      </c>
    </row>
    <row r="768" spans="1:3" x14ac:dyDescent="0.25">
      <c r="A768">
        <v>0.76300000000000001</v>
      </c>
      <c r="B768">
        <f t="shared" si="22"/>
        <v>18.395520999999999</v>
      </c>
      <c r="C768">
        <f t="shared" si="23"/>
        <v>7.8755999855000018</v>
      </c>
    </row>
    <row r="769" spans="1:3" x14ac:dyDescent="0.25">
      <c r="A769">
        <v>0.76400000000000001</v>
      </c>
      <c r="B769">
        <f t="shared" si="22"/>
        <v>18.421263999999997</v>
      </c>
      <c r="C769">
        <f t="shared" si="23"/>
        <v>7.8940083780000014</v>
      </c>
    </row>
    <row r="770" spans="1:3" x14ac:dyDescent="0.25">
      <c r="A770">
        <v>0.76500000000000001</v>
      </c>
      <c r="B770">
        <f t="shared" si="22"/>
        <v>18.447025</v>
      </c>
      <c r="C770">
        <f t="shared" si="23"/>
        <v>7.912442522500001</v>
      </c>
    </row>
    <row r="771" spans="1:3" x14ac:dyDescent="0.25">
      <c r="A771">
        <v>0.76600000000000001</v>
      </c>
      <c r="B771">
        <f t="shared" si="22"/>
        <v>18.472804</v>
      </c>
      <c r="C771">
        <f t="shared" si="23"/>
        <v>7.9309024370000012</v>
      </c>
    </row>
    <row r="772" spans="1:3" x14ac:dyDescent="0.25">
      <c r="A772">
        <v>0.76700000000000002</v>
      </c>
      <c r="B772">
        <f t="shared" si="22"/>
        <v>18.498601000000001</v>
      </c>
      <c r="C772">
        <f t="shared" si="23"/>
        <v>7.9493881395000008</v>
      </c>
    </row>
    <row r="773" spans="1:3" x14ac:dyDescent="0.25">
      <c r="A773">
        <v>0.76800000000000002</v>
      </c>
      <c r="B773">
        <f t="shared" si="22"/>
        <v>18.524416000000002</v>
      </c>
      <c r="C773">
        <f t="shared" si="23"/>
        <v>7.9678996480000004</v>
      </c>
    </row>
    <row r="774" spans="1:3" x14ac:dyDescent="0.25">
      <c r="A774">
        <v>0.76900000000000002</v>
      </c>
      <c r="B774">
        <f t="shared" si="22"/>
        <v>18.550249000000004</v>
      </c>
      <c r="C774">
        <f t="shared" si="23"/>
        <v>7.9864369805000006</v>
      </c>
    </row>
    <row r="775" spans="1:3" x14ac:dyDescent="0.25">
      <c r="A775">
        <v>0.77</v>
      </c>
      <c r="B775">
        <f t="shared" ref="B775:B838" si="24">(2+3*A775)^2</f>
        <v>18.576100000000004</v>
      </c>
      <c r="C775">
        <f t="shared" ref="C775:C838" si="25">C774+(B775+B774)*(A775-A774)/2</f>
        <v>8.0050001550000012</v>
      </c>
    </row>
    <row r="776" spans="1:3" x14ac:dyDescent="0.25">
      <c r="A776">
        <v>0.77100000000000002</v>
      </c>
      <c r="B776">
        <f t="shared" si="24"/>
        <v>18.601969000000004</v>
      </c>
      <c r="C776">
        <f t="shared" si="25"/>
        <v>8.0235891895000009</v>
      </c>
    </row>
    <row r="777" spans="1:3" x14ac:dyDescent="0.25">
      <c r="A777">
        <v>0.77200000000000002</v>
      </c>
      <c r="B777">
        <f t="shared" si="24"/>
        <v>18.627855999999998</v>
      </c>
      <c r="C777">
        <f t="shared" si="25"/>
        <v>8.0422041020000012</v>
      </c>
    </row>
    <row r="778" spans="1:3" x14ac:dyDescent="0.25">
      <c r="A778">
        <v>0.77300000000000002</v>
      </c>
      <c r="B778">
        <f t="shared" si="24"/>
        <v>18.653760999999999</v>
      </c>
      <c r="C778">
        <f t="shared" si="25"/>
        <v>8.060844910500002</v>
      </c>
    </row>
    <row r="779" spans="1:3" x14ac:dyDescent="0.25">
      <c r="A779">
        <v>0.77400000000000002</v>
      </c>
      <c r="B779">
        <f t="shared" si="24"/>
        <v>18.679684000000002</v>
      </c>
      <c r="C779">
        <f t="shared" si="25"/>
        <v>8.0795116330000027</v>
      </c>
    </row>
    <row r="780" spans="1:3" x14ac:dyDescent="0.25">
      <c r="A780">
        <v>0.77500000000000002</v>
      </c>
      <c r="B780">
        <f t="shared" si="24"/>
        <v>18.705625000000001</v>
      </c>
      <c r="C780">
        <f t="shared" si="25"/>
        <v>8.0982042875000033</v>
      </c>
    </row>
    <row r="781" spans="1:3" x14ac:dyDescent="0.25">
      <c r="A781">
        <v>0.77600000000000002</v>
      </c>
      <c r="B781">
        <f t="shared" si="24"/>
        <v>18.731584000000002</v>
      </c>
      <c r="C781">
        <f t="shared" si="25"/>
        <v>8.1169228920000034</v>
      </c>
    </row>
    <row r="782" spans="1:3" x14ac:dyDescent="0.25">
      <c r="A782">
        <v>0.77700000000000002</v>
      </c>
      <c r="B782">
        <f t="shared" si="24"/>
        <v>18.757560999999995</v>
      </c>
      <c r="C782">
        <f t="shared" si="25"/>
        <v>8.1356674645000027</v>
      </c>
    </row>
    <row r="783" spans="1:3" x14ac:dyDescent="0.25">
      <c r="A783">
        <v>0.77800000000000002</v>
      </c>
      <c r="B783">
        <f t="shared" si="24"/>
        <v>18.783555999999997</v>
      </c>
      <c r="C783">
        <f t="shared" si="25"/>
        <v>8.1544380230000026</v>
      </c>
    </row>
    <row r="784" spans="1:3" x14ac:dyDescent="0.25">
      <c r="A784">
        <v>0.77900000000000003</v>
      </c>
      <c r="B784">
        <f t="shared" si="24"/>
        <v>18.809568999999996</v>
      </c>
      <c r="C784">
        <f t="shared" si="25"/>
        <v>8.173234585500003</v>
      </c>
    </row>
    <row r="785" spans="1:3" x14ac:dyDescent="0.25">
      <c r="A785">
        <v>0.78</v>
      </c>
      <c r="B785">
        <f t="shared" si="24"/>
        <v>18.835599999999999</v>
      </c>
      <c r="C785">
        <f t="shared" si="25"/>
        <v>8.1920571700000036</v>
      </c>
    </row>
    <row r="786" spans="1:3" x14ac:dyDescent="0.25">
      <c r="A786">
        <v>0.78100000000000003</v>
      </c>
      <c r="B786">
        <f t="shared" si="24"/>
        <v>18.861649</v>
      </c>
      <c r="C786">
        <f t="shared" si="25"/>
        <v>8.2109057945000039</v>
      </c>
    </row>
    <row r="787" spans="1:3" x14ac:dyDescent="0.25">
      <c r="A787">
        <v>0.78200000000000003</v>
      </c>
      <c r="B787">
        <f t="shared" si="24"/>
        <v>18.887716000000001</v>
      </c>
      <c r="C787">
        <f t="shared" si="25"/>
        <v>8.2297804770000038</v>
      </c>
    </row>
    <row r="788" spans="1:3" x14ac:dyDescent="0.25">
      <c r="A788">
        <v>0.78300000000000003</v>
      </c>
      <c r="B788">
        <f t="shared" si="24"/>
        <v>18.913801000000003</v>
      </c>
      <c r="C788">
        <f t="shared" si="25"/>
        <v>8.248681235500003</v>
      </c>
    </row>
    <row r="789" spans="1:3" x14ac:dyDescent="0.25">
      <c r="A789">
        <v>0.78400000000000003</v>
      </c>
      <c r="B789">
        <f t="shared" si="24"/>
        <v>18.939904000000002</v>
      </c>
      <c r="C789">
        <f t="shared" si="25"/>
        <v>8.2676080880000029</v>
      </c>
    </row>
    <row r="790" spans="1:3" x14ac:dyDescent="0.25">
      <c r="A790">
        <v>0.78500000000000003</v>
      </c>
      <c r="B790">
        <f t="shared" si="24"/>
        <v>18.966025000000005</v>
      </c>
      <c r="C790">
        <f t="shared" si="25"/>
        <v>8.2865610525000033</v>
      </c>
    </row>
    <row r="791" spans="1:3" x14ac:dyDescent="0.25">
      <c r="A791">
        <v>0.78600000000000003</v>
      </c>
      <c r="B791">
        <f t="shared" si="24"/>
        <v>18.992164000000006</v>
      </c>
      <c r="C791">
        <f t="shared" si="25"/>
        <v>8.3055401470000039</v>
      </c>
    </row>
    <row r="792" spans="1:3" x14ac:dyDescent="0.25">
      <c r="A792">
        <v>0.78700000000000003</v>
      </c>
      <c r="B792">
        <f t="shared" si="24"/>
        <v>19.018321000000007</v>
      </c>
      <c r="C792">
        <f t="shared" si="25"/>
        <v>8.3245453895000043</v>
      </c>
    </row>
    <row r="793" spans="1:3" x14ac:dyDescent="0.25">
      <c r="A793">
        <v>0.78800000000000003</v>
      </c>
      <c r="B793">
        <f t="shared" si="24"/>
        <v>19.044495999999999</v>
      </c>
      <c r="C793">
        <f t="shared" si="25"/>
        <v>8.3435767980000044</v>
      </c>
    </row>
    <row r="794" spans="1:3" x14ac:dyDescent="0.25">
      <c r="A794">
        <v>0.78900000000000003</v>
      </c>
      <c r="B794">
        <f t="shared" si="24"/>
        <v>19.070689000000002</v>
      </c>
      <c r="C794">
        <f t="shared" si="25"/>
        <v>8.3626343905000038</v>
      </c>
    </row>
    <row r="795" spans="1:3" x14ac:dyDescent="0.25">
      <c r="A795">
        <v>0.79</v>
      </c>
      <c r="B795">
        <f t="shared" si="24"/>
        <v>19.096900000000002</v>
      </c>
      <c r="C795">
        <f t="shared" si="25"/>
        <v>8.381718185000004</v>
      </c>
    </row>
    <row r="796" spans="1:3" x14ac:dyDescent="0.25">
      <c r="A796">
        <v>0.79100000000000004</v>
      </c>
      <c r="B796">
        <f t="shared" si="24"/>
        <v>19.123129000000002</v>
      </c>
      <c r="C796">
        <f t="shared" si="25"/>
        <v>8.4008281995000047</v>
      </c>
    </row>
    <row r="797" spans="1:3" x14ac:dyDescent="0.25">
      <c r="A797">
        <v>0.79200000000000004</v>
      </c>
      <c r="B797">
        <f t="shared" si="24"/>
        <v>19.149376000000004</v>
      </c>
      <c r="C797">
        <f t="shared" si="25"/>
        <v>8.4199644520000039</v>
      </c>
    </row>
    <row r="798" spans="1:3" x14ac:dyDescent="0.25">
      <c r="A798">
        <v>0.79300000000000004</v>
      </c>
      <c r="B798">
        <f t="shared" si="24"/>
        <v>19.175640999999995</v>
      </c>
      <c r="C798">
        <f t="shared" si="25"/>
        <v>8.4391269605000048</v>
      </c>
    </row>
    <row r="799" spans="1:3" x14ac:dyDescent="0.25">
      <c r="A799">
        <v>0.79400000000000004</v>
      </c>
      <c r="B799">
        <f t="shared" si="24"/>
        <v>19.201923999999998</v>
      </c>
      <c r="C799">
        <f t="shared" si="25"/>
        <v>8.4583157430000053</v>
      </c>
    </row>
    <row r="800" spans="1:3" x14ac:dyDescent="0.25">
      <c r="A800">
        <v>0.79500000000000004</v>
      </c>
      <c r="B800">
        <f t="shared" si="24"/>
        <v>19.228224999999998</v>
      </c>
      <c r="C800">
        <f t="shared" si="25"/>
        <v>8.4775308175000053</v>
      </c>
    </row>
    <row r="801" spans="1:3" x14ac:dyDescent="0.25">
      <c r="A801">
        <v>0.79600000000000004</v>
      </c>
      <c r="B801">
        <f t="shared" si="24"/>
        <v>19.254543999999999</v>
      </c>
      <c r="C801">
        <f t="shared" si="25"/>
        <v>8.496772202000006</v>
      </c>
    </row>
    <row r="802" spans="1:3" x14ac:dyDescent="0.25">
      <c r="A802">
        <v>0.79700000000000004</v>
      </c>
      <c r="B802">
        <f t="shared" si="24"/>
        <v>19.280881000000001</v>
      </c>
      <c r="C802">
        <f t="shared" si="25"/>
        <v>8.5160399145000056</v>
      </c>
    </row>
    <row r="803" spans="1:3" x14ac:dyDescent="0.25">
      <c r="A803">
        <v>0.79800000000000004</v>
      </c>
      <c r="B803">
        <f t="shared" si="24"/>
        <v>19.307236</v>
      </c>
      <c r="C803">
        <f t="shared" si="25"/>
        <v>8.5353339730000055</v>
      </c>
    </row>
    <row r="804" spans="1:3" x14ac:dyDescent="0.25">
      <c r="A804">
        <v>0.79900000000000004</v>
      </c>
      <c r="B804">
        <f t="shared" si="24"/>
        <v>19.333609000000003</v>
      </c>
      <c r="C804">
        <f t="shared" si="25"/>
        <v>8.5546543955000054</v>
      </c>
    </row>
    <row r="805" spans="1:3" x14ac:dyDescent="0.25">
      <c r="A805">
        <v>0.8</v>
      </c>
      <c r="B805">
        <f t="shared" si="24"/>
        <v>19.360000000000003</v>
      </c>
      <c r="C805">
        <f t="shared" si="25"/>
        <v>8.574001200000005</v>
      </c>
    </row>
    <row r="806" spans="1:3" x14ac:dyDescent="0.25">
      <c r="A806">
        <v>0.80100000000000005</v>
      </c>
      <c r="B806">
        <f t="shared" si="24"/>
        <v>19.386409000000004</v>
      </c>
      <c r="C806">
        <f t="shared" si="25"/>
        <v>8.5933744045000058</v>
      </c>
    </row>
    <row r="807" spans="1:3" x14ac:dyDescent="0.25">
      <c r="A807">
        <v>0.80200000000000005</v>
      </c>
      <c r="B807">
        <f t="shared" si="24"/>
        <v>19.412836000000006</v>
      </c>
      <c r="C807">
        <f t="shared" si="25"/>
        <v>8.6127740270000057</v>
      </c>
    </row>
    <row r="808" spans="1:3" x14ac:dyDescent="0.25">
      <c r="A808">
        <v>0.80300000000000005</v>
      </c>
      <c r="B808">
        <f t="shared" si="24"/>
        <v>19.439281000000005</v>
      </c>
      <c r="C808">
        <f t="shared" si="25"/>
        <v>8.6322000855000063</v>
      </c>
    </row>
    <row r="809" spans="1:3" x14ac:dyDescent="0.25">
      <c r="A809">
        <v>0.80400000000000005</v>
      </c>
      <c r="B809">
        <f t="shared" si="24"/>
        <v>19.465744000000001</v>
      </c>
      <c r="C809">
        <f t="shared" si="25"/>
        <v>8.6516525980000072</v>
      </c>
    </row>
    <row r="810" spans="1:3" x14ac:dyDescent="0.25">
      <c r="A810">
        <v>0.80500000000000005</v>
      </c>
      <c r="B810">
        <f t="shared" si="24"/>
        <v>19.492225000000001</v>
      </c>
      <c r="C810">
        <f t="shared" si="25"/>
        <v>8.6711315825000064</v>
      </c>
    </row>
    <row r="811" spans="1:3" x14ac:dyDescent="0.25">
      <c r="A811">
        <v>0.80600000000000005</v>
      </c>
      <c r="B811">
        <f t="shared" si="24"/>
        <v>19.518724000000002</v>
      </c>
      <c r="C811">
        <f t="shared" si="25"/>
        <v>8.6906370570000071</v>
      </c>
    </row>
    <row r="812" spans="1:3" x14ac:dyDescent="0.25">
      <c r="A812">
        <v>0.80700000000000005</v>
      </c>
      <c r="B812">
        <f t="shared" si="24"/>
        <v>19.545241000000001</v>
      </c>
      <c r="C812">
        <f t="shared" si="25"/>
        <v>8.7101690395000073</v>
      </c>
    </row>
    <row r="813" spans="1:3" x14ac:dyDescent="0.25">
      <c r="A813">
        <v>0.80800000000000005</v>
      </c>
      <c r="B813">
        <f t="shared" si="24"/>
        <v>19.571776000000003</v>
      </c>
      <c r="C813">
        <f t="shared" si="25"/>
        <v>8.7297275480000067</v>
      </c>
    </row>
    <row r="814" spans="1:3" x14ac:dyDescent="0.25">
      <c r="A814">
        <v>0.80900000000000005</v>
      </c>
      <c r="B814">
        <f t="shared" si="24"/>
        <v>19.598328999999996</v>
      </c>
      <c r="C814">
        <f t="shared" si="25"/>
        <v>8.7493126005000068</v>
      </c>
    </row>
    <row r="815" spans="1:3" x14ac:dyDescent="0.25">
      <c r="A815">
        <v>0.81</v>
      </c>
      <c r="B815">
        <f t="shared" si="24"/>
        <v>19.624899999999997</v>
      </c>
      <c r="C815">
        <f t="shared" si="25"/>
        <v>8.7689242150000073</v>
      </c>
    </row>
    <row r="816" spans="1:3" x14ac:dyDescent="0.25">
      <c r="A816">
        <v>0.81100000000000005</v>
      </c>
      <c r="B816">
        <f t="shared" si="24"/>
        <v>19.651488999999998</v>
      </c>
      <c r="C816">
        <f t="shared" si="25"/>
        <v>8.7885624095000079</v>
      </c>
    </row>
    <row r="817" spans="1:3" x14ac:dyDescent="0.25">
      <c r="A817">
        <v>0.81200000000000006</v>
      </c>
      <c r="B817">
        <f t="shared" si="24"/>
        <v>19.678096</v>
      </c>
      <c r="C817">
        <f t="shared" si="25"/>
        <v>8.8082272020000083</v>
      </c>
    </row>
    <row r="818" spans="1:3" x14ac:dyDescent="0.25">
      <c r="A818">
        <v>0.81299999999999994</v>
      </c>
      <c r="B818">
        <f t="shared" si="24"/>
        <v>19.704720999999999</v>
      </c>
      <c r="C818">
        <f t="shared" si="25"/>
        <v>8.8279186105000065</v>
      </c>
    </row>
    <row r="819" spans="1:3" x14ac:dyDescent="0.25">
      <c r="A819">
        <v>0.81399999999999995</v>
      </c>
      <c r="B819">
        <f t="shared" si="24"/>
        <v>19.731364000000003</v>
      </c>
      <c r="C819">
        <f t="shared" si="25"/>
        <v>8.8476366530000057</v>
      </c>
    </row>
    <row r="820" spans="1:3" x14ac:dyDescent="0.25">
      <c r="A820">
        <v>0.81499999999999995</v>
      </c>
      <c r="B820">
        <f t="shared" si="24"/>
        <v>19.758025000000004</v>
      </c>
      <c r="C820">
        <f t="shared" si="25"/>
        <v>8.8673813475000056</v>
      </c>
    </row>
    <row r="821" spans="1:3" x14ac:dyDescent="0.25">
      <c r="A821">
        <v>0.81599999999999995</v>
      </c>
      <c r="B821">
        <f t="shared" si="24"/>
        <v>19.784704000000005</v>
      </c>
      <c r="C821">
        <f t="shared" si="25"/>
        <v>8.887152712000006</v>
      </c>
    </row>
    <row r="822" spans="1:3" x14ac:dyDescent="0.25">
      <c r="A822">
        <v>0.81699999999999995</v>
      </c>
      <c r="B822">
        <f t="shared" si="24"/>
        <v>19.811400999999996</v>
      </c>
      <c r="C822">
        <f t="shared" si="25"/>
        <v>8.9069507645000066</v>
      </c>
    </row>
    <row r="823" spans="1:3" x14ac:dyDescent="0.25">
      <c r="A823">
        <v>0.81799999999999995</v>
      </c>
      <c r="B823">
        <f t="shared" si="24"/>
        <v>19.838115999999999</v>
      </c>
      <c r="C823">
        <f t="shared" si="25"/>
        <v>8.926775523000007</v>
      </c>
    </row>
    <row r="824" spans="1:3" x14ac:dyDescent="0.25">
      <c r="A824">
        <v>0.81899999999999995</v>
      </c>
      <c r="B824">
        <f t="shared" si="24"/>
        <v>19.864849</v>
      </c>
      <c r="C824">
        <f t="shared" si="25"/>
        <v>8.946627005500007</v>
      </c>
    </row>
    <row r="825" spans="1:3" x14ac:dyDescent="0.25">
      <c r="A825">
        <v>0.82</v>
      </c>
      <c r="B825">
        <f t="shared" si="24"/>
        <v>19.8916</v>
      </c>
      <c r="C825">
        <f t="shared" si="25"/>
        <v>8.9665052300000063</v>
      </c>
    </row>
    <row r="826" spans="1:3" x14ac:dyDescent="0.25">
      <c r="A826">
        <v>0.82099999999999995</v>
      </c>
      <c r="B826">
        <f t="shared" si="24"/>
        <v>19.918369000000002</v>
      </c>
      <c r="C826">
        <f t="shared" si="25"/>
        <v>8.9864102145000064</v>
      </c>
    </row>
    <row r="827" spans="1:3" x14ac:dyDescent="0.25">
      <c r="A827">
        <v>0.82199999999999995</v>
      </c>
      <c r="B827">
        <f t="shared" si="24"/>
        <v>19.945155999999994</v>
      </c>
      <c r="C827">
        <f t="shared" si="25"/>
        <v>9.006341977000007</v>
      </c>
    </row>
    <row r="828" spans="1:3" x14ac:dyDescent="0.25">
      <c r="A828">
        <v>0.82299999999999995</v>
      </c>
      <c r="B828">
        <f t="shared" si="24"/>
        <v>19.971960999999993</v>
      </c>
      <c r="C828">
        <f t="shared" si="25"/>
        <v>9.0263005355000079</v>
      </c>
    </row>
    <row r="829" spans="1:3" x14ac:dyDescent="0.25">
      <c r="A829">
        <v>0.82399999999999995</v>
      </c>
      <c r="B829">
        <f t="shared" si="24"/>
        <v>19.998783999999997</v>
      </c>
      <c r="C829">
        <f t="shared" si="25"/>
        <v>9.0462859080000086</v>
      </c>
    </row>
    <row r="830" spans="1:3" x14ac:dyDescent="0.25">
      <c r="A830">
        <v>0.82499999999999996</v>
      </c>
      <c r="B830">
        <f t="shared" si="24"/>
        <v>20.025624999999998</v>
      </c>
      <c r="C830">
        <f t="shared" si="25"/>
        <v>9.0662981125000091</v>
      </c>
    </row>
    <row r="831" spans="1:3" x14ac:dyDescent="0.25">
      <c r="A831">
        <v>0.82599999999999996</v>
      </c>
      <c r="B831">
        <f t="shared" si="24"/>
        <v>20.052483999999996</v>
      </c>
      <c r="C831">
        <f t="shared" si="25"/>
        <v>9.0863371670000088</v>
      </c>
    </row>
    <row r="832" spans="1:3" x14ac:dyDescent="0.25">
      <c r="A832">
        <v>0.82699999999999996</v>
      </c>
      <c r="B832">
        <f t="shared" si="24"/>
        <v>20.079360999999999</v>
      </c>
      <c r="C832">
        <f t="shared" si="25"/>
        <v>9.1064030895000094</v>
      </c>
    </row>
    <row r="833" spans="1:3" x14ac:dyDescent="0.25">
      <c r="A833">
        <v>0.82799999999999996</v>
      </c>
      <c r="B833">
        <f t="shared" si="24"/>
        <v>20.106255999999998</v>
      </c>
      <c r="C833">
        <f t="shared" si="25"/>
        <v>9.1264958980000088</v>
      </c>
    </row>
    <row r="834" spans="1:3" x14ac:dyDescent="0.25">
      <c r="A834">
        <v>0.82899999999999996</v>
      </c>
      <c r="B834">
        <f t="shared" si="24"/>
        <v>20.133169000000002</v>
      </c>
      <c r="C834">
        <f t="shared" si="25"/>
        <v>9.1466156105000085</v>
      </c>
    </row>
    <row r="835" spans="1:3" x14ac:dyDescent="0.25">
      <c r="A835">
        <v>0.83</v>
      </c>
      <c r="B835">
        <f t="shared" si="24"/>
        <v>20.160100000000003</v>
      </c>
      <c r="C835">
        <f t="shared" si="25"/>
        <v>9.1667622450000081</v>
      </c>
    </row>
    <row r="836" spans="1:3" x14ac:dyDescent="0.25">
      <c r="A836">
        <v>0.83099999999999996</v>
      </c>
      <c r="B836">
        <f t="shared" si="24"/>
        <v>20.187049000000002</v>
      </c>
      <c r="C836">
        <f t="shared" si="25"/>
        <v>9.1869358195000075</v>
      </c>
    </row>
    <row r="837" spans="1:3" x14ac:dyDescent="0.25">
      <c r="A837">
        <v>0.83199999999999996</v>
      </c>
      <c r="B837">
        <f t="shared" si="24"/>
        <v>20.214016000000004</v>
      </c>
      <c r="C837">
        <f t="shared" si="25"/>
        <v>9.207136352000008</v>
      </c>
    </row>
    <row r="838" spans="1:3" x14ac:dyDescent="0.25">
      <c r="A838">
        <v>0.83299999999999996</v>
      </c>
      <c r="B838">
        <f t="shared" si="24"/>
        <v>20.241000999999997</v>
      </c>
      <c r="C838">
        <f t="shared" si="25"/>
        <v>9.2273638605000077</v>
      </c>
    </row>
    <row r="839" spans="1:3" x14ac:dyDescent="0.25">
      <c r="A839">
        <v>0.83399999999999996</v>
      </c>
      <c r="B839">
        <f t="shared" ref="B839:B902" si="26">(2+3*A839)^2</f>
        <v>20.268003999999998</v>
      </c>
      <c r="C839">
        <f t="shared" ref="C839:C902" si="27">C838+(B839+B838)*(A839-A838)/2</f>
        <v>9.2476183630000079</v>
      </c>
    </row>
    <row r="840" spans="1:3" x14ac:dyDescent="0.25">
      <c r="A840">
        <v>0.83499999999999996</v>
      </c>
      <c r="B840">
        <f t="shared" si="26"/>
        <v>20.295024999999999</v>
      </c>
      <c r="C840">
        <f t="shared" si="27"/>
        <v>9.2678998775000085</v>
      </c>
    </row>
    <row r="841" spans="1:3" x14ac:dyDescent="0.25">
      <c r="A841">
        <v>0.83599999999999997</v>
      </c>
      <c r="B841">
        <f t="shared" si="26"/>
        <v>20.322064000000001</v>
      </c>
      <c r="C841">
        <f t="shared" si="27"/>
        <v>9.2882084220000092</v>
      </c>
    </row>
    <row r="842" spans="1:3" x14ac:dyDescent="0.25">
      <c r="A842">
        <v>0.83699999999999997</v>
      </c>
      <c r="B842">
        <f t="shared" si="26"/>
        <v>20.349121</v>
      </c>
      <c r="C842">
        <f t="shared" si="27"/>
        <v>9.3085440145000096</v>
      </c>
    </row>
    <row r="843" spans="1:3" x14ac:dyDescent="0.25">
      <c r="A843">
        <v>0.83799999999999997</v>
      </c>
      <c r="B843">
        <f t="shared" si="26"/>
        <v>20.376195999999993</v>
      </c>
      <c r="C843">
        <f t="shared" si="27"/>
        <v>9.3289066730000094</v>
      </c>
    </row>
    <row r="844" spans="1:3" x14ac:dyDescent="0.25">
      <c r="A844">
        <v>0.83899999999999997</v>
      </c>
      <c r="B844">
        <f t="shared" si="26"/>
        <v>20.403288999999994</v>
      </c>
      <c r="C844">
        <f t="shared" si="27"/>
        <v>9.3492964155000102</v>
      </c>
    </row>
    <row r="845" spans="1:3" x14ac:dyDescent="0.25">
      <c r="A845">
        <v>0.84</v>
      </c>
      <c r="B845">
        <f t="shared" si="26"/>
        <v>20.430399999999995</v>
      </c>
      <c r="C845">
        <f t="shared" si="27"/>
        <v>9.3697132600000099</v>
      </c>
    </row>
    <row r="846" spans="1:3" x14ac:dyDescent="0.25">
      <c r="A846">
        <v>0.84099999999999997</v>
      </c>
      <c r="B846">
        <f t="shared" si="26"/>
        <v>20.457528999999997</v>
      </c>
      <c r="C846">
        <f t="shared" si="27"/>
        <v>9.39015722450001</v>
      </c>
    </row>
    <row r="847" spans="1:3" x14ac:dyDescent="0.25">
      <c r="A847">
        <v>0.84199999999999997</v>
      </c>
      <c r="B847">
        <f t="shared" si="26"/>
        <v>20.484675999999997</v>
      </c>
      <c r="C847">
        <f t="shared" si="27"/>
        <v>9.4106283270000102</v>
      </c>
    </row>
    <row r="848" spans="1:3" x14ac:dyDescent="0.25">
      <c r="A848">
        <v>0.84299999999999997</v>
      </c>
      <c r="B848">
        <f t="shared" si="26"/>
        <v>20.511841</v>
      </c>
      <c r="C848">
        <f t="shared" si="27"/>
        <v>9.4311265855000102</v>
      </c>
    </row>
    <row r="849" spans="1:3" x14ac:dyDescent="0.25">
      <c r="A849">
        <v>0.84399999999999997</v>
      </c>
      <c r="B849">
        <f t="shared" si="26"/>
        <v>20.539024000000001</v>
      </c>
      <c r="C849">
        <f t="shared" si="27"/>
        <v>9.4516520180000096</v>
      </c>
    </row>
    <row r="850" spans="1:3" x14ac:dyDescent="0.25">
      <c r="A850">
        <v>0.84499999999999997</v>
      </c>
      <c r="B850">
        <f t="shared" si="26"/>
        <v>20.566225000000003</v>
      </c>
      <c r="C850">
        <f t="shared" si="27"/>
        <v>9.4722046425000102</v>
      </c>
    </row>
    <row r="851" spans="1:3" x14ac:dyDescent="0.25">
      <c r="A851">
        <v>0.84599999999999997</v>
      </c>
      <c r="B851">
        <f t="shared" si="26"/>
        <v>20.593444000000002</v>
      </c>
      <c r="C851">
        <f t="shared" si="27"/>
        <v>9.4927844770000096</v>
      </c>
    </row>
    <row r="852" spans="1:3" x14ac:dyDescent="0.25">
      <c r="A852">
        <v>0.84699999999999998</v>
      </c>
      <c r="B852">
        <f t="shared" si="26"/>
        <v>20.620681000000005</v>
      </c>
      <c r="C852">
        <f t="shared" si="27"/>
        <v>9.5133915395000095</v>
      </c>
    </row>
    <row r="853" spans="1:3" x14ac:dyDescent="0.25">
      <c r="A853">
        <v>0.84799999999999998</v>
      </c>
      <c r="B853">
        <f t="shared" si="26"/>
        <v>20.647936000000005</v>
      </c>
      <c r="C853">
        <f t="shared" si="27"/>
        <v>9.5340258480000095</v>
      </c>
    </row>
    <row r="854" spans="1:3" x14ac:dyDescent="0.25">
      <c r="A854">
        <v>0.84899999999999998</v>
      </c>
      <c r="B854">
        <f t="shared" si="26"/>
        <v>20.675208999999999</v>
      </c>
      <c r="C854">
        <f t="shared" si="27"/>
        <v>9.5546874205000094</v>
      </c>
    </row>
    <row r="855" spans="1:3" x14ac:dyDescent="0.25">
      <c r="A855">
        <v>0.85</v>
      </c>
      <c r="B855">
        <f t="shared" si="26"/>
        <v>20.702499999999997</v>
      </c>
      <c r="C855">
        <f t="shared" si="27"/>
        <v>9.5753762750000089</v>
      </c>
    </row>
    <row r="856" spans="1:3" x14ac:dyDescent="0.25">
      <c r="A856">
        <v>0.85099999999999998</v>
      </c>
      <c r="B856">
        <f t="shared" si="26"/>
        <v>20.729808999999999</v>
      </c>
      <c r="C856">
        <f t="shared" si="27"/>
        <v>9.5960924295000094</v>
      </c>
    </row>
    <row r="857" spans="1:3" x14ac:dyDescent="0.25">
      <c r="A857">
        <v>0.85199999999999998</v>
      </c>
      <c r="B857">
        <f t="shared" si="26"/>
        <v>20.757135999999999</v>
      </c>
      <c r="C857">
        <f t="shared" si="27"/>
        <v>9.6168359020000089</v>
      </c>
    </row>
    <row r="858" spans="1:3" x14ac:dyDescent="0.25">
      <c r="A858">
        <v>0.85299999999999998</v>
      </c>
      <c r="B858">
        <f t="shared" si="26"/>
        <v>20.784481000000003</v>
      </c>
      <c r="C858">
        <f t="shared" si="27"/>
        <v>9.6376067105000089</v>
      </c>
    </row>
    <row r="859" spans="1:3" x14ac:dyDescent="0.25">
      <c r="A859">
        <v>0.85399999999999998</v>
      </c>
      <c r="B859">
        <f t="shared" si="26"/>
        <v>20.811843999999994</v>
      </c>
      <c r="C859">
        <f t="shared" si="27"/>
        <v>9.6584048730000092</v>
      </c>
    </row>
    <row r="860" spans="1:3" x14ac:dyDescent="0.25">
      <c r="A860">
        <v>0.85499999999999998</v>
      </c>
      <c r="B860">
        <f t="shared" si="26"/>
        <v>20.839224999999995</v>
      </c>
      <c r="C860">
        <f t="shared" si="27"/>
        <v>9.6792304075000093</v>
      </c>
    </row>
    <row r="861" spans="1:3" x14ac:dyDescent="0.25">
      <c r="A861">
        <v>0.85599999999999998</v>
      </c>
      <c r="B861">
        <f t="shared" si="26"/>
        <v>20.866623999999998</v>
      </c>
      <c r="C861">
        <f t="shared" si="27"/>
        <v>9.7000833320000091</v>
      </c>
    </row>
    <row r="862" spans="1:3" x14ac:dyDescent="0.25">
      <c r="A862">
        <v>0.85699999999999998</v>
      </c>
      <c r="B862">
        <f t="shared" si="26"/>
        <v>20.894040999999998</v>
      </c>
      <c r="C862">
        <f t="shared" si="27"/>
        <v>9.7209636645000099</v>
      </c>
    </row>
    <row r="863" spans="1:3" x14ac:dyDescent="0.25">
      <c r="A863">
        <v>0.85799999999999998</v>
      </c>
      <c r="B863">
        <f t="shared" si="26"/>
        <v>20.921475999999998</v>
      </c>
      <c r="C863">
        <f t="shared" si="27"/>
        <v>9.7418714230000099</v>
      </c>
    </row>
    <row r="864" spans="1:3" x14ac:dyDescent="0.25">
      <c r="A864">
        <v>0.85899999999999999</v>
      </c>
      <c r="B864">
        <f t="shared" si="26"/>
        <v>20.948929</v>
      </c>
      <c r="C864">
        <f t="shared" si="27"/>
        <v>9.7628066255000103</v>
      </c>
    </row>
    <row r="865" spans="1:3" x14ac:dyDescent="0.25">
      <c r="A865">
        <v>0.86</v>
      </c>
      <c r="B865">
        <f t="shared" si="26"/>
        <v>20.976400000000002</v>
      </c>
      <c r="C865">
        <f t="shared" si="27"/>
        <v>9.7837692900000111</v>
      </c>
    </row>
    <row r="866" spans="1:3" x14ac:dyDescent="0.25">
      <c r="A866">
        <v>0.86099999999999999</v>
      </c>
      <c r="B866">
        <f t="shared" si="26"/>
        <v>21.003889000000001</v>
      </c>
      <c r="C866">
        <f t="shared" si="27"/>
        <v>9.8047594345000117</v>
      </c>
    </row>
    <row r="867" spans="1:3" x14ac:dyDescent="0.25">
      <c r="A867">
        <v>0.86199999999999999</v>
      </c>
      <c r="B867">
        <f t="shared" si="26"/>
        <v>21.031396000000004</v>
      </c>
      <c r="C867">
        <f t="shared" si="27"/>
        <v>9.8257770770000121</v>
      </c>
    </row>
    <row r="868" spans="1:3" x14ac:dyDescent="0.25">
      <c r="A868">
        <v>0.86299999999999999</v>
      </c>
      <c r="B868">
        <f t="shared" si="26"/>
        <v>21.058921000000005</v>
      </c>
      <c r="C868">
        <f t="shared" si="27"/>
        <v>9.8468222355000119</v>
      </c>
    </row>
    <row r="869" spans="1:3" x14ac:dyDescent="0.25">
      <c r="A869">
        <v>0.86399999999999999</v>
      </c>
      <c r="B869">
        <f t="shared" si="26"/>
        <v>21.086464000000007</v>
      </c>
      <c r="C869">
        <f t="shared" si="27"/>
        <v>9.8678949280000126</v>
      </c>
    </row>
    <row r="870" spans="1:3" x14ac:dyDescent="0.25">
      <c r="A870">
        <v>0.86499999999999999</v>
      </c>
      <c r="B870">
        <f t="shared" si="26"/>
        <v>21.114024999999998</v>
      </c>
      <c r="C870">
        <f t="shared" si="27"/>
        <v>9.888995172500012</v>
      </c>
    </row>
    <row r="871" spans="1:3" x14ac:dyDescent="0.25">
      <c r="A871">
        <v>0.86599999999999999</v>
      </c>
      <c r="B871">
        <f t="shared" si="26"/>
        <v>21.141603999999997</v>
      </c>
      <c r="C871">
        <f t="shared" si="27"/>
        <v>9.9101229870000118</v>
      </c>
    </row>
    <row r="872" spans="1:3" x14ac:dyDescent="0.25">
      <c r="A872">
        <v>0.86699999999999999</v>
      </c>
      <c r="B872">
        <f t="shared" si="26"/>
        <v>21.169201000000001</v>
      </c>
      <c r="C872">
        <f t="shared" si="27"/>
        <v>9.9312783895000116</v>
      </c>
    </row>
    <row r="873" spans="1:3" x14ac:dyDescent="0.25">
      <c r="A873">
        <v>0.86799999999999999</v>
      </c>
      <c r="B873">
        <f t="shared" si="26"/>
        <v>21.196816000000002</v>
      </c>
      <c r="C873">
        <f t="shared" si="27"/>
        <v>9.9524613980000112</v>
      </c>
    </row>
    <row r="874" spans="1:3" x14ac:dyDescent="0.25">
      <c r="A874">
        <v>0.86899999999999999</v>
      </c>
      <c r="B874">
        <f t="shared" si="26"/>
        <v>21.224449000000003</v>
      </c>
      <c r="C874">
        <f t="shared" si="27"/>
        <v>9.9736720305000119</v>
      </c>
    </row>
    <row r="875" spans="1:3" x14ac:dyDescent="0.25">
      <c r="A875">
        <v>0.87</v>
      </c>
      <c r="B875">
        <f t="shared" si="26"/>
        <v>21.252099999999995</v>
      </c>
      <c r="C875">
        <f t="shared" si="27"/>
        <v>9.9949103050000119</v>
      </c>
    </row>
    <row r="876" spans="1:3" x14ac:dyDescent="0.25">
      <c r="A876">
        <v>0.871</v>
      </c>
      <c r="B876">
        <f t="shared" si="26"/>
        <v>21.279768999999995</v>
      </c>
      <c r="C876">
        <f t="shared" si="27"/>
        <v>10.016176239500012</v>
      </c>
    </row>
    <row r="877" spans="1:3" x14ac:dyDescent="0.25">
      <c r="A877">
        <v>0.872</v>
      </c>
      <c r="B877">
        <f t="shared" si="26"/>
        <v>21.307455999999998</v>
      </c>
      <c r="C877">
        <f t="shared" si="27"/>
        <v>10.037469852000012</v>
      </c>
    </row>
    <row r="878" spans="1:3" x14ac:dyDescent="0.25">
      <c r="A878">
        <v>0.873</v>
      </c>
      <c r="B878">
        <f t="shared" si="26"/>
        <v>21.335160999999999</v>
      </c>
      <c r="C878">
        <f t="shared" si="27"/>
        <v>10.058791160500011</v>
      </c>
    </row>
    <row r="879" spans="1:3" x14ac:dyDescent="0.25">
      <c r="A879">
        <v>0.874</v>
      </c>
      <c r="B879">
        <f t="shared" si="26"/>
        <v>21.362883999999998</v>
      </c>
      <c r="C879">
        <f t="shared" si="27"/>
        <v>10.080140183000012</v>
      </c>
    </row>
    <row r="880" spans="1:3" x14ac:dyDescent="0.25">
      <c r="A880">
        <v>0.875</v>
      </c>
      <c r="B880">
        <f t="shared" si="26"/>
        <v>21.390625</v>
      </c>
      <c r="C880">
        <f t="shared" si="27"/>
        <v>10.101516937500012</v>
      </c>
    </row>
    <row r="881" spans="1:3" x14ac:dyDescent="0.25">
      <c r="A881">
        <v>0.876</v>
      </c>
      <c r="B881">
        <f t="shared" si="26"/>
        <v>21.418384</v>
      </c>
      <c r="C881">
        <f t="shared" si="27"/>
        <v>10.122921442000012</v>
      </c>
    </row>
    <row r="882" spans="1:3" x14ac:dyDescent="0.25">
      <c r="A882">
        <v>0.877</v>
      </c>
      <c r="B882">
        <f t="shared" si="26"/>
        <v>21.446161000000004</v>
      </c>
      <c r="C882">
        <f t="shared" si="27"/>
        <v>10.144353714500012</v>
      </c>
    </row>
    <row r="883" spans="1:3" x14ac:dyDescent="0.25">
      <c r="A883">
        <v>0.878</v>
      </c>
      <c r="B883">
        <f t="shared" si="26"/>
        <v>21.473956000000005</v>
      </c>
      <c r="C883">
        <f t="shared" si="27"/>
        <v>10.165813773000012</v>
      </c>
    </row>
    <row r="884" spans="1:3" x14ac:dyDescent="0.25">
      <c r="A884">
        <v>0.879</v>
      </c>
      <c r="B884">
        <f t="shared" si="26"/>
        <v>21.501769000000003</v>
      </c>
      <c r="C884">
        <f t="shared" si="27"/>
        <v>10.187301635500013</v>
      </c>
    </row>
    <row r="885" spans="1:3" x14ac:dyDescent="0.25">
      <c r="A885">
        <v>0.88</v>
      </c>
      <c r="B885">
        <f t="shared" si="26"/>
        <v>21.529600000000006</v>
      </c>
      <c r="C885">
        <f t="shared" si="27"/>
        <v>10.208817320000014</v>
      </c>
    </row>
    <row r="886" spans="1:3" x14ac:dyDescent="0.25">
      <c r="A886">
        <v>0.88100000000000001</v>
      </c>
      <c r="B886">
        <f t="shared" si="26"/>
        <v>21.557448999999998</v>
      </c>
      <c r="C886">
        <f t="shared" si="27"/>
        <v>10.230360844500014</v>
      </c>
    </row>
    <row r="887" spans="1:3" x14ac:dyDescent="0.25">
      <c r="A887">
        <v>0.88200000000000001</v>
      </c>
      <c r="B887">
        <f t="shared" si="26"/>
        <v>21.585315999999999</v>
      </c>
      <c r="C887">
        <f t="shared" si="27"/>
        <v>10.251932227000013</v>
      </c>
    </row>
    <row r="888" spans="1:3" x14ac:dyDescent="0.25">
      <c r="A888">
        <v>0.88300000000000001</v>
      </c>
      <c r="B888">
        <f t="shared" si="26"/>
        <v>21.613201</v>
      </c>
      <c r="C888">
        <f t="shared" si="27"/>
        <v>10.273531485500014</v>
      </c>
    </row>
    <row r="889" spans="1:3" x14ac:dyDescent="0.25">
      <c r="A889">
        <v>0.88400000000000001</v>
      </c>
      <c r="B889">
        <f t="shared" si="26"/>
        <v>21.641104000000002</v>
      </c>
      <c r="C889">
        <f t="shared" si="27"/>
        <v>10.295158638000014</v>
      </c>
    </row>
    <row r="890" spans="1:3" x14ac:dyDescent="0.25">
      <c r="A890">
        <v>0.88500000000000001</v>
      </c>
      <c r="B890">
        <f t="shared" si="26"/>
        <v>21.669025000000001</v>
      </c>
      <c r="C890">
        <f t="shared" si="27"/>
        <v>10.316813702500015</v>
      </c>
    </row>
    <row r="891" spans="1:3" x14ac:dyDescent="0.25">
      <c r="A891">
        <v>0.88600000000000001</v>
      </c>
      <c r="B891">
        <f t="shared" si="26"/>
        <v>21.696963999999994</v>
      </c>
      <c r="C891">
        <f t="shared" si="27"/>
        <v>10.338496697000016</v>
      </c>
    </row>
    <row r="892" spans="1:3" x14ac:dyDescent="0.25">
      <c r="A892">
        <v>0.88700000000000001</v>
      </c>
      <c r="B892">
        <f t="shared" si="26"/>
        <v>21.724920999999995</v>
      </c>
      <c r="C892">
        <f t="shared" si="27"/>
        <v>10.360207639500016</v>
      </c>
    </row>
    <row r="893" spans="1:3" x14ac:dyDescent="0.25">
      <c r="A893">
        <v>0.88800000000000001</v>
      </c>
      <c r="B893">
        <f t="shared" si="26"/>
        <v>21.752895999999996</v>
      </c>
      <c r="C893">
        <f t="shared" si="27"/>
        <v>10.381946548000016</v>
      </c>
    </row>
    <row r="894" spans="1:3" x14ac:dyDescent="0.25">
      <c r="A894">
        <v>0.88900000000000001</v>
      </c>
      <c r="B894">
        <f t="shared" si="26"/>
        <v>21.780888999999998</v>
      </c>
      <c r="C894">
        <f t="shared" si="27"/>
        <v>10.403713440500017</v>
      </c>
    </row>
    <row r="895" spans="1:3" x14ac:dyDescent="0.25">
      <c r="A895">
        <v>0.89</v>
      </c>
      <c r="B895">
        <f t="shared" si="26"/>
        <v>21.808899999999998</v>
      </c>
      <c r="C895">
        <f t="shared" si="27"/>
        <v>10.425508335000016</v>
      </c>
    </row>
    <row r="896" spans="1:3" x14ac:dyDescent="0.25">
      <c r="A896">
        <v>0.89100000000000001</v>
      </c>
      <c r="B896">
        <f t="shared" si="26"/>
        <v>21.836929000000001</v>
      </c>
      <c r="C896">
        <f t="shared" si="27"/>
        <v>10.447331249500015</v>
      </c>
    </row>
    <row r="897" spans="1:3" x14ac:dyDescent="0.25">
      <c r="A897">
        <v>0.89200000000000002</v>
      </c>
      <c r="B897">
        <f t="shared" si="26"/>
        <v>21.864976000000002</v>
      </c>
      <c r="C897">
        <f t="shared" si="27"/>
        <v>10.469182202000015</v>
      </c>
    </row>
    <row r="898" spans="1:3" x14ac:dyDescent="0.25">
      <c r="A898">
        <v>0.89300000000000002</v>
      </c>
      <c r="B898">
        <f t="shared" si="26"/>
        <v>21.893041000000004</v>
      </c>
      <c r="C898">
        <f t="shared" si="27"/>
        <v>10.491061210500016</v>
      </c>
    </row>
    <row r="899" spans="1:3" x14ac:dyDescent="0.25">
      <c r="A899">
        <v>0.89400000000000002</v>
      </c>
      <c r="B899">
        <f t="shared" si="26"/>
        <v>21.921124000000002</v>
      </c>
      <c r="C899">
        <f t="shared" si="27"/>
        <v>10.512968293000016</v>
      </c>
    </row>
    <row r="900" spans="1:3" x14ac:dyDescent="0.25">
      <c r="A900">
        <v>0.89500000000000002</v>
      </c>
      <c r="B900">
        <f t="shared" si="26"/>
        <v>21.949225000000006</v>
      </c>
      <c r="C900">
        <f t="shared" si="27"/>
        <v>10.534903467500015</v>
      </c>
    </row>
    <row r="901" spans="1:3" x14ac:dyDescent="0.25">
      <c r="A901">
        <v>0.89600000000000002</v>
      </c>
      <c r="B901">
        <f t="shared" si="26"/>
        <v>21.977344000000006</v>
      </c>
      <c r="C901">
        <f t="shared" si="27"/>
        <v>10.556866752000015</v>
      </c>
    </row>
    <row r="902" spans="1:3" x14ac:dyDescent="0.25">
      <c r="A902">
        <v>0.89700000000000002</v>
      </c>
      <c r="B902">
        <f t="shared" si="26"/>
        <v>22.005481</v>
      </c>
      <c r="C902">
        <f t="shared" si="27"/>
        <v>10.578858164500016</v>
      </c>
    </row>
    <row r="903" spans="1:3" x14ac:dyDescent="0.25">
      <c r="A903">
        <v>0.89800000000000002</v>
      </c>
      <c r="B903">
        <f t="shared" ref="B903:B966" si="28">(2+3*A903)^2</f>
        <v>22.033635999999998</v>
      </c>
      <c r="C903">
        <f t="shared" ref="C903:C966" si="29">C902+(B903+B902)*(A903-A902)/2</f>
        <v>10.600877723000016</v>
      </c>
    </row>
    <row r="904" spans="1:3" x14ac:dyDescent="0.25">
      <c r="A904">
        <v>0.89900000000000002</v>
      </c>
      <c r="B904">
        <f t="shared" si="28"/>
        <v>22.061809</v>
      </c>
      <c r="C904">
        <f t="shared" si="29"/>
        <v>10.622925445500016</v>
      </c>
    </row>
    <row r="905" spans="1:3" x14ac:dyDescent="0.25">
      <c r="A905">
        <v>0.9</v>
      </c>
      <c r="B905">
        <f t="shared" si="28"/>
        <v>22.090000000000003</v>
      </c>
      <c r="C905">
        <f t="shared" si="29"/>
        <v>10.645001350000015</v>
      </c>
    </row>
    <row r="906" spans="1:3" x14ac:dyDescent="0.25">
      <c r="A906">
        <v>0.90100000000000002</v>
      </c>
      <c r="B906">
        <f t="shared" si="28"/>
        <v>22.118209000000004</v>
      </c>
      <c r="C906">
        <f t="shared" si="29"/>
        <v>10.667105454500016</v>
      </c>
    </row>
    <row r="907" spans="1:3" x14ac:dyDescent="0.25">
      <c r="A907">
        <v>0.90200000000000002</v>
      </c>
      <c r="B907">
        <f t="shared" si="28"/>
        <v>22.146435999999994</v>
      </c>
      <c r="C907">
        <f t="shared" si="29"/>
        <v>10.689237777000015</v>
      </c>
    </row>
    <row r="908" spans="1:3" x14ac:dyDescent="0.25">
      <c r="A908">
        <v>0.90300000000000002</v>
      </c>
      <c r="B908">
        <f t="shared" si="28"/>
        <v>22.174680999999996</v>
      </c>
      <c r="C908">
        <f t="shared" si="29"/>
        <v>10.711398335500014</v>
      </c>
    </row>
    <row r="909" spans="1:3" x14ac:dyDescent="0.25">
      <c r="A909">
        <v>0.90400000000000003</v>
      </c>
      <c r="B909">
        <f t="shared" si="28"/>
        <v>22.202943999999999</v>
      </c>
      <c r="C909">
        <f t="shared" si="29"/>
        <v>10.733587148000014</v>
      </c>
    </row>
    <row r="910" spans="1:3" x14ac:dyDescent="0.25">
      <c r="A910">
        <v>0.90500000000000003</v>
      </c>
      <c r="B910">
        <f t="shared" si="28"/>
        <v>22.231224999999998</v>
      </c>
      <c r="C910">
        <f t="shared" si="29"/>
        <v>10.755804232500013</v>
      </c>
    </row>
    <row r="911" spans="1:3" x14ac:dyDescent="0.25">
      <c r="A911">
        <v>0.90600000000000003</v>
      </c>
      <c r="B911">
        <f t="shared" si="28"/>
        <v>22.259523999999999</v>
      </c>
      <c r="C911">
        <f t="shared" si="29"/>
        <v>10.778049607000014</v>
      </c>
    </row>
    <row r="912" spans="1:3" x14ac:dyDescent="0.25">
      <c r="A912">
        <v>0.90700000000000003</v>
      </c>
      <c r="B912">
        <f t="shared" si="28"/>
        <v>22.287841</v>
      </c>
      <c r="C912">
        <f t="shared" si="29"/>
        <v>10.800323289500014</v>
      </c>
    </row>
    <row r="913" spans="1:3" x14ac:dyDescent="0.25">
      <c r="A913">
        <v>0.90800000000000003</v>
      </c>
      <c r="B913">
        <f t="shared" si="28"/>
        <v>22.316176000000002</v>
      </c>
      <c r="C913">
        <f t="shared" si="29"/>
        <v>10.822625298000014</v>
      </c>
    </row>
    <row r="914" spans="1:3" x14ac:dyDescent="0.25">
      <c r="A914">
        <v>0.90900000000000003</v>
      </c>
      <c r="B914">
        <f t="shared" si="28"/>
        <v>22.344529000000001</v>
      </c>
      <c r="C914">
        <f t="shared" si="29"/>
        <v>10.844955650500014</v>
      </c>
    </row>
    <row r="915" spans="1:3" x14ac:dyDescent="0.25">
      <c r="A915">
        <v>0.91</v>
      </c>
      <c r="B915">
        <f t="shared" si="28"/>
        <v>22.372900000000005</v>
      </c>
      <c r="C915">
        <f t="shared" si="29"/>
        <v>10.867314365000013</v>
      </c>
    </row>
    <row r="916" spans="1:3" x14ac:dyDescent="0.25">
      <c r="A916">
        <v>0.91100000000000003</v>
      </c>
      <c r="B916">
        <f t="shared" si="28"/>
        <v>22.401289000000006</v>
      </c>
      <c r="C916">
        <f t="shared" si="29"/>
        <v>10.889701459500014</v>
      </c>
    </row>
    <row r="917" spans="1:3" x14ac:dyDescent="0.25">
      <c r="A917">
        <v>0.91200000000000003</v>
      </c>
      <c r="B917">
        <f t="shared" si="28"/>
        <v>22.429696000000007</v>
      </c>
      <c r="C917">
        <f t="shared" si="29"/>
        <v>10.912116952000014</v>
      </c>
    </row>
    <row r="918" spans="1:3" x14ac:dyDescent="0.25">
      <c r="A918">
        <v>0.91300000000000003</v>
      </c>
      <c r="B918">
        <f t="shared" si="28"/>
        <v>22.458120999999998</v>
      </c>
      <c r="C918">
        <f t="shared" si="29"/>
        <v>10.934560860500014</v>
      </c>
    </row>
    <row r="919" spans="1:3" x14ac:dyDescent="0.25">
      <c r="A919">
        <v>0.91400000000000003</v>
      </c>
      <c r="B919">
        <f t="shared" si="28"/>
        <v>22.486564000000001</v>
      </c>
      <c r="C919">
        <f t="shared" si="29"/>
        <v>10.957033203000014</v>
      </c>
    </row>
    <row r="920" spans="1:3" x14ac:dyDescent="0.25">
      <c r="A920">
        <v>0.91500000000000004</v>
      </c>
      <c r="B920">
        <f t="shared" si="28"/>
        <v>22.515025000000001</v>
      </c>
      <c r="C920">
        <f t="shared" si="29"/>
        <v>10.979533997500015</v>
      </c>
    </row>
    <row r="921" spans="1:3" x14ac:dyDescent="0.25">
      <c r="A921">
        <v>0.91600000000000004</v>
      </c>
      <c r="B921">
        <f t="shared" si="28"/>
        <v>22.543504000000002</v>
      </c>
      <c r="C921">
        <f t="shared" si="29"/>
        <v>11.002063262000014</v>
      </c>
    </row>
    <row r="922" spans="1:3" x14ac:dyDescent="0.25">
      <c r="A922">
        <v>0.91700000000000004</v>
      </c>
      <c r="B922">
        <f t="shared" si="28"/>
        <v>22.572001000000004</v>
      </c>
      <c r="C922">
        <f t="shared" si="29"/>
        <v>11.024621014500013</v>
      </c>
    </row>
    <row r="923" spans="1:3" x14ac:dyDescent="0.25">
      <c r="A923">
        <v>0.91800000000000004</v>
      </c>
      <c r="B923">
        <f t="shared" si="28"/>
        <v>22.600515999999995</v>
      </c>
      <c r="C923">
        <f t="shared" si="29"/>
        <v>11.047207273000014</v>
      </c>
    </row>
    <row r="924" spans="1:3" x14ac:dyDescent="0.25">
      <c r="A924">
        <v>0.91900000000000004</v>
      </c>
      <c r="B924">
        <f t="shared" si="28"/>
        <v>22.629048999999998</v>
      </c>
      <c r="C924">
        <f t="shared" si="29"/>
        <v>11.069822055500014</v>
      </c>
    </row>
    <row r="925" spans="1:3" x14ac:dyDescent="0.25">
      <c r="A925">
        <v>0.92</v>
      </c>
      <c r="B925">
        <f t="shared" si="28"/>
        <v>22.657599999999999</v>
      </c>
      <c r="C925">
        <f t="shared" si="29"/>
        <v>11.092465380000014</v>
      </c>
    </row>
    <row r="926" spans="1:3" x14ac:dyDescent="0.25">
      <c r="A926">
        <v>0.92100000000000004</v>
      </c>
      <c r="B926">
        <f t="shared" si="28"/>
        <v>22.686169</v>
      </c>
      <c r="C926">
        <f t="shared" si="29"/>
        <v>11.115137264500014</v>
      </c>
    </row>
    <row r="927" spans="1:3" x14ac:dyDescent="0.25">
      <c r="A927">
        <v>0.92200000000000004</v>
      </c>
      <c r="B927">
        <f t="shared" si="28"/>
        <v>22.714756000000001</v>
      </c>
      <c r="C927">
        <f t="shared" si="29"/>
        <v>11.137837727000013</v>
      </c>
    </row>
    <row r="928" spans="1:3" x14ac:dyDescent="0.25">
      <c r="A928">
        <v>0.92300000000000004</v>
      </c>
      <c r="B928">
        <f t="shared" si="28"/>
        <v>22.743361</v>
      </c>
      <c r="C928">
        <f t="shared" si="29"/>
        <v>11.160566785500013</v>
      </c>
    </row>
    <row r="929" spans="1:3" x14ac:dyDescent="0.25">
      <c r="A929">
        <v>0.92400000000000004</v>
      </c>
      <c r="B929">
        <f t="shared" si="28"/>
        <v>22.771984000000003</v>
      </c>
      <c r="C929">
        <f t="shared" si="29"/>
        <v>11.183324458000012</v>
      </c>
    </row>
    <row r="930" spans="1:3" x14ac:dyDescent="0.25">
      <c r="A930">
        <v>0.92500000000000004</v>
      </c>
      <c r="B930">
        <f t="shared" si="28"/>
        <v>22.800625000000004</v>
      </c>
      <c r="C930">
        <f t="shared" si="29"/>
        <v>11.206110762500012</v>
      </c>
    </row>
    <row r="931" spans="1:3" x14ac:dyDescent="0.25">
      <c r="A931">
        <v>0.92600000000000005</v>
      </c>
      <c r="B931">
        <f t="shared" si="28"/>
        <v>22.829284000000005</v>
      </c>
      <c r="C931">
        <f t="shared" si="29"/>
        <v>11.228925717000012</v>
      </c>
    </row>
    <row r="932" spans="1:3" x14ac:dyDescent="0.25">
      <c r="A932">
        <v>0.92700000000000005</v>
      </c>
      <c r="B932">
        <f t="shared" si="28"/>
        <v>22.857961000000007</v>
      </c>
      <c r="C932">
        <f t="shared" si="29"/>
        <v>11.251769339500012</v>
      </c>
    </row>
    <row r="933" spans="1:3" x14ac:dyDescent="0.25">
      <c r="A933">
        <v>0.92800000000000005</v>
      </c>
      <c r="B933">
        <f t="shared" si="28"/>
        <v>22.886656000000006</v>
      </c>
      <c r="C933">
        <f t="shared" si="29"/>
        <v>11.274641648000012</v>
      </c>
    </row>
    <row r="934" spans="1:3" x14ac:dyDescent="0.25">
      <c r="A934">
        <v>0.92900000000000005</v>
      </c>
      <c r="B934">
        <f t="shared" si="28"/>
        <v>22.915368999999998</v>
      </c>
      <c r="C934">
        <f t="shared" si="29"/>
        <v>11.297542660500012</v>
      </c>
    </row>
    <row r="935" spans="1:3" x14ac:dyDescent="0.25">
      <c r="A935">
        <v>0.93</v>
      </c>
      <c r="B935">
        <f t="shared" si="28"/>
        <v>22.944099999999999</v>
      </c>
      <c r="C935">
        <f t="shared" si="29"/>
        <v>11.320472395000012</v>
      </c>
    </row>
    <row r="936" spans="1:3" x14ac:dyDescent="0.25">
      <c r="A936">
        <v>0.93100000000000005</v>
      </c>
      <c r="B936">
        <f t="shared" si="28"/>
        <v>22.972849</v>
      </c>
      <c r="C936">
        <f t="shared" si="29"/>
        <v>11.343430869500011</v>
      </c>
    </row>
    <row r="937" spans="1:3" x14ac:dyDescent="0.25">
      <c r="A937">
        <v>0.93200000000000005</v>
      </c>
      <c r="B937">
        <f t="shared" si="28"/>
        <v>23.001616000000002</v>
      </c>
      <c r="C937">
        <f t="shared" si="29"/>
        <v>11.366418102000011</v>
      </c>
    </row>
    <row r="938" spans="1:3" x14ac:dyDescent="0.25">
      <c r="A938">
        <v>0.93300000000000005</v>
      </c>
      <c r="B938">
        <f t="shared" si="28"/>
        <v>23.030401000000005</v>
      </c>
      <c r="C938">
        <f t="shared" si="29"/>
        <v>11.389434110500012</v>
      </c>
    </row>
    <row r="939" spans="1:3" x14ac:dyDescent="0.25">
      <c r="A939">
        <v>0.93400000000000005</v>
      </c>
      <c r="B939">
        <f t="shared" si="28"/>
        <v>23.059203999999998</v>
      </c>
      <c r="C939">
        <f t="shared" si="29"/>
        <v>11.412478913000012</v>
      </c>
    </row>
    <row r="940" spans="1:3" x14ac:dyDescent="0.25">
      <c r="A940">
        <v>0.93500000000000005</v>
      </c>
      <c r="B940">
        <f t="shared" si="28"/>
        <v>23.088024999999998</v>
      </c>
      <c r="C940">
        <f t="shared" si="29"/>
        <v>11.435552527500011</v>
      </c>
    </row>
    <row r="941" spans="1:3" x14ac:dyDescent="0.25">
      <c r="A941">
        <v>0.93600000000000005</v>
      </c>
      <c r="B941">
        <f t="shared" si="28"/>
        <v>23.116864</v>
      </c>
      <c r="C941">
        <f t="shared" si="29"/>
        <v>11.45865497200001</v>
      </c>
    </row>
    <row r="942" spans="1:3" x14ac:dyDescent="0.25">
      <c r="A942">
        <v>0.93700000000000006</v>
      </c>
      <c r="B942">
        <f t="shared" si="28"/>
        <v>23.145720999999998</v>
      </c>
      <c r="C942">
        <f t="shared" si="29"/>
        <v>11.481786264500011</v>
      </c>
    </row>
    <row r="943" spans="1:3" x14ac:dyDescent="0.25">
      <c r="A943">
        <v>0.93799999999999994</v>
      </c>
      <c r="B943">
        <f t="shared" si="28"/>
        <v>23.174596000000001</v>
      </c>
      <c r="C943">
        <f t="shared" si="29"/>
        <v>11.504946423000009</v>
      </c>
    </row>
    <row r="944" spans="1:3" x14ac:dyDescent="0.25">
      <c r="A944">
        <v>0.93899999999999995</v>
      </c>
      <c r="B944">
        <f t="shared" si="28"/>
        <v>23.203489000000001</v>
      </c>
      <c r="C944">
        <f t="shared" si="29"/>
        <v>11.528135465500009</v>
      </c>
    </row>
    <row r="945" spans="1:3" x14ac:dyDescent="0.25">
      <c r="A945">
        <v>0.94</v>
      </c>
      <c r="B945">
        <f t="shared" si="28"/>
        <v>23.232400000000002</v>
      </c>
      <c r="C945">
        <f t="shared" si="29"/>
        <v>11.55135341000001</v>
      </c>
    </row>
    <row r="946" spans="1:3" x14ac:dyDescent="0.25">
      <c r="A946">
        <v>0.94099999999999995</v>
      </c>
      <c r="B946">
        <f t="shared" si="28"/>
        <v>23.261329000000003</v>
      </c>
      <c r="C946">
        <f t="shared" si="29"/>
        <v>11.57460027450001</v>
      </c>
    </row>
    <row r="947" spans="1:3" x14ac:dyDescent="0.25">
      <c r="A947">
        <v>0.94199999999999995</v>
      </c>
      <c r="B947">
        <f t="shared" si="28"/>
        <v>23.290275999999995</v>
      </c>
      <c r="C947">
        <f t="shared" si="29"/>
        <v>11.597876077000011</v>
      </c>
    </row>
    <row r="948" spans="1:3" x14ac:dyDescent="0.25">
      <c r="A948">
        <v>0.94299999999999995</v>
      </c>
      <c r="B948">
        <f t="shared" si="28"/>
        <v>23.319240999999998</v>
      </c>
      <c r="C948">
        <f t="shared" si="29"/>
        <v>11.621180835500011</v>
      </c>
    </row>
    <row r="949" spans="1:3" x14ac:dyDescent="0.25">
      <c r="A949">
        <v>0.94399999999999995</v>
      </c>
      <c r="B949">
        <f t="shared" si="28"/>
        <v>23.348223999999998</v>
      </c>
      <c r="C949">
        <f t="shared" si="29"/>
        <v>11.644514568000011</v>
      </c>
    </row>
    <row r="950" spans="1:3" x14ac:dyDescent="0.25">
      <c r="A950">
        <v>0.94499999999999995</v>
      </c>
      <c r="B950">
        <f t="shared" si="28"/>
        <v>23.377224999999999</v>
      </c>
      <c r="C950">
        <f t="shared" si="29"/>
        <v>11.667877292500011</v>
      </c>
    </row>
    <row r="951" spans="1:3" x14ac:dyDescent="0.25">
      <c r="A951">
        <v>0.94599999999999995</v>
      </c>
      <c r="B951">
        <f t="shared" si="28"/>
        <v>23.406244000000001</v>
      </c>
      <c r="C951">
        <f t="shared" si="29"/>
        <v>11.691269027000011</v>
      </c>
    </row>
    <row r="952" spans="1:3" x14ac:dyDescent="0.25">
      <c r="A952">
        <v>0.94699999999999995</v>
      </c>
      <c r="B952">
        <f t="shared" si="28"/>
        <v>23.435280999999993</v>
      </c>
      <c r="C952">
        <f t="shared" si="29"/>
        <v>11.714689789500012</v>
      </c>
    </row>
    <row r="953" spans="1:3" x14ac:dyDescent="0.25">
      <c r="A953">
        <v>0.94799999999999995</v>
      </c>
      <c r="B953">
        <f t="shared" si="28"/>
        <v>23.464335999999996</v>
      </c>
      <c r="C953">
        <f t="shared" si="29"/>
        <v>11.738139598000012</v>
      </c>
    </row>
    <row r="954" spans="1:3" x14ac:dyDescent="0.25">
      <c r="A954">
        <v>0.94899999999999995</v>
      </c>
      <c r="B954">
        <f t="shared" si="28"/>
        <v>23.493408999999996</v>
      </c>
      <c r="C954">
        <f t="shared" si="29"/>
        <v>11.761618470500013</v>
      </c>
    </row>
    <row r="955" spans="1:3" x14ac:dyDescent="0.25">
      <c r="A955">
        <v>0.95</v>
      </c>
      <c r="B955">
        <f t="shared" si="28"/>
        <v>23.522499999999997</v>
      </c>
      <c r="C955">
        <f t="shared" si="29"/>
        <v>11.785126425000012</v>
      </c>
    </row>
    <row r="956" spans="1:3" x14ac:dyDescent="0.25">
      <c r="A956">
        <v>0.95099999999999996</v>
      </c>
      <c r="B956">
        <f t="shared" si="28"/>
        <v>23.551608999999999</v>
      </c>
      <c r="C956">
        <f t="shared" si="29"/>
        <v>11.808663479500012</v>
      </c>
    </row>
    <row r="957" spans="1:3" x14ac:dyDescent="0.25">
      <c r="A957">
        <v>0.95199999999999996</v>
      </c>
      <c r="B957">
        <f t="shared" si="28"/>
        <v>23.580735999999998</v>
      </c>
      <c r="C957">
        <f t="shared" si="29"/>
        <v>11.832229652000013</v>
      </c>
    </row>
    <row r="958" spans="1:3" x14ac:dyDescent="0.25">
      <c r="A958">
        <v>0.95299999999999996</v>
      </c>
      <c r="B958">
        <f t="shared" si="28"/>
        <v>23.609881000000001</v>
      </c>
      <c r="C958">
        <f t="shared" si="29"/>
        <v>11.855824960500012</v>
      </c>
    </row>
    <row r="959" spans="1:3" x14ac:dyDescent="0.25">
      <c r="A959">
        <v>0.95399999999999996</v>
      </c>
      <c r="B959">
        <f t="shared" si="28"/>
        <v>23.639044000000002</v>
      </c>
      <c r="C959">
        <f t="shared" si="29"/>
        <v>11.879449423000013</v>
      </c>
    </row>
    <row r="960" spans="1:3" x14ac:dyDescent="0.25">
      <c r="A960">
        <v>0.95499999999999996</v>
      </c>
      <c r="B960">
        <f t="shared" si="28"/>
        <v>23.668225000000003</v>
      </c>
      <c r="C960">
        <f t="shared" si="29"/>
        <v>11.903103057500013</v>
      </c>
    </row>
    <row r="961" spans="1:3" x14ac:dyDescent="0.25">
      <c r="A961">
        <v>0.95599999999999996</v>
      </c>
      <c r="B961">
        <f t="shared" si="28"/>
        <v>23.697424000000002</v>
      </c>
      <c r="C961">
        <f t="shared" si="29"/>
        <v>11.926785882000013</v>
      </c>
    </row>
    <row r="962" spans="1:3" x14ac:dyDescent="0.25">
      <c r="A962">
        <v>0.95699999999999996</v>
      </c>
      <c r="B962">
        <f t="shared" si="28"/>
        <v>23.726641000000004</v>
      </c>
      <c r="C962">
        <f t="shared" si="29"/>
        <v>11.950497914500014</v>
      </c>
    </row>
    <row r="963" spans="1:3" x14ac:dyDescent="0.25">
      <c r="A963">
        <v>0.95799999999999996</v>
      </c>
      <c r="B963">
        <f t="shared" si="28"/>
        <v>23.755875999999997</v>
      </c>
      <c r="C963">
        <f t="shared" si="29"/>
        <v>11.974239173000013</v>
      </c>
    </row>
    <row r="964" spans="1:3" x14ac:dyDescent="0.25">
      <c r="A964">
        <v>0.95899999999999996</v>
      </c>
      <c r="B964">
        <f t="shared" si="28"/>
        <v>23.785128999999998</v>
      </c>
      <c r="C964">
        <f t="shared" si="29"/>
        <v>11.998009675500013</v>
      </c>
    </row>
    <row r="965" spans="1:3" x14ac:dyDescent="0.25">
      <c r="A965">
        <v>0.96</v>
      </c>
      <c r="B965">
        <f t="shared" si="28"/>
        <v>23.814399999999999</v>
      </c>
      <c r="C965">
        <f t="shared" si="29"/>
        <v>12.021809440000013</v>
      </c>
    </row>
    <row r="966" spans="1:3" x14ac:dyDescent="0.25">
      <c r="A966">
        <v>0.96099999999999997</v>
      </c>
      <c r="B966">
        <f t="shared" si="28"/>
        <v>23.843689000000001</v>
      </c>
      <c r="C966">
        <f t="shared" si="29"/>
        <v>12.045638484500012</v>
      </c>
    </row>
    <row r="967" spans="1:3" x14ac:dyDescent="0.25">
      <c r="A967">
        <v>0.96199999999999997</v>
      </c>
      <c r="B967">
        <f t="shared" ref="B967:B1005" si="30">(2+3*A967)^2</f>
        <v>23.872996000000001</v>
      </c>
      <c r="C967">
        <f t="shared" ref="C967:C1005" si="31">C966+(B967+B966)*(A967-A966)/2</f>
        <v>12.069496827000012</v>
      </c>
    </row>
    <row r="968" spans="1:3" x14ac:dyDescent="0.25">
      <c r="A968">
        <v>0.96299999999999997</v>
      </c>
      <c r="B968">
        <f t="shared" si="30"/>
        <v>23.902320999999993</v>
      </c>
      <c r="C968">
        <f t="shared" si="31"/>
        <v>12.093384485500012</v>
      </c>
    </row>
    <row r="969" spans="1:3" x14ac:dyDescent="0.25">
      <c r="A969">
        <v>0.96399999999999997</v>
      </c>
      <c r="B969">
        <f t="shared" si="30"/>
        <v>23.931663999999994</v>
      </c>
      <c r="C969">
        <f t="shared" si="31"/>
        <v>12.117301478000012</v>
      </c>
    </row>
    <row r="970" spans="1:3" x14ac:dyDescent="0.25">
      <c r="A970">
        <v>0.96499999999999997</v>
      </c>
      <c r="B970">
        <f t="shared" si="30"/>
        <v>23.961024999999996</v>
      </c>
      <c r="C970">
        <f t="shared" si="31"/>
        <v>12.141247822500013</v>
      </c>
    </row>
    <row r="971" spans="1:3" x14ac:dyDescent="0.25">
      <c r="A971">
        <v>0.96599999999999997</v>
      </c>
      <c r="B971">
        <f t="shared" si="30"/>
        <v>23.990403999999998</v>
      </c>
      <c r="C971">
        <f t="shared" si="31"/>
        <v>12.165223537000013</v>
      </c>
    </row>
    <row r="972" spans="1:3" x14ac:dyDescent="0.25">
      <c r="A972">
        <v>0.96699999999999997</v>
      </c>
      <c r="B972">
        <f t="shared" si="30"/>
        <v>24.019800999999998</v>
      </c>
      <c r="C972">
        <f t="shared" si="31"/>
        <v>12.189228639500014</v>
      </c>
    </row>
    <row r="973" spans="1:3" x14ac:dyDescent="0.25">
      <c r="A973">
        <v>0.96799999999999997</v>
      </c>
      <c r="B973">
        <f t="shared" si="30"/>
        <v>24.049215999999998</v>
      </c>
      <c r="C973">
        <f t="shared" si="31"/>
        <v>12.213263148000014</v>
      </c>
    </row>
    <row r="974" spans="1:3" x14ac:dyDescent="0.25">
      <c r="A974">
        <v>0.96899999999999997</v>
      </c>
      <c r="B974">
        <f t="shared" si="30"/>
        <v>24.078648999999999</v>
      </c>
      <c r="C974">
        <f t="shared" si="31"/>
        <v>12.237327080500014</v>
      </c>
    </row>
    <row r="975" spans="1:3" x14ac:dyDescent="0.25">
      <c r="A975">
        <v>0.97</v>
      </c>
      <c r="B975">
        <f t="shared" si="30"/>
        <v>24.1081</v>
      </c>
      <c r="C975">
        <f t="shared" si="31"/>
        <v>12.261420455000014</v>
      </c>
    </row>
    <row r="976" spans="1:3" x14ac:dyDescent="0.25">
      <c r="A976">
        <v>0.97099999999999997</v>
      </c>
      <c r="B976">
        <f t="shared" si="30"/>
        <v>24.137569000000003</v>
      </c>
      <c r="C976">
        <f t="shared" si="31"/>
        <v>12.285543289500014</v>
      </c>
    </row>
    <row r="977" spans="1:3" x14ac:dyDescent="0.25">
      <c r="A977">
        <v>0.97199999999999998</v>
      </c>
      <c r="B977">
        <f t="shared" si="30"/>
        <v>24.167056000000002</v>
      </c>
      <c r="C977">
        <f t="shared" si="31"/>
        <v>12.309695602000014</v>
      </c>
    </row>
    <row r="978" spans="1:3" x14ac:dyDescent="0.25">
      <c r="A978">
        <v>0.97299999999999998</v>
      </c>
      <c r="B978">
        <f t="shared" si="30"/>
        <v>24.196561000000006</v>
      </c>
      <c r="C978">
        <f t="shared" si="31"/>
        <v>12.333877410500014</v>
      </c>
    </row>
    <row r="979" spans="1:3" x14ac:dyDescent="0.25">
      <c r="A979">
        <v>0.97399999999999998</v>
      </c>
      <c r="B979">
        <f t="shared" si="30"/>
        <v>24.226083999999997</v>
      </c>
      <c r="C979">
        <f t="shared" si="31"/>
        <v>12.358088733000013</v>
      </c>
    </row>
    <row r="980" spans="1:3" x14ac:dyDescent="0.25">
      <c r="A980">
        <v>0.97499999999999998</v>
      </c>
      <c r="B980">
        <f t="shared" si="30"/>
        <v>24.255624999999998</v>
      </c>
      <c r="C980">
        <f t="shared" si="31"/>
        <v>12.382329587500013</v>
      </c>
    </row>
    <row r="981" spans="1:3" x14ac:dyDescent="0.25">
      <c r="A981">
        <v>0.97599999999999998</v>
      </c>
      <c r="B981">
        <f t="shared" si="30"/>
        <v>24.285184000000001</v>
      </c>
      <c r="C981">
        <f t="shared" si="31"/>
        <v>12.406599992000013</v>
      </c>
    </row>
    <row r="982" spans="1:3" x14ac:dyDescent="0.25">
      <c r="A982">
        <v>0.97699999999999998</v>
      </c>
      <c r="B982">
        <f t="shared" si="30"/>
        <v>24.314761000000001</v>
      </c>
      <c r="C982">
        <f t="shared" si="31"/>
        <v>12.430899964500012</v>
      </c>
    </row>
    <row r="983" spans="1:3" x14ac:dyDescent="0.25">
      <c r="A983">
        <v>0.97799999999999998</v>
      </c>
      <c r="B983">
        <f t="shared" si="30"/>
        <v>24.344356000000001</v>
      </c>
      <c r="C983">
        <f t="shared" si="31"/>
        <v>12.455229523000012</v>
      </c>
    </row>
    <row r="984" spans="1:3" x14ac:dyDescent="0.25">
      <c r="A984">
        <v>0.97899999999999998</v>
      </c>
      <c r="B984">
        <f t="shared" si="30"/>
        <v>24.373968999999995</v>
      </c>
      <c r="C984">
        <f t="shared" si="31"/>
        <v>12.479588685500012</v>
      </c>
    </row>
    <row r="985" spans="1:3" x14ac:dyDescent="0.25">
      <c r="A985">
        <v>0.98</v>
      </c>
      <c r="B985">
        <f t="shared" si="30"/>
        <v>24.403599999999994</v>
      </c>
      <c r="C985">
        <f t="shared" si="31"/>
        <v>12.503977470000011</v>
      </c>
    </row>
    <row r="986" spans="1:3" x14ac:dyDescent="0.25">
      <c r="A986">
        <v>0.98099999999999998</v>
      </c>
      <c r="B986">
        <f t="shared" si="30"/>
        <v>24.433248999999996</v>
      </c>
      <c r="C986">
        <f t="shared" si="31"/>
        <v>12.528395894500012</v>
      </c>
    </row>
    <row r="987" spans="1:3" x14ac:dyDescent="0.25">
      <c r="A987">
        <v>0.98199999999999998</v>
      </c>
      <c r="B987">
        <f t="shared" si="30"/>
        <v>24.462915999999996</v>
      </c>
      <c r="C987">
        <f t="shared" si="31"/>
        <v>12.552843977000011</v>
      </c>
    </row>
    <row r="988" spans="1:3" x14ac:dyDescent="0.25">
      <c r="A988">
        <v>0.98299999999999998</v>
      </c>
      <c r="B988">
        <f t="shared" si="30"/>
        <v>24.492600999999997</v>
      </c>
      <c r="C988">
        <f t="shared" si="31"/>
        <v>12.577321735500011</v>
      </c>
    </row>
    <row r="989" spans="1:3" x14ac:dyDescent="0.25">
      <c r="A989">
        <v>0.98399999999999999</v>
      </c>
      <c r="B989">
        <f t="shared" si="30"/>
        <v>24.522303999999998</v>
      </c>
      <c r="C989">
        <f t="shared" si="31"/>
        <v>12.601829188000011</v>
      </c>
    </row>
    <row r="990" spans="1:3" x14ac:dyDescent="0.25">
      <c r="A990">
        <v>0.98499999999999999</v>
      </c>
      <c r="B990">
        <f t="shared" si="30"/>
        <v>24.552025</v>
      </c>
      <c r="C990">
        <f t="shared" si="31"/>
        <v>12.62636635250001</v>
      </c>
    </row>
    <row r="991" spans="1:3" x14ac:dyDescent="0.25">
      <c r="A991">
        <v>0.98599999999999999</v>
      </c>
      <c r="B991">
        <f t="shared" si="30"/>
        <v>24.581764000000003</v>
      </c>
      <c r="C991">
        <f t="shared" si="31"/>
        <v>12.65093324700001</v>
      </c>
    </row>
    <row r="992" spans="1:3" x14ac:dyDescent="0.25">
      <c r="A992">
        <v>0.98699999999999999</v>
      </c>
      <c r="B992">
        <f t="shared" si="30"/>
        <v>24.611521000000003</v>
      </c>
      <c r="C992">
        <f t="shared" si="31"/>
        <v>12.675529889500011</v>
      </c>
    </row>
    <row r="993" spans="1:3" x14ac:dyDescent="0.25">
      <c r="A993">
        <v>0.98799999999999999</v>
      </c>
      <c r="B993">
        <f t="shared" si="30"/>
        <v>24.641296000000004</v>
      </c>
      <c r="C993">
        <f t="shared" si="31"/>
        <v>12.70015629800001</v>
      </c>
    </row>
    <row r="994" spans="1:3" x14ac:dyDescent="0.25">
      <c r="A994">
        <v>0.98899999999999999</v>
      </c>
      <c r="B994">
        <f t="shared" si="30"/>
        <v>24.671089000000006</v>
      </c>
      <c r="C994">
        <f t="shared" si="31"/>
        <v>12.72481249050001</v>
      </c>
    </row>
    <row r="995" spans="1:3" x14ac:dyDescent="0.25">
      <c r="A995">
        <v>0.99</v>
      </c>
      <c r="B995">
        <f t="shared" si="30"/>
        <v>24.700899999999997</v>
      </c>
      <c r="C995">
        <f t="shared" si="31"/>
        <v>12.749498485000011</v>
      </c>
    </row>
    <row r="996" spans="1:3" x14ac:dyDescent="0.25">
      <c r="A996">
        <v>0.99099999999999999</v>
      </c>
      <c r="B996">
        <f t="shared" si="30"/>
        <v>24.730729</v>
      </c>
      <c r="C996">
        <f t="shared" si="31"/>
        <v>12.774214299500011</v>
      </c>
    </row>
    <row r="997" spans="1:3" x14ac:dyDescent="0.25">
      <c r="A997">
        <v>0.99199999999999999</v>
      </c>
      <c r="B997">
        <f t="shared" si="30"/>
        <v>24.760576</v>
      </c>
      <c r="C997">
        <f t="shared" si="31"/>
        <v>12.798959952000011</v>
      </c>
    </row>
    <row r="998" spans="1:3" x14ac:dyDescent="0.25">
      <c r="A998">
        <v>0.99299999999999999</v>
      </c>
      <c r="B998">
        <f t="shared" si="30"/>
        <v>24.790441000000001</v>
      </c>
      <c r="C998">
        <f t="shared" si="31"/>
        <v>12.823735460500011</v>
      </c>
    </row>
    <row r="999" spans="1:3" x14ac:dyDescent="0.25">
      <c r="A999">
        <v>0.99399999999999999</v>
      </c>
      <c r="B999">
        <f t="shared" si="30"/>
        <v>24.820324000000003</v>
      </c>
      <c r="C999">
        <f t="shared" si="31"/>
        <v>12.848540843000011</v>
      </c>
    </row>
    <row r="1000" spans="1:3" x14ac:dyDescent="0.25">
      <c r="A1000">
        <v>0.995</v>
      </c>
      <c r="B1000">
        <f t="shared" si="30"/>
        <v>24.850224999999995</v>
      </c>
      <c r="C1000">
        <f t="shared" si="31"/>
        <v>12.873376117500012</v>
      </c>
    </row>
    <row r="1001" spans="1:3" x14ac:dyDescent="0.25">
      <c r="A1001">
        <v>0.996</v>
      </c>
      <c r="B1001">
        <f t="shared" si="30"/>
        <v>24.880143999999994</v>
      </c>
      <c r="C1001">
        <f t="shared" si="31"/>
        <v>12.898241302000011</v>
      </c>
    </row>
    <row r="1002" spans="1:3" x14ac:dyDescent="0.25">
      <c r="A1002">
        <v>0.997</v>
      </c>
      <c r="B1002">
        <f t="shared" si="30"/>
        <v>24.910080999999998</v>
      </c>
      <c r="C1002">
        <f t="shared" si="31"/>
        <v>12.923136414500011</v>
      </c>
    </row>
    <row r="1003" spans="1:3" x14ac:dyDescent="0.25">
      <c r="A1003">
        <v>0.998</v>
      </c>
      <c r="B1003">
        <f t="shared" si="30"/>
        <v>24.940035999999999</v>
      </c>
      <c r="C1003">
        <f t="shared" si="31"/>
        <v>12.94806147300001</v>
      </c>
    </row>
    <row r="1004" spans="1:3" x14ac:dyDescent="0.25">
      <c r="A1004">
        <v>0.999</v>
      </c>
      <c r="B1004">
        <f t="shared" si="30"/>
        <v>24.970008999999997</v>
      </c>
      <c r="C1004">
        <f t="shared" si="31"/>
        <v>12.97301649550001</v>
      </c>
    </row>
    <row r="1005" spans="1:3" x14ac:dyDescent="0.25">
      <c r="A1005">
        <v>1</v>
      </c>
      <c r="B1005">
        <f t="shared" si="30"/>
        <v>25</v>
      </c>
      <c r="C1005">
        <f t="shared" si="31"/>
        <v>12.99800150000001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08099-3D55-4AFA-AB5B-8CDB73578ACE}">
  <sheetPr codeName="Sheet4"/>
  <dimension ref="A2:I15"/>
  <sheetViews>
    <sheetView workbookViewId="0">
      <selection activeCell="C4" sqref="C4"/>
    </sheetView>
  </sheetViews>
  <sheetFormatPr defaultRowHeight="15" x14ac:dyDescent="0.25"/>
  <sheetData>
    <row r="2" spans="1:9" x14ac:dyDescent="0.25">
      <c r="B2" t="s">
        <v>18</v>
      </c>
      <c r="F2" t="s">
        <v>19</v>
      </c>
    </row>
    <row r="3" spans="1:9" x14ac:dyDescent="0.25">
      <c r="A3" t="s">
        <v>3</v>
      </c>
      <c r="B3" t="s">
        <v>1</v>
      </c>
      <c r="C3" t="s">
        <v>16</v>
      </c>
      <c r="D3" t="s">
        <v>17</v>
      </c>
      <c r="F3" t="s">
        <v>3</v>
      </c>
      <c r="G3" t="s">
        <v>1</v>
      </c>
      <c r="H3" t="s">
        <v>16</v>
      </c>
      <c r="I3" t="s">
        <v>17</v>
      </c>
    </row>
    <row r="4" spans="1:9" x14ac:dyDescent="0.25">
      <c r="A4">
        <v>-0.57735000000000003</v>
      </c>
      <c r="B4">
        <f>(2+3*((1.5*A4)+1.5))^2</f>
        <v>15.225018705624999</v>
      </c>
      <c r="C4">
        <v>1</v>
      </c>
      <c r="D4">
        <f>C4*B4</f>
        <v>15.225018705624999</v>
      </c>
      <c r="F4">
        <v>0</v>
      </c>
      <c r="G4">
        <f>(2+3*(1.5*F4+1.5))^2</f>
        <v>42.25</v>
      </c>
      <c r="H4" s="2">
        <v>0.88888999999999996</v>
      </c>
      <c r="I4">
        <f>G4*H4</f>
        <v>37.555602499999999</v>
      </c>
    </row>
    <row r="5" spans="1:9" x14ac:dyDescent="0.25">
      <c r="A5">
        <v>0.57735000000000003</v>
      </c>
      <c r="B5">
        <f>(2+3*((1.5*A5)+1.5))^2</f>
        <v>82.774968705625</v>
      </c>
      <c r="C5">
        <v>1</v>
      </c>
      <c r="D5">
        <f>C5*B5</f>
        <v>82.774968705625</v>
      </c>
      <c r="F5">
        <v>-0.77459999999999996</v>
      </c>
      <c r="G5">
        <f t="shared" ref="G5:G6" si="0">(2+3*(1.5*F5+1.5))^2</f>
        <v>9.0860044900000023</v>
      </c>
      <c r="H5" s="2">
        <v>0.55556000000000005</v>
      </c>
      <c r="I5">
        <f t="shared" ref="I5:I6" si="1">G5*H5</f>
        <v>5.0478206544644015</v>
      </c>
    </row>
    <row r="6" spans="1:9" x14ac:dyDescent="0.25">
      <c r="C6" t="s">
        <v>2</v>
      </c>
      <c r="D6">
        <f>1.5*SUM(D4:D5)</f>
        <v>146.99998111687501</v>
      </c>
      <c r="F6">
        <v>0.77459999999999996</v>
      </c>
      <c r="G6">
        <f t="shared" si="0"/>
        <v>99.714204490000029</v>
      </c>
      <c r="H6" s="2">
        <v>0.55556000000000005</v>
      </c>
      <c r="I6">
        <f t="shared" si="1"/>
        <v>55.397223446464423</v>
      </c>
    </row>
    <row r="7" spans="1:9" x14ac:dyDescent="0.25">
      <c r="H7" t="s">
        <v>2</v>
      </c>
      <c r="I7">
        <f>1.5*SUM(I4:I6)</f>
        <v>147.00096990139326</v>
      </c>
    </row>
    <row r="9" spans="1:9" x14ac:dyDescent="0.25">
      <c r="A9" t="s">
        <v>20</v>
      </c>
    </row>
    <row r="10" spans="1:9" x14ac:dyDescent="0.25">
      <c r="A10" t="s">
        <v>3</v>
      </c>
      <c r="B10" t="s">
        <v>1</v>
      </c>
      <c r="C10" t="s">
        <v>16</v>
      </c>
      <c r="D10" t="s">
        <v>17</v>
      </c>
    </row>
    <row r="11" spans="1:9" x14ac:dyDescent="0.25">
      <c r="A11">
        <v>-0.86114000000000002</v>
      </c>
      <c r="B11">
        <f>(2+3*(1.5*A11+1.5))^2</f>
        <v>6.8899425168999979</v>
      </c>
      <c r="C11" s="2">
        <v>0.34784999999999999</v>
      </c>
      <c r="D11">
        <f>B11*C11</f>
        <v>2.3966665045036644</v>
      </c>
    </row>
    <row r="12" spans="1:9" x14ac:dyDescent="0.25">
      <c r="A12">
        <v>-0.33998</v>
      </c>
      <c r="B12">
        <f t="shared" ref="B12:B14" si="2">(2+3*(1.5*A12+1.5))^2</f>
        <v>24.701794608099998</v>
      </c>
      <c r="C12" s="2">
        <v>0.65215000000000001</v>
      </c>
      <c r="D12">
        <f t="shared" ref="D12:D14" si="3">B12*C12</f>
        <v>16.109275353672412</v>
      </c>
    </row>
    <row r="13" spans="1:9" x14ac:dyDescent="0.25">
      <c r="A13">
        <v>0.33998</v>
      </c>
      <c r="B13">
        <f t="shared" si="2"/>
        <v>64.479454608100014</v>
      </c>
      <c r="C13" s="2">
        <v>0.65215000000000001</v>
      </c>
      <c r="D13">
        <f t="shared" si="3"/>
        <v>42.050276322672424</v>
      </c>
    </row>
    <row r="14" spans="1:9" x14ac:dyDescent="0.25">
      <c r="A14">
        <v>0.86114000000000002</v>
      </c>
      <c r="B14">
        <f t="shared" si="2"/>
        <v>107.64332251690001</v>
      </c>
      <c r="C14" s="2">
        <v>0.34784999999999999</v>
      </c>
      <c r="D14">
        <f t="shared" si="3"/>
        <v>37.443729737503666</v>
      </c>
    </row>
    <row r="15" spans="1:9" x14ac:dyDescent="0.25">
      <c r="C15" t="s">
        <v>2</v>
      </c>
      <c r="D15">
        <f>1.5*SUM(D11:D14)</f>
        <v>146.99992187752827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F5D5-B096-4721-8B98-A8A60AD0F1EE}">
  <sheetPr codeName="Sheet5"/>
  <dimension ref="A2:D31"/>
  <sheetViews>
    <sheetView workbookViewId="0">
      <selection activeCell="F9" sqref="F9"/>
    </sheetView>
  </sheetViews>
  <sheetFormatPr defaultRowHeight="15" x14ac:dyDescent="0.25"/>
  <sheetData>
    <row r="2" spans="1:4" x14ac:dyDescent="0.25">
      <c r="A2" t="s">
        <v>7</v>
      </c>
      <c r="B2">
        <v>1</v>
      </c>
      <c r="D2" t="s">
        <v>11</v>
      </c>
    </row>
    <row r="3" spans="1:4" x14ac:dyDescent="0.25">
      <c r="A3" t="s">
        <v>8</v>
      </c>
      <c r="B3">
        <v>0.5</v>
      </c>
      <c r="D3" t="s">
        <v>13</v>
      </c>
    </row>
    <row r="4" spans="1:4" x14ac:dyDescent="0.25">
      <c r="A4" t="s">
        <v>10</v>
      </c>
      <c r="B4">
        <v>2</v>
      </c>
      <c r="D4" t="s">
        <v>12</v>
      </c>
    </row>
    <row r="6" spans="1:4" x14ac:dyDescent="0.25">
      <c r="A6" t="s">
        <v>9</v>
      </c>
      <c r="B6">
        <v>10</v>
      </c>
    </row>
    <row r="7" spans="1:4" x14ac:dyDescent="0.25">
      <c r="A7" t="s">
        <v>14</v>
      </c>
      <c r="B7">
        <v>0</v>
      </c>
    </row>
    <row r="8" spans="1:4" x14ac:dyDescent="0.25">
      <c r="A8" t="s">
        <v>15</v>
      </c>
      <c r="B8">
        <v>0</v>
      </c>
    </row>
    <row r="10" spans="1:4" x14ac:dyDescent="0.25">
      <c r="A10" t="s">
        <v>21</v>
      </c>
      <c r="B10" t="s">
        <v>9</v>
      </c>
      <c r="C10" t="s">
        <v>14</v>
      </c>
      <c r="D10" t="s">
        <v>15</v>
      </c>
    </row>
    <row r="11" spans="1:4" x14ac:dyDescent="0.25">
      <c r="A11">
        <v>0</v>
      </c>
      <c r="B11">
        <v>10</v>
      </c>
      <c r="C11">
        <v>0</v>
      </c>
      <c r="D11">
        <v>0</v>
      </c>
    </row>
    <row r="12" spans="1:4" x14ac:dyDescent="0.25">
      <c r="A12">
        <v>0.1</v>
      </c>
      <c r="B12">
        <f>B11+0.1*((-k_1*B11)+(k_2*C11))</f>
        <v>9</v>
      </c>
      <c r="C12">
        <f>C11+0.1*((k_1*B11)-(k_2*C11)-(k_3*C11))</f>
        <v>1</v>
      </c>
      <c r="D12">
        <f>D11+0.1*(2*k_3*C11)</f>
        <v>0</v>
      </c>
    </row>
    <row r="13" spans="1:4" x14ac:dyDescent="0.25">
      <c r="A13">
        <v>0.2</v>
      </c>
      <c r="B13">
        <f>B12+0.1*((-k_1*B12)+(k_2*C12))</f>
        <v>8.15</v>
      </c>
      <c r="C13">
        <f>C12+0.1*((k_1*B12)-(k_2*C12)-(k_3*C12))</f>
        <v>1.65</v>
      </c>
      <c r="D13">
        <f>D12+0.1*(2*k_3*C12)</f>
        <v>0.4</v>
      </c>
    </row>
    <row r="14" spans="1:4" x14ac:dyDescent="0.25">
      <c r="A14">
        <v>0.3</v>
      </c>
      <c r="B14">
        <f>B13+0.1*((-k_1*B13)+(k_2*C13))</f>
        <v>7.4175000000000004</v>
      </c>
      <c r="C14">
        <f>C13+0.1*((k_1*B13)-(k_2*C13)-(k_3*C13))</f>
        <v>2.0525000000000002</v>
      </c>
      <c r="D14">
        <f>D13+0.1*(2*k_3*C13)</f>
        <v>1.06</v>
      </c>
    </row>
    <row r="15" spans="1:4" x14ac:dyDescent="0.25">
      <c r="A15">
        <v>0.4</v>
      </c>
      <c r="B15">
        <f>B14+0.1*((-k_1*B14)+(k_2*C14))</f>
        <v>6.7783750000000005</v>
      </c>
      <c r="C15">
        <f>C14+0.1*((k_1*B14)-(k_2*C14)-(k_3*C14))</f>
        <v>2.2811250000000003</v>
      </c>
      <c r="D15">
        <f>D14+0.1*(2*k_3*C14)</f>
        <v>1.8810000000000002</v>
      </c>
    </row>
    <row r="16" spans="1:4" x14ac:dyDescent="0.25">
      <c r="A16">
        <v>0.5</v>
      </c>
      <c r="B16">
        <f>B15+0.1*((-k_1*B15)+(k_2*C15))</f>
        <v>6.2145937500000006</v>
      </c>
      <c r="C16">
        <f>C15+0.1*((k_1*B15)-(k_2*C15)-(k_3*C15))</f>
        <v>2.3886812500000003</v>
      </c>
      <c r="D16">
        <f>D15+0.1*(2*k_3*C15)</f>
        <v>2.7934500000000004</v>
      </c>
    </row>
    <row r="17" spans="1:4" x14ac:dyDescent="0.25">
      <c r="A17">
        <v>0.6</v>
      </c>
      <c r="B17">
        <f>B16+0.1*((-k_1*B16)+(k_2*C16))</f>
        <v>5.7125684375000008</v>
      </c>
      <c r="C17">
        <f>C16+0.1*((k_1*B16)-(k_2*C16)-(k_3*C16))</f>
        <v>2.4129703125000002</v>
      </c>
      <c r="D17">
        <f>D16+0.1*(2*k_3*C16)</f>
        <v>3.7489225000000008</v>
      </c>
    </row>
    <row r="18" spans="1:4" x14ac:dyDescent="0.25">
      <c r="A18">
        <v>0.7</v>
      </c>
      <c r="B18">
        <f>B17+0.1*((-k_1*B17)+(k_2*C17))</f>
        <v>5.2619601093750008</v>
      </c>
      <c r="C18">
        <f>C17+0.1*((k_1*B17)-(k_2*C17)-(k_3*C17))</f>
        <v>2.3809845781250001</v>
      </c>
      <c r="D18">
        <f>D17+0.1*(2*k_3*C17)</f>
        <v>4.7141106250000009</v>
      </c>
    </row>
    <row r="19" spans="1:4" x14ac:dyDescent="0.25">
      <c r="A19">
        <v>0.8</v>
      </c>
      <c r="B19">
        <f>B18+0.1*((-k_1*B18)+(k_2*C18))</f>
        <v>4.8548133273437504</v>
      </c>
      <c r="C19">
        <f>C18+0.1*((k_1*B18)-(k_2*C18)-(k_3*C18))</f>
        <v>2.31193444453125</v>
      </c>
      <c r="D19">
        <f>D18+0.1*(2*k_3*C18)</f>
        <v>5.6665044562500011</v>
      </c>
    </row>
    <row r="20" spans="1:4" x14ac:dyDescent="0.25">
      <c r="A20">
        <v>0.9</v>
      </c>
      <c r="B20">
        <f>B19+0.1*((-k_1*B19)+(k_2*C19))</f>
        <v>4.4849287168359382</v>
      </c>
      <c r="C20">
        <f>C19+0.1*((k_1*B19)-(k_2*C19)-(k_3*C19))</f>
        <v>2.2194321661328127</v>
      </c>
      <c r="D20">
        <f>D19+0.1*(2*k_3*C19)</f>
        <v>6.5912782340625009</v>
      </c>
    </row>
    <row r="21" spans="1:4" x14ac:dyDescent="0.25">
      <c r="A21">
        <v>1</v>
      </c>
      <c r="B21">
        <f>B20+0.1*((-k_1*B20)+(k_2*C20))</f>
        <v>4.1474074534589853</v>
      </c>
      <c r="C21">
        <f>C20+0.1*((k_1*B20)-(k_2*C20)-(k_3*C20))</f>
        <v>2.1130669962832034</v>
      </c>
      <c r="D21">
        <f>D20+0.1*(2*k_3*C20)</f>
        <v>7.4790511005156262</v>
      </c>
    </row>
    <row r="22" spans="1:4" x14ac:dyDescent="0.25">
      <c r="A22">
        <v>1.1000000000000001</v>
      </c>
      <c r="B22">
        <f>B21+0.1*((-k_1*B21)+(k_2*C21))</f>
        <v>3.838320057927247</v>
      </c>
      <c r="C22">
        <f>C21+0.1*((k_1*B21)-(k_2*C21)-(k_3*C21))</f>
        <v>1.999540992558301</v>
      </c>
      <c r="D22">
        <f>D21+0.1*(2*k_3*C21)</f>
        <v>8.3242778990289068</v>
      </c>
    </row>
    <row r="23" spans="1:4" x14ac:dyDescent="0.25">
      <c r="A23">
        <v>1.2</v>
      </c>
      <c r="B23">
        <f>B22+0.1*((-k_1*B22)+(k_2*C22))</f>
        <v>3.5544651017624371</v>
      </c>
      <c r="C23">
        <f>C22+0.1*((k_1*B22)-(k_2*C22)-(k_3*C22))</f>
        <v>1.8834877502114504</v>
      </c>
      <c r="D23">
        <f>D22+0.1*(2*k_3*C22)</f>
        <v>9.1240942960522275</v>
      </c>
    </row>
    <row r="24" spans="1:4" x14ac:dyDescent="0.25">
      <c r="A24">
        <v>1.3</v>
      </c>
      <c r="B24">
        <f>B23+0.1*((-k_1*B23)+(k_2*C23))</f>
        <v>3.2931929790967658</v>
      </c>
      <c r="C24">
        <f>C23+0.1*((k_1*B23)-(k_2*C23)-(k_3*C23))</f>
        <v>1.7680623228348316</v>
      </c>
      <c r="D24">
        <f>D23+0.1*(2*k_3*C23)</f>
        <v>9.8774893961368075</v>
      </c>
    </row>
    <row r="25" spans="1:4" x14ac:dyDescent="0.25">
      <c r="A25">
        <v>1.4</v>
      </c>
      <c r="B25">
        <f>B24+0.1*((-k_1*B24)+(k_2*C24))</f>
        <v>3.0522767973288309</v>
      </c>
      <c r="C25">
        <f>C24+0.1*((k_1*B24)-(k_2*C24)-(k_3*C24))</f>
        <v>1.6553660400358003</v>
      </c>
      <c r="D25">
        <f>D24+0.1*(2*k_3*C24)</f>
        <v>10.58471432527074</v>
      </c>
    </row>
    <row r="26" spans="1:4" x14ac:dyDescent="0.25">
      <c r="A26">
        <v>1.5</v>
      </c>
      <c r="B26">
        <f>B25+0.1*((-k_1*B25)+(k_2*C25))</f>
        <v>2.8298174195977377</v>
      </c>
      <c r="C26">
        <f>C25+0.1*((k_1*B25)-(k_2*C25)-(k_3*C25))</f>
        <v>1.5467522097597333</v>
      </c>
      <c r="D26">
        <f>D25+0.1*(2*k_3*C25)</f>
        <v>11.24686074128506</v>
      </c>
    </row>
    <row r="27" spans="1:4" x14ac:dyDescent="0.25">
      <c r="A27">
        <v>1.6</v>
      </c>
      <c r="B27">
        <f>B26+0.1*((-k_1*B26)+(k_2*C26))</f>
        <v>2.6241732881259505</v>
      </c>
      <c r="C27">
        <f>C26+0.1*((k_1*B26)-(k_2*C26)-(k_3*C26))</f>
        <v>1.4430458992795736</v>
      </c>
      <c r="D27">
        <f>D26+0.1*(2*k_3*C26)</f>
        <v>11.865561625188953</v>
      </c>
    </row>
    <row r="28" spans="1:4" x14ac:dyDescent="0.25">
      <c r="A28">
        <v>1.7</v>
      </c>
      <c r="B28">
        <f>B27+0.1*((-k_1*B27)+(k_2*C27))</f>
        <v>2.433908254277334</v>
      </c>
      <c r="C28">
        <f>C27+0.1*((k_1*B27)-(k_2*C27)-(k_3*C27))</f>
        <v>1.3447017532722754</v>
      </c>
      <c r="D28">
        <f>D27+0.1*(2*k_3*C27)</f>
        <v>12.442779984900781</v>
      </c>
    </row>
    <row r="29" spans="1:4" x14ac:dyDescent="0.25">
      <c r="A29">
        <v>1.8</v>
      </c>
      <c r="B29">
        <f>B28+0.1*((-k_1*B28)+(k_2*C28))</f>
        <v>2.2577525165132144</v>
      </c>
      <c r="C29">
        <f>C28+0.1*((k_1*B28)-(k_2*C28)-(k_3*C28))</f>
        <v>1.25191714038194</v>
      </c>
      <c r="D29">
        <f>D28+0.1*(2*k_3*C28)</f>
        <v>12.980660686209692</v>
      </c>
    </row>
    <row r="30" spans="1:4" x14ac:dyDescent="0.25">
      <c r="A30">
        <v>1.9</v>
      </c>
      <c r="B30">
        <f>B29+0.1*((-k_1*B29)+(k_2*C29))</f>
        <v>2.0945731218809898</v>
      </c>
      <c r="C30">
        <f>C29+0.1*((k_1*B29)-(k_2*C29)-(k_3*C29))</f>
        <v>1.1647131069377765</v>
      </c>
      <c r="D30">
        <f>D29+0.1*(2*k_3*C29)</f>
        <v>13.481427542362468</v>
      </c>
    </row>
    <row r="31" spans="1:4" x14ac:dyDescent="0.25">
      <c r="A31" s="3">
        <v>2</v>
      </c>
      <c r="B31" s="3">
        <f>B30+0.1*((-k_1*B30)+(k_2*C30))</f>
        <v>1.9433514650397796</v>
      </c>
      <c r="C31" s="3">
        <f>C30+0.1*((k_1*B30)-(k_2*C30)-(k_3*C30))</f>
        <v>1.0829921423914313</v>
      </c>
      <c r="D31" s="3">
        <f>D30+0.1*(2*k_3*C30)</f>
        <v>13.947312785137578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035A1-2F6C-4BF7-BCAF-5D57EF8BB882}">
  <sheetPr codeName="Sheet6"/>
  <dimension ref="A4:L26"/>
  <sheetViews>
    <sheetView workbookViewId="0">
      <selection activeCell="A4" sqref="A4:J5"/>
    </sheetView>
  </sheetViews>
  <sheetFormatPr defaultRowHeight="15" x14ac:dyDescent="0.25"/>
  <sheetData>
    <row r="4" spans="1:12" ht="18.75" x14ac:dyDescent="0.3">
      <c r="L4" s="6" t="s">
        <v>11</v>
      </c>
    </row>
    <row r="5" spans="1:12" ht="18.75" x14ac:dyDescent="0.3">
      <c r="L5" s="6" t="s">
        <v>13</v>
      </c>
    </row>
    <row r="6" spans="1:12" ht="18.75" x14ac:dyDescent="0.3">
      <c r="A6">
        <v>0</v>
      </c>
      <c r="B6">
        <v>10</v>
      </c>
      <c r="C6">
        <v>0</v>
      </c>
      <c r="D6">
        <v>0</v>
      </c>
      <c r="E6" s="5">
        <f>0.1*((-k_1*B6)+(k_2*C6))</f>
        <v>-1</v>
      </c>
      <c r="F6">
        <f>0.1*((-k_1*(B6+E6)+(k_2*C6)))</f>
        <v>-0.9</v>
      </c>
      <c r="G6">
        <f>0.1*((k_1*B6)+(-k_2*C6)+(-k_3*C6))</f>
        <v>1</v>
      </c>
      <c r="H6">
        <f>0.1*((k_1*B6)+(-k_2*(C6+G6))+(-k_3*(C6+G6)))</f>
        <v>0.75</v>
      </c>
      <c r="I6">
        <f>0.1*(2*k_3*C6)</f>
        <v>0</v>
      </c>
      <c r="J6">
        <f>0.1*(2*k_3*(C6+I6))</f>
        <v>0</v>
      </c>
      <c r="L6" s="6" t="s">
        <v>12</v>
      </c>
    </row>
    <row r="7" spans="1:12" x14ac:dyDescent="0.25">
      <c r="A7">
        <v>0.1</v>
      </c>
      <c r="B7">
        <f>B6+0.5*(E6+F6)</f>
        <v>9.0500000000000007</v>
      </c>
      <c r="C7">
        <f>C6+0.5*(G6+H6)</f>
        <v>0.875</v>
      </c>
      <c r="D7">
        <f>D6+0.5*(I6+J6)</f>
        <v>0</v>
      </c>
      <c r="E7" s="5">
        <f>0.1*((-k_1*B7)+(k_2*C7))</f>
        <v>-0.86125000000000007</v>
      </c>
      <c r="F7">
        <f>0.1*((-k_1*(B7+E7)+(k_2*C7)))</f>
        <v>-0.77512500000000006</v>
      </c>
      <c r="G7">
        <f>0.1*((k_1*B7)+(-k_2*C7)+(-k_3*C7))</f>
        <v>0.68625000000000014</v>
      </c>
      <c r="H7">
        <f>0.1*((k_1*B7)+(-k_2*(C7+G7))+(-k_3*(C7+G7)))</f>
        <v>0.51468749999999996</v>
      </c>
      <c r="I7">
        <f>0.1*(2*k_3*C7)</f>
        <v>0.35000000000000003</v>
      </c>
      <c r="J7">
        <f>0.1*(2*k_3*(C7+I7))</f>
        <v>0.49000000000000005</v>
      </c>
    </row>
    <row r="8" spans="1:12" x14ac:dyDescent="0.25">
      <c r="A8">
        <v>0.2</v>
      </c>
      <c r="B8">
        <f t="shared" ref="B8:B26" si="0">B7+0.5*(E7+F7)</f>
        <v>8.2318125000000002</v>
      </c>
      <c r="C8">
        <f t="shared" ref="C8:C26" si="1">C7+0.5*(G7+H7)</f>
        <v>1.4754687500000001</v>
      </c>
      <c r="D8">
        <f t="shared" ref="D8:D26" si="2">D7+0.5*(I7+J7)</f>
        <v>0.42000000000000004</v>
      </c>
      <c r="E8" s="5">
        <f>0.1*((-k_1*B8)+(k_2*C8))</f>
        <v>-0.74940781249999999</v>
      </c>
      <c r="F8">
        <f>0.1*((-k_1*(B8+E8)+(k_2*C8)))</f>
        <v>-0.67446703125000007</v>
      </c>
      <c r="G8">
        <f>0.1*((k_1*B8)+(-k_2*C8)+(-k_3*C8))</f>
        <v>0.45431406249999995</v>
      </c>
      <c r="H8">
        <f>0.1*((k_1*B8)+(-k_2*(C8+G8))+(-k_3*(C8+G8)))</f>
        <v>0.34073554687499996</v>
      </c>
      <c r="I8">
        <f>0.1*(2*k_3*C8)</f>
        <v>0.59018750000000009</v>
      </c>
      <c r="J8">
        <f>0.1*(2*k_3*(C8+I8))</f>
        <v>0.82626250000000001</v>
      </c>
    </row>
    <row r="9" spans="1:12" x14ac:dyDescent="0.25">
      <c r="A9">
        <v>0.3</v>
      </c>
      <c r="B9">
        <f t="shared" si="0"/>
        <v>7.5198750781250006</v>
      </c>
      <c r="C9">
        <f t="shared" si="1"/>
        <v>1.8729935546875001</v>
      </c>
      <c r="D9">
        <f t="shared" si="2"/>
        <v>1.128225</v>
      </c>
      <c r="E9" s="5">
        <f>0.1*((-k_1*B9)+(k_2*C9))</f>
        <v>-0.65833783007812507</v>
      </c>
      <c r="F9">
        <f>0.1*((-k_1*(B9+E9)+(k_2*C9)))</f>
        <v>-0.59250404707031257</v>
      </c>
      <c r="G9">
        <f>0.1*((k_1*B9)+(-k_2*C9)+(-k_3*C9))</f>
        <v>0.28373911914062505</v>
      </c>
      <c r="H9">
        <f>0.1*((k_1*B9)+(-k_2*(C9+G9))+(-k_3*(C9+G9)))</f>
        <v>0.21280433935546875</v>
      </c>
      <c r="I9">
        <f>0.1*(2*k_3*C9)</f>
        <v>0.74919742187500005</v>
      </c>
      <c r="J9">
        <f>0.1*(2*k_3*(C9+I9))</f>
        <v>1.048876390625</v>
      </c>
    </row>
    <row r="10" spans="1:12" x14ac:dyDescent="0.25">
      <c r="A10">
        <v>0.4</v>
      </c>
      <c r="B10">
        <f t="shared" si="0"/>
        <v>6.8944541395507812</v>
      </c>
      <c r="C10">
        <f t="shared" si="1"/>
        <v>2.1212652839355468</v>
      </c>
      <c r="D10">
        <f t="shared" si="2"/>
        <v>2.0272619062500001</v>
      </c>
      <c r="E10" s="5">
        <f>0.1*((-k_1*B10)+(k_2*C10))</f>
        <v>-0.58338214975830083</v>
      </c>
      <c r="F10">
        <f>0.1*((-k_1*(B10+E10)+(k_2*C10)))</f>
        <v>-0.52504393478247069</v>
      </c>
      <c r="G10">
        <f>0.1*((k_1*B10)+(-k_2*C10)+(-k_3*C10))</f>
        <v>0.15912909297119146</v>
      </c>
      <c r="H10">
        <f>0.1*((k_1*B10)+(-k_2*(C10+G10))+(-k_3*(C10+G10)))</f>
        <v>0.11934681972839362</v>
      </c>
      <c r="I10">
        <f>0.1*(2*k_3*C10)</f>
        <v>0.84850611357421879</v>
      </c>
      <c r="J10">
        <f>0.1*(2*k_3*(C10+I10))</f>
        <v>1.1879085590039062</v>
      </c>
    </row>
    <row r="11" spans="1:12" x14ac:dyDescent="0.25">
      <c r="A11">
        <v>0.5</v>
      </c>
      <c r="B11">
        <f t="shared" si="0"/>
        <v>6.340241097280396</v>
      </c>
      <c r="C11">
        <f t="shared" si="1"/>
        <v>2.2605032402853391</v>
      </c>
      <c r="D11">
        <f t="shared" si="2"/>
        <v>3.0454692425390624</v>
      </c>
      <c r="E11" s="5">
        <f>0.1*((-k_1*B11)+(k_2*C11))</f>
        <v>-0.52099894771377275</v>
      </c>
      <c r="F11">
        <f>0.1*((-k_1*(B11+E11)+(k_2*C11)))</f>
        <v>-0.46889905294239542</v>
      </c>
      <c r="G11">
        <f>0.1*((k_1*B11)+(-k_2*C11)+(-k_3*C11))</f>
        <v>6.8898299656704867E-2</v>
      </c>
      <c r="H11">
        <f>0.1*((k_1*B11)+(-k_2*(C11+G11))+(-k_3*(C11+G11)))</f>
        <v>5.1673724742528654E-2</v>
      </c>
      <c r="I11">
        <f>0.1*(2*k_3*C11)</f>
        <v>0.90420129611413569</v>
      </c>
      <c r="J11">
        <f>0.1*(2*k_3*(C11+I11))</f>
        <v>1.2658818145597899</v>
      </c>
    </row>
    <row r="12" spans="1:12" x14ac:dyDescent="0.25">
      <c r="A12">
        <v>0.6</v>
      </c>
      <c r="B12">
        <f t="shared" si="0"/>
        <v>5.8452920969523117</v>
      </c>
      <c r="C12">
        <f t="shared" si="1"/>
        <v>2.320789252484956</v>
      </c>
      <c r="D12">
        <f t="shared" si="2"/>
        <v>4.1305107978760249</v>
      </c>
      <c r="E12" s="5">
        <f>0.1*((-k_1*B12)+(k_2*C12))</f>
        <v>-0.46848974707098334</v>
      </c>
      <c r="F12">
        <f>0.1*((-k_1*(B12+E12)+(k_2*C12)))</f>
        <v>-0.42164077236388509</v>
      </c>
      <c r="G12">
        <f>0.1*((k_1*B12)+(-k_2*C12)+(-k_3*C12))</f>
        <v>4.3318965739921117E-3</v>
      </c>
      <c r="H12">
        <f>0.1*((k_1*B12)+(-k_2*(C12+G12))+(-k_3*(C12+G12)))</f>
        <v>3.2489224304941724E-3</v>
      </c>
      <c r="I12">
        <f>0.1*(2*k_3*C12)</f>
        <v>0.92831570099398242</v>
      </c>
      <c r="J12">
        <f>0.1*(2*k_3*(C12+I12))</f>
        <v>1.2996419813915754</v>
      </c>
    </row>
    <row r="13" spans="1:12" x14ac:dyDescent="0.25">
      <c r="A13">
        <v>0.7</v>
      </c>
      <c r="B13">
        <f t="shared" si="0"/>
        <v>5.4002268372348778</v>
      </c>
      <c r="C13">
        <f t="shared" si="1"/>
        <v>2.3245796619871992</v>
      </c>
      <c r="D13">
        <f t="shared" si="2"/>
        <v>5.2444896390688038</v>
      </c>
      <c r="E13" s="5">
        <f>0.1*((-k_1*B13)+(k_2*C13))</f>
        <v>-0.42379370062412786</v>
      </c>
      <c r="F13">
        <f>0.1*((-k_1*(B13+E13)+(k_2*C13)))</f>
        <v>-0.38141433056171509</v>
      </c>
      <c r="G13">
        <f>0.1*((k_1*B13)+(-k_2*C13)+(-k_3*C13))</f>
        <v>-4.1122231773312028E-2</v>
      </c>
      <c r="H13">
        <f>0.1*((k_1*B13)+(-k_2*(C13+G13))+(-k_3*(C13+G13)))</f>
        <v>-3.0841673829984019E-2</v>
      </c>
      <c r="I13">
        <f>0.1*(2*k_3*C13)</f>
        <v>0.92983186479487978</v>
      </c>
      <c r="J13">
        <f>0.1*(2*k_3*(C13+I13))</f>
        <v>1.3017646107128318</v>
      </c>
    </row>
    <row r="14" spans="1:12" x14ac:dyDescent="0.25">
      <c r="A14">
        <v>0.8</v>
      </c>
      <c r="B14">
        <f t="shared" si="0"/>
        <v>4.997622821641956</v>
      </c>
      <c r="C14">
        <f t="shared" si="1"/>
        <v>2.2885977091855514</v>
      </c>
      <c r="D14">
        <f t="shared" si="2"/>
        <v>6.3602878768226594</v>
      </c>
      <c r="E14" s="5">
        <f>0.1*((-k_1*B14)+(k_2*C14))</f>
        <v>-0.38533239670491803</v>
      </c>
      <c r="F14">
        <f>0.1*((-k_1*(B14+E14)+(k_2*C14)))</f>
        <v>-0.34679915703442626</v>
      </c>
      <c r="G14">
        <f>0.1*((k_1*B14)+(-k_2*C14)+(-k_3*C14))</f>
        <v>-7.2387145132192243E-2</v>
      </c>
      <c r="H14">
        <f>0.1*((k_1*B14)+(-k_2*(C14+G14))+(-k_3*(C14+G14)))</f>
        <v>-5.4290358849144127E-2</v>
      </c>
      <c r="I14">
        <f>0.1*(2*k_3*C14)</f>
        <v>0.91543908367422056</v>
      </c>
      <c r="J14">
        <f>0.1*(2*k_3*(C14+I14))</f>
        <v>1.281614717143909</v>
      </c>
    </row>
    <row r="15" spans="1:12" x14ac:dyDescent="0.25">
      <c r="A15">
        <v>0.9</v>
      </c>
      <c r="B15">
        <f t="shared" si="0"/>
        <v>4.6315570447722836</v>
      </c>
      <c r="C15">
        <f t="shared" si="1"/>
        <v>2.2252589571948831</v>
      </c>
      <c r="D15">
        <f t="shared" si="2"/>
        <v>7.4588147772317246</v>
      </c>
      <c r="E15" s="5">
        <f>0.1*((-k_1*B15)+(k_2*C15))</f>
        <v>-0.3518927566174842</v>
      </c>
      <c r="F15">
        <f>0.1*((-k_1*(B15+E15)+(k_2*C15)))</f>
        <v>-0.31670348095573575</v>
      </c>
      <c r="G15">
        <f>0.1*((k_1*B15)+(-k_2*C15)+(-k_3*C15))</f>
        <v>-9.3159034821492445E-2</v>
      </c>
      <c r="H15">
        <f>0.1*((k_1*B15)+(-k_2*(C15+G15))+(-k_3*(C15+G15)))</f>
        <v>-6.9869276116119303E-2</v>
      </c>
      <c r="I15">
        <f>0.1*(2*k_3*C15)</f>
        <v>0.89010358287795333</v>
      </c>
      <c r="J15">
        <f>0.1*(2*k_3*(C15+I15))</f>
        <v>1.2461450160291347</v>
      </c>
    </row>
    <row r="16" spans="1:12" x14ac:dyDescent="0.25">
      <c r="A16">
        <v>1</v>
      </c>
      <c r="B16">
        <f t="shared" si="0"/>
        <v>4.2972589259856733</v>
      </c>
      <c r="C16">
        <f t="shared" si="1"/>
        <v>2.1437448017260774</v>
      </c>
      <c r="D16">
        <f t="shared" si="2"/>
        <v>8.5269390766852684</v>
      </c>
      <c r="E16" s="5">
        <f>0.1*((-k_1*B16)+(k_2*C16))</f>
        <v>-0.32253865251226349</v>
      </c>
      <c r="F16">
        <f>0.1*((-k_1*(B16+E16)+(k_2*C16)))</f>
        <v>-0.29028478726103712</v>
      </c>
      <c r="G16">
        <f>0.1*((k_1*B16)+(-k_2*C16)+(-k_3*C16))</f>
        <v>-0.10621030783295203</v>
      </c>
      <c r="H16">
        <f>0.1*((k_1*B16)+(-k_2*(C16+G16))+(-k_3*(C16+G16)))</f>
        <v>-7.9657730874714047E-2</v>
      </c>
      <c r="I16">
        <f>0.1*(2*k_3*C16)</f>
        <v>0.85749792069043096</v>
      </c>
      <c r="J16">
        <f>0.1*(2*k_3*(C16+I16))</f>
        <v>1.2004970889666033</v>
      </c>
    </row>
    <row r="17" spans="1:10" x14ac:dyDescent="0.25">
      <c r="A17">
        <v>1.1000000000000001</v>
      </c>
      <c r="B17">
        <f t="shared" si="0"/>
        <v>3.9908472060990228</v>
      </c>
      <c r="C17">
        <f t="shared" si="1"/>
        <v>2.0508107823722446</v>
      </c>
      <c r="D17">
        <f t="shared" si="2"/>
        <v>9.5559365815137856</v>
      </c>
      <c r="E17" s="5">
        <f>0.1*((-k_1*B17)+(k_2*C17))</f>
        <v>-0.29654418149129008</v>
      </c>
      <c r="F17">
        <f>0.1*((-k_1*(B17+E17)+(k_2*C17)))</f>
        <v>-0.26688976334216108</v>
      </c>
      <c r="G17">
        <f>0.1*((k_1*B17)+(-k_2*C17)+(-k_3*C17))</f>
        <v>-0.11361797498315887</v>
      </c>
      <c r="H17">
        <f>0.1*((k_1*B17)+(-k_2*(C17+G17))+(-k_3*(C17+G17)))</f>
        <v>-8.5213481237369146E-2</v>
      </c>
      <c r="I17">
        <f>0.1*(2*k_3*C17)</f>
        <v>0.82032431294889785</v>
      </c>
      <c r="J17">
        <f>0.1*(2*k_3*(C17+I17))</f>
        <v>1.1484540381284569</v>
      </c>
    </row>
    <row r="18" spans="1:10" x14ac:dyDescent="0.25">
      <c r="A18">
        <v>1.2</v>
      </c>
      <c r="B18">
        <f t="shared" si="0"/>
        <v>3.7091302336822971</v>
      </c>
      <c r="C18">
        <f t="shared" si="1"/>
        <v>1.9513950542619805</v>
      </c>
      <c r="D18">
        <f t="shared" si="2"/>
        <v>10.540325757052463</v>
      </c>
      <c r="E18" s="5">
        <f>0.1*((-k_1*B18)+(k_2*C18))</f>
        <v>-0.2733432706551307</v>
      </c>
      <c r="F18">
        <f>0.1*((-k_1*(B18+E18)+(k_2*C18)))</f>
        <v>-0.24600894358961761</v>
      </c>
      <c r="G18">
        <f>0.1*((k_1*B18)+(-k_2*C18)+(-k_3*C18))</f>
        <v>-0.11693574019726541</v>
      </c>
      <c r="H18">
        <f>0.1*((k_1*B18)+(-k_2*(C18+G18))+(-k_3*(C18+G18)))</f>
        <v>-8.7701805147949063E-2</v>
      </c>
      <c r="I18">
        <f>0.1*(2*k_3*C18)</f>
        <v>0.78055802170479227</v>
      </c>
      <c r="J18">
        <f>0.1*(2*k_3*(C18+I18))</f>
        <v>1.092781230386709</v>
      </c>
    </row>
    <row r="19" spans="1:10" x14ac:dyDescent="0.25">
      <c r="A19">
        <v>1.3</v>
      </c>
      <c r="B19">
        <f t="shared" si="0"/>
        <v>3.4494541265599228</v>
      </c>
      <c r="C19">
        <f t="shared" si="1"/>
        <v>1.8490762815893733</v>
      </c>
      <c r="D19">
        <f t="shared" si="2"/>
        <v>11.476995383098213</v>
      </c>
      <c r="E19" s="5">
        <f>0.1*((-k_1*B19)+(k_2*C19))</f>
        <v>-0.25249159857652365</v>
      </c>
      <c r="F19">
        <f>0.1*((-k_1*(B19+E19)+(k_2*C19)))</f>
        <v>-0.22724243871887129</v>
      </c>
      <c r="G19">
        <f>0.1*((k_1*B19)+(-k_2*C19)+(-k_3*C19))</f>
        <v>-0.11732365774135106</v>
      </c>
      <c r="H19">
        <f>0.1*((k_1*B19)+(-k_2*(C19+G19))+(-k_3*(C19+G19)))</f>
        <v>-8.799274330601331E-2</v>
      </c>
      <c r="I19">
        <f>0.1*(2*k_3*C19)</f>
        <v>0.73963051263574942</v>
      </c>
      <c r="J19">
        <f>0.1*(2*k_3*(C19+I19))</f>
        <v>1.0354827176900492</v>
      </c>
    </row>
    <row r="20" spans="1:10" x14ac:dyDescent="0.25">
      <c r="A20">
        <v>1.4</v>
      </c>
      <c r="B20">
        <f t="shared" si="0"/>
        <v>3.2095871079122253</v>
      </c>
      <c r="C20">
        <f t="shared" si="1"/>
        <v>1.7464180810656911</v>
      </c>
      <c r="D20">
        <f t="shared" si="2"/>
        <v>12.364551998261113</v>
      </c>
      <c r="E20" s="5">
        <f>0.1*((-k_1*B20)+(k_2*C20))</f>
        <v>-0.23363780673793799</v>
      </c>
      <c r="F20">
        <f>0.1*((-k_1*(B20+E20)+(k_2*C20)))</f>
        <v>-0.21027402606414416</v>
      </c>
      <c r="G20">
        <f>0.1*((k_1*B20)+(-k_2*C20)+(-k_3*C20))</f>
        <v>-0.11564580947520026</v>
      </c>
      <c r="H20">
        <f>0.1*((k_1*B20)+(-k_2*(C20+G20))+(-k_3*(C20+G20)))</f>
        <v>-8.6734357106400192E-2</v>
      </c>
      <c r="I20">
        <f>0.1*(2*k_3*C20)</f>
        <v>0.6985672324262765</v>
      </c>
      <c r="J20">
        <f>0.1*(2*k_3*(C20+I20))</f>
        <v>0.97799412539678698</v>
      </c>
    </row>
    <row r="21" spans="1:10" x14ac:dyDescent="0.25">
      <c r="A21">
        <v>1.5</v>
      </c>
      <c r="B21">
        <f t="shared" si="0"/>
        <v>2.9876311915111842</v>
      </c>
      <c r="C21">
        <f t="shared" si="1"/>
        <v>1.6452279977748909</v>
      </c>
      <c r="D21">
        <f t="shared" si="2"/>
        <v>13.202832677172646</v>
      </c>
      <c r="E21" s="5">
        <f>0.1*((-k_1*B21)+(k_2*C21))</f>
        <v>-0.21650171926237391</v>
      </c>
      <c r="F21">
        <f>0.1*((-k_1*(B21+E21)+(k_2*C21)))</f>
        <v>-0.19485154733613652</v>
      </c>
      <c r="G21">
        <f>0.1*((k_1*B21)+(-k_2*C21)+(-k_3*C21))</f>
        <v>-0.1125438802926043</v>
      </c>
      <c r="H21">
        <f>0.1*((k_1*B21)+(-k_2*(C21+G21))+(-k_3*(C21+G21)))</f>
        <v>-8.4407910219453264E-2</v>
      </c>
      <c r="I21">
        <f>0.1*(2*k_3*C21)</f>
        <v>0.65809119910995639</v>
      </c>
      <c r="J21">
        <f>0.1*(2*k_3*(C21+I21))</f>
        <v>0.92132767875393895</v>
      </c>
    </row>
    <row r="22" spans="1:10" x14ac:dyDescent="0.25">
      <c r="A22">
        <v>1.6</v>
      </c>
      <c r="B22">
        <f t="shared" si="0"/>
        <v>2.7819545582119289</v>
      </c>
      <c r="C22">
        <f t="shared" si="1"/>
        <v>1.5467521025188622</v>
      </c>
      <c r="D22">
        <f t="shared" si="2"/>
        <v>13.992542116104593</v>
      </c>
      <c r="E22" s="5">
        <f>0.1*((-k_1*B22)+(k_2*C22))</f>
        <v>-0.20085785069524978</v>
      </c>
      <c r="F22">
        <f>0.1*((-k_1*(B22+E22)+(k_2*C22)))</f>
        <v>-0.18077206562572479</v>
      </c>
      <c r="G22">
        <f>0.1*((k_1*B22)+(-k_2*C22)+(-k_3*C22))</f>
        <v>-0.10849256980852268</v>
      </c>
      <c r="H22">
        <f>0.1*((k_1*B22)+(-k_2*(C22+G22))+(-k_3*(C22+G22)))</f>
        <v>-8.1369427356391993E-2</v>
      </c>
      <c r="I22">
        <f>0.1*(2*k_3*C22)</f>
        <v>0.61870084100754497</v>
      </c>
      <c r="J22">
        <f>0.1*(2*k_3*(C22+I22))</f>
        <v>0.866181177410563</v>
      </c>
    </row>
    <row r="23" spans="1:10" x14ac:dyDescent="0.25">
      <c r="A23">
        <v>1.7</v>
      </c>
      <c r="B23">
        <f t="shared" si="0"/>
        <v>2.5911396000514415</v>
      </c>
      <c r="C23">
        <f t="shared" si="1"/>
        <v>1.4518211039364048</v>
      </c>
      <c r="D23">
        <f t="shared" si="2"/>
        <v>14.734983125313647</v>
      </c>
      <c r="E23" s="5">
        <f>0.1*((-k_1*B23)+(k_2*C23))</f>
        <v>-0.1865229048083239</v>
      </c>
      <c r="F23">
        <f>0.1*((-k_1*(B23+E23)+(k_2*C23)))</f>
        <v>-0.16787061432749151</v>
      </c>
      <c r="G23">
        <f>0.1*((k_1*B23)+(-k_2*C23)+(-k_3*C23))</f>
        <v>-0.10384131597895707</v>
      </c>
      <c r="H23">
        <f>0.1*((k_1*B23)+(-k_2*(C23+G23))+(-k_3*(C23+G23)))</f>
        <v>-7.7880986984217804E-2</v>
      </c>
      <c r="I23">
        <f>0.1*(2*k_3*C23)</f>
        <v>0.58072844157456194</v>
      </c>
      <c r="J23">
        <f>0.1*(2*k_3*(C23+I23))</f>
        <v>0.81301981820438662</v>
      </c>
    </row>
    <row r="24" spans="1:10" x14ac:dyDescent="0.25">
      <c r="A24">
        <v>1.8</v>
      </c>
      <c r="B24">
        <f t="shared" si="0"/>
        <v>2.4139428404835339</v>
      </c>
      <c r="C24">
        <f t="shared" si="1"/>
        <v>1.3609599524548175</v>
      </c>
      <c r="D24">
        <f t="shared" si="2"/>
        <v>15.431857255203122</v>
      </c>
      <c r="E24" s="5">
        <f>0.1*((-k_1*B24)+(k_2*C24))</f>
        <v>-0.17334628642561253</v>
      </c>
      <c r="F24">
        <f>0.1*((-k_1*(B24+E24)+(k_2*C24)))</f>
        <v>-0.15601165778305126</v>
      </c>
      <c r="G24">
        <f>0.1*((k_1*B24)+(-k_2*C24)+(-k_3*C24))</f>
        <v>-9.8845704065350981E-2</v>
      </c>
      <c r="H24">
        <f>0.1*((k_1*B24)+(-k_2*(C24+G24))+(-k_3*(C24+G24)))</f>
        <v>-7.413427804901325E-2</v>
      </c>
      <c r="I24">
        <f>0.1*(2*k_3*C24)</f>
        <v>0.54438398098192697</v>
      </c>
      <c r="J24">
        <f>0.1*(2*k_3*(C24+I24))</f>
        <v>0.7621375733746979</v>
      </c>
    </row>
    <row r="25" spans="1:10" x14ac:dyDescent="0.25">
      <c r="A25">
        <v>1.9</v>
      </c>
      <c r="B25">
        <f t="shared" si="0"/>
        <v>2.2492638683792019</v>
      </c>
      <c r="C25">
        <f t="shared" si="1"/>
        <v>1.2744699613976354</v>
      </c>
      <c r="D25">
        <f t="shared" si="2"/>
        <v>16.085118032381434</v>
      </c>
      <c r="E25" s="5">
        <f>0.1*((-k_1*B25)+(k_2*C25))</f>
        <v>-0.16120288876803845</v>
      </c>
      <c r="F25">
        <f>0.1*((-k_1*(B25+E25)+(k_2*C25)))</f>
        <v>-0.14508259989123459</v>
      </c>
      <c r="G25">
        <f>0.1*((k_1*B25)+(-k_2*C25)+(-k_3*C25))</f>
        <v>-9.3691103511488641E-2</v>
      </c>
      <c r="H25">
        <f>0.1*((k_1*B25)+(-k_2*(C25+G25))+(-k_3*(C25+G25)))</f>
        <v>-7.0268327633616484E-2</v>
      </c>
      <c r="I25">
        <f>0.1*(2*k_3*C25)</f>
        <v>0.50978798455905416</v>
      </c>
      <c r="J25">
        <f>0.1*(2*k_3*(C25+I25))</f>
        <v>0.71370317838267594</v>
      </c>
    </row>
    <row r="26" spans="1:10" x14ac:dyDescent="0.25">
      <c r="A26" s="3">
        <v>2</v>
      </c>
      <c r="B26" s="3">
        <f t="shared" si="0"/>
        <v>2.0961211240495654</v>
      </c>
      <c r="C26" s="3">
        <f t="shared" si="1"/>
        <v>1.1924902458250828</v>
      </c>
      <c r="D26" s="3">
        <f>D25+0.5*(I25+J25)</f>
        <v>16.696863613852297</v>
      </c>
      <c r="E26" s="9">
        <f>0.1*((-k_1*B26)+(k_2*C26))</f>
        <v>-0.14998760011370241</v>
      </c>
      <c r="F26" s="10">
        <f>0.1*((-k_1*(B26+E26)+(k_2*C26)))</f>
        <v>-0.13498884010233217</v>
      </c>
      <c r="G26" s="10">
        <f>0.1*((k_1*B26)+(-k_2*C26)+(-k_3*C26))</f>
        <v>-8.8510449051314166E-2</v>
      </c>
      <c r="H26" s="10">
        <f>0.1*((k_1*B26)+(-k_2*(C26+G26))+(-k_3*(C26+G26)))</f>
        <v>-6.6382836788485597E-2</v>
      </c>
      <c r="I26" s="10">
        <f>0.1*(2*k_3*C26)</f>
        <v>0.47699609833003315</v>
      </c>
      <c r="J26" s="10">
        <f>0.1*(2*k_3*(C26+I26))</f>
        <v>0.66779453766204644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FF3E9-DAE3-43F5-89ED-6DE08241EA87}">
  <sheetPr codeName="Sheet7"/>
  <dimension ref="A1:P28"/>
  <sheetViews>
    <sheetView topLeftCell="A7" workbookViewId="0">
      <selection activeCell="G24" sqref="G24"/>
    </sheetView>
  </sheetViews>
  <sheetFormatPr defaultRowHeight="15" x14ac:dyDescent="0.25"/>
  <sheetData>
    <row r="1" spans="1:16" ht="18.75" x14ac:dyDescent="0.3">
      <c r="A1" s="6" t="s">
        <v>11</v>
      </c>
    </row>
    <row r="2" spans="1:16" ht="18.75" x14ac:dyDescent="0.3">
      <c r="A2" s="6" t="s">
        <v>13</v>
      </c>
    </row>
    <row r="3" spans="1:16" ht="18.75" x14ac:dyDescent="0.3">
      <c r="A3" s="6" t="s">
        <v>12</v>
      </c>
    </row>
    <row r="6" spans="1:16" ht="18.75" x14ac:dyDescent="0.3">
      <c r="A6" s="7" t="s">
        <v>4</v>
      </c>
      <c r="B6" s="14"/>
      <c r="C6" s="14"/>
      <c r="D6" s="8"/>
      <c r="E6" s="11" t="s">
        <v>9</v>
      </c>
      <c r="F6" s="12"/>
      <c r="G6" s="12"/>
      <c r="H6" s="13"/>
      <c r="I6" s="11" t="s">
        <v>14</v>
      </c>
      <c r="J6" s="12"/>
      <c r="K6" s="12"/>
      <c r="L6" s="13"/>
      <c r="M6" s="11" t="s">
        <v>15</v>
      </c>
      <c r="N6" s="12"/>
      <c r="O6" s="12"/>
      <c r="P6" s="13"/>
    </row>
    <row r="7" spans="1:16" x14ac:dyDescent="0.25">
      <c r="A7" s="4" t="s">
        <v>21</v>
      </c>
      <c r="B7" s="4" t="s">
        <v>9</v>
      </c>
      <c r="C7" s="4" t="s">
        <v>14</v>
      </c>
      <c r="D7" s="4" t="s">
        <v>15</v>
      </c>
      <c r="E7" s="4" t="s">
        <v>7</v>
      </c>
      <c r="F7" s="4" t="s">
        <v>8</v>
      </c>
      <c r="G7" s="4" t="s">
        <v>10</v>
      </c>
      <c r="H7" s="4" t="s">
        <v>22</v>
      </c>
      <c r="I7" s="4" t="s">
        <v>7</v>
      </c>
      <c r="J7" s="4" t="s">
        <v>8</v>
      </c>
      <c r="K7" s="4" t="s">
        <v>10</v>
      </c>
      <c r="L7" s="4" t="s">
        <v>22</v>
      </c>
      <c r="M7" s="4" t="s">
        <v>7</v>
      </c>
      <c r="N7" s="4" t="s">
        <v>8</v>
      </c>
      <c r="O7" s="4" t="s">
        <v>10</v>
      </c>
      <c r="P7" s="4" t="s">
        <v>22</v>
      </c>
    </row>
    <row r="8" spans="1:16" x14ac:dyDescent="0.25">
      <c r="A8">
        <v>0</v>
      </c>
      <c r="B8">
        <v>10</v>
      </c>
      <c r="C8">
        <v>0</v>
      </c>
      <c r="D8">
        <v>0</v>
      </c>
      <c r="E8">
        <f>0.1*((-k_1*B8)+(k_2*C8))</f>
        <v>-1</v>
      </c>
      <c r="F8">
        <f>0.1*((-k_1*(B8+(E8/2))+(k_2*C8)))</f>
        <v>-0.95000000000000007</v>
      </c>
      <c r="G8">
        <f>0.1*((-k_1*(B8+(F8/2))+(k_2*C8)))</f>
        <v>-0.95250000000000012</v>
      </c>
      <c r="H8">
        <f>0.1*((-k_1*(B8+G8))+(k_2*C8))</f>
        <v>-0.90474999999999994</v>
      </c>
      <c r="I8">
        <f>0.1*((k_1*B8)+(-k_2*C8)+(-k_3*C8))</f>
        <v>1</v>
      </c>
      <c r="J8">
        <f>0.1*((k_1*B8)+(-k_2*(C8+(I8/2))+(-k_3*(C8+(I8/2)))))</f>
        <v>0.875</v>
      </c>
      <c r="K8">
        <f>0.1*((k_1*B8)+(-k_2*(C8+(J8/2))+(-k_3*(C8+(J8/2)))))</f>
        <v>0.890625</v>
      </c>
      <c r="L8">
        <f>0.1*((k_1*B8)+(-k_2*(C8+K8)+(-k_3*(C8+K8))))</f>
        <v>0.77734375</v>
      </c>
      <c r="M8">
        <f>0.1*(2*k_3*C8)</f>
        <v>0</v>
      </c>
      <c r="N8">
        <f>0.1*(2*k_3*(C8+(M8/2)))</f>
        <v>0</v>
      </c>
      <c r="O8">
        <f>0.1*(2*k_3*(C8+(N8/2)))</f>
        <v>0</v>
      </c>
      <c r="P8">
        <f>0.1*(2*k_3*(C8+O8))</f>
        <v>0</v>
      </c>
    </row>
    <row r="9" spans="1:16" x14ac:dyDescent="0.25">
      <c r="A9">
        <v>0.1</v>
      </c>
      <c r="B9">
        <f>B8+(1/6)*(E8+2*F8+2*G8+H8)</f>
        <v>9.0483750000000001</v>
      </c>
      <c r="C9">
        <f>C8+(1/6)*(I8+2*J8+2*K8+L8)</f>
        <v>0.884765625</v>
      </c>
      <c r="D9">
        <f>D8+(1/6)*(M8+2*N8+2*O8+P8)</f>
        <v>0</v>
      </c>
      <c r="E9">
        <f>0.1*((-k_1*B9)+(k_2*C9))</f>
        <v>-0.86059921875000001</v>
      </c>
      <c r="F9">
        <f>0.1*((-k_1*(B9+(E9/2))+(k_2*C9)))</f>
        <v>-0.81756925781250001</v>
      </c>
      <c r="G9">
        <f>0.1*((-k_1*(B9+(F9/2))+(k_2*C9)))</f>
        <v>-0.81972075585937498</v>
      </c>
      <c r="H9">
        <f>0.1*((-k_1*(B9+G9))+(k_2*C9))</f>
        <v>-0.77862714316406256</v>
      </c>
      <c r="I9">
        <f>0.1*((k_1*B9)+(-k_2*C9)+(-k_3*C9))</f>
        <v>0.68364609375000007</v>
      </c>
      <c r="J9">
        <f>0.1*((k_1*B9)+(-k_2*(C9+(I9/2))+(-k_3*(C9+(I9/2)))))</f>
        <v>0.59819033203125005</v>
      </c>
      <c r="K9">
        <f>0.1*((k_1*B9)+(-k_2*(C9+(J9/2))+(-k_3*(C9+(J9/2)))))</f>
        <v>0.60887230224609379</v>
      </c>
      <c r="L9">
        <f>0.1*((k_1*B9)+(-k_2*(C9+K9)+(-k_3*(C9+K9))))</f>
        <v>0.53142801818847651</v>
      </c>
      <c r="M9">
        <f>0.1*(2*k_3*C9)</f>
        <v>0.35390625000000003</v>
      </c>
      <c r="N9">
        <f>0.1*(2*k_3*(C9+(M9/2)))</f>
        <v>0.42468750000000005</v>
      </c>
      <c r="O9">
        <f>0.1*(2*k_3*(C9+(N9/2)))</f>
        <v>0.43884375000000003</v>
      </c>
      <c r="P9">
        <f>0.1*(2*k_3*(C9+O9))</f>
        <v>0.52944374999999999</v>
      </c>
    </row>
    <row r="10" spans="1:16" x14ac:dyDescent="0.25">
      <c r="A10">
        <v>0.2</v>
      </c>
      <c r="B10">
        <f t="shared" ref="B10:B28" si="0">B9+(1/6)*(E9+2*F9+2*G9+H9)</f>
        <v>8.229407268457031</v>
      </c>
      <c r="C10">
        <f t="shared" ref="C10:C28" si="1">C9+(1/6)*(I9+2*J9+2*K9+L9)</f>
        <v>1.4896321884155275</v>
      </c>
      <c r="D10">
        <f t="shared" ref="D10:D28" si="2">D9+(1/6)*(M9+2*N9+2*O9+P9)</f>
        <v>0.43506875</v>
      </c>
      <c r="E10">
        <f>0.1*((-k_1*B10)+(k_2*C10))</f>
        <v>-0.74845911742492677</v>
      </c>
      <c r="F10">
        <f>0.1*((-k_1*(B10+(E10/2))+(k_2*C10)))</f>
        <v>-0.71103616155368043</v>
      </c>
      <c r="G10">
        <f>0.1*((-k_1*(B10+(F10/2))+(k_2*C10)))</f>
        <v>-0.71290730934724278</v>
      </c>
      <c r="H10">
        <f>0.1*((-k_1*(B10+G10))+(k_2*C10))</f>
        <v>-0.6771683864902025</v>
      </c>
      <c r="I10">
        <f>0.1*((k_1*B10)+(-k_2*C10)+(-k_3*C10))</f>
        <v>0.45053267974182126</v>
      </c>
      <c r="J10">
        <f>0.1*((k_1*B10)+(-k_2*(C10+(I10/2))+(-k_3*(C10+(I10/2)))))</f>
        <v>0.39421609477409358</v>
      </c>
      <c r="K10">
        <f>0.1*((k_1*B10)+(-k_2*(C10+(J10/2))+(-k_3*(C10+(J10/2)))))</f>
        <v>0.40125566789505956</v>
      </c>
      <c r="L10">
        <f>0.1*((k_1*B10)+(-k_2*(C10+K10)+(-k_3*(C10+K10))))</f>
        <v>0.3502187627680563</v>
      </c>
      <c r="M10">
        <f>0.1*(2*k_3*C10)</f>
        <v>0.59585287536621101</v>
      </c>
      <c r="N10">
        <f>0.1*(2*k_3*(C10+(M10/2)))</f>
        <v>0.71502345043945326</v>
      </c>
      <c r="O10">
        <f>0.1*(2*k_3*(C10+(N10/2)))</f>
        <v>0.73885756545410164</v>
      </c>
      <c r="P10">
        <f>0.1*(2*k_3*(C10+O10))</f>
        <v>0.89139590154785164</v>
      </c>
    </row>
    <row r="11" spans="1:16" x14ac:dyDescent="0.25">
      <c r="A11">
        <v>0.3</v>
      </c>
      <c r="B11">
        <f t="shared" si="0"/>
        <v>7.5171548608375351</v>
      </c>
      <c r="C11">
        <f t="shared" si="1"/>
        <v>1.8882480163902247</v>
      </c>
      <c r="D11">
        <f t="shared" si="2"/>
        <v>1.1675705514501953</v>
      </c>
      <c r="E11">
        <f>0.1*((-k_1*B11)+(k_2*C11))</f>
        <v>-0.6573030852642423</v>
      </c>
      <c r="F11">
        <f>0.1*((-k_1*(B11+(E11/2))+(k_2*C11)))</f>
        <v>-0.62443793100103018</v>
      </c>
      <c r="G11">
        <f>0.1*((-k_1*(B11+(F11/2))+(k_2*C11)))</f>
        <v>-0.62608118871419083</v>
      </c>
      <c r="H11">
        <f>0.1*((-k_1*(B11+G11))+(k_2*C11))</f>
        <v>-0.59469496639282315</v>
      </c>
      <c r="I11">
        <f>0.1*((k_1*B11)+(-k_2*C11)+(-k_3*C11))</f>
        <v>0.27965348198619733</v>
      </c>
      <c r="J11">
        <f>0.1*((k_1*B11)+(-k_2*(C11+(I11/2))+(-k_3*(C11+(I11/2)))))</f>
        <v>0.24469679673792274</v>
      </c>
      <c r="K11">
        <f>0.1*((k_1*B11)+(-k_2*(C11+(J11/2))+(-k_3*(C11+(J11/2)))))</f>
        <v>0.24906638239395695</v>
      </c>
      <c r="L11">
        <f>0.1*((k_1*B11)+(-k_2*(C11+K11)+(-k_3*(C11+K11))))</f>
        <v>0.21738688638770817</v>
      </c>
      <c r="M11">
        <f>0.1*(2*k_3*C11)</f>
        <v>0.75529920655608995</v>
      </c>
      <c r="N11">
        <f>0.1*(2*k_3*(C11+(M11/2)))</f>
        <v>0.90635904786730781</v>
      </c>
      <c r="O11">
        <f>0.1*(2*k_3*(C11+(N11/2)))</f>
        <v>0.9365710161295514</v>
      </c>
      <c r="P11">
        <f>0.1*(2*k_3*(C11+O11))</f>
        <v>1.1299276130079103</v>
      </c>
    </row>
    <row r="12" spans="1:16" x14ac:dyDescent="0.25">
      <c r="A12">
        <v>0.4</v>
      </c>
      <c r="B12">
        <f t="shared" si="0"/>
        <v>6.8916488123229502</v>
      </c>
      <c r="C12">
        <f t="shared" si="1"/>
        <v>2.1356758041631689</v>
      </c>
      <c r="D12">
        <f t="shared" si="2"/>
        <v>2.0960850427098148</v>
      </c>
      <c r="E12">
        <f>0.1*((-k_1*B12)+(k_2*C12))</f>
        <v>-0.5823810910241366</v>
      </c>
      <c r="F12">
        <f>0.1*((-k_1*(B12+(E12/2))+(k_2*C12)))</f>
        <v>-0.55326203647292971</v>
      </c>
      <c r="G12">
        <f>0.1*((-k_1*(B12+(F12/2))+(k_2*C12)))</f>
        <v>-0.55471798920049009</v>
      </c>
      <c r="H12">
        <f>0.1*((-k_1*(B12+G12))+(k_2*C12))</f>
        <v>-0.52690929210408755</v>
      </c>
      <c r="I12">
        <f>0.1*((k_1*B12)+(-k_2*C12)+(-k_3*C12))</f>
        <v>0.15524593019150279</v>
      </c>
      <c r="J12">
        <f>0.1*((k_1*B12)+(-k_2*(C12+(I12/2))+(-k_3*(C12+(I12/2)))))</f>
        <v>0.13584018891756494</v>
      </c>
      <c r="K12">
        <f>0.1*((k_1*B12)+(-k_2*(C12+(J12/2))+(-k_3*(C12+(J12/2)))))</f>
        <v>0.13826590657680712</v>
      </c>
      <c r="L12">
        <f>0.1*((k_1*B12)+(-k_2*(C12+K12)+(-k_3*(C12+K12))))</f>
        <v>0.12067945354730103</v>
      </c>
      <c r="M12">
        <f>0.1*(2*k_3*C12)</f>
        <v>0.85427032166526762</v>
      </c>
      <c r="N12">
        <f>0.1*(2*k_3*(C12+(M12/2)))</f>
        <v>1.025124385998321</v>
      </c>
      <c r="O12">
        <f>0.1*(2*k_3*(C12+(N12/2)))</f>
        <v>1.059295198864932</v>
      </c>
      <c r="P12">
        <f>0.1*(2*k_3*(C12+O12))</f>
        <v>1.2779884012112406</v>
      </c>
    </row>
    <row r="13" spans="1:16" x14ac:dyDescent="0.25">
      <c r="A13">
        <v>0.5</v>
      </c>
      <c r="B13">
        <f t="shared" si="0"/>
        <v>6.3374404065771062</v>
      </c>
      <c r="C13">
        <f t="shared" si="1"/>
        <v>2.2730320666177604</v>
      </c>
      <c r="D13">
        <f t="shared" si="2"/>
        <v>3.146268024810317</v>
      </c>
      <c r="E13">
        <f>0.1*((-k_1*B13)+(k_2*C13))</f>
        <v>-0.52009243732682264</v>
      </c>
      <c r="F13">
        <f>0.1*((-k_1*(B13+(E13/2))+(k_2*C13)))</f>
        <v>-0.49408781546048153</v>
      </c>
      <c r="G13">
        <f>0.1*((-k_1*(B13+(F13/2))+(k_2*C13)))</f>
        <v>-0.49538804655379853</v>
      </c>
      <c r="H13">
        <f>0.1*((-k_1*(B13+G13))+(k_2*C13))</f>
        <v>-0.47055363267144279</v>
      </c>
      <c r="I13">
        <f>0.1*((k_1*B13)+(-k_2*C13)+(-k_3*C13))</f>
        <v>6.5486024003270513E-2</v>
      </c>
      <c r="J13">
        <f>0.1*((k_1*B13)+(-k_2*(C13+(I13/2))+(-k_3*(C13+(I13/2)))))</f>
        <v>5.7300271002861704E-2</v>
      </c>
      <c r="K13">
        <f>0.1*((k_1*B13)+(-k_2*(C13+(J13/2))+(-k_3*(C13+(J13/2)))))</f>
        <v>5.8323490127912783E-2</v>
      </c>
      <c r="L13">
        <f>0.1*((k_1*B13)+(-k_2*(C13+K13)+(-k_3*(C13+K13))))</f>
        <v>5.0905151471292334E-2</v>
      </c>
      <c r="M13">
        <f>0.1*(2*k_3*C13)</f>
        <v>0.90921282664710423</v>
      </c>
      <c r="N13">
        <f>0.1*(2*k_3*(C13+(M13/2)))</f>
        <v>1.0910553919765249</v>
      </c>
      <c r="O13">
        <f>0.1*(2*k_3*(C13+(N13/2)))</f>
        <v>1.1274239050424091</v>
      </c>
      <c r="P13">
        <f>0.1*(2*k_3*(C13+O13))</f>
        <v>1.3601823886640678</v>
      </c>
    </row>
    <row r="14" spans="1:16" x14ac:dyDescent="0.25">
      <c r="A14">
        <v>0.6</v>
      </c>
      <c r="B14">
        <f t="shared" si="0"/>
        <v>5.842507440905969</v>
      </c>
      <c r="C14">
        <f t="shared" si="1"/>
        <v>2.3309718495737788</v>
      </c>
      <c r="D14">
        <f t="shared" si="2"/>
        <v>4.2639936597018231</v>
      </c>
      <c r="E14">
        <f>0.1*((-k_1*B14)+(k_2*C14))</f>
        <v>-0.46770215161190798</v>
      </c>
      <c r="F14">
        <f>0.1*((-k_1*(B14+(E14/2))+(k_2*C14)))</f>
        <v>-0.44431704403131261</v>
      </c>
      <c r="G14">
        <f>0.1*((-k_1*(B14+(F14/2))+(k_2*C14)))</f>
        <v>-0.4454862994103424</v>
      </c>
      <c r="H14">
        <f>0.1*((-k_1*(B14+G14))+(k_2*C14))</f>
        <v>-0.42315352167087372</v>
      </c>
      <c r="I14">
        <f>0.1*((k_1*B14)+(-k_2*C14)+(-k_3*C14))</f>
        <v>1.5077816971522219E-3</v>
      </c>
      <c r="J14">
        <f>0.1*((k_1*B14)+(-k_2*(C14+(I14/2))+(-k_3*(C14+(I14/2)))))</f>
        <v>1.3193089850081386E-3</v>
      </c>
      <c r="K14">
        <f>0.1*((k_1*B14)+(-k_2*(C14+(J14/2))+(-k_3*(C14+(J14/2)))))</f>
        <v>1.3428680740261711E-3</v>
      </c>
      <c r="L14">
        <f>0.1*((k_1*B14)+(-k_2*(C14+K14)+(-k_3*(C14+K14))))</f>
        <v>1.1720646786456792E-3</v>
      </c>
      <c r="M14">
        <f>0.1*(2*k_3*C14)</f>
        <v>0.93238873982951154</v>
      </c>
      <c r="N14">
        <f>0.1*(2*k_3*(C14+(M14/2)))</f>
        <v>1.118866487795414</v>
      </c>
      <c r="O14">
        <f>0.1*(2*k_3*(C14+(N14/2)))</f>
        <v>1.1561620373885944</v>
      </c>
      <c r="P14">
        <f>0.1*(2*k_3*(C14+O14))</f>
        <v>1.3948535547849492</v>
      </c>
    </row>
    <row r="15" spans="1:16" x14ac:dyDescent="0.25">
      <c r="A15">
        <v>0.7</v>
      </c>
      <c r="B15">
        <f t="shared" si="0"/>
        <v>5.3974303808782871</v>
      </c>
      <c r="C15">
        <f t="shared" si="1"/>
        <v>2.3323058829894232</v>
      </c>
      <c r="D15">
        <f t="shared" si="2"/>
        <v>5.4102102171989026</v>
      </c>
      <c r="E15">
        <f>0.1*((-k_1*B15)+(k_2*C15))</f>
        <v>-0.42312774393835756</v>
      </c>
      <c r="F15">
        <f>0.1*((-k_1*(B15+(E15/2))+(k_2*C15)))</f>
        <v>-0.40197135674143969</v>
      </c>
      <c r="G15">
        <f>0.1*((-k_1*(B15+(F15/2))+(k_2*C15)))</f>
        <v>-0.40302917610128558</v>
      </c>
      <c r="H15">
        <f>0.1*((-k_1*(B15+G15))+(k_2*C15))</f>
        <v>-0.38282482632822901</v>
      </c>
      <c r="I15">
        <f>0.1*((k_1*B15)+(-k_2*C15)+(-k_3*C15))</f>
        <v>-4.3333432659527119E-2</v>
      </c>
      <c r="J15">
        <f>0.1*((k_1*B15)+(-k_2*(C15+(I15/2))+(-k_3*(C15+(I15/2)))))</f>
        <v>-3.7916753577086126E-2</v>
      </c>
      <c r="K15">
        <f>0.1*((k_1*B15)+(-k_2*(C15+(J15/2))+(-k_3*(C15+(J15/2)))))</f>
        <v>-3.8593838462391353E-2</v>
      </c>
      <c r="L15">
        <f>0.1*((k_1*B15)+(-k_2*(C15+K15)+(-k_3*(C15+K15))))</f>
        <v>-3.3684973043929305E-2</v>
      </c>
      <c r="M15">
        <f>0.1*(2*k_3*C15)</f>
        <v>0.93292235319576933</v>
      </c>
      <c r="N15">
        <f>0.1*(2*k_3*(C15+(M15/2)))</f>
        <v>1.1195068238349231</v>
      </c>
      <c r="O15">
        <f>0.1*(2*k_3*(C15+(N15/2)))</f>
        <v>1.1568237179627541</v>
      </c>
      <c r="P15">
        <f>0.1*(2*k_3*(C15+O15))</f>
        <v>1.3956518403808709</v>
      </c>
    </row>
    <row r="16" spans="1:16" x14ac:dyDescent="0.25">
      <c r="A16">
        <v>0.8</v>
      </c>
      <c r="B16">
        <f t="shared" si="0"/>
        <v>4.9947714415529472</v>
      </c>
      <c r="C16">
        <f t="shared" si="1"/>
        <v>2.2939659513590214</v>
      </c>
      <c r="D16">
        <f t="shared" si="2"/>
        <v>6.5570827633942352</v>
      </c>
      <c r="E16">
        <f>0.1*((-k_1*B16)+(k_2*C16))</f>
        <v>-0.38477884658734363</v>
      </c>
      <c r="F16">
        <f>0.1*((-k_1*(B16+(E16/2))+(k_2*C16)))</f>
        <v>-0.3655399042579765</v>
      </c>
      <c r="G16">
        <f>0.1*((-k_1*(B16+(F16/2))+(k_2*C16)))</f>
        <v>-0.3665018513744448</v>
      </c>
      <c r="H16">
        <f>0.1*((-k_1*(B16+G16))+(k_2*C16))</f>
        <v>-0.34812866144989912</v>
      </c>
      <c r="I16">
        <f>0.1*((k_1*B16)+(-k_2*C16)+(-k_3*C16))</f>
        <v>-7.4014343684460651E-2</v>
      </c>
      <c r="J16">
        <f>0.1*((k_1*B16)+(-k_2*(C16+(I16/2))+(-k_3*(C16+(I16/2)))))</f>
        <v>-6.4762550723903092E-2</v>
      </c>
      <c r="K16">
        <f>0.1*((k_1*B16)+(-k_2*(C16+(J16/2))+(-k_3*(C16+(J16/2)))))</f>
        <v>-6.5919024843972815E-2</v>
      </c>
      <c r="L16">
        <f>0.1*((k_1*B16)+(-k_2*(C16+K16)+(-k_3*(C16+K16))))</f>
        <v>-5.7534587473467451E-2</v>
      </c>
      <c r="M16">
        <f>0.1*(2*k_3*C16)</f>
        <v>0.91758638054360864</v>
      </c>
      <c r="N16">
        <f>0.1*(2*k_3*(C16+(M16/2)))</f>
        <v>1.1011036566523302</v>
      </c>
      <c r="O16">
        <f>0.1*(2*k_3*(C16+(N16/2)))</f>
        <v>1.1378071118740747</v>
      </c>
      <c r="P16">
        <f>0.1*(2*k_3*(C16+O16))</f>
        <v>1.3727092252932385</v>
      </c>
    </row>
    <row r="17" spans="1:16" x14ac:dyDescent="0.25">
      <c r="A17">
        <v>0.9</v>
      </c>
      <c r="B17">
        <f t="shared" si="0"/>
        <v>4.6286062716692662</v>
      </c>
      <c r="C17">
        <f t="shared" si="1"/>
        <v>2.2284806043100747</v>
      </c>
      <c r="D17">
        <f t="shared" si="2"/>
        <v>7.6851022872091779</v>
      </c>
      <c r="E17">
        <f>0.1*((-k_1*B17)+(k_2*C17))</f>
        <v>-0.35143659695142287</v>
      </c>
      <c r="F17">
        <f>0.1*((-k_1*(B17+(E17/2))+(k_2*C17)))</f>
        <v>-0.33386476710385171</v>
      </c>
      <c r="G17">
        <f>0.1*((-k_1*(B17+(F17/2))+(k_2*C17)))</f>
        <v>-0.33474335859623033</v>
      </c>
      <c r="H17">
        <f>0.1*((-k_1*(B17+G17))+(k_2*C17))</f>
        <v>-0.31796226109179981</v>
      </c>
      <c r="I17">
        <f>0.1*((k_1*B17)+(-k_2*C17)+(-k_3*C17))</f>
        <v>-9.4259523910592072E-2</v>
      </c>
      <c r="J17">
        <f>0.1*((k_1*B17)+(-k_2*(C17+(I17/2))+(-k_3*(C17+(I17/2)))))</f>
        <v>-8.2477083421767988E-2</v>
      </c>
      <c r="K17">
        <f>0.1*((k_1*B17)+(-k_2*(C17+(J17/2))+(-k_3*(C17+(J17/2)))))</f>
        <v>-8.3949888482871063E-2</v>
      </c>
      <c r="L17">
        <f>0.1*((k_1*B17)+(-k_2*(C17+K17)+(-k_3*(C17+K17))))</f>
        <v>-7.327205178987431E-2</v>
      </c>
      <c r="M17">
        <f>0.1*(2*k_3*C17)</f>
        <v>0.89139224172402987</v>
      </c>
      <c r="N17">
        <f>0.1*(2*k_3*(C17+(M17/2)))</f>
        <v>1.069670690068836</v>
      </c>
      <c r="O17">
        <f>0.1*(2*k_3*(C17+(N17/2)))</f>
        <v>1.1053263797377972</v>
      </c>
      <c r="P17">
        <f>0.1*(2*k_3*(C17+O17))</f>
        <v>1.3335227936191487</v>
      </c>
    </row>
    <row r="18" spans="1:16" x14ac:dyDescent="0.25">
      <c r="A18">
        <v>1</v>
      </c>
      <c r="B18">
        <f t="shared" si="0"/>
        <v>4.2941704200953685</v>
      </c>
      <c r="C18">
        <f t="shared" si="1"/>
        <v>2.1450830177251174</v>
      </c>
      <c r="D18">
        <f t="shared" si="2"/>
        <v>8.7809204830352527</v>
      </c>
      <c r="E18">
        <f>0.1*((-k_1*B18)+(k_2*C18))</f>
        <v>-0.322162891123281</v>
      </c>
      <c r="F18">
        <f>0.1*((-k_1*(B18+(E18/2))+(k_2*C18)))</f>
        <v>-0.30605474656711701</v>
      </c>
      <c r="G18">
        <f>0.1*((-k_1*(B18+(F18/2))+(k_2*C18)))</f>
        <v>-0.30686015379492515</v>
      </c>
      <c r="H18">
        <f>0.1*((-k_1*(B18+G18))+(k_2*C18))</f>
        <v>-0.29147687574378844</v>
      </c>
      <c r="I18">
        <f>0.1*((k_1*B18)+(-k_2*C18)+(-k_3*C18))</f>
        <v>-0.10685371242174249</v>
      </c>
      <c r="J18">
        <f>0.1*((k_1*B18)+(-k_2*(C18+(I18/2))+(-k_3*(C18+(I18/2)))))</f>
        <v>-9.3496998369024725E-2</v>
      </c>
      <c r="K18">
        <f>0.1*((k_1*B18)+(-k_2*(C18+(J18/2))+(-k_3*(C18+(J18/2)))))</f>
        <v>-9.5166587625614432E-2</v>
      </c>
      <c r="L18">
        <f>0.1*((k_1*B18)+(-k_2*(C18+K18)+(-k_3*(C18+K18))))</f>
        <v>-8.3062065515338998E-2</v>
      </c>
      <c r="M18">
        <f>0.1*(2*k_3*C18)</f>
        <v>0.85803320709004705</v>
      </c>
      <c r="N18">
        <f>0.1*(2*k_3*(C18+(M18/2)))</f>
        <v>1.0296398485080565</v>
      </c>
      <c r="O18">
        <f>0.1*(2*k_3*(C18+(N18/2)))</f>
        <v>1.0639611767916584</v>
      </c>
      <c r="P18">
        <f>0.1*(2*k_3*(C18+O18))</f>
        <v>1.2836176778067103</v>
      </c>
    </row>
    <row r="19" spans="1:16" x14ac:dyDescent="0.25">
      <c r="A19">
        <v>1.1000000000000001</v>
      </c>
      <c r="B19">
        <f t="shared" si="0"/>
        <v>3.9875921588301764</v>
      </c>
      <c r="C19">
        <f t="shared" si="1"/>
        <v>2.050542526070724</v>
      </c>
      <c r="D19">
        <f t="shared" si="2"/>
        <v>9.8357293056179511</v>
      </c>
      <c r="E19">
        <f>0.1*((-k_1*B19)+(k_2*C19))</f>
        <v>-0.29623208957948144</v>
      </c>
      <c r="F19">
        <f>0.1*((-k_1*(B19+(E19/2))+(k_2*C19)))</f>
        <v>-0.28142048510050738</v>
      </c>
      <c r="G19">
        <f>0.1*((-k_1*(B19+(F19/2))+(k_2*C19)))</f>
        <v>-0.28216106532445612</v>
      </c>
      <c r="H19">
        <f>0.1*((-k_1*(B19+G19))+(k_2*C19))</f>
        <v>-0.26801598304703583</v>
      </c>
      <c r="I19">
        <f>0.1*((k_1*B19)+(-k_2*C19)+(-k_3*C19))</f>
        <v>-0.11387641563466336</v>
      </c>
      <c r="J19">
        <f>0.1*((k_1*B19)+(-k_2*(C19+(I19/2))+(-k_3*(C19+(I19/2)))))</f>
        <v>-9.9641863680330414E-2</v>
      </c>
      <c r="K19">
        <f>0.1*((k_1*B19)+(-k_2*(C19+(J19/2))+(-k_3*(C19+(J19/2)))))</f>
        <v>-0.10142118267462208</v>
      </c>
      <c r="L19">
        <f>0.1*((k_1*B19)+(-k_2*(C19+K19)+(-k_3*(C19+K19))))</f>
        <v>-8.8521119966007825E-2</v>
      </c>
      <c r="M19">
        <f>0.1*(2*k_3*C19)</f>
        <v>0.82021701042828965</v>
      </c>
      <c r="N19">
        <f>0.1*(2*k_3*(C19+(M19/2)))</f>
        <v>0.98426041251394758</v>
      </c>
      <c r="O19">
        <f>0.1*(2*k_3*(C19+(N19/2)))</f>
        <v>1.0170690929310791</v>
      </c>
      <c r="P19">
        <f>0.1*(2*k_3*(C19+O19))</f>
        <v>1.2270446476007213</v>
      </c>
    </row>
    <row r="20" spans="1:16" x14ac:dyDescent="0.25">
      <c r="A20">
        <v>1.2</v>
      </c>
      <c r="B20">
        <f t="shared" si="0"/>
        <v>3.7056902965841023</v>
      </c>
      <c r="C20">
        <f t="shared" si="1"/>
        <v>1.9497885880189614</v>
      </c>
      <c r="D20">
        <f t="shared" si="2"/>
        <v>10.844049417104461</v>
      </c>
      <c r="E20">
        <f>0.1*((-k_1*B20)+(k_2*C20))</f>
        <v>-0.2730796002574622</v>
      </c>
      <c r="F20">
        <f>0.1*((-k_1*(B20+(E20/2))+(k_2*C20)))</f>
        <v>-0.25942562024458904</v>
      </c>
      <c r="G20">
        <f>0.1*((-k_1*(B20+(F20/2))+(k_2*C20)))</f>
        <v>-0.2601083192452327</v>
      </c>
      <c r="H20">
        <f>0.1*((-k_1*(B20+G20))+(k_2*C20))</f>
        <v>-0.24706876833293889</v>
      </c>
      <c r="I20">
        <f>0.1*((k_1*B20)+(-k_2*C20)+(-k_3*C20))</f>
        <v>-0.11687811734633012</v>
      </c>
      <c r="J20">
        <f>0.1*((k_1*B20)+(-k_2*(C20+(I20/2))+(-k_3*(C20+(I20/2)))))</f>
        <v>-0.10226835267803885</v>
      </c>
      <c r="K20">
        <f>0.1*((k_1*B20)+(-k_2*(C20+(J20/2))+(-k_3*(C20+(J20/2)))))</f>
        <v>-0.10409457326157523</v>
      </c>
      <c r="L20">
        <f>0.1*((k_1*B20)+(-k_2*(C20+K20)+(-k_3*(C20+K20))))</f>
        <v>-9.0854474030936272E-2</v>
      </c>
      <c r="M20">
        <f>0.1*(2*k_3*C20)</f>
        <v>0.77991543520758455</v>
      </c>
      <c r="N20">
        <f>0.1*(2*k_3*(C20+(M20/2)))</f>
        <v>0.93589852224910153</v>
      </c>
      <c r="O20">
        <f>0.1*(2*k_3*(C20+(N20/2)))</f>
        <v>0.9670951396574049</v>
      </c>
      <c r="P20">
        <f>0.1*(2*k_3*(C20+O20))</f>
        <v>1.1667534910705466</v>
      </c>
    </row>
    <row r="21" spans="1:16" x14ac:dyDescent="0.25">
      <c r="A21">
        <v>1.3</v>
      </c>
      <c r="B21">
        <f t="shared" si="0"/>
        <v>3.4458209219890947</v>
      </c>
      <c r="C21">
        <f t="shared" si="1"/>
        <v>1.8463788474762124</v>
      </c>
      <c r="D21">
        <f t="shared" si="2"/>
        <v>11.80282545878632</v>
      </c>
      <c r="E21">
        <f>0.1*((-k_1*B21)+(k_2*C21))</f>
        <v>-0.25226314982509884</v>
      </c>
      <c r="F21">
        <f>0.1*((-k_1*(B21+(E21/2))+(k_2*C21)))</f>
        <v>-0.2396499923338439</v>
      </c>
      <c r="G21">
        <f>0.1*((-k_1*(B21+(F21/2))+(k_2*C21)))</f>
        <v>-0.24028065020840669</v>
      </c>
      <c r="H21">
        <f>0.1*((-k_1*(B21+G21))+(k_2*C21))</f>
        <v>-0.22823508480425822</v>
      </c>
      <c r="I21">
        <f>0.1*((k_1*B21)+(-k_2*C21)+(-k_3*C21))</f>
        <v>-0.11701261967014363</v>
      </c>
      <c r="J21">
        <f>0.1*((k_1*B21)+(-k_2*(C21+(I21/2))+(-k_3*(C21+(I21/2)))))</f>
        <v>-0.10238604221137569</v>
      </c>
      <c r="K21">
        <f>0.1*((k_1*B21)+(-k_2*(C21+(J21/2))+(-k_3*(C21+(J21/2)))))</f>
        <v>-0.10421436439372163</v>
      </c>
      <c r="L21">
        <f>0.1*((k_1*B21)+(-k_2*(C21+K21)+(-k_3*(C21+K21))))</f>
        <v>-9.0959028571713188E-2</v>
      </c>
      <c r="M21">
        <f>0.1*(2*k_3*C21)</f>
        <v>0.73855153899048498</v>
      </c>
      <c r="N21">
        <f>0.1*(2*k_3*(C21+(M21/2)))</f>
        <v>0.88626184678858211</v>
      </c>
      <c r="O21">
        <f>0.1*(2*k_3*(C21+(N21/2)))</f>
        <v>0.91580390834820136</v>
      </c>
      <c r="P21">
        <f>0.1*(2*k_3*(C21+O21))</f>
        <v>1.1048731023297655</v>
      </c>
    </row>
    <row r="22" spans="1:16" x14ac:dyDescent="0.25">
      <c r="A22">
        <v>1.4</v>
      </c>
      <c r="B22">
        <f t="shared" si="0"/>
        <v>3.2057610020367848</v>
      </c>
      <c r="C22">
        <f t="shared" si="1"/>
        <v>1.7428501039008704</v>
      </c>
      <c r="D22">
        <f t="shared" si="2"/>
        <v>12.710751484051956</v>
      </c>
      <c r="E22">
        <f>0.1*((-k_1*B22)+(k_2*C22))</f>
        <v>-0.23343359500863495</v>
      </c>
      <c r="F22">
        <f>0.1*((-k_1*(B22+(E22/2))+(k_2*C22)))</f>
        <v>-0.22176191525820324</v>
      </c>
      <c r="G22">
        <f>0.1*((-k_1*(B22+(F22/2))+(k_2*C22)))</f>
        <v>-0.22234549924572483</v>
      </c>
      <c r="H22">
        <f>0.1*((-k_1*(B22+G22))+(k_2*C22))</f>
        <v>-0.21119904508406251</v>
      </c>
      <c r="I22">
        <f>0.1*((k_1*B22)+(-k_2*C22)+(-k_3*C22))</f>
        <v>-0.11513642577153914</v>
      </c>
      <c r="J22">
        <f>0.1*((k_1*B22)+(-k_2*(C22+(I22/2))+(-k_3*(C22+(I22/2)))))</f>
        <v>-0.10074437255009672</v>
      </c>
      <c r="K22">
        <f>0.1*((k_1*B22)+(-k_2*(C22+(J22/2))+(-k_3*(C22+(J22/2)))))</f>
        <v>-0.10254337920277701</v>
      </c>
      <c r="L22">
        <f>0.1*((k_1*B22)+(-k_2*(C22+K22)+(-k_3*(C22+K22))))</f>
        <v>-8.9500580970844817E-2</v>
      </c>
      <c r="M22">
        <f>0.1*(2*k_3*C22)</f>
        <v>0.69714004156034814</v>
      </c>
      <c r="N22">
        <f>0.1*(2*k_3*(C22+(M22/2)))</f>
        <v>0.83656804987241784</v>
      </c>
      <c r="O22">
        <f>0.1*(2*k_3*(C22+(N22/2)))</f>
        <v>0.86445365153483178</v>
      </c>
      <c r="P22">
        <f>0.1*(2*k_3*(C22+O22))</f>
        <v>1.042921502174281</v>
      </c>
    </row>
    <row r="23" spans="1:16" x14ac:dyDescent="0.25">
      <c r="A23">
        <v>1.5</v>
      </c>
      <c r="B23">
        <f t="shared" si="0"/>
        <v>2.9836197571866925</v>
      </c>
      <c r="C23">
        <f t="shared" si="1"/>
        <v>1.6409813521928485</v>
      </c>
      <c r="D23">
        <f t="shared" si="2"/>
        <v>13.567768975143478</v>
      </c>
      <c r="E23">
        <f>0.1*((-k_1*B23)+(k_2*C23))</f>
        <v>-0.21631290810902684</v>
      </c>
      <c r="F23">
        <f>0.1*((-k_1*(B23+(E23/2))+(k_2*C23)))</f>
        <v>-0.20549726270357552</v>
      </c>
      <c r="G23">
        <f>0.1*((-k_1*(B23+(F23/2))+(k_2*C23)))</f>
        <v>-0.20603804497384806</v>
      </c>
      <c r="H23">
        <f>0.1*((-k_1*(B23+G23))+(k_2*C23))</f>
        <v>-0.19570910361164204</v>
      </c>
      <c r="I23">
        <f>0.1*((k_1*B23)+(-k_2*C23)+(-k_3*C23))</f>
        <v>-0.11188336232954287</v>
      </c>
      <c r="J23">
        <f>0.1*((k_1*B23)+(-k_2*(C23+(I23/2))+(-k_3*(C23+(I23/2)))))</f>
        <v>-9.7897942038349992E-2</v>
      </c>
      <c r="K23">
        <f>0.1*((k_1*B23)+(-k_2*(C23+(J23/2))+(-k_3*(C23+(J23/2)))))</f>
        <v>-9.9646119574749115E-2</v>
      </c>
      <c r="L23">
        <f>0.1*((k_1*B23)+(-k_2*(C23+K23)+(-k_3*(C23+K23))))</f>
        <v>-8.6971832435855587E-2</v>
      </c>
      <c r="M23">
        <f>0.1*(2*k_3*C23)</f>
        <v>0.65639254087713939</v>
      </c>
      <c r="N23">
        <f>0.1*(2*k_3*(C23+(M23/2)))</f>
        <v>0.78767104905256735</v>
      </c>
      <c r="O23">
        <f>0.1*(2*k_3*(C23+(N23/2)))</f>
        <v>0.81392675068765286</v>
      </c>
      <c r="P23">
        <f>0.1*(2*k_3*(C23+O23))</f>
        <v>0.98196324115220046</v>
      </c>
    </row>
    <row r="24" spans="1:16" x14ac:dyDescent="0.25">
      <c r="A24">
        <v>1.6</v>
      </c>
      <c r="B24">
        <f t="shared" si="0"/>
        <v>2.77777098600744</v>
      </c>
      <c r="C24">
        <f t="shared" si="1"/>
        <v>1.541990799194249</v>
      </c>
      <c r="D24">
        <f t="shared" si="2"/>
        <v>14.374694205395109</v>
      </c>
      <c r="E24">
        <f>0.1*((-k_1*B24)+(k_2*C24))</f>
        <v>-0.20067755864103157</v>
      </c>
      <c r="F24">
        <f>0.1*((-k_1*(B24+(E24/2))+(k_2*C24)))</f>
        <v>-0.19064368070897997</v>
      </c>
      <c r="G24">
        <f>0.1*((-k_1*(B24+(F24/2))+(k_2*C24)))</f>
        <v>-0.19114537460558259</v>
      </c>
      <c r="H24">
        <f>0.1*((-k_1*(B24+G24))+(k_2*C24))</f>
        <v>-0.18156302118047329</v>
      </c>
      <c r="I24">
        <f>0.1*((k_1*B24)+(-k_2*C24)+(-k_3*C24))</f>
        <v>-0.10772060119781823</v>
      </c>
      <c r="J24">
        <f>0.1*((k_1*B24)+(-k_2*(C24+(I24/2))+(-k_3*(C24+(I24/2)))))</f>
        <v>-9.4255526048090982E-2</v>
      </c>
      <c r="K24">
        <f>0.1*((k_1*B24)+(-k_2*(C24+(J24/2))+(-k_3*(C24+(J24/2)))))</f>
        <v>-9.5938660441806878E-2</v>
      </c>
      <c r="L24">
        <f>0.1*((k_1*B24)+(-k_2*(C24+K24)+(-k_3*(C24+K24))))</f>
        <v>-8.3735936087366541E-2</v>
      </c>
      <c r="M24">
        <f>0.1*(2*k_3*C24)</f>
        <v>0.61679631967769966</v>
      </c>
      <c r="N24">
        <f>0.1*(2*k_3*(C24+(M24/2)))</f>
        <v>0.74015558361323963</v>
      </c>
      <c r="O24">
        <f>0.1*(2*k_3*(C24+(N24/2)))</f>
        <v>0.76482743640034756</v>
      </c>
      <c r="P24">
        <f>0.1*(2*k_3*(C24+O24))</f>
        <v>0.92272729423783861</v>
      </c>
    </row>
    <row r="25" spans="1:16" x14ac:dyDescent="0.25">
      <c r="A25">
        <v>1.7</v>
      </c>
      <c r="B25">
        <f t="shared" si="0"/>
        <v>2.5868012042656683</v>
      </c>
      <c r="C25">
        <f t="shared" si="1"/>
        <v>1.4466833141500857</v>
      </c>
      <c r="D25">
        <f t="shared" si="2"/>
        <v>15.132942481052227</v>
      </c>
      <c r="E25">
        <f>0.1*((-k_1*B25)+(k_2*C25))</f>
        <v>-0.18634595471906257</v>
      </c>
      <c r="F25">
        <f>0.1*((-k_1*(B25+(E25/2))+(k_2*C25)))</f>
        <v>-0.17702865698310943</v>
      </c>
      <c r="G25">
        <f>0.1*((-k_1*(B25+(F25/2))+(k_2*C25)))</f>
        <v>-0.17749452186990708</v>
      </c>
      <c r="H25">
        <f>0.1*((-k_1*(B25+G25))+(k_2*C25))</f>
        <v>-0.16859650253207184</v>
      </c>
      <c r="I25">
        <f>0.1*((k_1*B25)+(-k_2*C25)+(-k_3*C25))</f>
        <v>-0.10299070811095459</v>
      </c>
      <c r="J25">
        <f>0.1*((k_1*B25)+(-k_2*(C25+(I25/2))+(-k_3*(C25+(I25/2)))))</f>
        <v>-9.0116869597085272E-2</v>
      </c>
      <c r="K25">
        <f>0.1*((k_1*B25)+(-k_2*(C25+(J25/2))+(-k_3*(C25+(J25/2)))))</f>
        <v>-9.1726099411318929E-2</v>
      </c>
      <c r="L25">
        <f>0.1*((k_1*B25)+(-k_2*(C25+K25)+(-k_3*(C25+K25))))</f>
        <v>-8.0059183258124875E-2</v>
      </c>
      <c r="M25">
        <f>0.1*(2*k_3*C25)</f>
        <v>0.57867332566003427</v>
      </c>
      <c r="N25">
        <f>0.1*(2*k_3*(C25+(M25/2)))</f>
        <v>0.69440799079204119</v>
      </c>
      <c r="O25">
        <f>0.1*(2*k_3*(C25+(N25/2)))</f>
        <v>0.71755492381844255</v>
      </c>
      <c r="P25">
        <f>0.1*(2*k_3*(C25+O25))</f>
        <v>0.86569529518741128</v>
      </c>
    </row>
    <row r="26" spans="1:16" x14ac:dyDescent="0.25">
      <c r="A26">
        <v>1.8</v>
      </c>
      <c r="B26">
        <f t="shared" si="0"/>
        <v>2.4094697351061405</v>
      </c>
      <c r="C26">
        <f t="shared" si="1"/>
        <v>1.3555606759191043</v>
      </c>
      <c r="D26">
        <f t="shared" si="2"/>
        <v>15.844324889396963</v>
      </c>
      <c r="E26">
        <f>0.1*((-k_1*B26)+(k_2*C26))</f>
        <v>-0.17316893971465885</v>
      </c>
      <c r="F26">
        <f>0.1*((-k_1*(B26+(E26/2))+(k_2*C26)))</f>
        <v>-0.16451049272892593</v>
      </c>
      <c r="G26">
        <f>0.1*((-k_1*(B26+(F26/2))+(k_2*C26)))</f>
        <v>-0.16494341507821253</v>
      </c>
      <c r="H26">
        <f>0.1*((-k_1*(B26+G26))+(k_2*C26))</f>
        <v>-0.1566745982068376</v>
      </c>
      <c r="I26">
        <f>0.1*((k_1*B26)+(-k_2*C26)+(-k_3*C26))</f>
        <v>-9.7943195469162039E-2</v>
      </c>
      <c r="J26">
        <f>0.1*((k_1*B26)+(-k_2*(C26+(I26/2))+(-k_3*(C26+(I26/2)))))</f>
        <v>-8.5700296035516793E-2</v>
      </c>
      <c r="K26">
        <f>0.1*((k_1*B26)+(-k_2*(C26+(J26/2))+(-k_3*(C26+(J26/2)))))</f>
        <v>-8.7230658464722444E-2</v>
      </c>
      <c r="L26">
        <f>0.1*((k_1*B26)+(-k_2*(C26+K26)+(-k_3*(C26+K26))))</f>
        <v>-7.6135530852981415E-2</v>
      </c>
      <c r="M26">
        <f>0.1*(2*k_3*C26)</f>
        <v>0.54222427036764176</v>
      </c>
      <c r="N26">
        <f>0.1*(2*k_3*(C26+(M26/2)))</f>
        <v>0.65066912444117009</v>
      </c>
      <c r="O26">
        <f>0.1*(2*k_3*(C26+(N26/2)))</f>
        <v>0.67235809525587575</v>
      </c>
      <c r="P26">
        <f>0.1*(2*k_3*(C26+O26))</f>
        <v>0.81116750846999208</v>
      </c>
    </row>
    <row r="27" spans="1:16" x14ac:dyDescent="0.25">
      <c r="A27">
        <v>1.9</v>
      </c>
      <c r="B27">
        <f t="shared" si="0"/>
        <v>2.2446778428501784</v>
      </c>
      <c r="C27">
        <f t="shared" si="1"/>
        <v>1.268903903365334</v>
      </c>
      <c r="D27">
        <f t="shared" si="2"/>
        <v>16.510899259102253</v>
      </c>
      <c r="E27">
        <f>0.1*((-k_1*B27)+(k_2*C27))</f>
        <v>-0.16102258911675116</v>
      </c>
      <c r="F27">
        <f>0.1*((-k_1*(B27+(E27/2))+(k_2*C27)))</f>
        <v>-0.15297145966091361</v>
      </c>
      <c r="G27">
        <f>0.1*((-k_1*(B27+(F27/2))+(k_2*C27)))</f>
        <v>-0.15337401613370547</v>
      </c>
      <c r="H27">
        <f>0.1*((-k_1*(B27+G27))+(k_2*C27))</f>
        <v>-0.14568518750338061</v>
      </c>
      <c r="I27">
        <f>0.1*((k_1*B27)+(-k_2*C27)+(-k_3*C27))</f>
        <v>-9.2758191556315664E-2</v>
      </c>
      <c r="J27">
        <f>0.1*((k_1*B27)+(-k_2*(C27+(I27/2))+(-k_3*(C27+(I27/2)))))</f>
        <v>-8.1163417611776201E-2</v>
      </c>
      <c r="K27">
        <f>0.1*((k_1*B27)+(-k_2*(C27+(J27/2))+(-k_3*(C27+(J27/2)))))</f>
        <v>-8.2612764354843646E-2</v>
      </c>
      <c r="L27">
        <f>0.1*((k_1*B27)+(-k_2*(C27+K27)+(-k_3*(C27+K27))))</f>
        <v>-7.2105000467604805E-2</v>
      </c>
      <c r="M27">
        <f>0.1*(2*k_3*C27)</f>
        <v>0.50756156134613362</v>
      </c>
      <c r="N27">
        <f>0.1*(2*k_3*(C27+(M27/2)))</f>
        <v>0.60907387361536036</v>
      </c>
      <c r="O27">
        <f>0.1*(2*k_3*(C27+(N27/2)))</f>
        <v>0.62937633606920573</v>
      </c>
      <c r="P27">
        <f>0.1*(2*k_3*(C27+O27))</f>
        <v>0.75931209577381598</v>
      </c>
    </row>
    <row r="28" spans="1:16" x14ac:dyDescent="0.25">
      <c r="A28" s="3">
        <v>2</v>
      </c>
      <c r="B28" s="3">
        <f t="shared" si="0"/>
        <v>2.0914447214819498</v>
      </c>
      <c r="C28" s="3">
        <f t="shared" si="1"/>
        <v>1.1868346440391406</v>
      </c>
      <c r="D28" s="3">
        <f t="shared" si="2"/>
        <v>17.134861605183765</v>
      </c>
      <c r="E28">
        <f>0.1*((-k_1*B28)+(k_2*C28))</f>
        <v>-0.14980273994623797</v>
      </c>
      <c r="F28">
        <f>0.1*((-k_1*(B28+(E28/2))+(k_2*C28)))</f>
        <v>-0.14231260294892609</v>
      </c>
      <c r="G28">
        <f>0.1*((-k_1*(B28+(F28/2))+(k_2*C28)))</f>
        <v>-0.14268710979879168</v>
      </c>
      <c r="H28">
        <f>0.1*((-k_1*(B28+G28))+(k_2*C28))</f>
        <v>-0.13553402896635877</v>
      </c>
      <c r="I28">
        <f>0.1*((k_1*B28)+(-k_2*C28)+(-k_3*C28))</f>
        <v>-8.7564188861590175E-2</v>
      </c>
      <c r="J28">
        <f>0.1*((k_1*B28)+(-k_2*(C28+(I28/2))+(-k_3*(C28+(I28/2)))))</f>
        <v>-7.6618665253891383E-2</v>
      </c>
      <c r="K28">
        <f>0.1*((k_1*B28)+(-k_2*(C28+(J28/2))+(-k_3*(C28+(J28/2)))))</f>
        <v>-7.7986855704853753E-2</v>
      </c>
      <c r="L28">
        <f>0.1*((k_1*B28)+(-k_2*(C28+K28)+(-k_3*(C28+K28))))</f>
        <v>-6.8067474935376723E-2</v>
      </c>
      <c r="M28">
        <f>0.1*(2*k_3*C28)</f>
        <v>0.47473385761565629</v>
      </c>
      <c r="N28">
        <f>0.1*(2*k_3*(C28+(M28/2)))</f>
        <v>0.56968062913878759</v>
      </c>
      <c r="O28">
        <f>0.1*(2*k_3*(C28+(N28/2)))</f>
        <v>0.58866998344341381</v>
      </c>
      <c r="P28">
        <f>0.1*(2*k_3*(C28+O28))</f>
        <v>0.71020185099302191</v>
      </c>
    </row>
  </sheetData>
  <mergeCells count="4">
    <mergeCell ref="M6:P6"/>
    <mergeCell ref="A6:D6"/>
    <mergeCell ref="E6:H6"/>
    <mergeCell ref="I6:L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4B96A-87EE-4A3A-A5D5-0B62B9961A37}">
  <sheetPr codeName="Sheet8"/>
  <dimension ref="A1:F3"/>
  <sheetViews>
    <sheetView topLeftCell="A10" workbookViewId="0">
      <selection activeCell="E19" sqref="E19"/>
    </sheetView>
  </sheetViews>
  <sheetFormatPr defaultRowHeight="15" x14ac:dyDescent="0.25"/>
  <sheetData>
    <row r="1" spans="1:6" x14ac:dyDescent="0.25">
      <c r="A1" s="1">
        <v>2</v>
      </c>
      <c r="B1" s="4" t="s">
        <v>23</v>
      </c>
      <c r="C1" s="1">
        <v>0.1</v>
      </c>
      <c r="D1" s="4" t="s">
        <v>0</v>
      </c>
      <c r="E1" s="1">
        <v>2</v>
      </c>
      <c r="F1" s="4" t="s">
        <v>24</v>
      </c>
    </row>
    <row r="2" spans="1:6" x14ac:dyDescent="0.25">
      <c r="A2" s="15" t="s">
        <v>25</v>
      </c>
      <c r="B2" s="15" t="s">
        <v>9</v>
      </c>
      <c r="C2" s="15" t="s">
        <v>14</v>
      </c>
      <c r="D2" s="16" t="s">
        <v>15</v>
      </c>
    </row>
    <row r="3" spans="1:6" x14ac:dyDescent="0.25">
      <c r="A3">
        <v>0</v>
      </c>
      <c r="B3">
        <v>10</v>
      </c>
      <c r="C3">
        <v>0</v>
      </c>
      <c r="D3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1) h=0.1</vt:lpstr>
      <vt:lpstr>1) h=0.01</vt:lpstr>
      <vt:lpstr>1) h=0.001</vt:lpstr>
      <vt:lpstr>1) gauss</vt:lpstr>
      <vt:lpstr>2) euler</vt:lpstr>
      <vt:lpstr>2) second order RK</vt:lpstr>
      <vt:lpstr>2) fourth order RK</vt:lpstr>
      <vt:lpstr>Sheet8</vt:lpstr>
      <vt:lpstr>k_1</vt:lpstr>
      <vt:lpstr>k_2</vt:lpstr>
      <vt:lpstr>k_3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</dc:creator>
  <cp:lastModifiedBy>Renata</cp:lastModifiedBy>
  <dcterms:created xsi:type="dcterms:W3CDTF">2020-04-08T14:24:44Z</dcterms:created>
  <dcterms:modified xsi:type="dcterms:W3CDTF">2020-04-08T16:41:39Z</dcterms:modified>
</cp:coreProperties>
</file>