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2cef6a871318d33/Documents/PhD/Year 2/CHE 205/"/>
    </mc:Choice>
  </mc:AlternateContent>
  <xr:revisionPtr revIDLastSave="88" documentId="8_{2F9B3BAA-BA5F-954F-BD8A-B9E3486BFBBF}" xr6:coauthVersionLast="45" xr6:coauthVersionMax="45" xr10:uidLastSave="{F2B1BA19-82CA-164F-AC40-E5598FCFC0E3}"/>
  <bookViews>
    <workbookView xWindow="0" yWindow="0" windowWidth="28800" windowHeight="18000" activeTab="2" xr2:uid="{00000000-000D-0000-FFFF-FFFF00000000}"/>
  </bookViews>
  <sheets>
    <sheet name="NonlinRxnA" sheetId="1" r:id="rId1"/>
    <sheet name="NonlinRxnB" sheetId="2" r:id="rId2"/>
    <sheet name="LinRxnFD" sheetId="3" r:id="rId3"/>
  </sheets>
  <externalReferences>
    <externalReference r:id="rId4"/>
  </externalReferences>
  <definedNames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NonlinRxnA!$K$15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4" i="3" l="1"/>
  <c r="D3" i="3"/>
  <c r="K6" i="1"/>
  <c r="J6" i="1"/>
  <c r="J7" i="1" s="1"/>
  <c r="J8" i="1" s="1"/>
  <c r="J9" i="1" s="1"/>
  <c r="J10" i="1" s="1"/>
  <c r="J11" i="1" s="1"/>
  <c r="J12" i="1" s="1"/>
  <c r="J13" i="1" s="1"/>
  <c r="J14" i="1" s="1"/>
  <c r="J15" i="1" s="1"/>
  <c r="K5" i="1"/>
  <c r="L6" i="1" l="1"/>
  <c r="K7" i="1" s="1"/>
  <c r="L7" i="1" l="1"/>
  <c r="K8" i="1" s="1"/>
  <c r="L8" i="1" l="1"/>
  <c r="K9" i="1" s="1"/>
  <c r="L9" i="1" s="1"/>
  <c r="K10" i="1" s="1"/>
  <c r="L10" i="1" l="1"/>
  <c r="K11" i="1" l="1"/>
  <c r="L11" i="1" l="1"/>
  <c r="K12" i="1" s="1"/>
  <c r="L12" i="1" l="1"/>
  <c r="K13" i="1" l="1"/>
  <c r="L13" i="1" s="1"/>
  <c r="K14" i="1" l="1"/>
  <c r="L14" i="1" l="1"/>
  <c r="K15" i="1" s="1"/>
  <c r="L15" i="1" l="1"/>
  <c r="B7" i="1" l="1"/>
  <c r="C10" i="1"/>
  <c r="D2" i="1"/>
  <c r="C16" i="1"/>
  <c r="B16" i="1"/>
  <c r="C7" i="1"/>
  <c r="D4" i="3" l="1"/>
  <c r="C8" i="3"/>
  <c r="P7" i="3"/>
  <c r="P8" i="3" s="1"/>
  <c r="O7" i="3"/>
  <c r="O8" i="3" s="1"/>
  <c r="P6" i="3"/>
  <c r="C8" i="1"/>
  <c r="O6" i="3"/>
  <c r="O5" i="3"/>
  <c r="P9" i="3" l="1"/>
  <c r="O9" i="3"/>
  <c r="O10" i="3" l="1"/>
  <c r="P10" i="3"/>
  <c r="O11" i="3" l="1"/>
  <c r="P11" i="3"/>
  <c r="O12" i="3" l="1"/>
  <c r="P12" i="3" s="1"/>
  <c r="O13" i="3" l="1"/>
  <c r="P13" i="3" s="1"/>
  <c r="P14" i="3" l="1"/>
  <c r="O14" i="3"/>
  <c r="O15" i="3" l="1"/>
  <c r="P15" i="3"/>
  <c r="B6" i="1" l="1"/>
  <c r="B8" i="2" l="1"/>
  <c r="C7" i="2"/>
  <c r="B8" i="1"/>
  <c r="B9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B6" i="2"/>
  <c r="B7" i="2"/>
  <c r="B9" i="2" s="1"/>
  <c r="D2" i="2"/>
  <c r="C8" i="2" s="1"/>
  <c r="A6" i="3"/>
  <c r="H14" i="3"/>
  <c r="K6" i="3"/>
  <c r="K7" i="3"/>
  <c r="K8" i="3" s="1"/>
  <c r="K9" i="3" s="1"/>
  <c r="K10" i="3" s="1"/>
  <c r="K11" i="3" s="1"/>
  <c r="K12" i="3" s="1"/>
  <c r="K13" i="3" s="1"/>
  <c r="K14" i="3" s="1"/>
  <c r="K15" i="3" s="1"/>
  <c r="D2" i="3"/>
  <c r="F11" i="3"/>
  <c r="E10" i="3" l="1"/>
  <c r="B7" i="3"/>
  <c r="G12" i="3"/>
  <c r="H13" i="3"/>
  <c r="D9" i="3"/>
  <c r="C9" i="2"/>
  <c r="C10" i="2" s="1"/>
  <c r="L6" i="3" a="1"/>
  <c r="C9" i="1" l="1"/>
  <c r="L6" i="3"/>
  <c r="L8" i="3"/>
  <c r="L11" i="3"/>
  <c r="L10" i="3"/>
  <c r="L12" i="3"/>
  <c r="L7" i="3"/>
  <c r="L9" i="3"/>
  <c r="L14" i="3"/>
  <c r="L15" i="3" s="1"/>
  <c r="L13" i="3"/>
  <c r="B10" i="2"/>
  <c r="B11" i="2" s="1"/>
  <c r="B10" i="1"/>
  <c r="B11" i="1" l="1"/>
  <c r="C11" i="2"/>
  <c r="C12" i="2" s="1"/>
  <c r="C11" i="1"/>
  <c r="C12" i="1" s="1"/>
  <c r="B12" i="1" l="1"/>
  <c r="B13" i="1" s="1"/>
  <c r="B12" i="2"/>
  <c r="B13" i="2" s="1"/>
  <c r="C13" i="1" l="1"/>
  <c r="C14" i="1" s="1"/>
  <c r="C13" i="2"/>
  <c r="C14" i="2" s="1"/>
  <c r="B14" i="1" l="1"/>
  <c r="B15" i="1" s="1"/>
  <c r="B14" i="2"/>
  <c r="B15" i="2" s="1"/>
  <c r="C15" i="1"/>
  <c r="C15" i="2" l="1"/>
  <c r="C16" i="2" s="1"/>
  <c r="B16" i="2" l="1"/>
  <c r="B17" i="2" s="1"/>
  <c r="C17" i="2" l="1"/>
  <c r="C18" i="2" l="1"/>
  <c r="B18" i="2"/>
  <c r="B19" i="2" s="1"/>
  <c r="C19" i="2" l="1"/>
  <c r="C20" i="2" s="1"/>
  <c r="B20" i="2"/>
  <c r="B21" i="2" s="1"/>
  <c r="C21" i="2" l="1"/>
  <c r="C22" i="2" s="1"/>
  <c r="B22" i="2" l="1"/>
  <c r="B23" i="2" s="1"/>
  <c r="C23" i="2"/>
  <c r="C24" i="2" s="1"/>
  <c r="B24" i="2" l="1"/>
  <c r="B25" i="2" s="1"/>
  <c r="B26" i="2" l="1"/>
  <c r="B27" i="2" s="1"/>
  <c r="C25" i="2"/>
  <c r="C26" i="2" s="1"/>
  <c r="C27" i="2" l="1"/>
  <c r="C28" i="2" s="1"/>
  <c r="B28" i="2"/>
  <c r="B29" i="2" s="1"/>
  <c r="C29" i="2" l="1"/>
  <c r="C30" i="2" s="1"/>
  <c r="B30" i="2" l="1"/>
  <c r="B31" i="2" s="1"/>
  <c r="C31" i="2" l="1"/>
  <c r="C32" i="2" s="1"/>
  <c r="B32" i="2" l="1"/>
  <c r="B33" i="2" s="1"/>
  <c r="C33" i="2" l="1"/>
  <c r="C34" i="2" s="1"/>
  <c r="B34" i="2" l="1"/>
  <c r="B35" i="2" s="1"/>
  <c r="C35" i="2"/>
  <c r="C36" i="2" s="1"/>
  <c r="B36" i="2" l="1"/>
  <c r="B37" i="2" s="1"/>
  <c r="C37" i="2" l="1"/>
  <c r="C38" i="2" s="1"/>
  <c r="B38" i="2" l="1"/>
  <c r="B39" i="2" s="1"/>
  <c r="C39" i="2" l="1"/>
  <c r="C40" i="2" s="1"/>
  <c r="B40" i="2" l="1"/>
  <c r="B41" i="2" s="1"/>
  <c r="C41" i="2" l="1"/>
  <c r="C42" i="2" s="1"/>
  <c r="B42" i="2" l="1"/>
  <c r="B43" i="2" s="1"/>
  <c r="C43" i="2" l="1"/>
  <c r="C44" i="2" s="1"/>
  <c r="B44" i="2" l="1"/>
  <c r="B45" i="2" s="1"/>
  <c r="C45" i="2" l="1"/>
  <c r="C46" i="2" s="1"/>
  <c r="B46" i="2" l="1"/>
  <c r="B47" i="2" s="1"/>
  <c r="C47" i="2" l="1"/>
  <c r="C48" i="2" s="1"/>
  <c r="B48" i="2" l="1"/>
  <c r="B49" i="2" s="1"/>
  <c r="C49" i="2" l="1"/>
  <c r="C50" i="2" s="1"/>
  <c r="B50" i="2" l="1"/>
  <c r="B51" i="2" s="1"/>
  <c r="C51" i="2" l="1"/>
  <c r="C52" i="2" s="1"/>
  <c r="B52" i="2" l="1"/>
  <c r="B53" i="2" s="1"/>
  <c r="C53" i="2"/>
  <c r="C54" i="2" s="1"/>
  <c r="B54" i="2" l="1"/>
  <c r="B55" i="2" s="1"/>
  <c r="C55" i="2" l="1"/>
  <c r="C56" i="2" s="1"/>
  <c r="C57" i="2" l="1"/>
  <c r="C58" i="2" s="1"/>
  <c r="B56" i="2"/>
  <c r="B57" i="2" s="1"/>
  <c r="C59" i="2" l="1"/>
  <c r="C60" i="2" s="1"/>
  <c r="B58" i="2"/>
  <c r="B59" i="2" s="1"/>
  <c r="B60" i="2" l="1"/>
  <c r="B61" i="2" s="1"/>
  <c r="C61" i="2" l="1"/>
  <c r="C62" i="2" s="1"/>
  <c r="C63" i="2" l="1"/>
  <c r="C64" i="2" s="1"/>
  <c r="B62" i="2"/>
  <c r="B63" i="2" s="1"/>
  <c r="B64" i="2" l="1"/>
  <c r="B65" i="2" s="1"/>
  <c r="C65" i="2" l="1"/>
  <c r="C66" i="2" s="1"/>
  <c r="C67" i="2" l="1"/>
  <c r="B66" i="2"/>
  <c r="B67" i="2" s="1"/>
  <c r="B68" i="2" s="1"/>
  <c r="C68" i="2" l="1"/>
  <c r="C69" i="2" s="1"/>
  <c r="B69" i="2" l="1"/>
  <c r="B70" i="2" s="1"/>
  <c r="C70" i="2"/>
  <c r="C71" i="2" s="1"/>
  <c r="B71" i="2" l="1"/>
  <c r="B72" i="2" s="1"/>
  <c r="C72" i="2"/>
  <c r="C73" i="2" s="1"/>
  <c r="B73" i="2" l="1"/>
  <c r="B74" i="2" s="1"/>
  <c r="C74" i="2" l="1"/>
  <c r="C75" i="2" s="1"/>
  <c r="B75" i="2"/>
  <c r="B76" i="2" s="1"/>
  <c r="B77" i="2" l="1"/>
  <c r="B78" i="2" s="1"/>
  <c r="C76" i="2"/>
  <c r="C77" i="2" s="1"/>
  <c r="B79" i="2" l="1"/>
  <c r="B80" i="2" s="1"/>
  <c r="C78" i="2"/>
  <c r="C79" i="2" s="1"/>
  <c r="C80" i="2" l="1"/>
  <c r="C81" i="2" s="1"/>
  <c r="B81" i="2"/>
  <c r="B82" i="2" s="1"/>
  <c r="B83" i="2" l="1"/>
  <c r="B84" i="2" s="1"/>
  <c r="C82" i="2"/>
  <c r="C83" i="2" s="1"/>
  <c r="C84" i="2" l="1"/>
  <c r="C85" i="2" s="1"/>
  <c r="B85" i="2" l="1"/>
  <c r="B86" i="2" s="1"/>
  <c r="C86" i="2" l="1"/>
  <c r="C87" i="2" s="1"/>
  <c r="B87" i="2" l="1"/>
  <c r="B88" i="2" s="1"/>
  <c r="B89" i="2" l="1"/>
  <c r="B90" i="2" s="1"/>
  <c r="C88" i="2"/>
  <c r="C89" i="2" s="1"/>
  <c r="C90" i="2" l="1"/>
  <c r="C91" i="2" s="1"/>
  <c r="B91" i="2" l="1"/>
  <c r="B92" i="2" s="1"/>
  <c r="C92" i="2" l="1"/>
  <c r="C93" i="2" s="1"/>
  <c r="B93" i="2" l="1"/>
  <c r="B94" i="2" s="1"/>
  <c r="C94" i="2"/>
  <c r="C95" i="2" s="1"/>
  <c r="B95" i="2" l="1"/>
  <c r="B96" i="2" s="1"/>
  <c r="C96" i="2" l="1"/>
  <c r="C97" i="2" s="1"/>
  <c r="B97" i="2" l="1"/>
  <c r="B98" i="2" s="1"/>
  <c r="C98" i="2" l="1"/>
  <c r="C99" i="2" s="1"/>
  <c r="B99" i="2" l="1"/>
  <c r="B100" i="2" s="1"/>
  <c r="C100" i="2" l="1"/>
  <c r="C101" i="2" s="1"/>
  <c r="B101" i="2" l="1"/>
  <c r="B102" i="2" s="1"/>
  <c r="B103" i="2" l="1"/>
  <c r="B104" i="2" s="1"/>
  <c r="C102" i="2"/>
  <c r="C103" i="2" s="1"/>
  <c r="C104" i="2" l="1"/>
  <c r="C105" i="2" s="1"/>
  <c r="B105" i="2"/>
  <c r="B106" i="2" s="1"/>
  <c r="C106" i="2" l="1"/>
</calcChain>
</file>

<file path=xl/sharedStrings.xml><?xml version="1.0" encoding="utf-8"?>
<sst xmlns="http://schemas.openxmlformats.org/spreadsheetml/2006/main" count="39" uniqueCount="20">
  <si>
    <t>k</t>
  </si>
  <si>
    <t>CA0</t>
  </si>
  <si>
    <t>Da</t>
  </si>
  <si>
    <t>Dx</t>
  </si>
  <si>
    <t>x</t>
  </si>
  <si>
    <t>Ca</t>
  </si>
  <si>
    <t>Y</t>
  </si>
  <si>
    <t>k/Da</t>
  </si>
  <si>
    <t>kL^2Dx^2/Da</t>
  </si>
  <si>
    <t>L</t>
  </si>
  <si>
    <t>Dy</t>
  </si>
  <si>
    <t>2+alpha</t>
  </si>
  <si>
    <t>y</t>
  </si>
  <si>
    <t>C</t>
  </si>
  <si>
    <t>Ca(Dx=0.1)</t>
  </si>
  <si>
    <t>Ca(Dx=0.01)</t>
  </si>
  <si>
    <t>Ca(Dx=0.001)</t>
  </si>
  <si>
    <t xml:space="preserve">        essentially the same results.</t>
  </si>
  <si>
    <t xml:space="preserve">Note: Stopped at Dx = 0.001 since it is obvious that using 0.0001 would give </t>
  </si>
  <si>
    <t>d2Ca/dx2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</si>
</sst>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Concentration of A for Different Dx's</a:t>
            </a:r>
          </a:p>
        </c:rich>
      </c:tx>
      <c:layout>
        <c:manualLayout>
          <c:xMode val="edge"/>
          <c:yMode val="edge"/>
          <c:x val="0.12371148444501116"/>
          <c:y val="3.64238677326459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59249244430797"/>
          <c:y val="0.30690575410824872"/>
          <c:w val="0.42375266421954394"/>
          <c:h val="0.3682869049298984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NonlinRxnA!$B$5</c:f>
              <c:strCache>
                <c:ptCount val="1"/>
                <c:pt idx="0">
                  <c:v>Ca(Dx=0.1)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NonlinRxnA!$A$6:$A$16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NonlinRxnA!$B$6:$B$16</c:f>
              <c:numCache>
                <c:formatCode>General</c:formatCode>
                <c:ptCount val="11"/>
                <c:pt idx="0">
                  <c:v>1</c:v>
                </c:pt>
                <c:pt idx="1">
                  <c:v>0.73693629416599093</c:v>
                </c:pt>
                <c:pt idx="2" formatCode="0.00E+00">
                  <c:v>0.57387258833198196</c:v>
                </c:pt>
                <c:pt idx="3" formatCode="0.00E+00">
                  <c:v>0.46511639266388333</c:v>
                </c:pt>
                <c:pt idx="4">
                  <c:v>0.38929317175966949</c:v>
                </c:pt>
                <c:pt idx="5">
                  <c:v>0.33510327672792206</c:v>
                </c:pt>
                <c:pt idx="6">
                  <c:v>0.29606829905404497</c:v>
                </c:pt>
                <c:pt idx="7">
                  <c:v>0.2682627419875469</c:v>
                </c:pt>
                <c:pt idx="8">
                  <c:v>0.2492228286915244</c:v>
                </c:pt>
                <c:pt idx="9">
                  <c:v>0.2373794052693696</c:v>
                </c:pt>
                <c:pt idx="10" formatCode="0.00E+00">
                  <c:v>0.23174718368131531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61-EF47-ADDC-45992878452F}"/>
            </c:ext>
          </c:extLst>
        </c:ser>
        <c:ser>
          <c:idx val="1"/>
          <c:order val="1"/>
          <c:tx>
            <c:strRef>
              <c:f>NonlinRxnA!$D$5</c:f>
              <c:strCache>
                <c:ptCount val="1"/>
                <c:pt idx="0">
                  <c:v>Ca(Dx=0.01)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NonlinRxnA!$A$6:$A$16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NonlinRxnA!$D$6:$D$16</c:f>
              <c:numCache>
                <c:formatCode>General</c:formatCode>
                <c:ptCount val="11"/>
                <c:pt idx="0">
                  <c:v>1</c:v>
                </c:pt>
                <c:pt idx="1">
                  <c:v>0.78358058451530155</c:v>
                </c:pt>
                <c:pt idx="2">
                  <c:v>0.63292682375466758</c:v>
                </c:pt>
                <c:pt idx="3">
                  <c:v>0.52473487452365664</c:v>
                </c:pt>
                <c:pt idx="4">
                  <c:v>0.44548139669750658</c:v>
                </c:pt>
                <c:pt idx="5">
                  <c:v>0.38693232172114839</c:v>
                </c:pt>
                <c:pt idx="6">
                  <c:v>0.34389867863969553</c:v>
                </c:pt>
                <c:pt idx="7">
                  <c:v>0.31304331812528496</c:v>
                </c:pt>
                <c:pt idx="8">
                  <c:v>0.29221624395299517</c:v>
                </c:pt>
                <c:pt idx="9">
                  <c:v>0.28007388434371261</c:v>
                </c:pt>
                <c:pt idx="10">
                  <c:v>0.27586159388619791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61-EF47-ADDC-45992878452F}"/>
            </c:ext>
          </c:extLst>
        </c:ser>
        <c:ser>
          <c:idx val="2"/>
          <c:order val="2"/>
          <c:tx>
            <c:strRef>
              <c:f>NonlinRxnA!$E$5</c:f>
              <c:strCache>
                <c:ptCount val="1"/>
                <c:pt idx="0">
                  <c:v>Ca(Dx=0.001)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NonlinRxnA!$A$6:$A$16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NonlinRxnA!$E$6:$E$16</c:f>
              <c:numCache>
                <c:formatCode>General</c:formatCode>
                <c:ptCount val="11"/>
                <c:pt idx="0">
                  <c:v>1</c:v>
                </c:pt>
                <c:pt idx="1">
                  <c:v>0.78638693466181875</c:v>
                </c:pt>
                <c:pt idx="2">
                  <c:v>0.63753916198028127</c:v>
                </c:pt>
                <c:pt idx="3">
                  <c:v>0.52961876912415196</c:v>
                </c:pt>
                <c:pt idx="4">
                  <c:v>0.45024208347304812</c:v>
                </c:pt>
                <c:pt idx="5">
                  <c:v>0.39143187093717235</c:v>
                </c:pt>
                <c:pt idx="6">
                  <c:v>0.34812747998766008</c:v>
                </c:pt>
                <c:pt idx="7">
                  <c:v>0.31706203205973288</c:v>
                </c:pt>
                <c:pt idx="8">
                  <c:v>0.29613061806567703</c:v>
                </c:pt>
                <c:pt idx="9">
                  <c:v>0.28402641585477079</c:v>
                </c:pt>
                <c:pt idx="10">
                  <c:v>0.28003337716007598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61-EF47-ADDC-459928784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64992"/>
        <c:axId val="46372352"/>
      </c:scatterChart>
      <c:valAx>
        <c:axId val="46164992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Distance, cm</a:t>
                </a:r>
              </a:p>
            </c:rich>
          </c:tx>
          <c:layout>
            <c:manualLayout>
              <c:xMode val="edge"/>
              <c:yMode val="edge"/>
              <c:x val="0.31271531341983061"/>
              <c:y val="0.827814473958018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372352"/>
        <c:crosses val="autoZero"/>
        <c:crossBetween val="midCat"/>
        <c:majorUnit val="0.2"/>
      </c:valAx>
      <c:valAx>
        <c:axId val="4637235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Concentration, mole/l</a:t>
                </a:r>
              </a:p>
            </c:rich>
          </c:tx>
          <c:layout>
            <c:manualLayout>
              <c:xMode val="edge"/>
              <c:yMode val="edge"/>
              <c:x val="2.7491401631476224E-2"/>
              <c:y val="0.22185425351242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164992"/>
        <c:crosses val="autoZero"/>
        <c:crossBetween val="midCat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556816065319048"/>
          <c:y val="0.32450331125827814"/>
          <c:w val="0.3006877897601713"/>
          <c:h val="0.3046357615894039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NonlinRxnB!$G$1</c:f>
              <c:strCache>
                <c:ptCount val="1"/>
                <c:pt idx="0">
                  <c:v>Ca(Dx=0.01)</c:v>
                </c:pt>
              </c:strCache>
            </c:strRef>
          </c:tx>
          <c:marker>
            <c:symbol val="none"/>
          </c:marker>
          <c:xVal>
            <c:numRef>
              <c:f>NonlinRxnB!$F$2:$F$12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0.70000000000000051</c:v>
                </c:pt>
                <c:pt idx="8">
                  <c:v>0.8000000000000006</c:v>
                </c:pt>
                <c:pt idx="9">
                  <c:v>0.90000000000000069</c:v>
                </c:pt>
                <c:pt idx="10">
                  <c:v>1</c:v>
                </c:pt>
              </c:numCache>
            </c:numRef>
          </c:xVal>
          <c:yVal>
            <c:numRef>
              <c:f>NonlinRxnB!$G$2:$G$12</c:f>
              <c:numCache>
                <c:formatCode>General</c:formatCode>
                <c:ptCount val="11"/>
                <c:pt idx="0">
                  <c:v>1</c:v>
                </c:pt>
                <c:pt idx="1">
                  <c:v>0.78358058451530155</c:v>
                </c:pt>
                <c:pt idx="2">
                  <c:v>0.63292682375466758</c:v>
                </c:pt>
                <c:pt idx="3">
                  <c:v>0.52473487452365664</c:v>
                </c:pt>
                <c:pt idx="4">
                  <c:v>0.44548139669750658</c:v>
                </c:pt>
                <c:pt idx="5">
                  <c:v>0.38693232172114839</c:v>
                </c:pt>
                <c:pt idx="6">
                  <c:v>0.34389867863969553</c:v>
                </c:pt>
                <c:pt idx="7">
                  <c:v>0.31304331812528496</c:v>
                </c:pt>
                <c:pt idx="8">
                  <c:v>0.29221624395299517</c:v>
                </c:pt>
                <c:pt idx="9">
                  <c:v>0.28007388434371261</c:v>
                </c:pt>
                <c:pt idx="10">
                  <c:v>0.27586159388619791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AF-6841-854E-5D75FEE27F2A}"/>
            </c:ext>
          </c:extLst>
        </c:ser>
        <c:ser>
          <c:idx val="1"/>
          <c:order val="1"/>
          <c:tx>
            <c:strRef>
              <c:f>NonlinRxnB!$H$1</c:f>
              <c:strCache>
                <c:ptCount val="1"/>
                <c:pt idx="0">
                  <c:v>Ca(Dx=0.001)</c:v>
                </c:pt>
              </c:strCache>
            </c:strRef>
          </c:tx>
          <c:marker>
            <c:symbol val="none"/>
          </c:marker>
          <c:xVal>
            <c:numRef>
              <c:f>NonlinRxnB!$F$2:$F$12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0.70000000000000051</c:v>
                </c:pt>
                <c:pt idx="8">
                  <c:v>0.8000000000000006</c:v>
                </c:pt>
                <c:pt idx="9">
                  <c:v>0.90000000000000069</c:v>
                </c:pt>
                <c:pt idx="10">
                  <c:v>1</c:v>
                </c:pt>
              </c:numCache>
            </c:numRef>
          </c:xVal>
          <c:yVal>
            <c:numRef>
              <c:f>NonlinRxnB!$H$2:$H$12</c:f>
              <c:numCache>
                <c:formatCode>General</c:formatCode>
                <c:ptCount val="11"/>
                <c:pt idx="0">
                  <c:v>1</c:v>
                </c:pt>
                <c:pt idx="1">
                  <c:v>0.78638693466181875</c:v>
                </c:pt>
                <c:pt idx="2">
                  <c:v>0.63753916198028127</c:v>
                </c:pt>
                <c:pt idx="3">
                  <c:v>0.52961876912415196</c:v>
                </c:pt>
                <c:pt idx="4">
                  <c:v>0.45024208347304812</c:v>
                </c:pt>
                <c:pt idx="5">
                  <c:v>0.39143187093717235</c:v>
                </c:pt>
                <c:pt idx="6">
                  <c:v>0.34812747998766008</c:v>
                </c:pt>
                <c:pt idx="7">
                  <c:v>0.31706203205973288</c:v>
                </c:pt>
                <c:pt idx="8">
                  <c:v>0.29613061806567703</c:v>
                </c:pt>
                <c:pt idx="9">
                  <c:v>0.28402641585477079</c:v>
                </c:pt>
                <c:pt idx="10">
                  <c:v>0.28003337716007598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AF-6841-854E-5D75FEE27F2A}"/>
            </c:ext>
          </c:extLst>
        </c:ser>
        <c:ser>
          <c:idx val="2"/>
          <c:order val="2"/>
          <c:tx>
            <c:strRef>
              <c:f>NonlinRxnB!$I$1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NonlinRxnB!$F$2:$F$12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0.70000000000000051</c:v>
                </c:pt>
                <c:pt idx="8">
                  <c:v>0.8000000000000006</c:v>
                </c:pt>
                <c:pt idx="9">
                  <c:v>0.90000000000000069</c:v>
                </c:pt>
                <c:pt idx="10">
                  <c:v>1</c:v>
                </c:pt>
              </c:numCache>
            </c:numRef>
          </c:xVal>
          <c:yVal>
            <c:numRef>
              <c:f>NonlinRxnB!$I$2:$I$12</c:f>
              <c:numCache>
                <c:formatCode>General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AF-6841-854E-5D75FEE2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7376"/>
        <c:axId val="175091712"/>
      </c:scatterChart>
      <c:valAx>
        <c:axId val="17475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91712"/>
        <c:crosses val="autoZero"/>
        <c:crossBetween val="midCat"/>
      </c:valAx>
      <c:valAx>
        <c:axId val="175091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757376"/>
        <c:crosses val="autoZero"/>
        <c:crossBetween val="midCat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8315549247363014"/>
          <c:y val="0.41319584552627742"/>
          <c:w val="0.20071719715571298"/>
          <c:h val="0.1666672318089186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Concentration of A by Finite Differences</a:t>
            </a:r>
          </a:p>
        </c:rich>
      </c:tx>
      <c:layout>
        <c:manualLayout>
          <c:xMode val="edge"/>
          <c:yMode val="edge"/>
          <c:x val="0.1992187531021557"/>
          <c:y val="3.64238677326459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64457752560158"/>
          <c:y val="0.23785195943389276"/>
          <c:w val="0.81543176726178912"/>
          <c:h val="0.53708506968943526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LinRxnFD!$K$5:$K$15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LinRxnFD!$L$5:$L$15</c:f>
              <c:numCache>
                <c:formatCode>General</c:formatCode>
                <c:ptCount val="11"/>
                <c:pt idx="0">
                  <c:v>1</c:v>
                </c:pt>
                <c:pt idx="1">
                  <c:v>0.73100007503021536</c:v>
                </c:pt>
                <c:pt idx="2">
                  <c:v>0.53510015756345242</c:v>
                </c:pt>
                <c:pt idx="3">
                  <c:v>0.39271025585303465</c:v>
                </c:pt>
                <c:pt idx="4">
                  <c:v>0.28959137972792054</c:v>
                </c:pt>
                <c:pt idx="5">
                  <c:v>0.21543164157559841</c:v>
                </c:pt>
                <c:pt idx="6">
                  <c:v>0.16281506758083625</c:v>
                </c:pt>
                <c:pt idx="7">
                  <c:v>0.12648000034415771</c:v>
                </c:pt>
                <c:pt idx="8">
                  <c:v>0.10279293314189493</c:v>
                </c:pt>
                <c:pt idx="9">
                  <c:v>8.938515925382165E-2</c:v>
                </c:pt>
                <c:pt idx="10">
                  <c:v>8.4915901291130566E-2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67-2D45-B652-D057493B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87136"/>
        <c:axId val="181029888"/>
      </c:scatterChart>
      <c:valAx>
        <c:axId val="180587136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Distance, cm</a:t>
                </a:r>
              </a:p>
            </c:rich>
          </c:tx>
          <c:layout>
            <c:manualLayout>
              <c:xMode val="edge"/>
              <c:yMode val="edge"/>
              <c:x val="0.46093745656981983"/>
              <c:y val="0.874172154311913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029888"/>
        <c:crosses val="autoZero"/>
        <c:crossBetween val="midCat"/>
      </c:valAx>
      <c:valAx>
        <c:axId val="181029888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Concentration, mole/l</a:t>
                </a:r>
              </a:p>
            </c:rich>
          </c:tx>
          <c:layout>
            <c:manualLayout>
              <c:xMode val="edge"/>
              <c:yMode val="edge"/>
              <c:x val="3.12500744517374E-2"/>
              <c:y val="0.26490055111397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58713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47625</xdr:rowOff>
    </xdr:from>
    <xdr:to>
      <xdr:col>7</xdr:col>
      <xdr:colOff>419100</xdr:colOff>
      <xdr:row>36</xdr:row>
      <xdr:rowOff>9525</xdr:rowOff>
    </xdr:to>
    <xdr:graphicFrame macro="">
      <xdr:nvGraphicFramePr>
        <xdr:cNvPr id="2053" name="Chart 2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17</xdr:row>
      <xdr:rowOff>0</xdr:rowOff>
    </xdr:from>
    <xdr:to>
      <xdr:col>12</xdr:col>
      <xdr:colOff>0</xdr:colOff>
      <xdr:row>33</xdr:row>
      <xdr:rowOff>152400</xdr:rowOff>
    </xdr:to>
    <xdr:graphicFrame macro="">
      <xdr:nvGraphicFramePr>
        <xdr:cNvPr id="1029" name="Chart 2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16</xdr:row>
      <xdr:rowOff>28575</xdr:rowOff>
    </xdr:from>
    <xdr:to>
      <xdr:col>8</xdr:col>
      <xdr:colOff>28575</xdr:colOff>
      <xdr:row>33</xdr:row>
      <xdr:rowOff>152400</xdr:rowOff>
    </xdr:to>
    <xdr:graphicFrame macro="">
      <xdr:nvGraphicFramePr>
        <xdr:cNvPr id="3076" name="Chart 1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srakhalid/OneDrive/Documents/PhD/Year%202/CHE%20205/matrix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WorkArea"/>
      <sheetName val="CommandBarMenu"/>
      <sheetName val="Functions"/>
    </sheetNames>
    <definedNames>
      <definedName name="SysLin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8"/>
  <sheetViews>
    <sheetView workbookViewId="0">
      <selection activeCell="Q18" sqref="Q18"/>
    </sheetView>
  </sheetViews>
  <sheetFormatPr baseColWidth="10" defaultColWidth="8.83203125" defaultRowHeight="13"/>
  <cols>
    <col min="2" max="2" width="10" customWidth="1"/>
    <col min="3" max="3" width="12.1640625" customWidth="1"/>
    <col min="4" max="4" width="11.5" customWidth="1"/>
    <col min="5" max="5" width="12.1640625" customWidth="1"/>
    <col min="6" max="6" width="12.6640625" customWidth="1"/>
    <col min="12" max="12" width="13.1640625" customWidth="1"/>
  </cols>
  <sheetData>
    <row r="1" spans="1:12">
      <c r="A1" t="s">
        <v>0</v>
      </c>
      <c r="B1">
        <v>0.01</v>
      </c>
    </row>
    <row r="2" spans="1:12">
      <c r="A2" t="s">
        <v>1</v>
      </c>
      <c r="B2">
        <v>1</v>
      </c>
      <c r="C2" t="s">
        <v>7</v>
      </c>
      <c r="D2" s="1">
        <f>B1/B3</f>
        <v>10</v>
      </c>
    </row>
    <row r="3" spans="1:12">
      <c r="A3" t="s">
        <v>2</v>
      </c>
      <c r="B3" s="1">
        <v>1E-3</v>
      </c>
    </row>
    <row r="4" spans="1:12">
      <c r="A4" t="s">
        <v>3</v>
      </c>
      <c r="B4">
        <v>0.1</v>
      </c>
      <c r="J4" t="s">
        <v>4</v>
      </c>
      <c r="K4" t="s">
        <v>14</v>
      </c>
      <c r="L4" s="3" t="s">
        <v>19</v>
      </c>
    </row>
    <row r="5" spans="1:12">
      <c r="A5" t="s">
        <v>4</v>
      </c>
      <c r="B5" t="s">
        <v>14</v>
      </c>
      <c r="C5" s="3" t="s">
        <v>19</v>
      </c>
      <c r="D5" t="s">
        <v>15</v>
      </c>
      <c r="E5" t="s">
        <v>16</v>
      </c>
      <c r="J5">
        <v>0</v>
      </c>
      <c r="K5">
        <f>$B$2</f>
        <v>1</v>
      </c>
      <c r="L5">
        <v>-2.1149590745023512</v>
      </c>
    </row>
    <row r="6" spans="1:12">
      <c r="A6">
        <v>0</v>
      </c>
      <c r="B6">
        <f>$B$2</f>
        <v>1</v>
      </c>
      <c r="C6">
        <v>-2.6306370583400902</v>
      </c>
      <c r="D6">
        <v>1</v>
      </c>
      <c r="E6">
        <v>1</v>
      </c>
      <c r="J6">
        <f>J5+$B$4</f>
        <v>0.1</v>
      </c>
      <c r="K6">
        <f>K5+$B$4*L5</f>
        <v>0.78850409254976483</v>
      </c>
      <c r="L6" s="1">
        <f>L5+$B$4*$D$2*K6*K6</f>
        <v>-1.493220370534623</v>
      </c>
    </row>
    <row r="7" spans="1:12">
      <c r="A7">
        <f>A6+$B$4</f>
        <v>0.1</v>
      </c>
      <c r="B7">
        <f>B6+$B$4*C6</f>
        <v>0.73693629416599093</v>
      </c>
      <c r="C7" s="1">
        <f>C6+$B$4*$D$2*B6*B6</f>
        <v>-1.6306370583400902</v>
      </c>
      <c r="D7">
        <v>0.78358058451530155</v>
      </c>
      <c r="E7">
        <v>0.78638693466181875</v>
      </c>
      <c r="J7">
        <f>J6+$B$4</f>
        <v>0.2</v>
      </c>
      <c r="K7">
        <f t="shared" ref="K7:K15" si="0">K6+$B$4*L6</f>
        <v>0.63918205549630258</v>
      </c>
      <c r="L7" s="1">
        <f t="shared" ref="L7:L15" si="1">L6+$B$4*$D$2*K7*K7</f>
        <v>-1.0846666704661445</v>
      </c>
    </row>
    <row r="8" spans="1:12">
      <c r="A8">
        <f>A7+$B$4</f>
        <v>0.2</v>
      </c>
      <c r="B8" s="1">
        <f>B7+$B$4*C7</f>
        <v>0.57387258833198196</v>
      </c>
      <c r="C8" s="1">
        <f>C7+$B$4*$D$2*B7*B7</f>
        <v>-1.0875619566809864</v>
      </c>
      <c r="D8">
        <v>0.63292682375466758</v>
      </c>
      <c r="E8">
        <v>0.63753916198028127</v>
      </c>
      <c r="J8">
        <f t="shared" ref="J8:J15" si="2">J7+$B$4</f>
        <v>0.30000000000000004</v>
      </c>
      <c r="K8">
        <f t="shared" si="0"/>
        <v>0.53071538844968813</v>
      </c>
      <c r="L8" s="1">
        <f t="shared" si="1"/>
        <v>-0.80300784692884108</v>
      </c>
    </row>
    <row r="9" spans="1:12">
      <c r="A9">
        <f t="shared" ref="A9:A16" si="3">A8+$B$4</f>
        <v>0.30000000000000004</v>
      </c>
      <c r="B9" s="1">
        <f>B8+$B$4*C8</f>
        <v>0.46511639266388333</v>
      </c>
      <c r="C9" s="1">
        <f t="shared" ref="C9:C15" si="4">C8+$B$4*$D$2*B8*B8</f>
        <v>-0.75823220904213806</v>
      </c>
      <c r="D9">
        <v>0.52473487452365664</v>
      </c>
      <c r="E9">
        <v>0.52961876912415196</v>
      </c>
      <c r="J9">
        <f t="shared" si="2"/>
        <v>0.4</v>
      </c>
      <c r="K9">
        <f t="shared" si="0"/>
        <v>0.45041460375680403</v>
      </c>
      <c r="L9" s="1">
        <f t="shared" si="1"/>
        <v>-0.60013453165144226</v>
      </c>
    </row>
    <row r="10" spans="1:12">
      <c r="A10">
        <f t="shared" si="3"/>
        <v>0.4</v>
      </c>
      <c r="B10">
        <f t="shared" ref="B10:B15" si="5">B9+$B$4*C9</f>
        <v>0.38929317175966949</v>
      </c>
      <c r="C10" s="1">
        <f>C9+$B$4*$D$2*B9*B9</f>
        <v>-0.54189895031747437</v>
      </c>
      <c r="D10">
        <v>0.44548139669750658</v>
      </c>
      <c r="E10">
        <v>0.45024208347304812</v>
      </c>
      <c r="J10">
        <f t="shared" si="2"/>
        <v>0.5</v>
      </c>
      <c r="K10">
        <f t="shared" si="0"/>
        <v>0.39040115059165981</v>
      </c>
      <c r="L10" s="1">
        <f t="shared" si="1"/>
        <v>-0.44772147326815043</v>
      </c>
    </row>
    <row r="11" spans="1:12">
      <c r="A11">
        <f t="shared" si="3"/>
        <v>0.5</v>
      </c>
      <c r="B11">
        <f t="shared" si="5"/>
        <v>0.33510327672792206</v>
      </c>
      <c r="C11" s="1">
        <f t="shared" si="4"/>
        <v>-0.3903497767387708</v>
      </c>
      <c r="D11">
        <v>0.38693232172114839</v>
      </c>
      <c r="E11">
        <v>0.39143187093717235</v>
      </c>
      <c r="J11">
        <f t="shared" si="2"/>
        <v>0.6</v>
      </c>
      <c r="K11">
        <f t="shared" si="0"/>
        <v>0.34562900326484475</v>
      </c>
      <c r="L11" s="1">
        <f t="shared" si="1"/>
        <v>-0.32826206537030034</v>
      </c>
    </row>
    <row r="12" spans="1:12">
      <c r="A12">
        <f t="shared" si="3"/>
        <v>0.6</v>
      </c>
      <c r="B12">
        <f t="shared" si="5"/>
        <v>0.29606829905404497</v>
      </c>
      <c r="C12" s="1">
        <f t="shared" si="4"/>
        <v>-0.27805557066498049</v>
      </c>
      <c r="D12">
        <v>0.34389867863969553</v>
      </c>
      <c r="E12">
        <v>0.34812747998766008</v>
      </c>
      <c r="J12">
        <f t="shared" si="2"/>
        <v>0.7</v>
      </c>
      <c r="K12">
        <f t="shared" si="0"/>
        <v>0.31280279672781469</v>
      </c>
      <c r="L12" s="1">
        <f t="shared" si="1"/>
        <v>-0.23041647572955778</v>
      </c>
    </row>
    <row r="13" spans="1:12">
      <c r="A13">
        <f t="shared" si="3"/>
        <v>0.7</v>
      </c>
      <c r="B13">
        <f t="shared" si="5"/>
        <v>0.2682627419875469</v>
      </c>
      <c r="C13" s="1">
        <f t="shared" si="4"/>
        <v>-0.19039913296022509</v>
      </c>
      <c r="D13">
        <v>0.31304331812528496</v>
      </c>
      <c r="E13">
        <v>0.31706203205973288</v>
      </c>
      <c r="J13">
        <f t="shared" si="2"/>
        <v>0.79999999999999993</v>
      </c>
      <c r="K13">
        <f t="shared" si="0"/>
        <v>0.2897611491548589</v>
      </c>
      <c r="L13" s="1">
        <f t="shared" si="1"/>
        <v>-0.14645495217001342</v>
      </c>
    </row>
    <row r="14" spans="1:12">
      <c r="A14">
        <f t="shared" si="3"/>
        <v>0.79999999999999993</v>
      </c>
      <c r="B14">
        <f t="shared" si="5"/>
        <v>0.2492228286915244</v>
      </c>
      <c r="C14" s="1">
        <f t="shared" si="4"/>
        <v>-0.11843423422154793</v>
      </c>
      <c r="D14">
        <v>0.29221624395299517</v>
      </c>
      <c r="E14">
        <v>0.29613061806567703</v>
      </c>
      <c r="J14">
        <f t="shared" si="2"/>
        <v>0.89999999999999991</v>
      </c>
      <c r="K14">
        <f t="shared" si="0"/>
        <v>0.27511565393785753</v>
      </c>
      <c r="L14" s="1">
        <f t="shared" si="1"/>
        <v>-7.0766329128358438E-2</v>
      </c>
    </row>
    <row r="15" spans="1:12">
      <c r="A15">
        <f t="shared" si="3"/>
        <v>0.89999999999999991</v>
      </c>
      <c r="B15">
        <f t="shared" si="5"/>
        <v>0.2373794052693696</v>
      </c>
      <c r="C15" s="1">
        <f t="shared" si="4"/>
        <v>-5.6322215880543015E-2</v>
      </c>
      <c r="D15">
        <v>0.28007388434371261</v>
      </c>
      <c r="E15">
        <v>0.28402641585477079</v>
      </c>
      <c r="J15">
        <f t="shared" si="2"/>
        <v>0.99999999999999989</v>
      </c>
      <c r="K15">
        <f t="shared" si="0"/>
        <v>0.2680390210250217</v>
      </c>
      <c r="L15" s="1">
        <f t="shared" si="1"/>
        <v>1.0785876636935782E-3</v>
      </c>
    </row>
    <row r="16" spans="1:12">
      <c r="A16">
        <f t="shared" si="3"/>
        <v>0.99999999999999989</v>
      </c>
      <c r="B16" s="1">
        <f>B15+$B$4*C15</f>
        <v>0.23174718368131531</v>
      </c>
      <c r="C16" s="1">
        <f>C15+$B$4*$D$2*B15*B15</f>
        <v>2.6766165496600047E-5</v>
      </c>
      <c r="D16">
        <v>0.27586159388619791</v>
      </c>
      <c r="E16">
        <v>0.28003337716007598</v>
      </c>
    </row>
    <row r="17" spans="1:1">
      <c r="A17" s="3" t="s">
        <v>18</v>
      </c>
    </row>
    <row r="18" spans="1:1">
      <c r="A18" t="s">
        <v>17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534"/>
  <sheetViews>
    <sheetView workbookViewId="0">
      <selection activeCell="B14" sqref="B14"/>
    </sheetView>
  </sheetViews>
  <sheetFormatPr baseColWidth="10" defaultColWidth="8.83203125" defaultRowHeight="13"/>
  <cols>
    <col min="3" max="3" width="10.5" customWidth="1"/>
    <col min="7" max="8" width="12.33203125" customWidth="1"/>
    <col min="9" max="9" width="14" customWidth="1"/>
    <col min="11" max="11" width="11.1640625" customWidth="1"/>
    <col min="12" max="12" width="12.33203125" customWidth="1"/>
    <col min="13" max="13" width="13.5" customWidth="1"/>
  </cols>
  <sheetData>
    <row r="1" spans="1:9">
      <c r="A1" t="s">
        <v>0</v>
      </c>
      <c r="B1">
        <v>0.01</v>
      </c>
      <c r="F1" s="4" t="s">
        <v>4</v>
      </c>
      <c r="G1" t="s">
        <v>15</v>
      </c>
      <c r="H1" t="s">
        <v>16</v>
      </c>
      <c r="I1" s="3"/>
    </row>
    <row r="2" spans="1:9">
      <c r="A2" t="s">
        <v>1</v>
      </c>
      <c r="B2">
        <v>1</v>
      </c>
      <c r="C2" t="s">
        <v>7</v>
      </c>
      <c r="D2" s="1">
        <f>B1/B3</f>
        <v>10</v>
      </c>
      <c r="F2">
        <v>0</v>
      </c>
      <c r="G2">
        <v>1</v>
      </c>
      <c r="H2">
        <v>1</v>
      </c>
    </row>
    <row r="3" spans="1:9">
      <c r="A3" t="s">
        <v>2</v>
      </c>
      <c r="B3" s="1">
        <v>1E-3</v>
      </c>
      <c r="F3">
        <v>0.1</v>
      </c>
      <c r="G3">
        <v>0.78358058451530155</v>
      </c>
      <c r="H3">
        <v>0.78638693466181875</v>
      </c>
    </row>
    <row r="4" spans="1:9">
      <c r="A4" t="s">
        <v>3</v>
      </c>
      <c r="B4">
        <v>0.01</v>
      </c>
      <c r="F4">
        <v>0.2</v>
      </c>
      <c r="G4">
        <v>0.63292682375466758</v>
      </c>
      <c r="H4">
        <v>0.63753916198028127</v>
      </c>
    </row>
    <row r="5" spans="1:9">
      <c r="A5" t="s">
        <v>4</v>
      </c>
      <c r="B5" t="s">
        <v>5</v>
      </c>
      <c r="C5" t="s">
        <v>6</v>
      </c>
      <c r="F5">
        <v>0.3</v>
      </c>
      <c r="G5">
        <v>0.52473487452365664</v>
      </c>
      <c r="H5">
        <v>0.52961876912415196</v>
      </c>
    </row>
    <row r="6" spans="1:9">
      <c r="A6">
        <v>0</v>
      </c>
      <c r="B6">
        <f>$B$2</f>
        <v>1</v>
      </c>
      <c r="C6">
        <v>-2.5597083637990505</v>
      </c>
      <c r="F6">
        <v>0.4</v>
      </c>
      <c r="G6">
        <v>0.44548139669750658</v>
      </c>
      <c r="H6">
        <v>0.45024208347304812</v>
      </c>
    </row>
    <row r="7" spans="1:9">
      <c r="A7">
        <f>A6+$B$4</f>
        <v>0.01</v>
      </c>
      <c r="B7">
        <f>B6+$B$4*C6</f>
        <v>0.97440291636200949</v>
      </c>
      <c r="C7" s="1">
        <f>C6+$B$4*$D$2*B6*B6</f>
        <v>-2.4597083637990504</v>
      </c>
      <c r="F7">
        <v>0.5</v>
      </c>
      <c r="G7">
        <v>0.38693232172114839</v>
      </c>
      <c r="H7">
        <v>0.39143187093717235</v>
      </c>
    </row>
    <row r="8" spans="1:9">
      <c r="A8">
        <f t="shared" ref="A8:A24" si="0">A7+$B$4</f>
        <v>0.02</v>
      </c>
      <c r="B8" s="1">
        <f>B7+$B$4*C7</f>
        <v>0.94980583272401897</v>
      </c>
      <c r="C8" s="1">
        <f t="shared" ref="C8:C24" si="1">C7+$B$4*$D$2*B7*B7</f>
        <v>-2.3647622594575717</v>
      </c>
      <c r="F8">
        <v>0.6</v>
      </c>
      <c r="G8">
        <v>0.34389867863969553</v>
      </c>
      <c r="H8">
        <v>0.34812747998766008</v>
      </c>
    </row>
    <row r="9" spans="1:9">
      <c r="A9">
        <f t="shared" si="0"/>
        <v>0.03</v>
      </c>
      <c r="B9">
        <f t="shared" ref="B9:B24" si="2">B8+$B$4*C8</f>
        <v>0.92615821012944322</v>
      </c>
      <c r="C9" s="1">
        <f t="shared" si="1"/>
        <v>-2.2745491474699149</v>
      </c>
      <c r="F9">
        <v>0.70000000000000051</v>
      </c>
      <c r="G9">
        <v>0.31304331812528496</v>
      </c>
      <c r="H9">
        <v>0.31706203205973288</v>
      </c>
    </row>
    <row r="10" spans="1:9">
      <c r="A10">
        <f t="shared" si="0"/>
        <v>0.04</v>
      </c>
      <c r="B10">
        <f t="shared" si="2"/>
        <v>0.90341271865474404</v>
      </c>
      <c r="C10" s="1">
        <f t="shared" si="1"/>
        <v>-2.1887722444508975</v>
      </c>
      <c r="F10">
        <v>0.8000000000000006</v>
      </c>
      <c r="G10">
        <v>0.29221624395299517</v>
      </c>
      <c r="H10">
        <v>0.29613061806567703</v>
      </c>
    </row>
    <row r="11" spans="1:9">
      <c r="A11">
        <f t="shared" si="0"/>
        <v>0.05</v>
      </c>
      <c r="B11">
        <f t="shared" si="2"/>
        <v>0.88152499621023506</v>
      </c>
      <c r="C11" s="1">
        <f t="shared" si="1"/>
        <v>-2.1071567904281818</v>
      </c>
      <c r="F11">
        <v>0.90000000000000069</v>
      </c>
      <c r="G11">
        <v>0.28007388434371261</v>
      </c>
      <c r="H11">
        <v>0.28402641585477079</v>
      </c>
    </row>
    <row r="12" spans="1:9">
      <c r="A12">
        <f t="shared" si="0"/>
        <v>6.0000000000000005E-2</v>
      </c>
      <c r="B12">
        <f t="shared" si="2"/>
        <v>0.86045342830595328</v>
      </c>
      <c r="C12" s="1">
        <f t="shared" si="1"/>
        <v>-2.0294481585338362</v>
      </c>
      <c r="F12">
        <v>1</v>
      </c>
      <c r="G12">
        <v>0.27586159388619791</v>
      </c>
      <c r="H12">
        <v>0.28003337716007598</v>
      </c>
    </row>
    <row r="13" spans="1:9">
      <c r="A13">
        <f t="shared" si="0"/>
        <v>7.0000000000000007E-2</v>
      </c>
      <c r="B13">
        <f t="shared" si="2"/>
        <v>0.84015894672061497</v>
      </c>
      <c r="C13" s="1">
        <f t="shared" si="1"/>
        <v>-1.9554101483054893</v>
      </c>
    </row>
    <row r="14" spans="1:9">
      <c r="A14">
        <f t="shared" si="0"/>
        <v>0.08</v>
      </c>
      <c r="B14">
        <f t="shared" si="2"/>
        <v>0.82060484523756005</v>
      </c>
      <c r="C14" s="1">
        <f t="shared" si="1"/>
        <v>-1.8848234427300201</v>
      </c>
    </row>
    <row r="15" spans="1:9">
      <c r="A15">
        <f t="shared" si="0"/>
        <v>0.09</v>
      </c>
      <c r="B15">
        <f t="shared" si="2"/>
        <v>0.80175661081025984</v>
      </c>
      <c r="C15" s="1">
        <f t="shared" si="1"/>
        <v>-1.817484211527284</v>
      </c>
    </row>
    <row r="16" spans="1:9">
      <c r="A16">
        <f t="shared" si="0"/>
        <v>9.9999999999999992E-2</v>
      </c>
      <c r="B16">
        <f t="shared" si="2"/>
        <v>0.78358176869498697</v>
      </c>
      <c r="C16" s="1">
        <f t="shared" si="1"/>
        <v>-1.7532028452294885</v>
      </c>
    </row>
    <row r="17" spans="1:3">
      <c r="A17">
        <f t="shared" si="0"/>
        <v>0.10999999999999999</v>
      </c>
      <c r="B17">
        <f t="shared" si="2"/>
        <v>0.76604974024269212</v>
      </c>
      <c r="C17" s="1">
        <f t="shared" si="1"/>
        <v>-1.6918028064063722</v>
      </c>
    </row>
    <row r="18" spans="1:3">
      <c r="A18">
        <f t="shared" si="0"/>
        <v>0.11999999999999998</v>
      </c>
      <c r="B18">
        <f t="shared" si="2"/>
        <v>0.7491317121786284</v>
      </c>
      <c r="C18" s="1">
        <f t="shared" si="1"/>
        <v>-1.6331195859537826</v>
      </c>
    </row>
    <row r="19" spans="1:3">
      <c r="A19">
        <f t="shared" si="0"/>
        <v>0.12999999999999998</v>
      </c>
      <c r="B19">
        <f t="shared" si="2"/>
        <v>0.7328005163190906</v>
      </c>
      <c r="C19" s="1">
        <f t="shared" si="1"/>
        <v>-1.5769997537346143</v>
      </c>
    </row>
    <row r="20" spans="1:3">
      <c r="A20">
        <f t="shared" si="0"/>
        <v>0.13999999999999999</v>
      </c>
      <c r="B20">
        <f t="shared" si="2"/>
        <v>0.71703051878174451</v>
      </c>
      <c r="C20" s="1">
        <f t="shared" si="1"/>
        <v>-1.5233000940628618</v>
      </c>
    </row>
    <row r="21" spans="1:3">
      <c r="A21">
        <f t="shared" si="0"/>
        <v>0.15</v>
      </c>
      <c r="B21">
        <f t="shared" si="2"/>
        <v>0.70179751784111588</v>
      </c>
      <c r="C21" s="1">
        <f t="shared" si="1"/>
        <v>-1.4718868175764201</v>
      </c>
    </row>
    <row r="22" spans="1:3">
      <c r="A22">
        <f t="shared" si="0"/>
        <v>0.16</v>
      </c>
      <c r="B22">
        <f t="shared" si="2"/>
        <v>0.6870786496653517</v>
      </c>
      <c r="C22" s="1">
        <f t="shared" si="1"/>
        <v>-1.422634841971625</v>
      </c>
    </row>
    <row r="23" spans="1:3">
      <c r="A23">
        <f t="shared" si="0"/>
        <v>0.17</v>
      </c>
      <c r="B23">
        <f t="shared" si="2"/>
        <v>0.67285230124563544</v>
      </c>
      <c r="C23" s="1">
        <f t="shared" si="1"/>
        <v>-1.3754271348890288</v>
      </c>
    </row>
    <row r="24" spans="1:3">
      <c r="A24">
        <f t="shared" si="0"/>
        <v>0.18000000000000002</v>
      </c>
      <c r="B24">
        <f t="shared" si="2"/>
        <v>0.65909802989674515</v>
      </c>
      <c r="C24" s="1">
        <f t="shared" si="1"/>
        <v>-1.330154112959874</v>
      </c>
    </row>
    <row r="25" spans="1:3">
      <c r="A25">
        <f t="shared" ref="A25:A44" si="3">A24+$B$4</f>
        <v>0.19000000000000003</v>
      </c>
      <c r="B25">
        <f t="shared" ref="B25:B44" si="4">B24+$B$4*C24</f>
        <v>0.64579648876714646</v>
      </c>
      <c r="C25" s="1">
        <f t="shared" ref="C25:C44" si="5">C24+$B$4*$D$2*B24*B24</f>
        <v>-1.2867130916584968</v>
      </c>
    </row>
    <row r="26" spans="1:3">
      <c r="A26">
        <f t="shared" si="3"/>
        <v>0.20000000000000004</v>
      </c>
      <c r="B26">
        <f t="shared" si="4"/>
        <v>0.63292935785056148</v>
      </c>
      <c r="C26" s="1">
        <f t="shared" si="5"/>
        <v>-1.2450077811680993</v>
      </c>
    </row>
    <row r="27" spans="1:3">
      <c r="A27">
        <f t="shared" si="3"/>
        <v>0.21000000000000005</v>
      </c>
      <c r="B27">
        <f t="shared" si="4"/>
        <v>0.62047928003888053</v>
      </c>
      <c r="C27" s="1">
        <f t="shared" si="5"/>
        <v>-1.204947823965187</v>
      </c>
    </row>
    <row r="28" spans="1:3">
      <c r="A28">
        <f t="shared" si="3"/>
        <v>0.22000000000000006</v>
      </c>
      <c r="B28">
        <f t="shared" si="4"/>
        <v>0.60842980179922868</v>
      </c>
      <c r="C28" s="1">
        <f t="shared" si="5"/>
        <v>-1.1664483702694302</v>
      </c>
    </row>
    <row r="29" spans="1:3">
      <c r="A29">
        <f t="shared" si="3"/>
        <v>0.23000000000000007</v>
      </c>
      <c r="B29">
        <f t="shared" si="4"/>
        <v>0.59676531809653433</v>
      </c>
      <c r="C29" s="1">
        <f t="shared" si="5"/>
        <v>-1.1294296878976853</v>
      </c>
    </row>
    <row r="30" spans="1:3">
      <c r="A30">
        <f t="shared" si="3"/>
        <v>0.24000000000000007</v>
      </c>
      <c r="B30">
        <f t="shared" si="4"/>
        <v>0.58547102121755745</v>
      </c>
      <c r="C30" s="1">
        <f t="shared" si="5"/>
        <v>-1.0938168034093996</v>
      </c>
    </row>
    <row r="31" spans="1:3">
      <c r="A31">
        <f t="shared" si="3"/>
        <v>0.25000000000000006</v>
      </c>
      <c r="B31">
        <f t="shared" si="4"/>
        <v>0.57453285318346348</v>
      </c>
      <c r="C31" s="1">
        <f t="shared" si="5"/>
        <v>-1.0595391717408467</v>
      </c>
    </row>
    <row r="32" spans="1:3">
      <c r="A32">
        <f t="shared" si="3"/>
        <v>0.26000000000000006</v>
      </c>
      <c r="B32">
        <f t="shared" si="4"/>
        <v>0.56393746146605506</v>
      </c>
      <c r="C32" s="1">
        <f t="shared" si="5"/>
        <v>-1.0265303718021335</v>
      </c>
    </row>
    <row r="33" spans="1:3">
      <c r="A33">
        <f t="shared" si="3"/>
        <v>0.27000000000000007</v>
      </c>
      <c r="B33">
        <f t="shared" si="4"/>
        <v>0.55367215774803369</v>
      </c>
      <c r="C33" s="1">
        <f t="shared" si="5"/>
        <v>-0.99472782575765561</v>
      </c>
    </row>
    <row r="34" spans="1:3">
      <c r="A34">
        <f t="shared" si="3"/>
        <v>0.28000000000000008</v>
      </c>
      <c r="B34">
        <f t="shared" si="4"/>
        <v>0.54372487949045711</v>
      </c>
      <c r="C34" s="1">
        <f t="shared" si="5"/>
        <v>-0.9640725399311193</v>
      </c>
    </row>
    <row r="35" spans="1:3">
      <c r="A35">
        <f t="shared" si="3"/>
        <v>0.29000000000000009</v>
      </c>
      <c r="B35">
        <f t="shared" si="4"/>
        <v>0.53408415409114596</v>
      </c>
      <c r="C35" s="1">
        <f t="shared" si="5"/>
        <v>-0.93450886547342804</v>
      </c>
    </row>
    <row r="36" spans="1:3">
      <c r="A36">
        <f t="shared" si="3"/>
        <v>0.3000000000000001</v>
      </c>
      <c r="B36">
        <f t="shared" si="4"/>
        <v>0.52473906543641169</v>
      </c>
      <c r="C36" s="1">
        <f t="shared" si="5"/>
        <v>-0.90598427710830254</v>
      </c>
    </row>
    <row r="37" spans="1:3">
      <c r="A37">
        <f t="shared" si="3"/>
        <v>0.31000000000000011</v>
      </c>
      <c r="B37">
        <f t="shared" si="4"/>
        <v>0.51567922266532862</v>
      </c>
      <c r="C37" s="1">
        <f t="shared" si="5"/>
        <v>-0.87844916842879461</v>
      </c>
    </row>
    <row r="38" spans="1:3">
      <c r="A38">
        <f t="shared" si="3"/>
        <v>0.32000000000000012</v>
      </c>
      <c r="B38">
        <f t="shared" si="4"/>
        <v>0.50689473098104065</v>
      </c>
      <c r="C38" s="1">
        <f t="shared" si="5"/>
        <v>-0.85185666235992286</v>
      </c>
    </row>
    <row r="39" spans="1:3">
      <c r="A39">
        <f t="shared" si="3"/>
        <v>0.33000000000000013</v>
      </c>
      <c r="B39">
        <f t="shared" si="4"/>
        <v>0.49837616435744142</v>
      </c>
      <c r="C39" s="1">
        <f t="shared" si="5"/>
        <v>-0.82616243553028867</v>
      </c>
    </row>
    <row r="40" spans="1:3">
      <c r="A40">
        <f t="shared" si="3"/>
        <v>0.34000000000000014</v>
      </c>
      <c r="B40">
        <f t="shared" si="4"/>
        <v>0.49011454000213855</v>
      </c>
      <c r="C40" s="1">
        <f t="shared" si="5"/>
        <v>-0.8013245554103251</v>
      </c>
    </row>
    <row r="41" spans="1:3">
      <c r="A41">
        <f t="shared" si="3"/>
        <v>0.35000000000000014</v>
      </c>
      <c r="B41">
        <f t="shared" si="4"/>
        <v>0.48210129444803529</v>
      </c>
      <c r="C41" s="1">
        <f t="shared" si="5"/>
        <v>-0.77730332917817435</v>
      </c>
    </row>
    <row r="42" spans="1:3">
      <c r="A42">
        <f t="shared" si="3"/>
        <v>0.36000000000000015</v>
      </c>
      <c r="B42">
        <f t="shared" si="4"/>
        <v>0.47432826115625354</v>
      </c>
      <c r="C42" s="1">
        <f t="shared" si="5"/>
        <v>-0.7540611633673272</v>
      </c>
    </row>
    <row r="43" spans="1:3">
      <c r="A43">
        <f t="shared" si="3"/>
        <v>0.37000000000000016</v>
      </c>
      <c r="B43">
        <f t="shared" si="4"/>
        <v>0.46678764952258028</v>
      </c>
      <c r="C43" s="1">
        <f t="shared" si="5"/>
        <v>-0.73156243343417571</v>
      </c>
    </row>
    <row r="44" spans="1:3">
      <c r="A44">
        <f t="shared" si="3"/>
        <v>0.38000000000000017</v>
      </c>
      <c r="B44">
        <f t="shared" si="4"/>
        <v>0.45947202518823854</v>
      </c>
      <c r="C44" s="1">
        <f t="shared" si="5"/>
        <v>-0.70977336245949418</v>
      </c>
    </row>
    <row r="45" spans="1:3">
      <c r="A45">
        <f t="shared" ref="A45:A95" si="6">A44+$B$4</f>
        <v>0.39000000000000018</v>
      </c>
      <c r="B45">
        <f t="shared" ref="B45:B95" si="7">B44+$B$4*C44</f>
        <v>0.45237429156364362</v>
      </c>
      <c r="C45" s="1">
        <f t="shared" ref="C45:C95" si="8">C44+$B$4*$D$2*B44*B44</f>
        <v>-0.68866190826643603</v>
      </c>
    </row>
    <row r="46" spans="1:3">
      <c r="A46">
        <f t="shared" si="6"/>
        <v>0.40000000000000019</v>
      </c>
      <c r="B46">
        <f t="shared" si="7"/>
        <v>0.44548767248097926</v>
      </c>
      <c r="C46" s="1">
        <f t="shared" si="8"/>
        <v>-0.66819765829966515</v>
      </c>
    </row>
    <row r="47" spans="1:3">
      <c r="A47">
        <f t="shared" si="6"/>
        <v>0.4100000000000002</v>
      </c>
      <c r="B47">
        <f t="shared" si="7"/>
        <v>0.43880569589798263</v>
      </c>
      <c r="C47" s="1">
        <f t="shared" si="8"/>
        <v>-0.64835173166641313</v>
      </c>
    </row>
    <row r="48" spans="1:3">
      <c r="A48">
        <f t="shared" si="6"/>
        <v>0.42000000000000021</v>
      </c>
      <c r="B48">
        <f t="shared" si="7"/>
        <v>0.43232217858131849</v>
      </c>
      <c r="C48" s="1">
        <f t="shared" si="8"/>
        <v>-0.6290966877911619</v>
      </c>
    </row>
    <row r="49" spans="1:3">
      <c r="A49">
        <f t="shared" si="6"/>
        <v>0.43000000000000022</v>
      </c>
      <c r="B49">
        <f t="shared" si="7"/>
        <v>0.42603121170340685</v>
      </c>
      <c r="C49" s="1">
        <f t="shared" si="8"/>
        <v>-0.61040644118183218</v>
      </c>
    </row>
    <row r="50" spans="1:3">
      <c r="A50">
        <f t="shared" si="6"/>
        <v>0.44000000000000022</v>
      </c>
      <c r="B50">
        <f t="shared" si="7"/>
        <v>0.41992714729158853</v>
      </c>
      <c r="C50" s="1">
        <f t="shared" si="8"/>
        <v>-0.5922561818472849</v>
      </c>
    </row>
    <row r="51" spans="1:3">
      <c r="A51">
        <f t="shared" si="6"/>
        <v>0.45000000000000023</v>
      </c>
      <c r="B51">
        <f t="shared" si="7"/>
        <v>0.41400458547311569</v>
      </c>
      <c r="C51" s="1">
        <f t="shared" si="8"/>
        <v>-0.57462230094403977</v>
      </c>
    </row>
    <row r="52" spans="1:3">
      <c r="A52">
        <f t="shared" si="6"/>
        <v>0.46000000000000024</v>
      </c>
      <c r="B52">
        <f t="shared" si="7"/>
        <v>0.40825836246367531</v>
      </c>
      <c r="C52" s="1">
        <f t="shared" si="8"/>
        <v>-0.55748232126476316</v>
      </c>
    </row>
    <row r="53" spans="1:3">
      <c r="A53">
        <f t="shared" si="6"/>
        <v>0.47000000000000025</v>
      </c>
      <c r="B53">
        <f t="shared" si="7"/>
        <v>0.40268353925102768</v>
      </c>
      <c r="C53" s="1">
        <f t="shared" si="8"/>
        <v>-0.54081483221261095</v>
      </c>
    </row>
    <row r="54" spans="1:3">
      <c r="A54">
        <f t="shared" si="6"/>
        <v>0.48000000000000026</v>
      </c>
      <c r="B54">
        <f t="shared" si="7"/>
        <v>0.39727539092890157</v>
      </c>
      <c r="C54" s="1">
        <f t="shared" si="8"/>
        <v>-0.5245994289342375</v>
      </c>
    </row>
    <row r="55" spans="1:3">
      <c r="A55">
        <f t="shared" si="6"/>
        <v>0.49000000000000027</v>
      </c>
      <c r="B55">
        <f t="shared" si="7"/>
        <v>0.39202939663955921</v>
      </c>
      <c r="C55" s="1">
        <f t="shared" si="8"/>
        <v>-0.50881665531046638</v>
      </c>
    </row>
    <row r="56" spans="1:3">
      <c r="A56">
        <f t="shared" si="6"/>
        <v>0.50000000000000022</v>
      </c>
      <c r="B56">
        <f t="shared" si="7"/>
        <v>0.38694123008645454</v>
      </c>
      <c r="C56" s="1">
        <f t="shared" si="8"/>
        <v>-0.49344795052750867</v>
      </c>
    </row>
    <row r="57" spans="1:3">
      <c r="A57">
        <f t="shared" si="6"/>
        <v>0.51000000000000023</v>
      </c>
      <c r="B57">
        <f t="shared" si="7"/>
        <v>0.38200675058117944</v>
      </c>
      <c r="C57" s="1">
        <f t="shared" si="8"/>
        <v>-0.47847559897342684</v>
      </c>
    </row>
    <row r="58" spans="1:3">
      <c r="A58">
        <f t="shared" si="6"/>
        <v>0.52000000000000024</v>
      </c>
      <c r="B58">
        <f t="shared" si="7"/>
        <v>0.37722199459144518</v>
      </c>
      <c r="C58" s="1">
        <f t="shared" si="8"/>
        <v>-0.46388268322446768</v>
      </c>
    </row>
    <row r="59" spans="1:3">
      <c r="A59">
        <f t="shared" si="6"/>
        <v>0.53000000000000025</v>
      </c>
      <c r="B59">
        <f t="shared" si="7"/>
        <v>0.37258316775920047</v>
      </c>
      <c r="C59" s="1">
        <f t="shared" si="8"/>
        <v>-0.44965303990411287</v>
      </c>
    </row>
    <row r="60" spans="1:3">
      <c r="A60">
        <f t="shared" si="6"/>
        <v>0.54000000000000026</v>
      </c>
      <c r="B60">
        <f t="shared" si="7"/>
        <v>0.36808663736015934</v>
      </c>
      <c r="C60" s="1">
        <f t="shared" si="8"/>
        <v>-0.43577121821436482</v>
      </c>
    </row>
    <row r="61" spans="1:3">
      <c r="A61">
        <f t="shared" si="6"/>
        <v>0.55000000000000027</v>
      </c>
      <c r="B61">
        <f t="shared" si="7"/>
        <v>0.36372892517801569</v>
      </c>
      <c r="C61" s="1">
        <f t="shared" si="8"/>
        <v>-0.42222244095405387</v>
      </c>
    </row>
    <row r="62" spans="1:3">
      <c r="A62">
        <f t="shared" si="6"/>
        <v>0.56000000000000028</v>
      </c>
      <c r="B62">
        <f t="shared" si="7"/>
        <v>0.35950670076847513</v>
      </c>
      <c r="C62" s="1">
        <f t="shared" si="8"/>
        <v>-0.40899256785293842</v>
      </c>
    </row>
    <row r="63" spans="1:3">
      <c r="A63">
        <f t="shared" si="6"/>
        <v>0.57000000000000028</v>
      </c>
      <c r="B63">
        <f t="shared" si="7"/>
        <v>0.35541677508994574</v>
      </c>
      <c r="C63" s="1">
        <f t="shared" si="8"/>
        <v>-0.39606806106319503</v>
      </c>
    </row>
    <row r="64" spans="1:3">
      <c r="A64">
        <f t="shared" si="6"/>
        <v>0.58000000000000029</v>
      </c>
      <c r="B64">
        <f t="shared" si="7"/>
        <v>0.35145609447931381</v>
      </c>
      <c r="C64" s="1">
        <f t="shared" si="8"/>
        <v>-0.38343595266166131</v>
      </c>
    </row>
    <row r="65" spans="1:3">
      <c r="A65">
        <f t="shared" si="6"/>
        <v>0.5900000000000003</v>
      </c>
      <c r="B65">
        <f t="shared" si="7"/>
        <v>0.34762173495269721</v>
      </c>
      <c r="C65" s="1">
        <f t="shared" si="8"/>
        <v>-0.37108381402699608</v>
      </c>
    </row>
    <row r="66" spans="1:3">
      <c r="A66">
        <f t="shared" si="6"/>
        <v>0.60000000000000031</v>
      </c>
      <c r="B66">
        <f t="shared" si="7"/>
        <v>0.34391089681242726</v>
      </c>
      <c r="C66" s="1">
        <f t="shared" si="8"/>
        <v>-0.35899972696584376</v>
      </c>
    </row>
    <row r="67" spans="1:3">
      <c r="A67">
        <f t="shared" si="6"/>
        <v>0.61000000000000032</v>
      </c>
      <c r="B67">
        <f t="shared" si="7"/>
        <v>0.34032089954276884</v>
      </c>
      <c r="C67" s="1">
        <f t="shared" si="8"/>
        <v>-0.34717225647121097</v>
      </c>
    </row>
    <row r="68" spans="1:3">
      <c r="A68">
        <f t="shared" si="6"/>
        <v>0.62000000000000033</v>
      </c>
      <c r="B68">
        <f t="shared" si="7"/>
        <v>0.33684917697805672</v>
      </c>
      <c r="C68" s="1">
        <f t="shared" si="8"/>
        <v>-0.33559042500465103</v>
      </c>
    </row>
    <row r="69" spans="1:3">
      <c r="A69">
        <f t="shared" si="6"/>
        <v>0.63000000000000034</v>
      </c>
      <c r="B69">
        <f t="shared" si="7"/>
        <v>0.33349327272801021</v>
      </c>
      <c r="C69" s="1">
        <f t="shared" si="8"/>
        <v>-0.32424368820157162</v>
      </c>
    </row>
    <row r="70" spans="1:3">
      <c r="A70">
        <f t="shared" si="6"/>
        <v>0.64000000000000035</v>
      </c>
      <c r="B70">
        <f t="shared" si="7"/>
        <v>0.33025083584599452</v>
      </c>
      <c r="C70" s="1">
        <f t="shared" si="8"/>
        <v>-0.31312191190608774</v>
      </c>
    </row>
    <row r="71" spans="1:3">
      <c r="A71">
        <f t="shared" si="6"/>
        <v>0.65000000000000036</v>
      </c>
      <c r="B71">
        <f t="shared" si="7"/>
        <v>0.32711961672693363</v>
      </c>
      <c r="C71" s="1">
        <f t="shared" si="8"/>
        <v>-0.30221535044838993</v>
      </c>
    </row>
    <row r="72" spans="1:3">
      <c r="A72">
        <f t="shared" si="6"/>
        <v>0.66000000000000036</v>
      </c>
      <c r="B72">
        <f t="shared" si="7"/>
        <v>0.3240974632224497</v>
      </c>
      <c r="C72" s="1">
        <f t="shared" si="8"/>
        <v>-0.29151462608363232</v>
      </c>
    </row>
    <row r="73" spans="1:3">
      <c r="A73">
        <f t="shared" si="6"/>
        <v>0.67000000000000037</v>
      </c>
      <c r="B73">
        <f t="shared" si="7"/>
        <v>0.32118231696161337</v>
      </c>
      <c r="C73" s="1">
        <f t="shared" si="8"/>
        <v>-0.2810107095169096</v>
      </c>
    </row>
    <row r="74" spans="1:3">
      <c r="A74">
        <f t="shared" si="6"/>
        <v>0.68000000000000038</v>
      </c>
      <c r="B74">
        <f t="shared" si="7"/>
        <v>0.31837220986644427</v>
      </c>
      <c r="C74" s="1">
        <f t="shared" si="8"/>
        <v>-0.27069490144402658</v>
      </c>
    </row>
    <row r="75" spans="1:3">
      <c r="A75">
        <f t="shared" si="6"/>
        <v>0.69000000000000039</v>
      </c>
      <c r="B75">
        <f t="shared" si="7"/>
        <v>0.31566526085200403</v>
      </c>
      <c r="C75" s="1">
        <f t="shared" si="8"/>
        <v>-0.26055881504250228</v>
      </c>
    </row>
    <row r="76" spans="1:3">
      <c r="A76">
        <f t="shared" si="6"/>
        <v>0.7000000000000004</v>
      </c>
      <c r="B76">
        <f t="shared" si="7"/>
        <v>0.31305967270157903</v>
      </c>
      <c r="C76" s="1">
        <f t="shared" si="8"/>
        <v>-0.25059435935162588</v>
      </c>
    </row>
    <row r="77" spans="1:3">
      <c r="A77">
        <f t="shared" si="6"/>
        <v>0.71000000000000041</v>
      </c>
      <c r="B77">
        <f t="shared" si="7"/>
        <v>0.31055372910806278</v>
      </c>
      <c r="C77" s="1">
        <f t="shared" si="8"/>
        <v>-0.2407937234844239</v>
      </c>
    </row>
    <row r="78" spans="1:3">
      <c r="A78">
        <f t="shared" si="6"/>
        <v>0.72000000000000042</v>
      </c>
      <c r="B78">
        <f t="shared" si="7"/>
        <v>0.30814579187321856</v>
      </c>
      <c r="C78" s="1">
        <f t="shared" si="8"/>
        <v>-0.23114936161813149</v>
      </c>
    </row>
    <row r="79" spans="1:3">
      <c r="A79">
        <f t="shared" si="6"/>
        <v>0.73000000000000043</v>
      </c>
      <c r="B79">
        <f t="shared" si="7"/>
        <v>0.30583429825703723</v>
      </c>
      <c r="C79" s="1">
        <f t="shared" si="8"/>
        <v>-0.22165397871321418</v>
      </c>
    </row>
    <row r="80" spans="1:3">
      <c r="A80">
        <f t="shared" si="6"/>
        <v>0.74000000000000044</v>
      </c>
      <c r="B80">
        <f t="shared" si="7"/>
        <v>0.30361775846990507</v>
      </c>
      <c r="C80" s="1">
        <f t="shared" si="8"/>
        <v>-0.21230051691417673</v>
      </c>
    </row>
    <row r="81" spans="1:3">
      <c r="A81">
        <f t="shared" si="6"/>
        <v>0.75000000000000044</v>
      </c>
      <c r="B81">
        <f t="shared" si="7"/>
        <v>0.30149475330076331</v>
      </c>
      <c r="C81" s="1">
        <f t="shared" si="8"/>
        <v>-0.20308214258834778</v>
      </c>
    </row>
    <row r="82" spans="1:3">
      <c r="A82">
        <f t="shared" si="6"/>
        <v>0.76000000000000045</v>
      </c>
      <c r="B82">
        <f t="shared" si="7"/>
        <v>0.29946393187487985</v>
      </c>
      <c r="C82" s="1">
        <f t="shared" si="8"/>
        <v>-0.19399223396155896</v>
      </c>
    </row>
    <row r="83" spans="1:3">
      <c r="A83">
        <f t="shared" si="6"/>
        <v>0.77000000000000046</v>
      </c>
      <c r="B83">
        <f t="shared" si="7"/>
        <v>0.29752400953526426</v>
      </c>
      <c r="C83" s="1">
        <f t="shared" si="8"/>
        <v>-0.18502436931216268</v>
      </c>
    </row>
    <row r="84" spans="1:3">
      <c r="A84">
        <f t="shared" si="6"/>
        <v>0.78000000000000047</v>
      </c>
      <c r="B84">
        <f t="shared" si="7"/>
        <v>0.29567376584214261</v>
      </c>
      <c r="C84" s="1">
        <f t="shared" si="8"/>
        <v>-0.17617231568716868</v>
      </c>
    </row>
    <row r="85" spans="1:3">
      <c r="A85">
        <f t="shared" si="6"/>
        <v>0.79000000000000048</v>
      </c>
      <c r="B85">
        <f t="shared" si="7"/>
        <v>0.29391204268527094</v>
      </c>
      <c r="C85" s="1">
        <f t="shared" si="8"/>
        <v>-0.16743001810644126</v>
      </c>
    </row>
    <row r="86" spans="1:3">
      <c r="A86">
        <f t="shared" si="6"/>
        <v>0.80000000000000049</v>
      </c>
      <c r="B86">
        <f t="shared" si="7"/>
        <v>0.29223774250420653</v>
      </c>
      <c r="C86" s="1">
        <f t="shared" si="8"/>
        <v>-0.1587915892228984</v>
      </c>
    </row>
    <row r="87" spans="1:3">
      <c r="A87">
        <f t="shared" si="6"/>
        <v>0.8100000000000005</v>
      </c>
      <c r="B87">
        <f t="shared" si="7"/>
        <v>0.29064982661197752</v>
      </c>
      <c r="C87" s="1">
        <f t="shared" si="8"/>
        <v>-0.1502512994085029</v>
      </c>
    </row>
    <row r="88" spans="1:3">
      <c r="A88">
        <f t="shared" si="6"/>
        <v>0.82000000000000051</v>
      </c>
      <c r="B88">
        <f t="shared" si="7"/>
        <v>0.28914731361789248</v>
      </c>
      <c r="C88" s="1">
        <f t="shared" si="8"/>
        <v>-0.14180356723754564</v>
      </c>
    </row>
    <row r="89" spans="1:3">
      <c r="A89">
        <f t="shared" si="6"/>
        <v>0.83000000000000052</v>
      </c>
      <c r="B89">
        <f t="shared" si="7"/>
        <v>0.287729277945517</v>
      </c>
      <c r="C89" s="1">
        <f t="shared" si="8"/>
        <v>-0.13344295034030126</v>
      </c>
    </row>
    <row r="90" spans="1:3">
      <c r="A90">
        <f t="shared" si="6"/>
        <v>0.84000000000000052</v>
      </c>
      <c r="B90">
        <f t="shared" si="7"/>
        <v>0.28639484844211399</v>
      </c>
      <c r="C90" s="1">
        <f t="shared" si="8"/>
        <v>-0.12516413660159639</v>
      </c>
    </row>
    <row r="91" spans="1:3">
      <c r="A91">
        <f t="shared" si="6"/>
        <v>0.85000000000000053</v>
      </c>
      <c r="B91">
        <f t="shared" si="7"/>
        <v>0.28514320707609803</v>
      </c>
      <c r="C91" s="1">
        <f t="shared" si="8"/>
        <v>-0.11696193568017825</v>
      </c>
    </row>
    <row r="92" spans="1:3">
      <c r="A92">
        <f t="shared" si="6"/>
        <v>0.86000000000000054</v>
      </c>
      <c r="B92">
        <f t="shared" si="7"/>
        <v>0.28397358771929626</v>
      </c>
      <c r="C92" s="1">
        <f t="shared" si="8"/>
        <v>-0.108831270826014</v>
      </c>
    </row>
    <row r="93" spans="1:3">
      <c r="A93">
        <f t="shared" si="6"/>
        <v>0.87000000000000055</v>
      </c>
      <c r="B93">
        <f t="shared" si="7"/>
        <v>0.28288527501103611</v>
      </c>
      <c r="C93" s="1">
        <f t="shared" si="8"/>
        <v>-0.10076717097379712</v>
      </c>
    </row>
    <row r="94" spans="1:3">
      <c r="A94">
        <f t="shared" si="6"/>
        <v>0.88000000000000056</v>
      </c>
      <c r="B94">
        <f t="shared" si="7"/>
        <v>0.28187760330129813</v>
      </c>
      <c r="C94" s="1">
        <f t="shared" si="8"/>
        <v>-9.2764763091990166E-2</v>
      </c>
    </row>
    <row r="95" spans="1:3">
      <c r="A95">
        <f t="shared" si="6"/>
        <v>0.89000000000000057</v>
      </c>
      <c r="B95">
        <f t="shared" si="7"/>
        <v>0.28094995567037823</v>
      </c>
      <c r="C95" s="1">
        <f t="shared" si="8"/>
        <v>-8.4819264767701769E-2</v>
      </c>
    </row>
    <row r="96" spans="1:3">
      <c r="A96">
        <f t="shared" ref="A96:A106" si="9">A95+$B$4</f>
        <v>0.90000000000000058</v>
      </c>
      <c r="B96">
        <f t="shared" ref="B96:B106" si="10">B95+$B$4*C95</f>
        <v>0.28010176302270123</v>
      </c>
      <c r="C96" s="1">
        <f t="shared" ref="C96:C106" si="11">C95+$B$4*$D$2*B95*B95</f>
        <v>-7.6925977008583016E-2</v>
      </c>
    </row>
    <row r="97" spans="1:3">
      <c r="A97">
        <f t="shared" si="9"/>
        <v>0.91000000000000059</v>
      </c>
      <c r="B97">
        <f t="shared" si="10"/>
        <v>0.27933250325261538</v>
      </c>
      <c r="C97" s="1">
        <f t="shared" si="11"/>
        <v>-6.9080277243740468E-2</v>
      </c>
    </row>
    <row r="98" spans="1:3">
      <c r="A98">
        <f t="shared" si="9"/>
        <v>0.9200000000000006</v>
      </c>
      <c r="B98">
        <f t="shared" si="10"/>
        <v>0.278641700480178</v>
      </c>
      <c r="C98" s="1">
        <f t="shared" si="11"/>
        <v>-6.1277612506403227E-2</v>
      </c>
    </row>
    <row r="99" spans="1:3">
      <c r="A99">
        <f t="shared" si="9"/>
        <v>0.9300000000000006</v>
      </c>
      <c r="B99">
        <f t="shared" si="10"/>
        <v>0.27802892435511395</v>
      </c>
      <c r="C99" s="1">
        <f t="shared" si="11"/>
        <v>-5.3513492781754705E-2</v>
      </c>
    </row>
    <row r="100" spans="1:3">
      <c r="A100">
        <f t="shared" si="9"/>
        <v>0.94000000000000061</v>
      </c>
      <c r="B100">
        <f t="shared" si="10"/>
        <v>0.27749378942729641</v>
      </c>
      <c r="C100" s="1">
        <f t="shared" si="11"/>
        <v>-4.5783484503948535E-2</v>
      </c>
    </row>
    <row r="101" spans="1:3">
      <c r="A101">
        <f t="shared" si="9"/>
        <v>0.95000000000000062</v>
      </c>
      <c r="B101">
        <f t="shared" si="10"/>
        <v>0.27703595458225694</v>
      </c>
      <c r="C101" s="1">
        <f t="shared" si="11"/>
        <v>-3.8083204186876461E-2</v>
      </c>
    </row>
    <row r="102" spans="1:3">
      <c r="A102">
        <f t="shared" si="9"/>
        <v>0.96000000000000063</v>
      </c>
      <c r="B102">
        <f t="shared" si="10"/>
        <v>0.27665512254038815</v>
      </c>
      <c r="C102" s="1">
        <f t="shared" si="11"/>
        <v>-3.0408312173746229E-2</v>
      </c>
    </row>
    <row r="103" spans="1:3">
      <c r="A103">
        <f t="shared" si="9"/>
        <v>0.97000000000000064</v>
      </c>
      <c r="B103">
        <f t="shared" si="10"/>
        <v>0.27635103941865069</v>
      </c>
      <c r="C103" s="1">
        <f t="shared" si="11"/>
        <v>-2.2754506490962511E-2</v>
      </c>
    </row>
    <row r="104" spans="1:3">
      <c r="A104">
        <f t="shared" si="9"/>
        <v>0.98000000000000065</v>
      </c>
      <c r="B104">
        <f t="shared" si="10"/>
        <v>0.27612349435374106</v>
      </c>
      <c r="C104" s="1">
        <f t="shared" si="11"/>
        <v>-1.5117516792185648E-2</v>
      </c>
    </row>
    <row r="105" spans="1:3">
      <c r="A105">
        <f t="shared" si="9"/>
        <v>0.99000000000000066</v>
      </c>
      <c r="B105">
        <f t="shared" si="10"/>
        <v>0.27597231918581921</v>
      </c>
      <c r="C105" s="1">
        <f t="shared" si="11"/>
        <v>-7.4930983787736011E-3</v>
      </c>
    </row>
    <row r="106" spans="1:3">
      <c r="A106">
        <f t="shared" si="9"/>
        <v>1.0000000000000007</v>
      </c>
      <c r="B106">
        <f t="shared" si="10"/>
        <v>0.27589738820203147</v>
      </c>
      <c r="C106" s="1">
        <f t="shared" si="11"/>
        <v>1.2297371690636692E-4</v>
      </c>
    </row>
    <row r="107" spans="1:3">
      <c r="C107" s="1"/>
    </row>
    <row r="108" spans="1:3">
      <c r="C108" s="1"/>
    </row>
    <row r="109" spans="1:3">
      <c r="C109" s="1"/>
    </row>
    <row r="110" spans="1:3">
      <c r="C110" s="1"/>
    </row>
    <row r="111" spans="1:3">
      <c r="C111" s="1"/>
    </row>
    <row r="112" spans="1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  <row r="285" spans="3:3">
      <c r="C285" s="1"/>
    </row>
    <row r="286" spans="3:3">
      <c r="C286" s="1"/>
    </row>
    <row r="287" spans="3:3">
      <c r="C287" s="1"/>
    </row>
    <row r="288" spans="3:3">
      <c r="C288" s="1"/>
    </row>
    <row r="289" spans="3:3">
      <c r="C289" s="1"/>
    </row>
    <row r="290" spans="3:3">
      <c r="C290" s="1"/>
    </row>
    <row r="291" spans="3:3">
      <c r="C291" s="1"/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3">
      <c r="C296" s="1"/>
    </row>
    <row r="297" spans="3:3">
      <c r="C297" s="1"/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  <row r="724" spans="3:3">
      <c r="C724" s="1"/>
    </row>
    <row r="725" spans="3:3">
      <c r="C725" s="1"/>
    </row>
    <row r="726" spans="3:3">
      <c r="C726" s="1"/>
    </row>
    <row r="727" spans="3:3">
      <c r="C727" s="1"/>
    </row>
    <row r="728" spans="3:3">
      <c r="C728" s="1"/>
    </row>
    <row r="729" spans="3:3">
      <c r="C729" s="1"/>
    </row>
    <row r="730" spans="3:3">
      <c r="C730" s="1"/>
    </row>
    <row r="731" spans="3:3">
      <c r="C731" s="1"/>
    </row>
    <row r="732" spans="3:3">
      <c r="C732" s="1"/>
    </row>
    <row r="733" spans="3:3">
      <c r="C733" s="1"/>
    </row>
    <row r="734" spans="3:3">
      <c r="C734" s="1"/>
    </row>
    <row r="735" spans="3:3">
      <c r="C735" s="1"/>
    </row>
    <row r="736" spans="3:3">
      <c r="C736" s="1"/>
    </row>
    <row r="737" spans="3:3">
      <c r="C737" s="1"/>
    </row>
    <row r="738" spans="3:3">
      <c r="C738" s="1"/>
    </row>
    <row r="739" spans="3:3">
      <c r="C739" s="1"/>
    </row>
    <row r="740" spans="3:3">
      <c r="C740" s="1"/>
    </row>
    <row r="741" spans="3:3">
      <c r="C741" s="1"/>
    </row>
    <row r="742" spans="3:3">
      <c r="C742" s="1"/>
    </row>
    <row r="743" spans="3:3">
      <c r="C743" s="1"/>
    </row>
    <row r="744" spans="3:3">
      <c r="C744" s="1"/>
    </row>
    <row r="745" spans="3:3">
      <c r="C745" s="1"/>
    </row>
    <row r="746" spans="3:3">
      <c r="C746" s="1"/>
    </row>
    <row r="747" spans="3:3">
      <c r="C747" s="1"/>
    </row>
    <row r="748" spans="3:3">
      <c r="C748" s="1"/>
    </row>
    <row r="749" spans="3:3">
      <c r="C749" s="1"/>
    </row>
    <row r="750" spans="3:3">
      <c r="C750" s="1"/>
    </row>
    <row r="751" spans="3:3">
      <c r="C751" s="1"/>
    </row>
    <row r="752" spans="3:3">
      <c r="C752" s="1"/>
    </row>
    <row r="753" spans="3:3">
      <c r="C753" s="1"/>
    </row>
    <row r="754" spans="3:3">
      <c r="C754" s="1"/>
    </row>
    <row r="755" spans="3:3">
      <c r="C755" s="1"/>
    </row>
    <row r="756" spans="3:3">
      <c r="C756" s="1"/>
    </row>
    <row r="757" spans="3:3">
      <c r="C757" s="1"/>
    </row>
    <row r="758" spans="3:3">
      <c r="C758" s="1"/>
    </row>
    <row r="759" spans="3:3">
      <c r="C759" s="1"/>
    </row>
    <row r="760" spans="3:3">
      <c r="C760" s="1"/>
    </row>
    <row r="761" spans="3:3">
      <c r="C761" s="1"/>
    </row>
    <row r="762" spans="3:3">
      <c r="C762" s="1"/>
    </row>
    <row r="763" spans="3:3">
      <c r="C763" s="1"/>
    </row>
    <row r="764" spans="3:3">
      <c r="C764" s="1"/>
    </row>
    <row r="765" spans="3:3">
      <c r="C765" s="1"/>
    </row>
    <row r="766" spans="3:3">
      <c r="C766" s="1"/>
    </row>
    <row r="767" spans="3:3">
      <c r="C767" s="1"/>
    </row>
    <row r="768" spans="3:3">
      <c r="C768" s="1"/>
    </row>
    <row r="769" spans="3:3">
      <c r="C769" s="1"/>
    </row>
    <row r="770" spans="3:3">
      <c r="C770" s="1"/>
    </row>
    <row r="771" spans="3:3">
      <c r="C771" s="1"/>
    </row>
    <row r="772" spans="3:3">
      <c r="C772" s="1"/>
    </row>
    <row r="773" spans="3:3">
      <c r="C773" s="1"/>
    </row>
    <row r="774" spans="3:3">
      <c r="C774" s="1"/>
    </row>
    <row r="775" spans="3:3">
      <c r="C775" s="1"/>
    </row>
    <row r="776" spans="3:3">
      <c r="C776" s="1"/>
    </row>
    <row r="777" spans="3:3">
      <c r="C777" s="1"/>
    </row>
    <row r="778" spans="3:3">
      <c r="C778" s="1"/>
    </row>
    <row r="779" spans="3:3">
      <c r="C779" s="1"/>
    </row>
    <row r="780" spans="3:3">
      <c r="C780" s="1"/>
    </row>
    <row r="781" spans="3:3">
      <c r="C781" s="1"/>
    </row>
    <row r="782" spans="3:3">
      <c r="C782" s="1"/>
    </row>
    <row r="783" spans="3:3">
      <c r="C783" s="1"/>
    </row>
    <row r="784" spans="3:3">
      <c r="C784" s="1"/>
    </row>
    <row r="785" spans="3:3">
      <c r="C785" s="1"/>
    </row>
    <row r="786" spans="3:3">
      <c r="C786" s="1"/>
    </row>
    <row r="787" spans="3:3">
      <c r="C787" s="1"/>
    </row>
    <row r="788" spans="3:3">
      <c r="C788" s="1"/>
    </row>
    <row r="789" spans="3:3">
      <c r="C789" s="1"/>
    </row>
    <row r="790" spans="3:3">
      <c r="C790" s="1"/>
    </row>
    <row r="791" spans="3:3">
      <c r="C791" s="1"/>
    </row>
    <row r="792" spans="3:3">
      <c r="C792" s="1"/>
    </row>
    <row r="793" spans="3:3">
      <c r="C793" s="1"/>
    </row>
    <row r="794" spans="3:3">
      <c r="C794" s="1"/>
    </row>
    <row r="795" spans="3:3">
      <c r="C795" s="1"/>
    </row>
    <row r="796" spans="3:3">
      <c r="C796" s="1"/>
    </row>
    <row r="797" spans="3:3">
      <c r="C797" s="1"/>
    </row>
    <row r="798" spans="3:3">
      <c r="C798" s="1"/>
    </row>
    <row r="799" spans="3:3">
      <c r="C799" s="1"/>
    </row>
    <row r="800" spans="3:3">
      <c r="C800" s="1"/>
    </row>
    <row r="801" spans="3:3">
      <c r="C801" s="1"/>
    </row>
    <row r="802" spans="3:3">
      <c r="C802" s="1"/>
    </row>
    <row r="803" spans="3:3">
      <c r="C803" s="1"/>
    </row>
    <row r="804" spans="3:3">
      <c r="C804" s="1"/>
    </row>
    <row r="805" spans="3:3">
      <c r="C805" s="1"/>
    </row>
    <row r="806" spans="3:3">
      <c r="C806" s="1"/>
    </row>
    <row r="807" spans="3:3">
      <c r="C807" s="1"/>
    </row>
    <row r="808" spans="3:3">
      <c r="C808" s="1"/>
    </row>
    <row r="809" spans="3:3">
      <c r="C809" s="1"/>
    </row>
    <row r="810" spans="3:3">
      <c r="C810" s="1"/>
    </row>
    <row r="811" spans="3:3">
      <c r="C811" s="1"/>
    </row>
    <row r="812" spans="3:3">
      <c r="C812" s="1"/>
    </row>
    <row r="813" spans="3:3">
      <c r="C813" s="1"/>
    </row>
    <row r="814" spans="3:3">
      <c r="C814" s="1"/>
    </row>
    <row r="815" spans="3:3">
      <c r="C815" s="1"/>
    </row>
    <row r="816" spans="3:3">
      <c r="C816" s="1"/>
    </row>
    <row r="817" spans="3:3">
      <c r="C817" s="1"/>
    </row>
    <row r="818" spans="3:3">
      <c r="C818" s="1"/>
    </row>
    <row r="819" spans="3:3">
      <c r="C819" s="1"/>
    </row>
    <row r="820" spans="3:3">
      <c r="C820" s="1"/>
    </row>
    <row r="821" spans="3:3">
      <c r="C821" s="1"/>
    </row>
    <row r="822" spans="3:3">
      <c r="C822" s="1"/>
    </row>
    <row r="823" spans="3:3">
      <c r="C823" s="1"/>
    </row>
    <row r="824" spans="3:3">
      <c r="C824" s="1"/>
    </row>
    <row r="825" spans="3:3">
      <c r="C825" s="1"/>
    </row>
    <row r="826" spans="3:3">
      <c r="C826" s="1"/>
    </row>
    <row r="827" spans="3:3">
      <c r="C827" s="1"/>
    </row>
    <row r="828" spans="3:3">
      <c r="C828" s="1"/>
    </row>
    <row r="829" spans="3:3">
      <c r="C829" s="1"/>
    </row>
    <row r="830" spans="3:3">
      <c r="C830" s="1"/>
    </row>
    <row r="831" spans="3:3">
      <c r="C831" s="1"/>
    </row>
    <row r="832" spans="3:3">
      <c r="C832" s="1"/>
    </row>
    <row r="833" spans="3:3">
      <c r="C833" s="1"/>
    </row>
    <row r="834" spans="3:3">
      <c r="C834" s="1"/>
    </row>
    <row r="835" spans="3:3">
      <c r="C835" s="1"/>
    </row>
    <row r="836" spans="3:3">
      <c r="C836" s="1"/>
    </row>
    <row r="837" spans="3:3">
      <c r="C837" s="1"/>
    </row>
    <row r="838" spans="3:3">
      <c r="C838" s="1"/>
    </row>
    <row r="839" spans="3:3">
      <c r="C839" s="1"/>
    </row>
    <row r="840" spans="3:3">
      <c r="C840" s="1"/>
    </row>
    <row r="841" spans="3:3">
      <c r="C841" s="1"/>
    </row>
    <row r="842" spans="3:3">
      <c r="C842" s="1"/>
    </row>
    <row r="843" spans="3:3">
      <c r="C843" s="1"/>
    </row>
    <row r="844" spans="3:3">
      <c r="C844" s="1"/>
    </row>
    <row r="845" spans="3:3">
      <c r="C845" s="1"/>
    </row>
    <row r="846" spans="3:3">
      <c r="C846" s="1"/>
    </row>
    <row r="847" spans="3:3">
      <c r="C847" s="1"/>
    </row>
    <row r="848" spans="3:3">
      <c r="C848" s="1"/>
    </row>
    <row r="849" spans="3:3">
      <c r="C849" s="1"/>
    </row>
    <row r="850" spans="3:3">
      <c r="C850" s="1"/>
    </row>
    <row r="851" spans="3:3">
      <c r="C851" s="1"/>
    </row>
    <row r="852" spans="3:3">
      <c r="C852" s="1"/>
    </row>
    <row r="853" spans="3:3">
      <c r="C853" s="1"/>
    </row>
    <row r="854" spans="3:3">
      <c r="C854" s="1"/>
    </row>
    <row r="855" spans="3:3">
      <c r="C855" s="1"/>
    </row>
    <row r="856" spans="3:3">
      <c r="C856" s="1"/>
    </row>
    <row r="857" spans="3:3">
      <c r="C857" s="1"/>
    </row>
    <row r="858" spans="3:3">
      <c r="C858" s="1"/>
    </row>
    <row r="859" spans="3:3">
      <c r="C859" s="1"/>
    </row>
    <row r="860" spans="3:3">
      <c r="C860" s="1"/>
    </row>
    <row r="861" spans="3:3">
      <c r="C861" s="1"/>
    </row>
    <row r="862" spans="3:3">
      <c r="C862" s="1"/>
    </row>
    <row r="863" spans="3:3">
      <c r="C863" s="1"/>
    </row>
    <row r="864" spans="3:3">
      <c r="C864" s="1"/>
    </row>
    <row r="865" spans="3:3">
      <c r="C865" s="1"/>
    </row>
    <row r="866" spans="3:3">
      <c r="C866" s="1"/>
    </row>
    <row r="867" spans="3:3">
      <c r="C867" s="1"/>
    </row>
    <row r="868" spans="3:3">
      <c r="C868" s="1"/>
    </row>
    <row r="869" spans="3:3">
      <c r="C869" s="1"/>
    </row>
    <row r="870" spans="3:3">
      <c r="C870" s="1"/>
    </row>
    <row r="871" spans="3:3">
      <c r="C871" s="1"/>
    </row>
    <row r="872" spans="3:3">
      <c r="C872" s="1"/>
    </row>
    <row r="873" spans="3:3">
      <c r="C873" s="1"/>
    </row>
    <row r="874" spans="3:3">
      <c r="C874" s="1"/>
    </row>
    <row r="875" spans="3:3">
      <c r="C875" s="1"/>
    </row>
    <row r="876" spans="3:3">
      <c r="C876" s="1"/>
    </row>
    <row r="877" spans="3:3">
      <c r="C877" s="1"/>
    </row>
    <row r="878" spans="3:3">
      <c r="C878" s="1"/>
    </row>
    <row r="879" spans="3:3">
      <c r="C879" s="1"/>
    </row>
    <row r="880" spans="3:3">
      <c r="C880" s="1"/>
    </row>
    <row r="881" spans="3:3">
      <c r="C881" s="1"/>
    </row>
    <row r="882" spans="3:3">
      <c r="C882" s="1"/>
    </row>
    <row r="883" spans="3:3">
      <c r="C883" s="1"/>
    </row>
    <row r="884" spans="3:3">
      <c r="C884" s="1"/>
    </row>
    <row r="885" spans="3:3">
      <c r="C885" s="1"/>
    </row>
    <row r="886" spans="3:3">
      <c r="C886" s="1"/>
    </row>
    <row r="887" spans="3:3">
      <c r="C887" s="1"/>
    </row>
    <row r="888" spans="3:3">
      <c r="C888" s="1"/>
    </row>
    <row r="889" spans="3:3">
      <c r="C889" s="1"/>
    </row>
    <row r="890" spans="3:3">
      <c r="C890" s="1"/>
    </row>
    <row r="891" spans="3:3">
      <c r="C891" s="1"/>
    </row>
    <row r="892" spans="3:3">
      <c r="C892" s="1"/>
    </row>
    <row r="893" spans="3:3">
      <c r="C893" s="1"/>
    </row>
    <row r="894" spans="3:3">
      <c r="C894" s="1"/>
    </row>
    <row r="895" spans="3:3">
      <c r="C895" s="1"/>
    </row>
    <row r="896" spans="3:3">
      <c r="C896" s="1"/>
    </row>
    <row r="897" spans="3:3">
      <c r="C897" s="1"/>
    </row>
    <row r="898" spans="3:3">
      <c r="C898" s="1"/>
    </row>
    <row r="899" spans="3:3">
      <c r="C899" s="1"/>
    </row>
    <row r="900" spans="3:3">
      <c r="C900" s="1"/>
    </row>
    <row r="901" spans="3:3">
      <c r="C901" s="1"/>
    </row>
    <row r="902" spans="3:3">
      <c r="C902" s="1"/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3">
      <c r="C909" s="1"/>
    </row>
    <row r="910" spans="3:3">
      <c r="C910" s="1"/>
    </row>
    <row r="911" spans="3:3">
      <c r="C911" s="1"/>
    </row>
    <row r="912" spans="3:3">
      <c r="C912" s="1"/>
    </row>
    <row r="913" spans="3:3">
      <c r="C913" s="1"/>
    </row>
    <row r="914" spans="3:3">
      <c r="C914" s="1"/>
    </row>
    <row r="915" spans="3:3">
      <c r="C915" s="1"/>
    </row>
    <row r="916" spans="3:3">
      <c r="C916" s="1"/>
    </row>
    <row r="917" spans="3:3">
      <c r="C917" s="1"/>
    </row>
    <row r="918" spans="3:3">
      <c r="C918" s="1"/>
    </row>
    <row r="919" spans="3:3">
      <c r="C919" s="1"/>
    </row>
    <row r="920" spans="3:3">
      <c r="C920" s="1"/>
    </row>
    <row r="921" spans="3:3">
      <c r="C921" s="1"/>
    </row>
    <row r="922" spans="3:3">
      <c r="C922" s="1"/>
    </row>
    <row r="923" spans="3:3">
      <c r="C923" s="1"/>
    </row>
    <row r="924" spans="3:3">
      <c r="C924" s="1"/>
    </row>
    <row r="925" spans="3:3">
      <c r="C925" s="1"/>
    </row>
    <row r="926" spans="3:3">
      <c r="C926" s="1"/>
    </row>
    <row r="927" spans="3:3">
      <c r="C927" s="1"/>
    </row>
    <row r="928" spans="3:3">
      <c r="C928" s="1"/>
    </row>
    <row r="929" spans="3:3">
      <c r="C929" s="1"/>
    </row>
    <row r="930" spans="3:3">
      <c r="C930" s="1"/>
    </row>
    <row r="931" spans="3:3">
      <c r="C931" s="1"/>
    </row>
    <row r="932" spans="3:3">
      <c r="C932" s="1"/>
    </row>
    <row r="933" spans="3:3">
      <c r="C933" s="1"/>
    </row>
    <row r="934" spans="3:3">
      <c r="C934" s="1"/>
    </row>
    <row r="935" spans="3:3">
      <c r="C935" s="1"/>
    </row>
    <row r="936" spans="3:3">
      <c r="C936" s="1"/>
    </row>
    <row r="937" spans="3:3">
      <c r="C937" s="1"/>
    </row>
    <row r="938" spans="3:3">
      <c r="C938" s="1"/>
    </row>
    <row r="939" spans="3:3">
      <c r="C939" s="1"/>
    </row>
    <row r="940" spans="3:3">
      <c r="C940" s="1"/>
    </row>
    <row r="941" spans="3:3">
      <c r="C941" s="1"/>
    </row>
    <row r="942" spans="3:3">
      <c r="C942" s="1"/>
    </row>
    <row r="943" spans="3:3">
      <c r="C943" s="1"/>
    </row>
    <row r="944" spans="3:3">
      <c r="C944" s="1"/>
    </row>
    <row r="945" spans="3:3">
      <c r="C945" s="1"/>
    </row>
    <row r="946" spans="3:3">
      <c r="C946" s="1"/>
    </row>
    <row r="947" spans="3:3">
      <c r="C947" s="1"/>
    </row>
    <row r="948" spans="3:3">
      <c r="C948" s="1"/>
    </row>
    <row r="949" spans="3:3">
      <c r="C949" s="1"/>
    </row>
    <row r="950" spans="3:3">
      <c r="C950" s="1"/>
    </row>
    <row r="951" spans="3:3">
      <c r="C951" s="1"/>
    </row>
    <row r="952" spans="3:3">
      <c r="C952" s="1"/>
    </row>
    <row r="953" spans="3:3">
      <c r="C953" s="1"/>
    </row>
    <row r="954" spans="3:3">
      <c r="C954" s="1"/>
    </row>
    <row r="955" spans="3:3">
      <c r="C955" s="1"/>
    </row>
    <row r="956" spans="3:3">
      <c r="C956" s="1"/>
    </row>
    <row r="957" spans="3:3">
      <c r="C957" s="1"/>
    </row>
    <row r="958" spans="3:3">
      <c r="C958" s="1"/>
    </row>
    <row r="959" spans="3:3">
      <c r="C959" s="1"/>
    </row>
    <row r="960" spans="3:3">
      <c r="C960" s="1"/>
    </row>
    <row r="961" spans="3:3">
      <c r="C961" s="1"/>
    </row>
    <row r="962" spans="3:3">
      <c r="C962" s="1"/>
    </row>
    <row r="963" spans="3:3">
      <c r="C963" s="1"/>
    </row>
    <row r="964" spans="3:3">
      <c r="C964" s="1"/>
    </row>
    <row r="965" spans="3:3">
      <c r="C965" s="1"/>
    </row>
    <row r="966" spans="3:3">
      <c r="C966" s="1"/>
    </row>
    <row r="967" spans="3:3">
      <c r="C967" s="1"/>
    </row>
    <row r="968" spans="3:3">
      <c r="C968" s="1"/>
    </row>
    <row r="969" spans="3:3">
      <c r="C969" s="1"/>
    </row>
    <row r="970" spans="3:3">
      <c r="C970" s="1"/>
    </row>
    <row r="971" spans="3:3">
      <c r="C971" s="1"/>
    </row>
    <row r="972" spans="3:3">
      <c r="C972" s="1"/>
    </row>
    <row r="973" spans="3:3">
      <c r="C973" s="1"/>
    </row>
    <row r="974" spans="3:3">
      <c r="C974" s="1"/>
    </row>
    <row r="975" spans="3:3">
      <c r="C975" s="1"/>
    </row>
    <row r="976" spans="3:3">
      <c r="C976" s="1"/>
    </row>
    <row r="977" spans="3:3">
      <c r="C977" s="1"/>
    </row>
    <row r="978" spans="3:3">
      <c r="C978" s="1"/>
    </row>
    <row r="979" spans="3:3">
      <c r="C979" s="1"/>
    </row>
    <row r="980" spans="3:3">
      <c r="C980" s="1"/>
    </row>
    <row r="981" spans="3:3">
      <c r="C981" s="1"/>
    </row>
    <row r="982" spans="3:3">
      <c r="C982" s="1"/>
    </row>
    <row r="983" spans="3:3">
      <c r="C983" s="1"/>
    </row>
    <row r="984" spans="3:3">
      <c r="C984" s="1"/>
    </row>
    <row r="985" spans="3:3">
      <c r="C985" s="1"/>
    </row>
    <row r="986" spans="3:3">
      <c r="C986" s="1"/>
    </row>
    <row r="987" spans="3:3">
      <c r="C987" s="1"/>
    </row>
    <row r="988" spans="3:3">
      <c r="C988" s="1"/>
    </row>
    <row r="989" spans="3:3">
      <c r="C989" s="1"/>
    </row>
    <row r="990" spans="3:3">
      <c r="C990" s="1"/>
    </row>
    <row r="991" spans="3:3">
      <c r="C991" s="1"/>
    </row>
    <row r="992" spans="3:3">
      <c r="C992" s="1"/>
    </row>
    <row r="993" spans="3:3">
      <c r="C993" s="1"/>
    </row>
    <row r="994" spans="3:3">
      <c r="C994" s="1"/>
    </row>
    <row r="995" spans="3:3">
      <c r="C995" s="1"/>
    </row>
    <row r="996" spans="3:3">
      <c r="C996" s="1"/>
    </row>
    <row r="997" spans="3:3">
      <c r="C997" s="1"/>
    </row>
    <row r="998" spans="3:3">
      <c r="C998" s="1"/>
    </row>
    <row r="999" spans="3:3">
      <c r="C999" s="1"/>
    </row>
    <row r="1000" spans="3:3">
      <c r="C1000" s="1"/>
    </row>
    <row r="1001" spans="3:3">
      <c r="C1001" s="1"/>
    </row>
    <row r="1002" spans="3:3">
      <c r="C1002" s="1"/>
    </row>
    <row r="1003" spans="3:3">
      <c r="C1003" s="1"/>
    </row>
    <row r="1004" spans="3:3">
      <c r="C1004" s="1"/>
    </row>
    <row r="1005" spans="3:3">
      <c r="C1005" s="1"/>
    </row>
    <row r="1006" spans="3:3">
      <c r="C1006" s="1"/>
    </row>
    <row r="1007" spans="3:3">
      <c r="C1007" s="1"/>
    </row>
    <row r="1008" spans="3:3">
      <c r="C1008" s="1"/>
    </row>
    <row r="1009" spans="3:3">
      <c r="C1009" s="1"/>
    </row>
    <row r="1010" spans="3:3">
      <c r="C1010" s="1"/>
    </row>
    <row r="1011" spans="3:3">
      <c r="C1011" s="1"/>
    </row>
    <row r="1012" spans="3:3">
      <c r="C1012" s="1"/>
    </row>
    <row r="1013" spans="3:3">
      <c r="C1013" s="1"/>
    </row>
    <row r="1014" spans="3:3">
      <c r="C1014" s="1"/>
    </row>
    <row r="1015" spans="3:3">
      <c r="C1015" s="1"/>
    </row>
    <row r="1016" spans="3:3">
      <c r="C1016" s="1"/>
    </row>
    <row r="1017" spans="3:3">
      <c r="C1017" s="1"/>
    </row>
    <row r="1018" spans="3:3">
      <c r="C1018" s="1"/>
    </row>
    <row r="1019" spans="3:3">
      <c r="C1019" s="1"/>
    </row>
    <row r="1020" spans="3:3">
      <c r="C1020" s="1"/>
    </row>
    <row r="1021" spans="3:3">
      <c r="C1021" s="1"/>
    </row>
    <row r="1022" spans="3:3">
      <c r="C1022" s="1"/>
    </row>
    <row r="1023" spans="3:3">
      <c r="C1023" s="1"/>
    </row>
    <row r="1024" spans="3:3">
      <c r="C1024" s="1"/>
    </row>
    <row r="1025" spans="3:3">
      <c r="C1025" s="1"/>
    </row>
    <row r="1026" spans="3:3">
      <c r="C1026" s="1"/>
    </row>
    <row r="1027" spans="3:3">
      <c r="C1027" s="1"/>
    </row>
    <row r="1028" spans="3:3">
      <c r="C1028" s="1"/>
    </row>
    <row r="1029" spans="3:3">
      <c r="C1029" s="1"/>
    </row>
    <row r="1030" spans="3:3">
      <c r="C1030" s="1"/>
    </row>
    <row r="1031" spans="3:3">
      <c r="C1031" s="1"/>
    </row>
    <row r="1032" spans="3:3">
      <c r="C1032" s="1"/>
    </row>
    <row r="1033" spans="3:3">
      <c r="C1033" s="1"/>
    </row>
    <row r="1034" spans="3:3">
      <c r="C1034" s="1"/>
    </row>
    <row r="1035" spans="3:3">
      <c r="C1035" s="1"/>
    </row>
    <row r="1036" spans="3:3">
      <c r="C1036" s="1"/>
    </row>
    <row r="1037" spans="3:3">
      <c r="C1037" s="1"/>
    </row>
    <row r="1038" spans="3:3">
      <c r="C1038" s="1"/>
    </row>
    <row r="1039" spans="3:3">
      <c r="C1039" s="1"/>
    </row>
    <row r="1040" spans="3:3">
      <c r="C1040" s="1"/>
    </row>
    <row r="1041" spans="3:3">
      <c r="C1041" s="1"/>
    </row>
    <row r="1042" spans="3:3">
      <c r="C1042" s="1"/>
    </row>
    <row r="1043" spans="3:3">
      <c r="C1043" s="1"/>
    </row>
    <row r="1044" spans="3:3">
      <c r="C1044" s="1"/>
    </row>
    <row r="1045" spans="3:3">
      <c r="C1045" s="1"/>
    </row>
    <row r="1046" spans="3:3">
      <c r="C1046" s="1"/>
    </row>
    <row r="1047" spans="3:3">
      <c r="C1047" s="1"/>
    </row>
    <row r="1048" spans="3:3">
      <c r="C1048" s="1"/>
    </row>
    <row r="1049" spans="3:3">
      <c r="C1049" s="1"/>
    </row>
    <row r="1050" spans="3:3">
      <c r="C1050" s="1"/>
    </row>
    <row r="1051" spans="3:3">
      <c r="C1051" s="1"/>
    </row>
    <row r="1052" spans="3:3">
      <c r="C1052" s="1"/>
    </row>
    <row r="1053" spans="3:3">
      <c r="C1053" s="1"/>
    </row>
    <row r="1054" spans="3:3">
      <c r="C1054" s="1"/>
    </row>
    <row r="1055" spans="3:3">
      <c r="C1055" s="1"/>
    </row>
    <row r="1056" spans="3:3">
      <c r="C1056" s="1"/>
    </row>
    <row r="1057" spans="3:3">
      <c r="C1057" s="1"/>
    </row>
    <row r="1058" spans="3:3">
      <c r="C1058" s="1"/>
    </row>
    <row r="1059" spans="3:3">
      <c r="C1059" s="1"/>
    </row>
    <row r="1060" spans="3:3">
      <c r="C1060" s="1"/>
    </row>
    <row r="1061" spans="3:3">
      <c r="C1061" s="1"/>
    </row>
    <row r="1062" spans="3:3">
      <c r="C1062" s="1"/>
    </row>
    <row r="1063" spans="3:3">
      <c r="C1063" s="1"/>
    </row>
    <row r="1064" spans="3:3">
      <c r="C1064" s="1"/>
    </row>
    <row r="1065" spans="3:3">
      <c r="C1065" s="1"/>
    </row>
    <row r="1066" spans="3:3">
      <c r="C1066" s="1"/>
    </row>
    <row r="1067" spans="3:3">
      <c r="C1067" s="1"/>
    </row>
    <row r="1068" spans="3:3">
      <c r="C1068" s="1"/>
    </row>
    <row r="1069" spans="3:3">
      <c r="C1069" s="1"/>
    </row>
    <row r="1070" spans="3:3">
      <c r="C1070" s="1"/>
    </row>
    <row r="1071" spans="3:3">
      <c r="C1071" s="1"/>
    </row>
    <row r="1072" spans="3:3">
      <c r="C1072" s="1"/>
    </row>
    <row r="1073" spans="3:3">
      <c r="C1073" s="1"/>
    </row>
    <row r="1074" spans="3:3">
      <c r="C1074" s="1"/>
    </row>
    <row r="1075" spans="3:3">
      <c r="C1075" s="1"/>
    </row>
    <row r="1076" spans="3:3">
      <c r="C1076" s="1"/>
    </row>
    <row r="1077" spans="3:3">
      <c r="C1077" s="1"/>
    </row>
    <row r="1078" spans="3:3">
      <c r="C1078" s="1"/>
    </row>
    <row r="1079" spans="3:3">
      <c r="C1079" s="1"/>
    </row>
    <row r="1080" spans="3:3">
      <c r="C1080" s="1"/>
    </row>
    <row r="1081" spans="3:3">
      <c r="C1081" s="1"/>
    </row>
    <row r="1082" spans="3:3">
      <c r="C1082" s="1"/>
    </row>
    <row r="1083" spans="3:3">
      <c r="C1083" s="1"/>
    </row>
    <row r="1084" spans="3:3">
      <c r="C1084" s="1"/>
    </row>
    <row r="1085" spans="3:3">
      <c r="C1085" s="1"/>
    </row>
    <row r="1086" spans="3:3">
      <c r="C1086" s="1"/>
    </row>
    <row r="1087" spans="3:3">
      <c r="C1087" s="1"/>
    </row>
    <row r="1088" spans="3:3">
      <c r="C1088" s="1"/>
    </row>
    <row r="1089" spans="3:3">
      <c r="C1089" s="1"/>
    </row>
    <row r="1090" spans="3:3">
      <c r="C1090" s="1"/>
    </row>
    <row r="1091" spans="3:3">
      <c r="C1091" s="1"/>
    </row>
    <row r="1092" spans="3:3">
      <c r="C1092" s="1"/>
    </row>
    <row r="1093" spans="3:3">
      <c r="C1093" s="1"/>
    </row>
    <row r="1094" spans="3:3">
      <c r="C1094" s="1"/>
    </row>
    <row r="1095" spans="3:3">
      <c r="C1095" s="1"/>
    </row>
    <row r="1096" spans="3:3">
      <c r="C1096" s="1"/>
    </row>
    <row r="1097" spans="3:3">
      <c r="C1097" s="1"/>
    </row>
    <row r="1098" spans="3:3">
      <c r="C1098" s="1"/>
    </row>
    <row r="1099" spans="3:3">
      <c r="C1099" s="1"/>
    </row>
    <row r="1100" spans="3:3">
      <c r="C1100" s="1"/>
    </row>
    <row r="1101" spans="3:3">
      <c r="C1101" s="1"/>
    </row>
    <row r="1102" spans="3:3">
      <c r="C1102" s="1"/>
    </row>
    <row r="1103" spans="3:3">
      <c r="C1103" s="1"/>
    </row>
    <row r="1104" spans="3:3">
      <c r="C1104" s="1"/>
    </row>
    <row r="1105" spans="3:3">
      <c r="C1105" s="1"/>
    </row>
    <row r="1106" spans="3:3">
      <c r="C1106" s="1"/>
    </row>
    <row r="1107" spans="3:3">
      <c r="C1107" s="1"/>
    </row>
    <row r="1108" spans="3:3">
      <c r="C1108" s="1"/>
    </row>
    <row r="1109" spans="3:3">
      <c r="C1109" s="1"/>
    </row>
    <row r="1110" spans="3:3">
      <c r="C1110" s="1"/>
    </row>
    <row r="1111" spans="3:3">
      <c r="C1111" s="1"/>
    </row>
    <row r="1112" spans="3:3">
      <c r="C1112" s="1"/>
    </row>
    <row r="1113" spans="3:3">
      <c r="C1113" s="1"/>
    </row>
    <row r="1114" spans="3:3">
      <c r="C1114" s="1"/>
    </row>
    <row r="1115" spans="3:3">
      <c r="C1115" s="1"/>
    </row>
    <row r="1116" spans="3:3">
      <c r="C1116" s="1"/>
    </row>
    <row r="1117" spans="3:3">
      <c r="C1117" s="1"/>
    </row>
    <row r="1118" spans="3:3">
      <c r="C1118" s="1"/>
    </row>
    <row r="1119" spans="3:3">
      <c r="C1119" s="1"/>
    </row>
    <row r="1120" spans="3:3">
      <c r="C1120" s="1"/>
    </row>
    <row r="1121" spans="3:3">
      <c r="C1121" s="1"/>
    </row>
    <row r="1122" spans="3:3">
      <c r="C1122" s="1"/>
    </row>
    <row r="1123" spans="3:3">
      <c r="C1123" s="1"/>
    </row>
    <row r="1124" spans="3:3">
      <c r="C1124" s="1"/>
    </row>
    <row r="1125" spans="3:3">
      <c r="C1125" s="1"/>
    </row>
    <row r="1126" spans="3:3">
      <c r="C1126" s="1"/>
    </row>
    <row r="1127" spans="3:3">
      <c r="C1127" s="1"/>
    </row>
    <row r="1128" spans="3:3">
      <c r="C1128" s="1"/>
    </row>
    <row r="1129" spans="3:3">
      <c r="C1129" s="1"/>
    </row>
    <row r="1130" spans="3:3">
      <c r="C1130" s="1"/>
    </row>
    <row r="1131" spans="3:3">
      <c r="C1131" s="1"/>
    </row>
    <row r="1132" spans="3:3">
      <c r="C1132" s="1"/>
    </row>
    <row r="1133" spans="3:3">
      <c r="C1133" s="1"/>
    </row>
    <row r="1134" spans="3:3">
      <c r="C1134" s="1"/>
    </row>
    <row r="1135" spans="3:3">
      <c r="C1135" s="1"/>
    </row>
    <row r="1136" spans="3:3">
      <c r="C1136" s="1"/>
    </row>
    <row r="1137" spans="3:3">
      <c r="C1137" s="1"/>
    </row>
    <row r="1138" spans="3:3">
      <c r="C1138" s="1"/>
    </row>
    <row r="1139" spans="3:3">
      <c r="C1139" s="1"/>
    </row>
    <row r="1140" spans="3:3">
      <c r="C1140" s="1"/>
    </row>
    <row r="1141" spans="3:3">
      <c r="C1141" s="1"/>
    </row>
    <row r="1142" spans="3:3">
      <c r="C1142" s="1"/>
    </row>
    <row r="1143" spans="3:3">
      <c r="C1143" s="1"/>
    </row>
    <row r="1144" spans="3:3">
      <c r="C1144" s="1"/>
    </row>
    <row r="1145" spans="3:3">
      <c r="C1145" s="1"/>
    </row>
    <row r="1146" spans="3:3">
      <c r="C1146" s="1"/>
    </row>
    <row r="1147" spans="3:3">
      <c r="C1147" s="1"/>
    </row>
    <row r="1148" spans="3:3">
      <c r="C1148" s="1"/>
    </row>
    <row r="1149" spans="3:3">
      <c r="C1149" s="1"/>
    </row>
    <row r="1150" spans="3:3">
      <c r="C1150" s="1"/>
    </row>
    <row r="1151" spans="3:3">
      <c r="C1151" s="1"/>
    </row>
    <row r="1152" spans="3:3">
      <c r="C1152" s="1"/>
    </row>
    <row r="1153" spans="3:3">
      <c r="C1153" s="1"/>
    </row>
    <row r="1154" spans="3:3">
      <c r="C1154" s="1"/>
    </row>
    <row r="1155" spans="3:3">
      <c r="C1155" s="1"/>
    </row>
    <row r="1156" spans="3:3">
      <c r="C1156" s="1"/>
    </row>
    <row r="1157" spans="3:3">
      <c r="C1157" s="1"/>
    </row>
    <row r="1158" spans="3:3">
      <c r="C1158" s="1"/>
    </row>
    <row r="1159" spans="3:3">
      <c r="C1159" s="1"/>
    </row>
    <row r="1160" spans="3:3">
      <c r="C1160" s="1"/>
    </row>
    <row r="1161" spans="3:3">
      <c r="C1161" s="1"/>
    </row>
    <row r="1162" spans="3:3">
      <c r="C1162" s="1"/>
    </row>
    <row r="1163" spans="3:3">
      <c r="C1163" s="1"/>
    </row>
    <row r="1164" spans="3:3">
      <c r="C1164" s="1"/>
    </row>
    <row r="1165" spans="3:3">
      <c r="C1165" s="1"/>
    </row>
    <row r="1166" spans="3:3">
      <c r="C1166" s="1"/>
    </row>
    <row r="1167" spans="3:3">
      <c r="C1167" s="1"/>
    </row>
    <row r="1168" spans="3:3">
      <c r="C1168" s="1"/>
    </row>
    <row r="1169" spans="3:3">
      <c r="C1169" s="1"/>
    </row>
    <row r="1170" spans="3:3">
      <c r="C1170" s="1"/>
    </row>
    <row r="1171" spans="3:3">
      <c r="C1171" s="1"/>
    </row>
    <row r="1172" spans="3:3">
      <c r="C1172" s="1"/>
    </row>
    <row r="1173" spans="3:3">
      <c r="C1173" s="1"/>
    </row>
    <row r="1174" spans="3:3">
      <c r="C1174" s="1"/>
    </row>
    <row r="1175" spans="3:3">
      <c r="C1175" s="1"/>
    </row>
    <row r="1176" spans="3:3">
      <c r="C1176" s="1"/>
    </row>
    <row r="1177" spans="3:3">
      <c r="C1177" s="1"/>
    </row>
    <row r="1178" spans="3:3">
      <c r="C1178" s="1"/>
    </row>
    <row r="1179" spans="3:3">
      <c r="C1179" s="1"/>
    </row>
    <row r="1180" spans="3:3">
      <c r="C1180" s="1"/>
    </row>
    <row r="1181" spans="3:3">
      <c r="C1181" s="1"/>
    </row>
    <row r="1182" spans="3:3">
      <c r="C1182" s="1"/>
    </row>
    <row r="1183" spans="3:3">
      <c r="C1183" s="1"/>
    </row>
    <row r="1184" spans="3:3">
      <c r="C1184" s="1"/>
    </row>
    <row r="1185" spans="3:3">
      <c r="C1185" s="1"/>
    </row>
    <row r="1186" spans="3:3">
      <c r="C1186" s="1"/>
    </row>
    <row r="1187" spans="3:3">
      <c r="C1187" s="1"/>
    </row>
    <row r="1188" spans="3:3">
      <c r="C1188" s="1"/>
    </row>
    <row r="1189" spans="3:3">
      <c r="C1189" s="1"/>
    </row>
    <row r="1190" spans="3:3">
      <c r="C1190" s="1"/>
    </row>
    <row r="1191" spans="3:3">
      <c r="C1191" s="1"/>
    </row>
    <row r="1192" spans="3:3">
      <c r="C1192" s="1"/>
    </row>
    <row r="1193" spans="3:3">
      <c r="C1193" s="1"/>
    </row>
    <row r="1194" spans="3:3">
      <c r="C1194" s="1"/>
    </row>
    <row r="1195" spans="3:3">
      <c r="C1195" s="1"/>
    </row>
    <row r="1196" spans="3:3">
      <c r="C1196" s="1"/>
    </row>
    <row r="1197" spans="3:3">
      <c r="C1197" s="1"/>
    </row>
    <row r="1198" spans="3:3">
      <c r="C1198" s="1"/>
    </row>
    <row r="1199" spans="3:3">
      <c r="C1199" s="1"/>
    </row>
    <row r="1200" spans="3:3">
      <c r="C1200" s="1"/>
    </row>
    <row r="1201" spans="3:3">
      <c r="C1201" s="1"/>
    </row>
    <row r="1202" spans="3:3">
      <c r="C1202" s="1"/>
    </row>
    <row r="1203" spans="3:3">
      <c r="C1203" s="1"/>
    </row>
    <row r="1204" spans="3:3">
      <c r="C1204" s="1"/>
    </row>
    <row r="1205" spans="3:3">
      <c r="C1205" s="1"/>
    </row>
    <row r="1206" spans="3:3">
      <c r="C1206" s="1"/>
    </row>
    <row r="1207" spans="3:3">
      <c r="C1207" s="1"/>
    </row>
    <row r="1208" spans="3:3">
      <c r="C1208" s="1"/>
    </row>
    <row r="1209" spans="3:3">
      <c r="C1209" s="1"/>
    </row>
    <row r="1210" spans="3:3">
      <c r="C1210" s="1"/>
    </row>
    <row r="1211" spans="3:3">
      <c r="C1211" s="1"/>
    </row>
    <row r="1212" spans="3:3">
      <c r="C1212" s="1"/>
    </row>
    <row r="1213" spans="3:3">
      <c r="C1213" s="1"/>
    </row>
    <row r="1214" spans="3:3">
      <c r="C1214" s="1"/>
    </row>
    <row r="1215" spans="3:3">
      <c r="C1215" s="1"/>
    </row>
    <row r="1216" spans="3:3">
      <c r="C1216" s="1"/>
    </row>
    <row r="1217" spans="3:3">
      <c r="C1217" s="1"/>
    </row>
    <row r="1218" spans="3:3">
      <c r="C1218" s="1"/>
    </row>
    <row r="1219" spans="3:3">
      <c r="C1219" s="1"/>
    </row>
    <row r="1220" spans="3:3">
      <c r="C1220" s="1"/>
    </row>
    <row r="1221" spans="3:3">
      <c r="C1221" s="1"/>
    </row>
    <row r="1222" spans="3:3">
      <c r="C1222" s="1"/>
    </row>
    <row r="1223" spans="3:3">
      <c r="C1223" s="1"/>
    </row>
    <row r="1224" spans="3:3">
      <c r="C1224" s="1"/>
    </row>
    <row r="1225" spans="3:3">
      <c r="C1225" s="1"/>
    </row>
    <row r="1226" spans="3:3">
      <c r="C1226" s="1"/>
    </row>
    <row r="1227" spans="3:3">
      <c r="C1227" s="1"/>
    </row>
    <row r="1228" spans="3:3">
      <c r="C1228" s="1"/>
    </row>
    <row r="1229" spans="3:3">
      <c r="C1229" s="1"/>
    </row>
    <row r="1230" spans="3:3">
      <c r="C1230" s="1"/>
    </row>
    <row r="1231" spans="3:3">
      <c r="C1231" s="1"/>
    </row>
    <row r="1232" spans="3:3">
      <c r="C1232" s="1"/>
    </row>
    <row r="1233" spans="3:3">
      <c r="C1233" s="1"/>
    </row>
    <row r="1234" spans="3:3">
      <c r="C1234" s="1"/>
    </row>
    <row r="1235" spans="3:3">
      <c r="C1235" s="1"/>
    </row>
    <row r="1236" spans="3:3">
      <c r="C1236" s="1"/>
    </row>
    <row r="1237" spans="3:3">
      <c r="C1237" s="1"/>
    </row>
    <row r="1238" spans="3:3">
      <c r="C1238" s="1"/>
    </row>
    <row r="1239" spans="3:3">
      <c r="C1239" s="1"/>
    </row>
    <row r="1240" spans="3:3">
      <c r="C1240" s="1"/>
    </row>
    <row r="1241" spans="3:3">
      <c r="C1241" s="1"/>
    </row>
    <row r="1242" spans="3:3">
      <c r="C1242" s="1"/>
    </row>
    <row r="1243" spans="3:3">
      <c r="C1243" s="1"/>
    </row>
    <row r="1244" spans="3:3">
      <c r="C1244" s="1"/>
    </row>
    <row r="1245" spans="3:3">
      <c r="C1245" s="1"/>
    </row>
    <row r="1246" spans="3:3">
      <c r="C1246" s="1"/>
    </row>
    <row r="1247" spans="3:3">
      <c r="C1247" s="1"/>
    </row>
    <row r="1248" spans="3:3">
      <c r="C1248" s="1"/>
    </row>
    <row r="1249" spans="3:3">
      <c r="C1249" s="1"/>
    </row>
    <row r="1250" spans="3:3">
      <c r="C1250" s="1"/>
    </row>
    <row r="1251" spans="3:3">
      <c r="C1251" s="1"/>
    </row>
    <row r="1252" spans="3:3">
      <c r="C1252" s="1"/>
    </row>
    <row r="1253" spans="3:3">
      <c r="C1253" s="1"/>
    </row>
    <row r="1254" spans="3:3">
      <c r="C1254" s="1"/>
    </row>
    <row r="1255" spans="3:3">
      <c r="C1255" s="1"/>
    </row>
    <row r="1256" spans="3:3">
      <c r="C1256" s="1"/>
    </row>
    <row r="1257" spans="3:3">
      <c r="C1257" s="1"/>
    </row>
    <row r="1258" spans="3:3">
      <c r="C1258" s="1"/>
    </row>
    <row r="1259" spans="3:3">
      <c r="C1259" s="1"/>
    </row>
    <row r="1260" spans="3:3">
      <c r="C1260" s="1"/>
    </row>
    <row r="1261" spans="3:3">
      <c r="C1261" s="1"/>
    </row>
    <row r="1262" spans="3:3">
      <c r="C1262" s="1"/>
    </row>
    <row r="1263" spans="3:3">
      <c r="C1263" s="1"/>
    </row>
    <row r="1264" spans="3:3">
      <c r="C1264" s="1"/>
    </row>
    <row r="1265" spans="3:3">
      <c r="C1265" s="1"/>
    </row>
    <row r="1266" spans="3:3">
      <c r="C1266" s="1"/>
    </row>
    <row r="1267" spans="3:3">
      <c r="C1267" s="1"/>
    </row>
    <row r="1268" spans="3:3">
      <c r="C1268" s="1"/>
    </row>
    <row r="1269" spans="3:3">
      <c r="C1269" s="1"/>
    </row>
    <row r="1270" spans="3:3">
      <c r="C1270" s="1"/>
    </row>
    <row r="1271" spans="3:3">
      <c r="C1271" s="1"/>
    </row>
    <row r="1272" spans="3:3">
      <c r="C1272" s="1"/>
    </row>
    <row r="1273" spans="3:3">
      <c r="C1273" s="1"/>
    </row>
    <row r="1274" spans="3:3">
      <c r="C1274" s="1"/>
    </row>
    <row r="1275" spans="3:3">
      <c r="C1275" s="1"/>
    </row>
    <row r="1276" spans="3:3">
      <c r="C1276" s="1"/>
    </row>
    <row r="1277" spans="3:3">
      <c r="C1277" s="1"/>
    </row>
    <row r="1278" spans="3:3">
      <c r="C1278" s="1"/>
    </row>
    <row r="1279" spans="3:3">
      <c r="C1279" s="1"/>
    </row>
    <row r="1280" spans="3:3">
      <c r="C1280" s="1"/>
    </row>
    <row r="1281" spans="3:3">
      <c r="C1281" s="1"/>
    </row>
    <row r="1282" spans="3:3">
      <c r="C1282" s="1"/>
    </row>
    <row r="1283" spans="3:3">
      <c r="C1283" s="1"/>
    </row>
    <row r="1284" spans="3:3">
      <c r="C1284" s="1"/>
    </row>
    <row r="1285" spans="3:3">
      <c r="C1285" s="1"/>
    </row>
    <row r="1286" spans="3:3">
      <c r="C1286" s="1"/>
    </row>
    <row r="1287" spans="3:3">
      <c r="C1287" s="1"/>
    </row>
    <row r="1288" spans="3:3">
      <c r="C1288" s="1"/>
    </row>
    <row r="1289" spans="3:3">
      <c r="C1289" s="1"/>
    </row>
    <row r="1290" spans="3:3">
      <c r="C1290" s="1"/>
    </row>
    <row r="1291" spans="3:3">
      <c r="C1291" s="1"/>
    </row>
    <row r="1292" spans="3:3">
      <c r="C1292" s="1"/>
    </row>
    <row r="1293" spans="3:3">
      <c r="C1293" s="1"/>
    </row>
    <row r="1294" spans="3:3">
      <c r="C1294" s="1"/>
    </row>
    <row r="1295" spans="3:3">
      <c r="C1295" s="1"/>
    </row>
    <row r="1296" spans="3:3">
      <c r="C1296" s="1"/>
    </row>
    <row r="1297" spans="3:3">
      <c r="C1297" s="1"/>
    </row>
    <row r="1298" spans="3:3">
      <c r="C1298" s="1"/>
    </row>
    <row r="1299" spans="3:3">
      <c r="C1299" s="1"/>
    </row>
    <row r="1300" spans="3:3">
      <c r="C1300" s="1"/>
    </row>
    <row r="1301" spans="3:3">
      <c r="C1301" s="1"/>
    </row>
    <row r="1302" spans="3:3">
      <c r="C1302" s="1"/>
    </row>
    <row r="1303" spans="3:3">
      <c r="C1303" s="1"/>
    </row>
    <row r="1304" spans="3:3">
      <c r="C1304" s="1"/>
    </row>
    <row r="1305" spans="3:3">
      <c r="C1305" s="1"/>
    </row>
    <row r="1306" spans="3:3">
      <c r="C1306" s="1"/>
    </row>
    <row r="1307" spans="3:3">
      <c r="C1307" s="1"/>
    </row>
    <row r="1308" spans="3:3">
      <c r="C1308" s="1"/>
    </row>
    <row r="1309" spans="3:3">
      <c r="C1309" s="1"/>
    </row>
    <row r="1310" spans="3:3">
      <c r="C1310" s="1"/>
    </row>
    <row r="1311" spans="3:3">
      <c r="C1311" s="1"/>
    </row>
    <row r="1312" spans="3:3">
      <c r="C1312" s="1"/>
    </row>
    <row r="1313" spans="3:3">
      <c r="C1313" s="1"/>
    </row>
    <row r="1314" spans="3:3">
      <c r="C1314" s="1"/>
    </row>
    <row r="1315" spans="3:3">
      <c r="C1315" s="1"/>
    </row>
    <row r="1316" spans="3:3">
      <c r="C1316" s="1"/>
    </row>
    <row r="1317" spans="3:3">
      <c r="C1317" s="1"/>
    </row>
    <row r="1318" spans="3:3">
      <c r="C1318" s="1"/>
    </row>
    <row r="1319" spans="3:3">
      <c r="C1319" s="1"/>
    </row>
    <row r="1320" spans="3:3">
      <c r="C1320" s="1"/>
    </row>
    <row r="1321" spans="3:3">
      <c r="C1321" s="1"/>
    </row>
    <row r="1322" spans="3:3">
      <c r="C1322" s="1"/>
    </row>
    <row r="1323" spans="3:3">
      <c r="C1323" s="1"/>
    </row>
    <row r="1324" spans="3:3">
      <c r="C1324" s="1"/>
    </row>
    <row r="1325" spans="3:3">
      <c r="C1325" s="1"/>
    </row>
    <row r="1326" spans="3:3">
      <c r="C1326" s="1"/>
    </row>
    <row r="1327" spans="3:3">
      <c r="C1327" s="1"/>
    </row>
    <row r="1328" spans="3:3">
      <c r="C1328" s="1"/>
    </row>
    <row r="1329" spans="3:3">
      <c r="C1329" s="1"/>
    </row>
    <row r="1330" spans="3:3">
      <c r="C1330" s="1"/>
    </row>
    <row r="1331" spans="3:3">
      <c r="C1331" s="1"/>
    </row>
    <row r="1332" spans="3:3">
      <c r="C1332" s="1"/>
    </row>
    <row r="1333" spans="3:3">
      <c r="C1333" s="1"/>
    </row>
    <row r="1334" spans="3:3">
      <c r="C1334" s="1"/>
    </row>
    <row r="1335" spans="3:3">
      <c r="C1335" s="1"/>
    </row>
    <row r="1336" spans="3:3">
      <c r="C1336" s="1"/>
    </row>
    <row r="1337" spans="3:3">
      <c r="C1337" s="1"/>
    </row>
    <row r="1338" spans="3:3">
      <c r="C1338" s="1"/>
    </row>
    <row r="1339" spans="3:3">
      <c r="C1339" s="1"/>
    </row>
    <row r="1340" spans="3:3">
      <c r="C1340" s="1"/>
    </row>
    <row r="1341" spans="3:3">
      <c r="C1341" s="1"/>
    </row>
    <row r="1342" spans="3:3">
      <c r="C1342" s="1"/>
    </row>
    <row r="1343" spans="3:3">
      <c r="C1343" s="1"/>
    </row>
    <row r="1344" spans="3:3">
      <c r="C1344" s="1"/>
    </row>
    <row r="1345" spans="3:3">
      <c r="C1345" s="1"/>
    </row>
    <row r="1346" spans="3:3">
      <c r="C1346" s="1"/>
    </row>
    <row r="1347" spans="3:3">
      <c r="C1347" s="1"/>
    </row>
    <row r="1348" spans="3:3">
      <c r="C1348" s="1"/>
    </row>
    <row r="1349" spans="3:3">
      <c r="C1349" s="1"/>
    </row>
    <row r="1350" spans="3:3">
      <c r="C1350" s="1"/>
    </row>
    <row r="1351" spans="3:3">
      <c r="C1351" s="1"/>
    </row>
    <row r="1352" spans="3:3">
      <c r="C1352" s="1"/>
    </row>
    <row r="1353" spans="3:3">
      <c r="C1353" s="1"/>
    </row>
    <row r="1354" spans="3:3">
      <c r="C1354" s="1"/>
    </row>
    <row r="1355" spans="3:3">
      <c r="C1355" s="1"/>
    </row>
    <row r="1356" spans="3:3">
      <c r="C1356" s="1"/>
    </row>
    <row r="1357" spans="3:3">
      <c r="C1357" s="1"/>
    </row>
    <row r="1358" spans="3:3">
      <c r="C1358" s="1"/>
    </row>
    <row r="1359" spans="3:3">
      <c r="C1359" s="1"/>
    </row>
    <row r="1360" spans="3:3">
      <c r="C1360" s="1"/>
    </row>
    <row r="1361" spans="3:3">
      <c r="C1361" s="1"/>
    </row>
    <row r="1362" spans="3:3">
      <c r="C1362" s="1"/>
    </row>
    <row r="1363" spans="3:3">
      <c r="C1363" s="1"/>
    </row>
    <row r="1364" spans="3:3">
      <c r="C1364" s="1"/>
    </row>
    <row r="1365" spans="3:3">
      <c r="C1365" s="1"/>
    </row>
    <row r="1366" spans="3:3">
      <c r="C1366" s="1"/>
    </row>
    <row r="1367" spans="3:3">
      <c r="C1367" s="1"/>
    </row>
    <row r="1368" spans="3:3">
      <c r="C1368" s="1"/>
    </row>
    <row r="1369" spans="3:3">
      <c r="C1369" s="1"/>
    </row>
    <row r="1370" spans="3:3">
      <c r="C1370" s="1"/>
    </row>
    <row r="1371" spans="3:3">
      <c r="C1371" s="1"/>
    </row>
    <row r="1372" spans="3:3">
      <c r="C1372" s="1"/>
    </row>
    <row r="1373" spans="3:3">
      <c r="C1373" s="1"/>
    </row>
    <row r="1374" spans="3:3">
      <c r="C1374" s="1"/>
    </row>
    <row r="1375" spans="3:3">
      <c r="C1375" s="1"/>
    </row>
    <row r="1376" spans="3:3">
      <c r="C1376" s="1"/>
    </row>
    <row r="1377" spans="3:3">
      <c r="C1377" s="1"/>
    </row>
    <row r="1378" spans="3:3">
      <c r="C1378" s="1"/>
    </row>
    <row r="1379" spans="3:3">
      <c r="C1379" s="1"/>
    </row>
    <row r="1380" spans="3:3">
      <c r="C1380" s="1"/>
    </row>
    <row r="1381" spans="3:3">
      <c r="C1381" s="1"/>
    </row>
    <row r="1382" spans="3:3">
      <c r="C1382" s="1"/>
    </row>
    <row r="1383" spans="3:3">
      <c r="C1383" s="1"/>
    </row>
    <row r="1384" spans="3:3">
      <c r="C1384" s="1"/>
    </row>
    <row r="1385" spans="3:3">
      <c r="C1385" s="1"/>
    </row>
    <row r="1386" spans="3:3">
      <c r="C1386" s="1"/>
    </row>
    <row r="1387" spans="3:3">
      <c r="C1387" s="1"/>
    </row>
    <row r="1388" spans="3:3">
      <c r="C1388" s="1"/>
    </row>
    <row r="1389" spans="3:3">
      <c r="C1389" s="1"/>
    </row>
    <row r="1390" spans="3:3">
      <c r="C1390" s="1"/>
    </row>
    <row r="1391" spans="3:3">
      <c r="C1391" s="1"/>
    </row>
    <row r="1392" spans="3:3">
      <c r="C1392" s="1"/>
    </row>
    <row r="1393" spans="3:3">
      <c r="C1393" s="1"/>
    </row>
    <row r="1394" spans="3:3">
      <c r="C1394" s="1"/>
    </row>
    <row r="1395" spans="3:3">
      <c r="C1395" s="1"/>
    </row>
    <row r="1396" spans="3:3">
      <c r="C1396" s="1"/>
    </row>
    <row r="1397" spans="3:3">
      <c r="C1397" s="1"/>
    </row>
    <row r="1398" spans="3:3">
      <c r="C1398" s="1"/>
    </row>
    <row r="1399" spans="3:3">
      <c r="C1399" s="1"/>
    </row>
    <row r="1400" spans="3:3">
      <c r="C1400" s="1"/>
    </row>
    <row r="1401" spans="3:3">
      <c r="C1401" s="1"/>
    </row>
    <row r="1402" spans="3:3">
      <c r="C1402" s="1"/>
    </row>
    <row r="1403" spans="3:3">
      <c r="C1403" s="1"/>
    </row>
    <row r="1404" spans="3:3">
      <c r="C1404" s="1"/>
    </row>
    <row r="1405" spans="3:3">
      <c r="C1405" s="1"/>
    </row>
    <row r="1406" spans="3:3">
      <c r="C1406" s="1"/>
    </row>
    <row r="1407" spans="3:3">
      <c r="C1407" s="1"/>
    </row>
    <row r="1408" spans="3:3">
      <c r="C1408" s="1"/>
    </row>
    <row r="1409" spans="3:3">
      <c r="C1409" s="1"/>
    </row>
    <row r="1410" spans="3:3">
      <c r="C1410" s="1"/>
    </row>
    <row r="1411" spans="3:3">
      <c r="C1411" s="1"/>
    </row>
    <row r="1412" spans="3:3">
      <c r="C1412" s="1"/>
    </row>
    <row r="1413" spans="3:3">
      <c r="C1413" s="1"/>
    </row>
    <row r="1414" spans="3:3">
      <c r="C1414" s="1"/>
    </row>
    <row r="1415" spans="3:3">
      <c r="C1415" s="1"/>
    </row>
    <row r="1416" spans="3:3">
      <c r="C1416" s="1"/>
    </row>
    <row r="1417" spans="3:3">
      <c r="C1417" s="1"/>
    </row>
    <row r="1418" spans="3:3">
      <c r="C1418" s="1"/>
    </row>
    <row r="1419" spans="3:3">
      <c r="C1419" s="1"/>
    </row>
    <row r="1420" spans="3:3">
      <c r="C1420" s="1"/>
    </row>
    <row r="1421" spans="3:3">
      <c r="C1421" s="1"/>
    </row>
    <row r="1422" spans="3:3">
      <c r="C1422" s="1"/>
    </row>
    <row r="1423" spans="3:3">
      <c r="C1423" s="1"/>
    </row>
    <row r="1424" spans="3:3">
      <c r="C1424" s="1"/>
    </row>
    <row r="1425" spans="3:3">
      <c r="C1425" s="1"/>
    </row>
    <row r="1426" spans="3:3">
      <c r="C1426" s="1"/>
    </row>
    <row r="1427" spans="3:3">
      <c r="C1427" s="1"/>
    </row>
    <row r="1428" spans="3:3">
      <c r="C1428" s="1"/>
    </row>
    <row r="1429" spans="3:3">
      <c r="C1429" s="1"/>
    </row>
    <row r="1430" spans="3:3">
      <c r="C1430" s="1"/>
    </row>
    <row r="1431" spans="3:3">
      <c r="C1431" s="1"/>
    </row>
    <row r="1432" spans="3:3">
      <c r="C1432" s="1"/>
    </row>
    <row r="1433" spans="3:3">
      <c r="C1433" s="1"/>
    </row>
    <row r="1434" spans="3:3">
      <c r="C1434" s="1"/>
    </row>
    <row r="1435" spans="3:3">
      <c r="C1435" s="1"/>
    </row>
    <row r="1436" spans="3:3">
      <c r="C1436" s="1"/>
    </row>
    <row r="1437" spans="3:3">
      <c r="C1437" s="1"/>
    </row>
    <row r="1438" spans="3:3">
      <c r="C1438" s="1"/>
    </row>
    <row r="1439" spans="3:3">
      <c r="C1439" s="1"/>
    </row>
    <row r="1440" spans="3:3">
      <c r="C1440" s="1"/>
    </row>
    <row r="1441" spans="3:3">
      <c r="C1441" s="1"/>
    </row>
    <row r="1442" spans="3:3">
      <c r="C1442" s="1"/>
    </row>
    <row r="1443" spans="3:3">
      <c r="C1443" s="1"/>
    </row>
    <row r="1444" spans="3:3">
      <c r="C1444" s="1"/>
    </row>
    <row r="1445" spans="3:3">
      <c r="C1445" s="1"/>
    </row>
    <row r="1446" spans="3:3">
      <c r="C1446" s="1"/>
    </row>
    <row r="1447" spans="3:3">
      <c r="C1447" s="1"/>
    </row>
    <row r="1448" spans="3:3">
      <c r="C1448" s="1"/>
    </row>
    <row r="1449" spans="3:3">
      <c r="C1449" s="1"/>
    </row>
    <row r="1450" spans="3:3">
      <c r="C1450" s="1"/>
    </row>
    <row r="1451" spans="3:3">
      <c r="C1451" s="1"/>
    </row>
    <row r="1452" spans="3:3">
      <c r="C1452" s="1"/>
    </row>
    <row r="1453" spans="3:3">
      <c r="C1453" s="1"/>
    </row>
    <row r="1454" spans="3:3">
      <c r="C1454" s="1"/>
    </row>
    <row r="1455" spans="3:3">
      <c r="C1455" s="1"/>
    </row>
    <row r="1456" spans="3:3">
      <c r="C1456" s="1"/>
    </row>
    <row r="1457" spans="3:3">
      <c r="C1457" s="1"/>
    </row>
    <row r="1458" spans="3:3">
      <c r="C1458" s="1"/>
    </row>
    <row r="1459" spans="3:3">
      <c r="C1459" s="1"/>
    </row>
    <row r="1460" spans="3:3">
      <c r="C1460" s="1"/>
    </row>
    <row r="1461" spans="3:3">
      <c r="C1461" s="1"/>
    </row>
    <row r="1462" spans="3:3">
      <c r="C1462" s="1"/>
    </row>
    <row r="1463" spans="3:3">
      <c r="C1463" s="1"/>
    </row>
    <row r="1464" spans="3:3">
      <c r="C1464" s="1"/>
    </row>
    <row r="1465" spans="3:3">
      <c r="C1465" s="1"/>
    </row>
    <row r="1466" spans="3:3">
      <c r="C1466" s="1"/>
    </row>
    <row r="1467" spans="3:3">
      <c r="C1467" s="1"/>
    </row>
    <row r="1468" spans="3:3">
      <c r="C1468" s="1"/>
    </row>
    <row r="1469" spans="3:3">
      <c r="C1469" s="1"/>
    </row>
    <row r="1470" spans="3:3">
      <c r="C1470" s="1"/>
    </row>
    <row r="1471" spans="3:3">
      <c r="C1471" s="1"/>
    </row>
    <row r="1472" spans="3:3">
      <c r="C1472" s="1"/>
    </row>
    <row r="1473" spans="3:3">
      <c r="C1473" s="1"/>
    </row>
    <row r="1474" spans="3:3">
      <c r="C1474" s="1"/>
    </row>
    <row r="1475" spans="3:3">
      <c r="C1475" s="1"/>
    </row>
    <row r="1476" spans="3:3">
      <c r="C1476" s="1"/>
    </row>
    <row r="1477" spans="3:3">
      <c r="C1477" s="1"/>
    </row>
    <row r="1478" spans="3:3">
      <c r="C1478" s="1"/>
    </row>
    <row r="1479" spans="3:3">
      <c r="C1479" s="1"/>
    </row>
    <row r="1480" spans="3:3">
      <c r="C1480" s="1"/>
    </row>
    <row r="1481" spans="3:3">
      <c r="C1481" s="1"/>
    </row>
    <row r="1482" spans="3:3">
      <c r="C1482" s="1"/>
    </row>
    <row r="1483" spans="3:3">
      <c r="C1483" s="1"/>
    </row>
    <row r="1484" spans="3:3">
      <c r="C1484" s="1"/>
    </row>
    <row r="1485" spans="3:3">
      <c r="C1485" s="1"/>
    </row>
    <row r="1486" spans="3:3">
      <c r="C1486" s="1"/>
    </row>
    <row r="1487" spans="3:3">
      <c r="C1487" s="1"/>
    </row>
    <row r="1488" spans="3:3">
      <c r="C1488" s="1"/>
    </row>
    <row r="1489" spans="3:3">
      <c r="C1489" s="1"/>
    </row>
    <row r="1490" spans="3:3">
      <c r="C1490" s="1"/>
    </row>
    <row r="1491" spans="3:3">
      <c r="C1491" s="1"/>
    </row>
    <row r="1492" spans="3:3">
      <c r="C1492" s="1"/>
    </row>
    <row r="1493" spans="3:3">
      <c r="C1493" s="1"/>
    </row>
    <row r="1494" spans="3:3">
      <c r="C1494" s="1"/>
    </row>
    <row r="1495" spans="3:3">
      <c r="C1495" s="1"/>
    </row>
    <row r="1496" spans="3:3">
      <c r="C1496" s="1"/>
    </row>
    <row r="1497" spans="3:3">
      <c r="C1497" s="1"/>
    </row>
    <row r="1498" spans="3:3">
      <c r="C1498" s="1"/>
    </row>
    <row r="1499" spans="3:3">
      <c r="C1499" s="1"/>
    </row>
    <row r="1500" spans="3:3">
      <c r="C1500" s="1"/>
    </row>
    <row r="1501" spans="3:3">
      <c r="C1501" s="1"/>
    </row>
    <row r="1502" spans="3:3">
      <c r="C1502" s="1"/>
    </row>
    <row r="1503" spans="3:3">
      <c r="C1503" s="1"/>
    </row>
    <row r="1504" spans="3:3">
      <c r="C1504" s="1"/>
    </row>
    <row r="1505" spans="3:3">
      <c r="C1505" s="1"/>
    </row>
    <row r="1506" spans="3:3">
      <c r="C1506" s="1"/>
    </row>
    <row r="1507" spans="3:3">
      <c r="C1507" s="1"/>
    </row>
    <row r="1508" spans="3:3">
      <c r="C1508" s="1"/>
    </row>
    <row r="1509" spans="3:3">
      <c r="C1509" s="1"/>
    </row>
    <row r="1510" spans="3:3">
      <c r="C1510" s="1"/>
    </row>
    <row r="1511" spans="3:3">
      <c r="C1511" s="1"/>
    </row>
    <row r="1512" spans="3:3">
      <c r="C1512" s="1"/>
    </row>
    <row r="1513" spans="3:3">
      <c r="C1513" s="1"/>
    </row>
    <row r="1514" spans="3:3">
      <c r="C1514" s="1"/>
    </row>
    <row r="1515" spans="3:3">
      <c r="C1515" s="1"/>
    </row>
    <row r="1516" spans="3:3">
      <c r="C1516" s="1"/>
    </row>
    <row r="1517" spans="3:3">
      <c r="C1517" s="1"/>
    </row>
    <row r="1518" spans="3:3">
      <c r="C1518" s="1"/>
    </row>
    <row r="1519" spans="3:3">
      <c r="C1519" s="1"/>
    </row>
    <row r="1520" spans="3:3">
      <c r="C1520" s="1"/>
    </row>
    <row r="1521" spans="3:3">
      <c r="C1521" s="1"/>
    </row>
    <row r="1522" spans="3:3">
      <c r="C1522" s="1"/>
    </row>
    <row r="1523" spans="3:3">
      <c r="C1523" s="1"/>
    </row>
    <row r="1524" spans="3:3">
      <c r="C1524" s="1"/>
    </row>
    <row r="1525" spans="3:3">
      <c r="C1525" s="1"/>
    </row>
    <row r="1526" spans="3:3">
      <c r="C1526" s="1"/>
    </row>
    <row r="1527" spans="3:3">
      <c r="C1527" s="1"/>
    </row>
    <row r="1528" spans="3:3">
      <c r="C1528" s="1"/>
    </row>
    <row r="1529" spans="3:3">
      <c r="C1529" s="1"/>
    </row>
    <row r="1530" spans="3:3">
      <c r="C1530" s="1"/>
    </row>
    <row r="1531" spans="3:3">
      <c r="C1531" s="1"/>
    </row>
    <row r="1532" spans="3:3">
      <c r="C1532" s="1"/>
    </row>
    <row r="1533" spans="3:3">
      <c r="C1533" s="1"/>
    </row>
    <row r="1534" spans="3:3">
      <c r="C1534" s="1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18"/>
  <sheetViews>
    <sheetView tabSelected="1" zoomScaleNormal="100" workbookViewId="0">
      <selection activeCell="I15" sqref="I15"/>
    </sheetView>
  </sheetViews>
  <sheetFormatPr baseColWidth="10" defaultColWidth="8.83203125" defaultRowHeight="13"/>
  <cols>
    <col min="1" max="9" width="9.83203125" customWidth="1"/>
  </cols>
  <sheetData>
    <row r="1" spans="1:16">
      <c r="A1" t="s">
        <v>0</v>
      </c>
      <c r="B1">
        <v>0.01</v>
      </c>
      <c r="C1" t="s">
        <v>10</v>
      </c>
      <c r="D1">
        <v>0.1</v>
      </c>
    </row>
    <row r="2" spans="1:16">
      <c r="A2" t="s">
        <v>1</v>
      </c>
      <c r="B2">
        <v>1</v>
      </c>
      <c r="C2" t="s">
        <v>7</v>
      </c>
      <c r="D2" s="1">
        <f>B1/B3</f>
        <v>10</v>
      </c>
    </row>
    <row r="3" spans="1:16">
      <c r="A3" t="s">
        <v>2</v>
      </c>
      <c r="B3" s="1">
        <v>1E-3</v>
      </c>
      <c r="C3" t="s">
        <v>8</v>
      </c>
      <c r="D3" s="1">
        <f>B1*B4^2*D1^2/B3</f>
        <v>0.10000000000000002</v>
      </c>
    </row>
    <row r="4" spans="1:16">
      <c r="A4" t="s">
        <v>9</v>
      </c>
      <c r="B4">
        <v>1</v>
      </c>
      <c r="C4" t="s">
        <v>11</v>
      </c>
      <c r="D4" s="1">
        <f>2+D3</f>
        <v>2.1</v>
      </c>
      <c r="K4" t="s">
        <v>12</v>
      </c>
      <c r="L4" t="s">
        <v>13</v>
      </c>
      <c r="N4" s="5" t="s">
        <v>4</v>
      </c>
      <c r="O4" s="5" t="s">
        <v>14</v>
      </c>
      <c r="P4" s="5" t="s">
        <v>19</v>
      </c>
    </row>
    <row r="5" spans="1:16">
      <c r="K5">
        <v>0</v>
      </c>
      <c r="L5">
        <v>1</v>
      </c>
      <c r="N5" s="5">
        <v>0</v>
      </c>
      <c r="O5" s="5">
        <f>B2</f>
        <v>1</v>
      </c>
      <c r="P5" s="5">
        <v>1</v>
      </c>
    </row>
    <row r="6" spans="1:16">
      <c r="A6" s="1">
        <f>-$D$4</f>
        <v>-2.1</v>
      </c>
      <c r="B6">
        <v>1</v>
      </c>
      <c r="J6">
        <v>-1</v>
      </c>
      <c r="K6">
        <f>K5+$D$1</f>
        <v>0.1</v>
      </c>
      <c r="L6">
        <f t="array" ref="L6:L14">[1]!SysLin(A6:I14,J6:J14)</f>
        <v>0.73100007503021536</v>
      </c>
      <c r="N6" s="5">
        <v>0.1</v>
      </c>
      <c r="O6" s="5">
        <f>O5+$D$1*P5</f>
        <v>1.1000000000000001</v>
      </c>
      <c r="P6" s="6">
        <f>P5+$D$1*$D$2*O6</f>
        <v>2.1</v>
      </c>
    </row>
    <row r="7" spans="1:16">
      <c r="A7">
        <v>1</v>
      </c>
      <c r="B7" s="1">
        <f>-$D$4</f>
        <v>-2.1</v>
      </c>
      <c r="C7">
        <v>1</v>
      </c>
      <c r="J7">
        <v>0</v>
      </c>
      <c r="K7">
        <f t="shared" ref="K7:K15" si="0">K6+$D$1</f>
        <v>0.2</v>
      </c>
      <c r="L7">
        <v>0.53510015756345242</v>
      </c>
      <c r="N7" s="5">
        <v>0.2</v>
      </c>
      <c r="O7" s="5">
        <f t="shared" ref="O7:O15" si="1">O6+$D$1*P6</f>
        <v>1.31</v>
      </c>
      <c r="P7" s="6">
        <f t="shared" ref="P7:P15" si="2">P6+$D$1*$D$2*O7</f>
        <v>3.41</v>
      </c>
    </row>
    <row r="8" spans="1:16">
      <c r="B8">
        <v>1</v>
      </c>
      <c r="C8" s="1">
        <f>-$D$4</f>
        <v>-2.1</v>
      </c>
      <c r="D8">
        <v>1</v>
      </c>
      <c r="J8">
        <v>0</v>
      </c>
      <c r="K8">
        <f t="shared" si="0"/>
        <v>0.30000000000000004</v>
      </c>
      <c r="L8">
        <v>0.39271025585303465</v>
      </c>
      <c r="N8" s="5">
        <v>0.30000000000000004</v>
      </c>
      <c r="O8" s="5">
        <f t="shared" si="1"/>
        <v>1.651</v>
      </c>
      <c r="P8" s="6">
        <f t="shared" si="2"/>
        <v>5.0609999999999999</v>
      </c>
    </row>
    <row r="9" spans="1:16">
      <c r="C9">
        <v>1</v>
      </c>
      <c r="D9" s="1">
        <f>-$D$4</f>
        <v>-2.1</v>
      </c>
      <c r="E9">
        <v>1</v>
      </c>
      <c r="J9">
        <v>0</v>
      </c>
      <c r="K9">
        <f t="shared" si="0"/>
        <v>0.4</v>
      </c>
      <c r="L9">
        <v>0.28959137972792054</v>
      </c>
      <c r="N9" s="5">
        <v>0.4</v>
      </c>
      <c r="O9" s="5">
        <f t="shared" si="1"/>
        <v>2.1570999999999998</v>
      </c>
      <c r="P9" s="6">
        <f t="shared" si="2"/>
        <v>7.2180999999999997</v>
      </c>
    </row>
    <row r="10" spans="1:16">
      <c r="D10">
        <v>1</v>
      </c>
      <c r="E10" s="1">
        <f>-$D$4</f>
        <v>-2.1</v>
      </c>
      <c r="F10">
        <v>1</v>
      </c>
      <c r="J10">
        <v>0</v>
      </c>
      <c r="K10">
        <f t="shared" si="0"/>
        <v>0.5</v>
      </c>
      <c r="L10">
        <v>0.21543164157559841</v>
      </c>
      <c r="N10" s="5">
        <v>0.5</v>
      </c>
      <c r="O10" s="5">
        <f t="shared" si="1"/>
        <v>2.8789099999999999</v>
      </c>
      <c r="P10" s="6">
        <f t="shared" si="2"/>
        <v>10.097009999999999</v>
      </c>
    </row>
    <row r="11" spans="1:16">
      <c r="E11">
        <v>1</v>
      </c>
      <c r="F11" s="1">
        <f>-$D$4</f>
        <v>-2.1</v>
      </c>
      <c r="G11">
        <v>1</v>
      </c>
      <c r="J11">
        <v>0</v>
      </c>
      <c r="K11">
        <f t="shared" si="0"/>
        <v>0.6</v>
      </c>
      <c r="L11">
        <v>0.16281506758083625</v>
      </c>
      <c r="N11" s="5">
        <v>0.6</v>
      </c>
      <c r="O11" s="5">
        <f t="shared" si="1"/>
        <v>3.888611</v>
      </c>
      <c r="P11" s="6">
        <f t="shared" si="2"/>
        <v>13.985620999999998</v>
      </c>
    </row>
    <row r="12" spans="1:16">
      <c r="F12">
        <v>1</v>
      </c>
      <c r="G12" s="1">
        <f>-$D$4</f>
        <v>-2.1</v>
      </c>
      <c r="H12">
        <v>1</v>
      </c>
      <c r="J12">
        <v>0</v>
      </c>
      <c r="K12">
        <f t="shared" si="0"/>
        <v>0.7</v>
      </c>
      <c r="L12">
        <v>0.12648000034415771</v>
      </c>
      <c r="N12" s="5">
        <v>0.7</v>
      </c>
      <c r="O12" s="5">
        <f t="shared" si="1"/>
        <v>5.2871731000000004</v>
      </c>
      <c r="P12" s="6">
        <f t="shared" si="2"/>
        <v>19.272794099999999</v>
      </c>
    </row>
    <row r="13" spans="1:16">
      <c r="G13">
        <v>1</v>
      </c>
      <c r="H13" s="1">
        <f>-$D$4</f>
        <v>-2.1</v>
      </c>
      <c r="I13">
        <v>1</v>
      </c>
      <c r="J13">
        <v>0</v>
      </c>
      <c r="K13">
        <f t="shared" si="0"/>
        <v>0.79999999999999993</v>
      </c>
      <c r="L13">
        <v>0.10279293314189493</v>
      </c>
      <c r="N13" s="5">
        <v>0.79999999999999993</v>
      </c>
      <c r="O13" s="5">
        <f t="shared" si="1"/>
        <v>7.2144525100000001</v>
      </c>
      <c r="P13" s="6">
        <f t="shared" si="2"/>
        <v>26.48724661</v>
      </c>
    </row>
    <row r="14" spans="1:16">
      <c r="H14">
        <f>2/3</f>
        <v>0.66666666666666663</v>
      </c>
      <c r="I14" s="1">
        <f>4/3-$D$4</f>
        <v>-0.76666666666666683</v>
      </c>
      <c r="J14">
        <v>0</v>
      </c>
      <c r="K14">
        <f t="shared" si="0"/>
        <v>0.89999999999999991</v>
      </c>
      <c r="L14">
        <v>8.938515925382165E-2</v>
      </c>
      <c r="N14" s="5">
        <v>0.89999999999999991</v>
      </c>
      <c r="O14" s="5">
        <f t="shared" si="1"/>
        <v>9.8631771710000002</v>
      </c>
      <c r="P14" s="6">
        <f t="shared" si="2"/>
        <v>36.350423781000003</v>
      </c>
    </row>
    <row r="15" spans="1:16">
      <c r="K15">
        <f t="shared" si="0"/>
        <v>0.99999999999999989</v>
      </c>
      <c r="L15">
        <f>(4*L14-L13)/3</f>
        <v>8.4915901291130566E-2</v>
      </c>
      <c r="N15" s="5">
        <v>0.99999999999999989</v>
      </c>
      <c r="O15" s="5">
        <f t="shared" si="1"/>
        <v>13.4982195491</v>
      </c>
      <c r="P15" s="6">
        <f t="shared" si="2"/>
        <v>49.848643330100003</v>
      </c>
    </row>
    <row r="18" spans="13:13">
      <c r="M18" s="2"/>
    </row>
  </sheetData>
  <phoneticPr fontId="0" type="noConversion"/>
  <pageMargins left="0.75" right="0.75" top="1" bottom="1" header="0.5" footer="0.5"/>
  <pageSetup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NonlinRxnA</vt:lpstr>
      <vt:lpstr>NonlinRxnB</vt:lpstr>
      <vt:lpstr>LinRxnFD</vt:lpstr>
    </vt:vector>
  </TitlesOfParts>
  <Company>Chem.Engr. Dept.  Tulane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J. Law</dc:creator>
  <cp:lastModifiedBy>Yusra Khalid</cp:lastModifiedBy>
  <cp:lastPrinted>2003-10-30T17:48:16Z</cp:lastPrinted>
  <dcterms:created xsi:type="dcterms:W3CDTF">2003-08-18T19:17:19Z</dcterms:created>
  <dcterms:modified xsi:type="dcterms:W3CDTF">2020-04-20T21:46:57Z</dcterms:modified>
</cp:coreProperties>
</file>