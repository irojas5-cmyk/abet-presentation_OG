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326BA218-B054-8778-C3B9-1B04C7A2A7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halfan_Alasam/Desktop/"/>
    </mc:Choice>
  </mc:AlternateContent>
  <xr:revisionPtr revIDLastSave="0" documentId="13_ncr:1_{DA93B8BA-9C60-9C43-ACF4-C95EBAD9BCAF}" xr6:coauthVersionLast="45" xr6:coauthVersionMax="45" xr10:uidLastSave="{00000000-0000-0000-0000-000000000000}"/>
  <bookViews>
    <workbookView xWindow="0" yWindow="460" windowWidth="25600" windowHeight="14160" activeTab="3" xr2:uid="{E9CCC3C1-6DFF-3C42-839E-B6A20544C71F}"/>
  </bookViews>
  <sheets>
    <sheet name="a" sheetId="1" r:id="rId1"/>
    <sheet name="b" sheetId="2" r:id="rId2"/>
    <sheet name="c" sheetId="4" r:id="rId3"/>
    <sheet name="d" sheetId="5" r:id="rId4"/>
    <sheet name="e" sheetId="3" r:id="rId5"/>
  </sheets>
  <definedNames>
    <definedName name="_xlchart.v1.0" hidden="1">d!$A$3:$A$103</definedName>
    <definedName name="_xlchart.v1.1" hidden="1">d!$C$3:$C$103</definedName>
    <definedName name="_xlchart.v1.2" hidden="1">d!$A$3:$A$103</definedName>
    <definedName name="_xlchart.v1.3" hidden="1">d!$C$3:$C$103</definedName>
    <definedName name="h">e!$C$21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2" i="2" l="1"/>
  <c r="K12" i="2"/>
  <c r="J13" i="2"/>
  <c r="K13" i="2"/>
  <c r="J14" i="2"/>
  <c r="K14" i="2"/>
  <c r="J15" i="2"/>
  <c r="K15" i="2"/>
  <c r="J16" i="2"/>
  <c r="K16" i="2"/>
  <c r="J17" i="2"/>
  <c r="K17" i="2"/>
  <c r="J18" i="2"/>
  <c r="K18" i="2"/>
  <c r="J19" i="2"/>
  <c r="K19" i="2"/>
  <c r="J20" i="2"/>
  <c r="K20" i="2"/>
  <c r="J21" i="2"/>
  <c r="K21" i="2"/>
  <c r="K11" i="2"/>
  <c r="L12" i="2" s="1"/>
  <c r="L13" i="2" s="1"/>
  <c r="J11" i="2"/>
  <c r="B11" i="2"/>
  <c r="L24" i="3"/>
  <c r="M24" i="3"/>
  <c r="N24" i="3"/>
  <c r="O24" i="3"/>
  <c r="L25" i="3"/>
  <c r="M25" i="3"/>
  <c r="N25" i="3"/>
  <c r="O25" i="3"/>
  <c r="L26" i="3"/>
  <c r="M26" i="3"/>
  <c r="N26" i="3"/>
  <c r="O26" i="3"/>
  <c r="L27" i="3"/>
  <c r="M27" i="3"/>
  <c r="N27" i="3"/>
  <c r="O27" i="3"/>
  <c r="L28" i="3"/>
  <c r="M28" i="3"/>
  <c r="N28" i="3"/>
  <c r="O28" i="3"/>
  <c r="L29" i="3"/>
  <c r="M29" i="3"/>
  <c r="N29" i="3"/>
  <c r="O29" i="3"/>
  <c r="L30" i="3"/>
  <c r="M30" i="3"/>
  <c r="N30" i="3"/>
  <c r="O30" i="3"/>
  <c r="L31" i="3"/>
  <c r="M31" i="3"/>
  <c r="N31" i="3"/>
  <c r="O31" i="3"/>
  <c r="L32" i="3"/>
  <c r="M32" i="3"/>
  <c r="N32" i="3"/>
  <c r="O32" i="3"/>
  <c r="L33" i="3"/>
  <c r="M33" i="3"/>
  <c r="N33" i="3"/>
  <c r="O33" i="3"/>
  <c r="O23" i="3"/>
  <c r="N23" i="3"/>
  <c r="M23" i="3"/>
  <c r="L23" i="3"/>
  <c r="B23" i="3"/>
  <c r="C23" i="3" s="1"/>
  <c r="D23" i="3" s="1"/>
  <c r="E23" i="3" s="1"/>
  <c r="C11" i="2" l="1"/>
  <c r="D12" i="2" s="1"/>
  <c r="L14" i="2"/>
  <c r="L15" i="2" s="1"/>
  <c r="L16" i="2" s="1"/>
  <c r="L17" i="2" s="1"/>
  <c r="L18" i="2" s="1"/>
  <c r="L19" i="2" s="1"/>
  <c r="L20" i="2" s="1"/>
  <c r="L21" i="2" s="1"/>
  <c r="F24" i="3"/>
  <c r="B12" i="2" l="1"/>
  <c r="C12" i="2" s="1"/>
  <c r="B24" i="3"/>
  <c r="C24" i="3" s="1"/>
  <c r="D24" i="3" s="1"/>
  <c r="E24" i="3" s="1"/>
  <c r="P24" i="3"/>
  <c r="P25" i="3" s="1"/>
  <c r="P26" i="3" s="1"/>
  <c r="P27" i="3" s="1"/>
  <c r="P28" i="3" s="1"/>
  <c r="P29" i="3" s="1"/>
  <c r="P30" i="3" s="1"/>
  <c r="P31" i="3" s="1"/>
  <c r="P32" i="3" s="1"/>
  <c r="P33" i="3" s="1"/>
  <c r="D13" i="2" l="1"/>
  <c r="F25" i="3"/>
  <c r="B13" i="2" l="1"/>
  <c r="C13" i="2"/>
  <c r="D14" i="2" s="1"/>
  <c r="B14" i="2" s="1"/>
  <c r="C14" i="2" s="1"/>
  <c r="D15" i="2" s="1"/>
  <c r="B25" i="3"/>
  <c r="C25" i="3" l="1"/>
  <c r="D25" i="3" s="1"/>
  <c r="E25" i="3" s="1"/>
  <c r="C15" i="2"/>
  <c r="D16" i="2"/>
  <c r="B16" i="2" s="1"/>
  <c r="C16" i="2" s="1"/>
  <c r="B15" i="2"/>
  <c r="F26" i="3" l="1"/>
  <c r="D17" i="2"/>
  <c r="B17" i="2"/>
  <c r="C17" i="2" s="1"/>
  <c r="D18" i="2" s="1"/>
  <c r="B26" i="3" l="1"/>
  <c r="C26" i="3"/>
  <c r="D26" i="3" s="1"/>
  <c r="E26" i="3" s="1"/>
  <c r="B18" i="2"/>
  <c r="C18" i="2" s="1"/>
  <c r="F27" i="3" l="1"/>
  <c r="D19" i="2"/>
  <c r="B27" i="3" l="1"/>
  <c r="C27" i="3" s="1"/>
  <c r="D27" i="3" s="1"/>
  <c r="E27" i="3" s="1"/>
  <c r="F28" i="3"/>
  <c r="B19" i="2"/>
  <c r="C19" i="2" s="1"/>
  <c r="B28" i="3" l="1"/>
  <c r="D20" i="2"/>
  <c r="C28" i="3" l="1"/>
  <c r="D28" i="3" s="1"/>
  <c r="E28" i="3" s="1"/>
  <c r="F29" i="3"/>
  <c r="B20" i="2"/>
  <c r="C20" i="2" s="1"/>
  <c r="B29" i="3" l="1"/>
  <c r="C29" i="3" s="1"/>
  <c r="D29" i="3" s="1"/>
  <c r="E29" i="3" s="1"/>
  <c r="F30" i="3" s="1"/>
  <c r="B30" i="3" s="1"/>
  <c r="C30" i="3" s="1"/>
  <c r="D30" i="3" s="1"/>
  <c r="E30" i="3" s="1"/>
  <c r="D21" i="2"/>
  <c r="B21" i="2" l="1"/>
  <c r="C21" i="2" s="1"/>
  <c r="F31" i="3"/>
  <c r="B31" i="3" l="1"/>
  <c r="C31" i="3" s="1"/>
  <c r="D31" i="3" s="1"/>
  <c r="E31" i="3" s="1"/>
  <c r="F32" i="3" l="1"/>
  <c r="I10" i="1"/>
  <c r="I11" i="1"/>
  <c r="I12" i="1"/>
  <c r="I13" i="1"/>
  <c r="I14" i="1"/>
  <c r="I15" i="1"/>
  <c r="I16" i="1"/>
  <c r="I17" i="1"/>
  <c r="I18" i="1"/>
  <c r="I19" i="1"/>
  <c r="I9" i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B29" i="1"/>
  <c r="B30" i="1"/>
  <c r="B31" i="1"/>
  <c r="B32" i="1"/>
  <c r="B33" i="1"/>
  <c r="B34" i="1"/>
  <c r="B35" i="1"/>
  <c r="B36" i="1"/>
  <c r="B37" i="1"/>
  <c r="B38" i="1"/>
  <c r="B39" i="1"/>
  <c r="C9" i="1"/>
  <c r="B10" i="1"/>
  <c r="C10" i="1" s="1"/>
  <c r="B11" i="1" l="1"/>
  <c r="B32" i="3"/>
  <c r="C32" i="3" s="1"/>
  <c r="D32" i="3" s="1"/>
  <c r="E32" i="3" s="1"/>
  <c r="C11" i="1"/>
  <c r="B12" i="1" l="1"/>
  <c r="F33" i="3"/>
  <c r="C12" i="1"/>
  <c r="B13" i="1"/>
  <c r="B33" i="3" l="1"/>
  <c r="C33" i="3"/>
  <c r="D33" i="3" s="1"/>
  <c r="E33" i="3" s="1"/>
  <c r="C13" i="1"/>
  <c r="B14" i="1" s="1"/>
  <c r="C14" i="1" l="1"/>
  <c r="B15" i="1" s="1"/>
  <c r="C15" i="1" l="1"/>
  <c r="B16" i="1" s="1"/>
  <c r="C16" i="1" l="1"/>
  <c r="B17" i="1" s="1"/>
  <c r="C17" i="1" l="1"/>
  <c r="B18" i="1"/>
  <c r="C18" i="1" l="1"/>
  <c r="B19" i="1" s="1"/>
  <c r="C19" i="1" s="1"/>
</calcChain>
</file>

<file path=xl/sharedStrings.xml><?xml version="1.0" encoding="utf-8"?>
<sst xmlns="http://schemas.openxmlformats.org/spreadsheetml/2006/main" count="101" uniqueCount="43">
  <si>
    <t>dy/dt=f(y,t)</t>
  </si>
  <si>
    <t xml:space="preserve">function </t>
  </si>
  <si>
    <t>Euler method</t>
  </si>
  <si>
    <t>y(n+1)= y(n)+h*f(y(n), t(n))</t>
  </si>
  <si>
    <t xml:space="preserve">Initial Point </t>
  </si>
  <si>
    <t>dy1/dt= 13.1*(y1)-(13.1/0.94)*(y1)^2</t>
  </si>
  <si>
    <t>So here f(yn,tn )=  13.1*(y1)-(13.1/0.94)*(y1)^2</t>
  </si>
  <si>
    <t>h =</t>
  </si>
  <si>
    <t>t</t>
  </si>
  <si>
    <t xml:space="preserve">Exact value of y can be calculated by analytical solution of the differential equation. Taking integral and inserting initial values. </t>
  </si>
  <si>
    <t xml:space="preserve">Calculate y with this formula. </t>
  </si>
  <si>
    <t xml:space="preserve">y exact </t>
  </si>
  <si>
    <t>If you do that, solution to this equation will be y1 = (0.94*e^(13.1*t))/(30.333+e^(13.1*t))</t>
  </si>
  <si>
    <t>y1</t>
  </si>
  <si>
    <t>y1'</t>
  </si>
  <si>
    <t>y2</t>
  </si>
  <si>
    <t>y2'</t>
  </si>
  <si>
    <t>y1 = (0.94*e^(13.1*t))/(30.333+e^(13.1*t))</t>
  </si>
  <si>
    <t>dy1/dt= 1.71 * y1</t>
  </si>
  <si>
    <t>So here f(yn,tn )=  1.71 * y1</t>
  </si>
  <si>
    <t>y2(0)= 0</t>
  </si>
  <si>
    <t>y1(0)= 0.03</t>
  </si>
  <si>
    <t>The most popular ODE solution is RK methods</t>
  </si>
  <si>
    <t>It uses average of different slopes</t>
  </si>
  <si>
    <t xml:space="preserve">Fourth order RK method is very accurate and commonly used </t>
  </si>
  <si>
    <t xml:space="preserve">You calculate 4 different slopes; k1, k2, k3 and k4 </t>
  </si>
  <si>
    <t xml:space="preserve">Below are how you calculate them </t>
  </si>
  <si>
    <t>h=</t>
  </si>
  <si>
    <t>k1</t>
  </si>
  <si>
    <t>k2</t>
  </si>
  <si>
    <t>k3</t>
  </si>
  <si>
    <t>k4</t>
  </si>
  <si>
    <t>y1(0) = 0.03</t>
  </si>
  <si>
    <t xml:space="preserve">y1 RK fourth order </t>
  </si>
  <si>
    <t>y2(0) = 0</t>
  </si>
  <si>
    <t>dy2/dt= 1.71 * y1</t>
  </si>
  <si>
    <t xml:space="preserve">y2 RK fourth order </t>
  </si>
  <si>
    <t>N</t>
  </si>
  <si>
    <t>h</t>
  </si>
  <si>
    <t>TimeMax</t>
  </si>
  <si>
    <t>Time</t>
  </si>
  <si>
    <t>Intial Condition</t>
  </si>
  <si>
    <t>Using K2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</si>
</sst>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1" x14ac:knownFonts="1"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3FE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0" fontId="0" fillId="4" borderId="0" xfId="0" applyFill="1"/>
    <xf numFmtId="164" fontId="0" fillId="4" borderId="1" xfId="0" applyNumberFormat="1" applyFill="1" applyBorder="1"/>
    <xf numFmtId="0" fontId="0" fillId="5" borderId="0" xfId="0" applyFill="1"/>
    <xf numFmtId="0" fontId="0" fillId="5" borderId="0" xfId="0" applyFill="1" applyAlignment="1">
      <alignment horizontal="righ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5" borderId="1" xfId="0" applyFill="1" applyBorder="1"/>
    <xf numFmtId="0" fontId="0" fillId="0" borderId="1" xfId="0" applyFill="1" applyBorder="1"/>
    <xf numFmtId="164" fontId="0" fillId="0" borderId="1" xfId="0" applyNumberFormat="1" applyFill="1" applyBorder="1"/>
    <xf numFmtId="0" fontId="0" fillId="0" borderId="0" xfId="0" applyFont="1"/>
    <xf numFmtId="0" fontId="0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cell mass vs time (y1 vs 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a!$A$9:$A$19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a!$C$9:$C$19</c:f>
              <c:numCache>
                <c:formatCode>General</c:formatCode>
                <c:ptCount val="11"/>
                <c:pt idx="0">
                  <c:v>0.38045744680851062</c:v>
                </c:pt>
                <c:pt idx="1">
                  <c:v>0.42691437740416494</c:v>
                </c:pt>
                <c:pt idx="2">
                  <c:v>0.47856372485246773</c:v>
                </c:pt>
                <c:pt idx="3">
                  <c:v>0.53585786647511902</c:v>
                </c:pt>
                <c:pt idx="4">
                  <c:v>0.59925377128448376</c:v>
                </c:pt>
                <c:pt idx="5">
                  <c:v>0.66920190923113476</c:v>
                </c:pt>
                <c:pt idx="6">
                  <c:v>0.74613179582998801</c:v>
                </c:pt>
                <c:pt idx="7">
                  <c:v>0.83043366721405476</c:v>
                </c:pt>
                <c:pt idx="8">
                  <c:v>0.92243583534469542</c:v>
                </c:pt>
                <c:pt idx="9">
                  <c:v>1.0223773960728919</c:v>
                </c:pt>
                <c:pt idx="10">
                  <c:v>1.1303761774659666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8F-7249-9AE8-89FBE94F7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8849920"/>
        <c:axId val="1908855040"/>
      </c:scatterChart>
      <c:valAx>
        <c:axId val="1908849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855040"/>
        <c:crosses val="autoZero"/>
        <c:crossBetween val="midCat"/>
      </c:valAx>
      <c:valAx>
        <c:axId val="190885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849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penicillin vs time (y2 vs 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a!$G$9:$G$19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a!$I$9:$I$19</c:f>
              <c:numCache>
                <c:formatCode>General</c:formatCode>
                <c:ptCount val="11"/>
                <c:pt idx="0">
                  <c:v>5.130054575048671E-2</c:v>
                </c:pt>
                <c:pt idx="1">
                  <c:v>0.17501316792744964</c:v>
                </c:pt>
                <c:pt idx="2">
                  <c:v>0.50100843170620757</c:v>
                </c:pt>
                <c:pt idx="3">
                  <c:v>1.0072365632431213</c:v>
                </c:pt>
                <c:pt idx="4">
                  <c:v>1.3847672442790995</c:v>
                </c:pt>
                <c:pt idx="5">
                  <c:v>1.5405705185553074</c:v>
                </c:pt>
                <c:pt idx="6">
                  <c:v>1.5888035122416684</c:v>
                </c:pt>
                <c:pt idx="7">
                  <c:v>1.6023395455830025</c:v>
                </c:pt>
                <c:pt idx="8">
                  <c:v>1.6060314419040709</c:v>
                </c:pt>
                <c:pt idx="9">
                  <c:v>1.6070305058690741</c:v>
                </c:pt>
                <c:pt idx="10">
                  <c:v>1.6073002863361245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0B-F84A-8FD2-C0EBA9242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846368"/>
        <c:axId val="1907492368"/>
      </c:scatterChart>
      <c:valAx>
        <c:axId val="190784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7492368"/>
        <c:crosses val="autoZero"/>
        <c:crossBetween val="midCat"/>
      </c:valAx>
      <c:valAx>
        <c:axId val="190749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784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cell mass vs time (y1 vs t)</a:t>
            </a:r>
            <a:endParaRPr lang="en-US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b!$A$11:$A$21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b!$D$11:$D$21</c:f>
              <c:numCache>
                <c:formatCode>0.00000</c:formatCode>
                <c:ptCount val="11"/>
                <c:pt idx="0">
                  <c:v>0.03</c:v>
                </c:pt>
                <c:pt idx="1">
                  <c:v>9.0366456056587885E-2</c:v>
                </c:pt>
                <c:pt idx="2">
                  <c:v>0.24599803088588504</c:v>
                </c:pt>
                <c:pt idx="3">
                  <c:v>0.51874932120611184</c:v>
                </c:pt>
                <c:pt idx="4">
                  <c:v>0.73797330579810128</c:v>
                </c:pt>
                <c:pt idx="5">
                  <c:v>0.83807267506369709</c:v>
                </c:pt>
                <c:pt idx="6">
                  <c:v>0.88617869765692814</c:v>
                </c:pt>
                <c:pt idx="7">
                  <c:v>0.91101749637544371</c:v>
                </c:pt>
                <c:pt idx="8">
                  <c:v>0.92425503900402251</c:v>
                </c:pt>
                <c:pt idx="9">
                  <c:v>0.93141019038741579</c:v>
                </c:pt>
                <c:pt idx="10">
                  <c:v>0.93530372649857241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A5-8445-84CF-FD399937D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2377824"/>
        <c:axId val="1962360608"/>
      </c:scatterChart>
      <c:valAx>
        <c:axId val="1962377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360608"/>
        <c:crosses val="autoZero"/>
        <c:crossBetween val="midCat"/>
      </c:valAx>
      <c:valAx>
        <c:axId val="1962360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377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penicillin vs time (y2 vs t)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b!$I$11:$I$21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b!$L$11:$L$21</c:f>
              <c:numCache>
                <c:formatCode>0.00000</c:formatCode>
                <c:ptCount val="11"/>
                <c:pt idx="0">
                  <c:v>0</c:v>
                </c:pt>
                <c:pt idx="1">
                  <c:v>5.1300545750486712E-3</c:v>
                </c:pt>
                <c:pt idx="2">
                  <c:v>2.2631371367793637E-2</c:v>
                </c:pt>
                <c:pt idx="3">
                  <c:v>7.27322145384144E-2</c:v>
                </c:pt>
                <c:pt idx="4">
                  <c:v>0.17345587086272657</c:v>
                </c:pt>
                <c:pt idx="5">
                  <c:v>0.31193259529063655</c:v>
                </c:pt>
                <c:pt idx="6">
                  <c:v>0.46598964714616731</c:v>
                </c:pt>
                <c:pt idx="7">
                  <c:v>0.62486999837033408</c:v>
                </c:pt>
                <c:pt idx="8">
                  <c:v>0.78510395292863433</c:v>
                </c:pt>
                <c:pt idx="9">
                  <c:v>0.94570709711904144</c:v>
                </c:pt>
                <c:pt idx="10">
                  <c:v>1.1064101477059489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E7-C54C-AEAC-3ECE838C5E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5658928"/>
        <c:axId val="1905659728"/>
      </c:scatterChart>
      <c:valAx>
        <c:axId val="1905658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5659728"/>
        <c:crosses val="autoZero"/>
        <c:crossBetween val="midCat"/>
      </c:valAx>
      <c:valAx>
        <c:axId val="190565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5658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cell mass vs time (y1 vs t)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'c'!$A$3:$A$103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'c'!$B$3:$B$103</c:f>
              <c:numCache>
                <c:formatCode>General</c:formatCode>
                <c:ptCount val="101"/>
                <c:pt idx="0">
                  <c:v>0.03</c:v>
                </c:pt>
                <c:pt idx="1">
                  <c:v>3.3804574468085102E-2</c:v>
                </c:pt>
                <c:pt idx="2">
                  <c:v>3.8073718242126749E-2</c:v>
                </c:pt>
                <c:pt idx="3">
                  <c:v>4.2859355490651424E-2</c:v>
                </c:pt>
                <c:pt idx="4">
                  <c:v>4.8217934155402611E-2</c:v>
                </c:pt>
                <c:pt idx="5">
                  <c:v>5.4210471868247449E-2</c:v>
                </c:pt>
                <c:pt idx="6">
                  <c:v>6.0902490960558796E-2</c:v>
                </c:pt>
                <c:pt idx="7">
                  <c:v>6.8363808918858682E-2</c:v>
                </c:pt>
                <c:pt idx="8">
                  <c:v>7.6668145590999229E-2</c:v>
                </c:pt>
                <c:pt idx="9">
                  <c:v>8.5892503944446183E-2</c:v>
                </c:pt>
                <c:pt idx="10">
                  <c:v>9.6116277905175102E-2</c:v>
                </c:pt>
                <c:pt idx="11">
                  <c:v>0.10742003967983477</c:v>
                </c:pt>
                <c:pt idx="12">
                  <c:v>0.11988396114900901</c:v>
                </c:pt>
                <c:pt idx="13">
                  <c:v>0.13358583080161238</c:v>
                </c:pt>
                <c:pt idx="14">
                  <c:v>0.14859864078660726</c:v>
                </c:pt>
                <c:pt idx="15">
                  <c:v>0.16498773949378562</c:v>
                </c:pt>
                <c:pt idx="16">
                  <c:v>0.18280757485895208</c:v>
                </c:pt>
                <c:pt idx="17">
                  <c:v>0.20209809287315428</c:v>
                </c:pt>
                <c:pt idx="18">
                  <c:v>0.22288090396748583</c:v>
                </c:pt>
                <c:pt idx="19">
                  <c:v>0.24515538477734281</c:v>
                </c:pt>
                <c:pt idx="20">
                  <c:v>0.26889493985149615</c:v>
                </c:pt>
                <c:pt idx="21">
                  <c:v>0.29404370035844224</c:v>
                </c:pt>
                <c:pt idx="22">
                  <c:v>0.32051397574222412</c:v>
                </c:pt>
                <c:pt idx="23">
                  <c:v>0.34818478918930929</c:v>
                </c:pt>
                <c:pt idx="24">
                  <c:v>0.37690180847482446</c:v>
                </c:pt>
                <c:pt idx="25">
                  <c:v>0.40647892251977252</c:v>
                </c:pt>
                <c:pt idx="26">
                  <c:v>0.43670160818547826</c:v>
                </c:pt>
                <c:pt idx="27">
                  <c:v>0.4673320863136019</c:v>
                </c:pt>
                <c:pt idx="28">
                  <c:v>0.49811609436997384</c:v>
                </c:pt>
                <c:pt idx="29">
                  <c:v>0.52879092688709795</c:v>
                </c:pt>
                <c:pt idx="30">
                  <c:v>0.55909424085088943</c:v>
                </c:pt>
                <c:pt idx="31">
                  <c:v>0.58877301779597846</c:v>
                </c:pt>
                <c:pt idx="32">
                  <c:v>0.61759203811716601</c:v>
                </c:pt>
                <c:pt idx="33">
                  <c:v>0.64534126506105871</c:v>
                </c:pt>
                <c:pt idx="34">
                  <c:v>0.67184165095515358</c:v>
                </c:pt>
                <c:pt idx="35">
                  <c:v>0.69694904795526047</c:v>
                </c:pt>
                <c:pt idx="36">
                  <c:v>0.72055610219123734</c:v>
                </c:pt>
                <c:pt idx="37">
                  <c:v>0.74259220303673756</c:v>
                </c:pt>
                <c:pt idx="38">
                  <c:v>0.76302172144153402</c:v>
                </c:pt>
                <c:pt idx="39">
                  <c:v>0.78184088470750279</c:v>
                </c:pt>
                <c:pt idx="40">
                  <c:v>0.79907369258394356</c:v>
                </c:pt>
                <c:pt idx="41">
                  <c:v>0.8147672842171787</c:v>
                </c:pt>
                <c:pt idx="42">
                  <c:v>0.82898712792472118</c:v>
                </c:pt>
                <c:pt idx="43">
                  <c:v>0.84181234037147767</c:v>
                </c:pt>
                <c:pt idx="44">
                  <c:v>0.85333136318501002</c:v>
                </c:pt>
                <c:pt idx="45">
                  <c:v>0.86363814578695952</c:v>
                </c:pt>
                <c:pt idx="46">
                  <c:v>0.87282891209947433</c:v>
                </c:pt>
                <c:pt idx="47">
                  <c:v>0.88099953087878791</c:v>
                </c:pt>
                <c:pt idx="48">
                  <c:v>0.88824346653398101</c:v>
                </c:pt>
                <c:pt idx="49">
                  <c:v>0.89465025882537963</c:v>
                </c:pt>
                <c:pt idx="50">
                  <c:v>0.90030446377859186</c:v>
                </c:pt>
                <c:pt idx="51">
                  <c:v>0.90528498182884787</c:v>
                </c:pt>
                <c:pt idx="52">
                  <c:v>0.9096646998946436</c:v>
                </c:pt>
                <c:pt idx="53">
                  <c:v>0.9135103793290249</c:v>
                </c:pt>
                <c:pt idx="54">
                  <c:v>0.91688272953008088</c:v>
                </c:pt>
                <c:pt idx="55">
                  <c:v>0.91983661592609633</c:v>
                </c:pt>
                <c:pt idx="56">
                  <c:v>0.92242136005945019</c:v>
                </c:pt>
                <c:pt idx="57">
                  <c:v>0.92468109792968045</c:v>
                </c:pt>
                <c:pt idx="58">
                  <c:v>0.92665517026297328</c:v>
                </c:pt>
                <c:pt idx="59">
                  <c:v>0.92837852480216942</c:v>
                </c:pt>
                <c:pt idx="60">
                  <c:v>0.92988211604474869</c:v>
                </c:pt>
                <c:pt idx="61">
                  <c:v>0.93119329216584312</c:v>
                </c:pt>
                <c:pt idx="62">
                  <c:v>0.93233616226288707</c:v>
                </c:pt>
                <c:pt idx="63">
                  <c:v>0.93333193967925654</c:v>
                </c:pt>
                <c:pt idx="64">
                  <c:v>0.93419925913794866</c:v>
                </c:pt>
                <c:pt idx="65">
                  <c:v>0.9349544668654669</c:v>
                </c:pt>
                <c:pt idx="66">
                  <c:v>0.93561188391885231</c:v>
                </c:pt>
                <c:pt idx="67">
                  <c:v>0.93618404363748353</c:v>
                </c:pt>
                <c:pt idx="68">
                  <c:v>0.93668190460234779</c:v>
                </c:pt>
                <c:pt idx="69">
                  <c:v>0.9371150407609552</c:v>
                </c:pt>
                <c:pt idx="70">
                  <c:v>0.93749181051524322</c:v>
                </c:pt>
                <c:pt idx="71">
                  <c:v>0.93781950661125868</c:v>
                </c:pt>
                <c:pt idx="72">
                  <c:v>0.93810448864280527</c:v>
                </c:pt>
                <c:pt idx="73">
                  <c:v>0.93835229990911584</c:v>
                </c:pt>
                <c:pt idx="74">
                  <c:v>0.93856777026576399</c:v>
                </c:pt>
                <c:pt idx="75">
                  <c:v>0.93875510649079619</c:v>
                </c:pt>
                <c:pt idx="76">
                  <c:v>0.93891797156333145</c:v>
                </c:pt>
                <c:pt idx="77">
                  <c:v>0.93905955412586961</c:v>
                </c:pt>
                <c:pt idx="78">
                  <c:v>0.93918262927853391</c:v>
                </c:pt>
                <c:pt idx="79">
                  <c:v>0.93928961173620396</c:v>
                </c:pt>
                <c:pt idx="80">
                  <c:v>0.9393826022696713</c:v>
                </c:pt>
                <c:pt idx="81">
                  <c:v>0.9394634282504567</c:v>
                </c:pt>
                <c:pt idx="82">
                  <c:v>0.93953367902612483</c:v>
                </c:pt>
                <c:pt idx="83">
                  <c:v>0.93959473676876859</c:v>
                </c:pt>
                <c:pt idx="84">
                  <c:v>0.93964780336353271</c:v>
                </c:pt>
                <c:pt idx="85">
                  <c:v>0.93969392383614003</c:v>
                </c:pt>
                <c:pt idx="86">
                  <c:v>0.93973400675783658</c:v>
                </c:pt>
                <c:pt idx="87">
                  <c:v>0.93976884201238442</c:v>
                </c:pt>
                <c:pt idx="88">
                  <c:v>0.93979911626210677</c:v>
                </c:pt>
                <c:pt idx="89">
                  <c:v>0.93982542640793021</c:v>
                </c:pt>
                <c:pt idx="90">
                  <c:v>0.93984829130131264</c:v>
                </c:pt>
                <c:pt idx="91">
                  <c:v>0.93986816193335732</c:v>
                </c:pt>
                <c:pt idx="92">
                  <c:v>0.93988543029780336</c:v>
                </c:pt>
                <c:pt idx="93">
                  <c:v>0.93990043709949922</c:v>
                </c:pt>
                <c:pt idx="94">
                  <c:v>0.93991347845800421</c:v>
                </c:pt>
                <c:pt idx="95">
                  <c:v>0.93992481173674713</c:v>
                </c:pt>
                <c:pt idx="96">
                  <c:v>0.9399346606113832</c:v>
                </c:pt>
                <c:pt idx="97">
                  <c:v>0.93994321947632398</c:v>
                </c:pt>
                <c:pt idx="98">
                  <c:v>0.93995065727561955</c:v>
                </c:pt>
                <c:pt idx="99">
                  <c:v>0.93995712083320881</c:v>
                </c:pt>
                <c:pt idx="100">
                  <c:v>0.93996273774782479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78-624F-A9E7-24261BE64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988272"/>
        <c:axId val="1942989904"/>
      </c:scatterChart>
      <c:valAx>
        <c:axId val="1942988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2989904"/>
        <c:crosses val="autoZero"/>
        <c:crossBetween val="midCat"/>
      </c:valAx>
      <c:valAx>
        <c:axId val="194298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2988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penicillin vs time (y2 vs t)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'c'!$A$3:$A$103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'c'!$C$3:$C$103</c:f>
              <c:numCache>
                <c:formatCode>General</c:formatCode>
                <c:ptCount val="101"/>
                <c:pt idx="0">
                  <c:v>0</c:v>
                </c:pt>
                <c:pt idx="1">
                  <c:v>5.13E-4</c:v>
                </c:pt>
                <c:pt idx="2">
                  <c:v>1.0910582234042552E-3</c:v>
                </c:pt>
                <c:pt idx="3">
                  <c:v>1.7421188053446226E-3</c:v>
                </c:pt>
                <c:pt idx="4">
                  <c:v>2.4750137842347616E-3</c:v>
                </c:pt>
                <c:pt idx="5">
                  <c:v>3.2995404582921461E-3</c:v>
                </c:pt>
                <c:pt idx="6">
                  <c:v>4.2265395272391773E-3</c:v>
                </c:pt>
                <c:pt idx="7">
                  <c:v>5.2679721226647326E-3</c:v>
                </c:pt>
                <c:pt idx="8">
                  <c:v>6.4369932551772164E-3</c:v>
                </c:pt>
                <c:pt idx="9">
                  <c:v>7.7480185447833033E-3</c:v>
                </c:pt>
                <c:pt idx="10">
                  <c:v>9.2167803622333327E-3</c:v>
                </c:pt>
                <c:pt idx="11">
                  <c:v>1.0860368714411827E-2</c:v>
                </c:pt>
                <c:pt idx="12">
                  <c:v>1.2697251392937002E-2</c:v>
                </c:pt>
                <c:pt idx="13">
                  <c:v>1.4747267128585055E-2</c:v>
                </c:pt>
                <c:pt idx="14">
                  <c:v>1.7031584835292626E-2</c:v>
                </c:pt>
                <c:pt idx="15">
                  <c:v>1.957262159274361E-2</c:v>
                </c:pt>
                <c:pt idx="16">
                  <c:v>2.2393911938087343E-2</c:v>
                </c:pt>
                <c:pt idx="17">
                  <c:v>2.5519921468175423E-2</c:v>
                </c:pt>
                <c:pt idx="18">
                  <c:v>2.897579885630636E-2</c:v>
                </c:pt>
                <c:pt idx="19">
                  <c:v>3.2787062314150364E-2</c:v>
                </c:pt>
                <c:pt idx="20">
                  <c:v>3.6979219393842924E-2</c:v>
                </c:pt>
                <c:pt idx="21">
                  <c:v>4.1577322865303509E-2</c:v>
                </c:pt>
                <c:pt idx="22">
                  <c:v>4.6605470141432868E-2</c:v>
                </c:pt>
                <c:pt idx="23">
                  <c:v>5.2086259126624901E-2</c:v>
                </c:pt>
                <c:pt idx="24">
                  <c:v>5.8040219021762089E-2</c:v>
                </c:pt>
                <c:pt idx="25">
                  <c:v>6.4485239946681594E-2</c:v>
                </c:pt>
                <c:pt idx="26">
                  <c:v>7.1436029521769709E-2</c:v>
                </c:pt>
                <c:pt idx="27">
                  <c:v>7.890362702174139E-2</c:v>
                </c:pt>
                <c:pt idx="28">
                  <c:v>8.6895005697703989E-2</c:v>
                </c:pt>
                <c:pt idx="29">
                  <c:v>9.5412790911430539E-2</c:v>
                </c:pt>
                <c:pt idx="30">
                  <c:v>0.10445511576119991</c:v>
                </c:pt>
                <c:pt idx="31">
                  <c:v>0.11401562727975012</c:v>
                </c:pt>
                <c:pt idx="32">
                  <c:v>0.12408364588406134</c:v>
                </c:pt>
                <c:pt idx="33">
                  <c:v>0.13464446973586489</c:v>
                </c:pt>
                <c:pt idx="34">
                  <c:v>0.14567980536840899</c:v>
                </c:pt>
                <c:pt idx="35">
                  <c:v>0.15716829759974213</c:v>
                </c:pt>
                <c:pt idx="36">
                  <c:v>0.16908612631977707</c:v>
                </c:pt>
                <c:pt idx="37">
                  <c:v>0.18140763566724724</c:v>
                </c:pt>
                <c:pt idx="38">
                  <c:v>0.19410596233917546</c:v>
                </c:pt>
                <c:pt idx="39">
                  <c:v>0.20715363377582569</c:v>
                </c:pt>
                <c:pt idx="40">
                  <c:v>0.22052311290432397</c:v>
                </c:pt>
                <c:pt idx="41">
                  <c:v>0.23418727304750941</c:v>
                </c:pt>
                <c:pt idx="42">
                  <c:v>0.24811979360762318</c:v>
                </c:pt>
                <c:pt idx="43">
                  <c:v>0.26229547349513593</c:v>
                </c:pt>
                <c:pt idx="44">
                  <c:v>0.27669046451548818</c:v>
                </c:pt>
                <c:pt idx="45">
                  <c:v>0.29128243082595184</c:v>
                </c:pt>
                <c:pt idx="46">
                  <c:v>0.30605064311890884</c:v>
                </c:pt>
                <c:pt idx="47">
                  <c:v>0.32097601751580984</c:v>
                </c:pt>
                <c:pt idx="48">
                  <c:v>0.33604110949383709</c:v>
                </c:pt>
                <c:pt idx="49">
                  <c:v>0.35123007277156815</c:v>
                </c:pt>
                <c:pt idx="50">
                  <c:v>0.36652859219748213</c:v>
                </c:pt>
                <c:pt idx="51">
                  <c:v>0.38192379852809605</c:v>
                </c:pt>
                <c:pt idx="52">
                  <c:v>0.39740417171736936</c:v>
                </c:pt>
                <c:pt idx="53">
                  <c:v>0.41295943808556779</c:v>
                </c:pt>
                <c:pt idx="54">
                  <c:v>0.42858046557209412</c:v>
                </c:pt>
                <c:pt idx="55">
                  <c:v>0.44425916024705847</c:v>
                </c:pt>
                <c:pt idx="56">
                  <c:v>0.45998836637939472</c:v>
                </c:pt>
                <c:pt idx="57">
                  <c:v>0.47576177163641131</c:v>
                </c:pt>
                <c:pt idx="58">
                  <c:v>0.49157381841100883</c:v>
                </c:pt>
                <c:pt idx="59">
                  <c:v>0.50741962182250566</c:v>
                </c:pt>
                <c:pt idx="60">
                  <c:v>0.52329489459662271</c:v>
                </c:pt>
                <c:pt idx="61">
                  <c:v>0.53919587878098796</c:v>
                </c:pt>
                <c:pt idx="62">
                  <c:v>0.55511928407702382</c:v>
                </c:pt>
                <c:pt idx="63">
                  <c:v>0.57106223245171917</c:v>
                </c:pt>
                <c:pt idx="64">
                  <c:v>0.58702220862023446</c:v>
                </c:pt>
                <c:pt idx="65">
                  <c:v>0.60299701595149335</c:v>
                </c:pt>
                <c:pt idx="66">
                  <c:v>0.61898473733489279</c:v>
                </c:pt>
                <c:pt idx="67">
                  <c:v>0.63498370054990516</c:v>
                </c:pt>
                <c:pt idx="68">
                  <c:v>0.65099244769610609</c:v>
                </c:pt>
                <c:pt idx="69">
                  <c:v>0.66700970826480621</c:v>
                </c:pt>
                <c:pt idx="70">
                  <c:v>0.68303437546181855</c:v>
                </c:pt>
                <c:pt idx="71">
                  <c:v>0.69906548542162916</c:v>
                </c:pt>
                <c:pt idx="72">
                  <c:v>0.71510219898468164</c:v>
                </c:pt>
                <c:pt idx="73">
                  <c:v>0.73114378574047356</c:v>
                </c:pt>
                <c:pt idx="74">
                  <c:v>0.74718961006891949</c:v>
                </c:pt>
                <c:pt idx="75">
                  <c:v>0.76323911894046403</c:v>
                </c:pt>
                <c:pt idx="76">
                  <c:v>0.77929183126145662</c:v>
                </c:pt>
                <c:pt idx="77">
                  <c:v>0.79534732857518964</c:v>
                </c:pt>
                <c:pt idx="78">
                  <c:v>0.81140524695074201</c:v>
                </c:pt>
                <c:pt idx="79">
                  <c:v>0.8274652699114049</c:v>
                </c:pt>
                <c:pt idx="80">
                  <c:v>0.84352712227209403</c:v>
                </c:pt>
                <c:pt idx="81">
                  <c:v>0.85959056477090545</c:v>
                </c:pt>
                <c:pt idx="82">
                  <c:v>0.87565538939398824</c:v>
                </c:pt>
                <c:pt idx="83">
                  <c:v>0.891721415305335</c:v>
                </c:pt>
                <c:pt idx="84">
                  <c:v>0.90778848530408096</c:v>
                </c:pt>
                <c:pt idx="85">
                  <c:v>0.92385646274159738</c:v>
                </c:pt>
                <c:pt idx="86">
                  <c:v>0.93992522883919538</c:v>
                </c:pt>
                <c:pt idx="87">
                  <c:v>0.95599468035475443</c:v>
                </c:pt>
                <c:pt idx="88">
                  <c:v>0.9720647275531662</c:v>
                </c:pt>
                <c:pt idx="89">
                  <c:v>0.9881352924412482</c:v>
                </c:pt>
                <c:pt idx="90">
                  <c:v>1.0042063072328238</c:v>
                </c:pt>
                <c:pt idx="91">
                  <c:v>1.0202777130140763</c:v>
                </c:pt>
                <c:pt idx="92">
                  <c:v>1.0363494585831368</c:v>
                </c:pt>
                <c:pt idx="93">
                  <c:v>1.0524214994412291</c:v>
                </c:pt>
                <c:pt idx="94">
                  <c:v>1.0684937969156305</c:v>
                </c:pt>
                <c:pt idx="95">
                  <c:v>1.0845663173972624</c:v>
                </c:pt>
                <c:pt idx="96">
                  <c:v>1.1006390316779608</c:v>
                </c:pt>
                <c:pt idx="97">
                  <c:v>1.1167119143744155</c:v>
                </c:pt>
                <c:pt idx="98">
                  <c:v>1.1327849434274606</c:v>
                </c:pt>
                <c:pt idx="99">
                  <c:v>1.1488580996668738</c:v>
                </c:pt>
                <c:pt idx="100">
                  <c:v>1.1649313664331216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FF-024A-901A-A8C790E0A7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754576"/>
        <c:axId val="1955650576"/>
      </c:scatterChart>
      <c:valAx>
        <c:axId val="1955754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650576"/>
        <c:crosses val="autoZero"/>
        <c:crossBetween val="midCat"/>
      </c:valAx>
      <c:valAx>
        <c:axId val="195565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754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cell mass vs time (y1 vs t)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d!$A$3:$A$103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d!$B$3:$B$103</c:f>
              <c:numCache>
                <c:formatCode>General</c:formatCode>
                <c:ptCount val="101"/>
                <c:pt idx="0">
                  <c:v>0.03</c:v>
                </c:pt>
                <c:pt idx="1">
                  <c:v>3.4036859121063377E-2</c:v>
                </c:pt>
                <c:pt idx="2">
                  <c:v>3.8594043084743124E-2</c:v>
                </c:pt>
                <c:pt idx="3">
                  <c:v>4.3732128902594238E-2</c:v>
                </c:pt>
                <c:pt idx="4">
                  <c:v>4.9516924492541546E-2</c:v>
                </c:pt>
                <c:pt idx="5">
                  <c:v>5.6019398863162498E-2</c:v>
                </c:pt>
                <c:pt idx="6">
                  <c:v>6.3315431539740161E-2</c:v>
                </c:pt>
                <c:pt idx="7">
                  <c:v>7.1485331273957259E-2</c:v>
                </c:pt>
                <c:pt idx="8">
                  <c:v>8.061306878696009E-2</c:v>
                </c:pt>
                <c:pt idx="9">
                  <c:v>9.0785165208964444E-2</c:v>
                </c:pt>
                <c:pt idx="10">
                  <c:v>0.10208917844924466</c:v>
                </c:pt>
                <c:pt idx="11">
                  <c:v>0.11461173573186619</c:v>
                </c:pt>
                <c:pt idx="12">
                  <c:v>0.12843607395979684</c:v>
                </c:pt>
                <c:pt idx="13">
                  <c:v>0.14363907242309068</c:v>
                </c:pt>
                <c:pt idx="14">
                  <c:v>0.1602877962875166</c:v>
                </c:pt>
                <c:pt idx="15">
                  <c:v>0.17843561504857813</c:v>
                </c:pt>
                <c:pt idx="16">
                  <c:v>0.19811801693438888</c:v>
                </c:pt>
                <c:pt idx="17">
                  <c:v>0.21934830507317396</c:v>
                </c:pt>
                <c:pt idx="18">
                  <c:v>0.24211342828065774</c:v>
                </c:pt>
                <c:pt idx="19">
                  <c:v>0.26637025973721046</c:v>
                </c:pt>
                <c:pt idx="20">
                  <c:v>0.29204267924740823</c:v>
                </c:pt>
                <c:pt idx="21">
                  <c:v>0.31901982667836432</c:v>
                </c:pt>
                <c:pt idx="22">
                  <c:v>0.34715586420622974</c:v>
                </c:pt>
                <c:pt idx="23">
                  <c:v>0.37627150602376974</c:v>
                </c:pt>
                <c:pt idx="24">
                  <c:v>0.40615744633732642</c:v>
                </c:pt>
                <c:pt idx="25">
                  <c:v>0.43657964944020278</c:v>
                </c:pt>
                <c:pt idx="26">
                  <c:v>0.46728627872167672</c:v>
                </c:pt>
                <c:pt idx="27">
                  <c:v>0.49801586130709885</c:v>
                </c:pt>
                <c:pt idx="28">
                  <c:v>0.52850614070794033</c:v>
                </c:pt>
                <c:pt idx="29">
                  <c:v>0.55850298654992603</c:v>
                </c:pt>
                <c:pt idx="30">
                  <c:v>0.58776872332190699</c:v>
                </c:pt>
                <c:pt idx="31">
                  <c:v>0.61608931049812798</c:v>
                </c:pt>
                <c:pt idx="32">
                  <c:v>0.64327994149437595</c:v>
                </c:pt>
                <c:pt idx="33">
                  <c:v>0.66918880495725575</c:v>
                </c:pt>
                <c:pt idx="34">
                  <c:v>0.69369893994550713</c:v>
                </c:pt>
                <c:pt idx="35">
                  <c:v>0.71672828905796726</c:v>
                </c:pt>
                <c:pt idx="36">
                  <c:v>0.73822818952449742</c:v>
                </c:pt>
                <c:pt idx="37">
                  <c:v>0.75818063024116356</c:v>
                </c:pt>
                <c:pt idx="38">
                  <c:v>0.77659464096260833</c:v>
                </c:pt>
                <c:pt idx="39">
                  <c:v>0.79350217445196591</c:v>
                </c:pt>
                <c:pt idx="40">
                  <c:v>0.80895380422599383</c:v>
                </c:pt>
                <c:pt idx="41">
                  <c:v>0.82301450219281125</c:v>
                </c:pt>
                <c:pt idx="42">
                  <c:v>0.83575969370597225</c:v>
                </c:pt>
                <c:pt idx="43">
                  <c:v>0.84727172171221388</c:v>
                </c:pt>
                <c:pt idx="44">
                  <c:v>0.85763679311273955</c:v>
                </c:pt>
                <c:pt idx="45">
                  <c:v>0.86694243265630111</c:v>
                </c:pt>
                <c:pt idx="46">
                  <c:v>0.87527543374189964</c:v>
                </c:pt>
                <c:pt idx="47">
                  <c:v>0.88272027087167815</c:v>
                </c:pt>
                <c:pt idx="48">
                  <c:v>0.88935792361628241</c:v>
                </c:pt>
                <c:pt idx="49">
                  <c:v>0.8952650548571075</c:v>
                </c:pt>
                <c:pt idx="50">
                  <c:v>0.90051348473112347</c:v>
                </c:pt>
                <c:pt idx="51">
                  <c:v>0.90516990429950939</c:v>
                </c:pt>
                <c:pt idx="52">
                  <c:v>0.90929577797990402</c:v>
                </c:pt>
                <c:pt idx="53">
                  <c:v>0.9129473900576297</c:v>
                </c:pt>
                <c:pt idx="54">
                  <c:v>0.91617599728166055</c:v>
                </c:pt>
                <c:pt idx="55">
                  <c:v>0.91902805609014615</c:v>
                </c:pt>
                <c:pt idx="56">
                  <c:v>0.92154549905028182</c:v>
                </c:pt>
                <c:pt idx="57">
                  <c:v>0.92376604045342126</c:v>
                </c:pt>
                <c:pt idx="58">
                  <c:v>0.92572349560822575</c:v>
                </c:pt>
                <c:pt idx="59">
                  <c:v>0.92744810222739171</c:v>
                </c:pt>
                <c:pt idx="60">
                  <c:v>0.92896683545788417</c:v>
                </c:pt>
                <c:pt idx="61">
                  <c:v>0.93030371063571471</c:v>
                </c:pt>
                <c:pt idx="62">
                  <c:v>0.93148006983889953</c:v>
                </c:pt>
                <c:pt idx="63">
                  <c:v>0.93251484985128164</c:v>
                </c:pt>
                <c:pt idx="64">
                  <c:v>0.93342483031496981</c:v>
                </c:pt>
                <c:pt idx="65">
                  <c:v>0.9342248617114286</c:v>
                </c:pt>
                <c:pt idx="66">
                  <c:v>0.93492807343240858</c:v>
                </c:pt>
                <c:pt idx="67">
                  <c:v>0.93554606263400431</c:v>
                </c:pt>
                <c:pt idx="68">
                  <c:v>0.9360890648532515</c:v>
                </c:pt>
                <c:pt idx="69">
                  <c:v>0.93656610754188929</c:v>
                </c:pt>
                <c:pt idx="70">
                  <c:v>0.93698514776430675</c:v>
                </c:pt>
                <c:pt idx="71">
                  <c:v>0.93735319533849304</c:v>
                </c:pt>
                <c:pt idx="72">
                  <c:v>0.93767642268736306</c:v>
                </c:pt>
                <c:pt idx="73">
                  <c:v>0.93796026262651633</c:v>
                </c:pt>
                <c:pt idx="74">
                  <c:v>0.9382094952534894</c:v>
                </c:pt>
                <c:pt idx="75">
                  <c:v>0.93842832503052431</c:v>
                </c:pt>
                <c:pt idx="76">
                  <c:v>0.93862044907344666</c:v>
                </c:pt>
                <c:pt idx="77">
                  <c:v>0.93878911757752137</c:v>
                </c:pt>
                <c:pt idx="78">
                  <c:v>0.93893718723003428</c:v>
                </c:pt>
                <c:pt idx="79">
                  <c:v>0.93906716838081616</c:v>
                </c:pt>
                <c:pt idx="80">
                  <c:v>0.93918126666729285</c:v>
                </c:pt>
                <c:pt idx="81">
                  <c:v>0.93928141972069745</c:v>
                </c:pt>
                <c:pt idx="82">
                  <c:v>0.93936932951523711</c:v>
                </c:pt>
                <c:pt idx="83">
                  <c:v>0.93944649086241983</c:v>
                </c:pt>
                <c:pt idx="84">
                  <c:v>0.93951421649837019</c:v>
                </c:pt>
                <c:pt idx="85">
                  <c:v>0.93957365916263236</c:v>
                </c:pt>
                <c:pt idx="86">
                  <c:v>0.9396258310224177</c:v>
                </c:pt>
                <c:pt idx="87">
                  <c:v>0.93967162075620148</c:v>
                </c:pt>
                <c:pt idx="88">
                  <c:v>0.93971180857467262</c:v>
                </c:pt>
                <c:pt idx="89">
                  <c:v>0.93974707942496405</c:v>
                </c:pt>
                <c:pt idx="90">
                  <c:v>0.9397780345954887</c:v>
                </c:pt>
                <c:pt idx="91">
                  <c:v>0.93980520191326566</c:v>
                </c:pt>
                <c:pt idx="92">
                  <c:v>0.93982904470302686</c:v>
                </c:pt>
                <c:pt idx="93">
                  <c:v>0.93984996965736101</c:v>
                </c:pt>
                <c:pt idx="94">
                  <c:v>0.9398683337494137</c:v>
                </c:pt>
                <c:pt idx="95">
                  <c:v>0.93988445030397283</c:v>
                </c:pt>
                <c:pt idx="96">
                  <c:v>0.93989859432890499</c:v>
                </c:pt>
                <c:pt idx="97">
                  <c:v>0.93991100719667042</c:v>
                </c:pt>
                <c:pt idx="98">
                  <c:v>0.93992190075484794</c:v>
                </c:pt>
                <c:pt idx="99">
                  <c:v>0.93993146093508451</c:v>
                </c:pt>
                <c:pt idx="100">
                  <c:v>0.93993985092149501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C8-384E-8413-0E72E84B5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648000"/>
        <c:axId val="1955494160"/>
      </c:scatterChart>
      <c:valAx>
        <c:axId val="195464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494160"/>
        <c:crosses val="autoZero"/>
        <c:crossBetween val="midCat"/>
      </c:valAx>
      <c:valAx>
        <c:axId val="195549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648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penicillin vs time (y2 vs t)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d!$A$3:$A$103</c:f>
              <c:numCache>
                <c:formatCode>General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  <c:pt idx="11">
                  <c:v>0.10999999999999999</c:v>
                </c:pt>
                <c:pt idx="12">
                  <c:v>0.11999999999999998</c:v>
                </c:pt>
                <c:pt idx="13">
                  <c:v>0.12999999999999998</c:v>
                </c:pt>
                <c:pt idx="14">
                  <c:v>0.13999999999999999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0.18000000000000002</c:v>
                </c:pt>
                <c:pt idx="19">
                  <c:v>0.19000000000000003</c:v>
                </c:pt>
                <c:pt idx="20">
                  <c:v>0.20000000000000004</c:v>
                </c:pt>
                <c:pt idx="21">
                  <c:v>0.21000000000000005</c:v>
                </c:pt>
                <c:pt idx="22">
                  <c:v>0.22000000000000006</c:v>
                </c:pt>
                <c:pt idx="23">
                  <c:v>0.23000000000000007</c:v>
                </c:pt>
                <c:pt idx="24">
                  <c:v>0.24000000000000007</c:v>
                </c:pt>
                <c:pt idx="25">
                  <c:v>0.25000000000000006</c:v>
                </c:pt>
                <c:pt idx="26">
                  <c:v>0.26000000000000006</c:v>
                </c:pt>
                <c:pt idx="27">
                  <c:v>0.27000000000000007</c:v>
                </c:pt>
                <c:pt idx="28">
                  <c:v>0.28000000000000008</c:v>
                </c:pt>
                <c:pt idx="29">
                  <c:v>0.29000000000000009</c:v>
                </c:pt>
                <c:pt idx="30">
                  <c:v>0.3000000000000001</c:v>
                </c:pt>
                <c:pt idx="31">
                  <c:v>0.31000000000000011</c:v>
                </c:pt>
                <c:pt idx="32">
                  <c:v>0.32000000000000012</c:v>
                </c:pt>
                <c:pt idx="33">
                  <c:v>0.33000000000000013</c:v>
                </c:pt>
                <c:pt idx="34">
                  <c:v>0.34000000000000014</c:v>
                </c:pt>
                <c:pt idx="35">
                  <c:v>0.35000000000000014</c:v>
                </c:pt>
                <c:pt idx="36">
                  <c:v>0.36000000000000015</c:v>
                </c:pt>
                <c:pt idx="37">
                  <c:v>0.37000000000000016</c:v>
                </c:pt>
                <c:pt idx="38">
                  <c:v>0.38000000000000017</c:v>
                </c:pt>
                <c:pt idx="39">
                  <c:v>0.39000000000000018</c:v>
                </c:pt>
                <c:pt idx="40">
                  <c:v>0.40000000000000019</c:v>
                </c:pt>
                <c:pt idx="41">
                  <c:v>0.4100000000000002</c:v>
                </c:pt>
                <c:pt idx="42">
                  <c:v>0.42000000000000021</c:v>
                </c:pt>
                <c:pt idx="43">
                  <c:v>0.43000000000000022</c:v>
                </c:pt>
                <c:pt idx="44">
                  <c:v>0.44000000000000022</c:v>
                </c:pt>
                <c:pt idx="45">
                  <c:v>0.45000000000000023</c:v>
                </c:pt>
                <c:pt idx="46">
                  <c:v>0.46000000000000024</c:v>
                </c:pt>
                <c:pt idx="47">
                  <c:v>0.47000000000000025</c:v>
                </c:pt>
                <c:pt idx="48">
                  <c:v>0.48000000000000026</c:v>
                </c:pt>
                <c:pt idx="49">
                  <c:v>0.49000000000000027</c:v>
                </c:pt>
                <c:pt idx="50">
                  <c:v>0.50000000000000022</c:v>
                </c:pt>
                <c:pt idx="51">
                  <c:v>0.51000000000000023</c:v>
                </c:pt>
                <c:pt idx="52">
                  <c:v>0.52000000000000024</c:v>
                </c:pt>
                <c:pt idx="53">
                  <c:v>0.53000000000000025</c:v>
                </c:pt>
                <c:pt idx="54">
                  <c:v>0.54000000000000026</c:v>
                </c:pt>
                <c:pt idx="55">
                  <c:v>0.55000000000000027</c:v>
                </c:pt>
                <c:pt idx="56">
                  <c:v>0.56000000000000028</c:v>
                </c:pt>
                <c:pt idx="57">
                  <c:v>0.57000000000000028</c:v>
                </c:pt>
                <c:pt idx="58">
                  <c:v>0.58000000000000029</c:v>
                </c:pt>
                <c:pt idx="59">
                  <c:v>0.5900000000000003</c:v>
                </c:pt>
                <c:pt idx="60">
                  <c:v>0.60000000000000031</c:v>
                </c:pt>
                <c:pt idx="61">
                  <c:v>0.61000000000000032</c:v>
                </c:pt>
                <c:pt idx="62">
                  <c:v>0.62000000000000033</c:v>
                </c:pt>
                <c:pt idx="63">
                  <c:v>0.63000000000000034</c:v>
                </c:pt>
                <c:pt idx="64">
                  <c:v>0.64000000000000035</c:v>
                </c:pt>
                <c:pt idx="65">
                  <c:v>0.65000000000000036</c:v>
                </c:pt>
                <c:pt idx="66">
                  <c:v>0.66000000000000036</c:v>
                </c:pt>
                <c:pt idx="67">
                  <c:v>0.67000000000000037</c:v>
                </c:pt>
                <c:pt idx="68">
                  <c:v>0.68000000000000038</c:v>
                </c:pt>
                <c:pt idx="69">
                  <c:v>0.69000000000000039</c:v>
                </c:pt>
                <c:pt idx="70">
                  <c:v>0.7000000000000004</c:v>
                </c:pt>
                <c:pt idx="71">
                  <c:v>0.71000000000000041</c:v>
                </c:pt>
                <c:pt idx="72">
                  <c:v>0.72000000000000042</c:v>
                </c:pt>
                <c:pt idx="73">
                  <c:v>0.73000000000000043</c:v>
                </c:pt>
                <c:pt idx="74">
                  <c:v>0.74000000000000044</c:v>
                </c:pt>
                <c:pt idx="75">
                  <c:v>0.75000000000000044</c:v>
                </c:pt>
                <c:pt idx="76">
                  <c:v>0.76000000000000045</c:v>
                </c:pt>
                <c:pt idx="77">
                  <c:v>0.77000000000000046</c:v>
                </c:pt>
                <c:pt idx="78">
                  <c:v>0.78000000000000047</c:v>
                </c:pt>
                <c:pt idx="79">
                  <c:v>0.79000000000000048</c:v>
                </c:pt>
                <c:pt idx="80">
                  <c:v>0.80000000000000049</c:v>
                </c:pt>
                <c:pt idx="81">
                  <c:v>0.8100000000000005</c:v>
                </c:pt>
                <c:pt idx="82">
                  <c:v>0.82000000000000051</c:v>
                </c:pt>
                <c:pt idx="83">
                  <c:v>0.83000000000000052</c:v>
                </c:pt>
                <c:pt idx="84">
                  <c:v>0.84000000000000052</c:v>
                </c:pt>
                <c:pt idx="85">
                  <c:v>0.85000000000000053</c:v>
                </c:pt>
                <c:pt idx="86">
                  <c:v>0.86000000000000054</c:v>
                </c:pt>
                <c:pt idx="87">
                  <c:v>0.87000000000000055</c:v>
                </c:pt>
                <c:pt idx="88">
                  <c:v>0.88000000000000056</c:v>
                </c:pt>
                <c:pt idx="89">
                  <c:v>0.89000000000000057</c:v>
                </c:pt>
                <c:pt idx="90">
                  <c:v>0.90000000000000058</c:v>
                </c:pt>
                <c:pt idx="91">
                  <c:v>0.91000000000000059</c:v>
                </c:pt>
                <c:pt idx="92">
                  <c:v>0.9200000000000006</c:v>
                </c:pt>
                <c:pt idx="93">
                  <c:v>0.9300000000000006</c:v>
                </c:pt>
                <c:pt idx="94">
                  <c:v>0.94000000000000061</c:v>
                </c:pt>
                <c:pt idx="95">
                  <c:v>0.95000000000000062</c:v>
                </c:pt>
                <c:pt idx="96">
                  <c:v>0.96000000000000063</c:v>
                </c:pt>
                <c:pt idx="97">
                  <c:v>0.97000000000000064</c:v>
                </c:pt>
                <c:pt idx="98">
                  <c:v>0.98000000000000065</c:v>
                </c:pt>
                <c:pt idx="99">
                  <c:v>0.99000000000000066</c:v>
                </c:pt>
                <c:pt idx="100">
                  <c:v>1.0000000000000007</c:v>
                </c:pt>
              </c:numCache>
            </c:numRef>
          </c:xVal>
          <c:yVal>
            <c:numRef>
              <c:f>d!$C$3:$C$103</c:f>
              <c:numCache>
                <c:formatCode>General</c:formatCode>
                <c:ptCount val="101"/>
                <c:pt idx="0">
                  <c:v>0</c:v>
                </c:pt>
                <c:pt idx="1">
                  <c:v>5.4552911170212769E-4</c:v>
                </c:pt>
                <c:pt idx="2">
                  <c:v>1.1643019754141828E-3</c:v>
                </c:pt>
                <c:pt idx="3">
                  <c:v>1.8657125672947926E-3</c:v>
                </c:pt>
                <c:pt idx="4">
                  <c:v>2.6602353184478765E-3</c:v>
                </c:pt>
                <c:pt idx="5">
                  <c:v>3.5595145846068947E-3</c:v>
                </c:pt>
                <c:pt idx="6">
                  <c:v>4.5764515661365079E-3</c:v>
                </c:pt>
                <c:pt idx="7">
                  <c:v>5.7252851865006778E-3</c:v>
                </c:pt>
                <c:pt idx="8">
                  <c:v>7.0216625323176168E-3</c:v>
                </c:pt>
                <c:pt idx="9">
                  <c:v>8.482693476476167E-3</c:v>
                </c:pt>
                <c:pt idx="10">
                  <c:v>1.0126983096197108E-2</c:v>
                </c:pt>
                <c:pt idx="11">
                  <c:v>1.197463453677868E-2</c:v>
                </c:pt>
                <c:pt idx="12">
                  <c:v>1.4047214168191487E-2</c:v>
                </c:pt>
                <c:pt idx="13">
                  <c:v>1.6367670379992934E-2</c:v>
                </c:pt>
                <c:pt idx="14">
                  <c:v>1.8960197337334724E-2</c:v>
                </c:pt>
                <c:pt idx="15">
                  <c:v>2.1850035677142415E-2</c:v>
                </c:pt>
                <c:pt idx="16">
                  <c:v>2.5063203661568546E-2</c:v>
                </c:pt>
                <c:pt idx="17">
                  <c:v>2.8626154898771905E-2</c:v>
                </c:pt>
                <c:pt idx="18">
                  <c:v>3.2565362488774605E-2</c:v>
                </c:pt>
                <c:pt idx="19">
                  <c:v>3.6906834329466537E-2</c:v>
                </c:pt>
                <c:pt idx="20">
                  <c:v>4.1675570124262852E-2</c:v>
                </c:pt>
                <c:pt idx="21">
                  <c:v>4.689497695704143E-2</c:v>
                </c:pt>
                <c:pt idx="22">
                  <c:v>5.2586266515565701E-2</c:v>
                </c:pt>
                <c:pt idx="23">
                  <c:v>5.8767862354091302E-2</c:v>
                </c:pt>
                <c:pt idx="24">
                  <c:v>6.5454849119326974E-2</c:v>
                </c:pt>
                <c:pt idx="25">
                  <c:v>7.2658496627173191E-2</c:v>
                </c:pt>
                <c:pt idx="26">
                  <c:v>8.0385889525092874E-2</c:v>
                </c:pt>
                <c:pt idx="27">
                  <c:v>8.8639687866376771E-2</c:v>
                </c:pt>
                <c:pt idx="28">
                  <c:v>9.7418035616699039E-2</c:v>
                </c:pt>
                <c:pt idx="29">
                  <c:v>0.10671462376017819</c:v>
                </c:pt>
                <c:pt idx="30">
                  <c:v>0.11651890349113664</c:v>
                </c:pt>
                <c:pt idx="31">
                  <c:v>0.12681643434363313</c:v>
                </c:pt>
                <c:pt idx="32">
                  <c:v>0.1375893432987435</c:v>
                </c:pt>
                <c:pt idx="33">
                  <c:v>0.14881686486532275</c:v>
                </c:pt>
                <c:pt idx="34">
                  <c:v>0.16047592932324956</c:v>
                </c:pt>
                <c:pt idx="35">
                  <c:v>0.17254176670835872</c:v>
                </c:pt>
                <c:pt idx="36">
                  <c:v>0.1849884972286984</c:v>
                </c:pt>
                <c:pt idx="37">
                  <c:v>0.19778968386810736</c:v>
                </c:pt>
                <c:pt idx="38">
                  <c:v>0.21091882907913814</c:v>
                </c:pt>
                <c:pt idx="39">
                  <c:v>0.22434980386327458</c:v>
                </c:pt>
                <c:pt idx="40">
                  <c:v>0.23805720351088935</c:v>
                </c:pt>
                <c:pt idx="41">
                  <c:v>0.252016629368844</c:v>
                </c:pt>
                <c:pt idx="42">
                  <c:v>0.26620489998041408</c:v>
                </c:pt>
                <c:pt idx="43">
                  <c:v>0.28060019774707096</c:v>
                </c:pt>
                <c:pt idx="44">
                  <c:v>0.2951821589777735</c:v>
                </c:pt>
                <c:pt idx="45">
                  <c:v>0.30993191598522063</c:v>
                </c:pt>
                <c:pt idx="46">
                  <c:v>0.32483209996301676</c:v>
                </c:pt>
                <c:pt idx="47">
                  <c:v>0.33986681293759163</c:v>
                </c:pt>
                <c:pt idx="48">
                  <c:v>0.35502157631787168</c:v>
                </c:pt>
                <c:pt idx="49">
                  <c:v>0.37028326261561956</c:v>
                </c:pt>
                <c:pt idx="50">
                  <c:v>0.38564001589577518</c:v>
                </c:pt>
                <c:pt idx="51">
                  <c:v>0.40108116552096185</c:v>
                </c:pt>
                <c:pt idx="52">
                  <c:v>0.41659713683052252</c:v>
                </c:pt>
                <c:pt idx="53">
                  <c:v>0.43217936157200432</c:v>
                </c:pt>
                <c:pt idx="54">
                  <c:v>0.44782019019483932</c:v>
                </c:pt>
                <c:pt idx="55">
                  <c:v>0.46351280752317769</c:v>
                </c:pt>
                <c:pt idx="56">
                  <c:v>0.4792511528409526</c:v>
                </c:pt>
                <c:pt idx="57">
                  <c:v>0.49502984503651565</c:v>
                </c:pt>
                <c:pt idx="58">
                  <c:v>0.51084411315381595</c:v>
                </c:pt>
                <c:pt idx="59">
                  <c:v>0.52668973246895223</c:v>
                </c:pt>
                <c:pt idx="60">
                  <c:v>0.54256296604244747</c:v>
                </c:pt>
                <c:pt idx="61">
                  <c:v>0.55846051157738996</c:v>
                </c:pt>
                <c:pt idx="62">
                  <c:v>0.57437945333168272</c:v>
                </c:pt>
                <c:pt idx="63">
                  <c:v>0.59031721878057231</c:v>
                </c:pt>
                <c:pt idx="64">
                  <c:v>0.6062715396963354</c:v>
                </c:pt>
                <c:pt idx="65">
                  <c:v>0.622240417299739</c:v>
                </c:pt>
                <c:pt idx="66">
                  <c:v>0.63822209113805251</c:v>
                </c:pt>
                <c:pt idx="67">
                  <c:v>0.65421501135333482</c:v>
                </c:pt>
                <c:pt idx="68">
                  <c:v>0.67021781401962854</c:v>
                </c:pt>
                <c:pt idx="69">
                  <c:v>0.68622929924639398</c:v>
                </c:pt>
                <c:pt idx="70">
                  <c:v>0.70224841176639408</c:v>
                </c:pt>
                <c:pt idx="71">
                  <c:v>0.71827422374808203</c:v>
                </c:pt>
                <c:pt idx="72">
                  <c:v>0.73430591959449076</c:v>
                </c:pt>
                <c:pt idx="73">
                  <c:v>0.75034278251206166</c:v>
                </c:pt>
                <c:pt idx="74">
                  <c:v>0.76638418265337349</c:v>
                </c:pt>
                <c:pt idx="75">
                  <c:v>0.78242956665707464</c:v>
                </c:pt>
                <c:pt idx="76">
                  <c:v>0.79847844842634275</c:v>
                </c:pt>
                <c:pt idx="77">
                  <c:v>0.81453040100381691</c:v>
                </c:pt>
                <c:pt idx="78">
                  <c:v>0.83058504941616695</c:v>
                </c:pt>
                <c:pt idx="79">
                  <c:v>0.84664206437531164</c:v>
                </c:pt>
                <c:pt idx="80">
                  <c:v>0.86270115673582837</c:v>
                </c:pt>
                <c:pt idx="81">
                  <c:v>0.87876207261938843</c:v>
                </c:pt>
                <c:pt idx="82">
                  <c:v>0.89482458912719209</c:v>
                </c:pt>
                <c:pt idx="83">
                  <c:v>0.91088851057044873</c:v>
                </c:pt>
                <c:pt idx="84">
                  <c:v>0.92695366515704991</c:v>
                </c:pt>
                <c:pt idx="85">
                  <c:v>0.94301990207979614</c:v>
                </c:pt>
                <c:pt idx="86">
                  <c:v>0.95908708895794947</c:v>
                </c:pt>
                <c:pt idx="87">
                  <c:v>0.9751551095895773</c:v>
                </c:pt>
                <c:pt idx="88">
                  <c:v>0.99122386197719281</c:v>
                </c:pt>
                <c:pt idx="89">
                  <c:v>1.007293256593663</c:v>
                </c:pt>
                <c:pt idx="90">
                  <c:v>1.0233632148592984</c:v>
                </c:pt>
                <c:pt idx="91">
                  <c:v>1.0394336678045268</c:v>
                </c:pt>
                <c:pt idx="92">
                  <c:v>1.0555045548956261</c:v>
                </c:pt>
                <c:pt idx="93">
                  <c:v>1.0715758230037045</c:v>
                </c:pt>
                <c:pt idx="94">
                  <c:v>1.0876474254995101</c:v>
                </c:pt>
                <c:pt idx="95">
                  <c:v>1.1037193214587524</c:v>
                </c:pt>
                <c:pt idx="96">
                  <c:v>1.1197914749644782</c:v>
                </c:pt>
                <c:pt idx="97">
                  <c:v>1.1358638544946715</c:v>
                </c:pt>
                <c:pt idx="98">
                  <c:v>1.1519364323846872</c:v>
                </c:pt>
                <c:pt idx="99">
                  <c:v>1.1680091843553868</c:v>
                </c:pt>
                <c:pt idx="100">
                  <c:v>1.184082089098959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68-3D44-8F87-1693FF7FA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7159344"/>
        <c:axId val="1957160976"/>
      </c:scatterChart>
      <c:valAx>
        <c:axId val="1957159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160976"/>
        <c:crosses val="autoZero"/>
        <c:crossBetween val="midCat"/>
      </c:valAx>
      <c:valAx>
        <c:axId val="1957160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7159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cell mass vs time (y1 vs t)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e!$A$23:$A$33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e!$F$23:$F$33</c:f>
              <c:numCache>
                <c:formatCode>0.00000</c:formatCode>
                <c:ptCount val="11"/>
                <c:pt idx="0">
                  <c:v>0.03</c:v>
                </c:pt>
                <c:pt idx="1">
                  <c:v>0.10153271323308985</c:v>
                </c:pt>
                <c:pt idx="2">
                  <c:v>0.28996154462795465</c:v>
                </c:pt>
                <c:pt idx="3">
                  <c:v>0.58509214748519112</c:v>
                </c:pt>
                <c:pt idx="4">
                  <c:v>0.80647102309241481</c:v>
                </c:pt>
                <c:pt idx="5">
                  <c:v>0.89768284257754583</c:v>
                </c:pt>
                <c:pt idx="6">
                  <c:v>0.92722047155154508</c:v>
                </c:pt>
                <c:pt idx="7">
                  <c:v>0.93619396646090802</c:v>
                </c:pt>
                <c:pt idx="8">
                  <c:v>0.9388711544406666</c:v>
                </c:pt>
                <c:pt idx="9">
                  <c:v>0.93966560247786146</c:v>
                </c:pt>
                <c:pt idx="10">
                  <c:v>0.93990097759567937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FF-5641-AE30-4D4B28CAB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6609456"/>
        <c:axId val="1956371936"/>
      </c:scatterChart>
      <c:valAx>
        <c:axId val="1956609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371936"/>
        <c:crosses val="autoZero"/>
        <c:crossBetween val="midCat"/>
      </c:valAx>
      <c:valAx>
        <c:axId val="19563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609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penicillin vs time (y2 vs t)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e!$K$23:$K$33</c:f>
              <c:numCache>
                <c:formatCode>General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e!$P$23:$P$33</c:f>
              <c:numCache>
                <c:formatCode>0.00000</c:formatCode>
                <c:ptCount val="11"/>
                <c:pt idx="0">
                  <c:v>0</c:v>
                </c:pt>
                <c:pt idx="1">
                  <c:v>1.0167126201073408E-2</c:v>
                </c:pt>
                <c:pt idx="2">
                  <c:v>4.1840339924273315E-2</c:v>
                </c:pt>
                <c:pt idx="3">
                  <c:v>0.11688695738287891</c:v>
                </c:pt>
                <c:pt idx="4">
                  <c:v>0.23858580180130762</c:v>
                </c:pt>
                <c:pt idx="5">
                  <c:v>0.38624203431902726</c:v>
                </c:pt>
                <c:pt idx="6">
                  <c:v>0.54319681740920922</c:v>
                </c:pt>
                <c:pt idx="7">
                  <c:v>0.70289494810873454</c:v>
                </c:pt>
                <c:pt idx="8">
                  <c:v>0.86335229151724935</c:v>
                </c:pt>
                <c:pt idx="9">
                  <c:v>1.0240159121387951</c:v>
                </c:pt>
                <c:pt idx="10">
                  <c:v>1.184735295209036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7C-9844-A65A-4A9CB9247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6557312"/>
        <c:axId val="1956527248"/>
      </c:scatterChart>
      <c:valAx>
        <c:axId val="195655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527248"/>
        <c:crosses val="autoZero"/>
        <c:crossBetween val="midCat"/>
      </c:valAx>
      <c:valAx>
        <c:axId val="195652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6557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476250</xdr:colOff>
      <xdr:row>7</xdr:row>
      <xdr:rowOff>31750</xdr:rowOff>
    </xdr:from>
    <xdr:to>
      <xdr:col>17</xdr:col>
      <xdr:colOff>95250</xdr:colOff>
      <xdr:row>20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1D8364-AF13-894D-92D4-C6BDA38026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527050</xdr:colOff>
      <xdr:row>21</xdr:row>
      <xdr:rowOff>95250</xdr:rowOff>
    </xdr:from>
    <xdr:to>
      <xdr:col>17</xdr:col>
      <xdr:colOff>146050</xdr:colOff>
      <xdr:row>34</xdr:row>
      <xdr:rowOff>196850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B7E9359-56F0-B540-9EE7-688C47E213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241300</xdr:colOff>
      <xdr:row>21</xdr:row>
      <xdr:rowOff>196850</xdr:rowOff>
    </xdr:from>
    <xdr:to>
      <xdr:col>5</xdr:col>
      <xdr:colOff>685800</xdr:colOff>
      <xdr:row>35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EC8F5A-C3D6-324F-BE55-F284091A674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152400</xdr:colOff>
      <xdr:row>21</xdr:row>
      <xdr:rowOff>196850</xdr:rowOff>
    </xdr:from>
    <xdr:to>
      <xdr:col>12</xdr:col>
      <xdr:colOff>596900</xdr:colOff>
      <xdr:row>35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F715138-C7D2-1B43-AE30-533FF9DD4A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75</xdr:row>
      <xdr:rowOff>158750</xdr:rowOff>
    </xdr:from>
    <xdr:to>
      <xdr:col>10</xdr:col>
      <xdr:colOff>577850</xdr:colOff>
      <xdr:row>89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0FFB73-8245-1C49-BA31-EC64B9C6B4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965200</xdr:colOff>
      <xdr:row>92</xdr:row>
      <xdr:rowOff>184150</xdr:rowOff>
    </xdr:from>
    <xdr:to>
      <xdr:col>10</xdr:col>
      <xdr:colOff>342900</xdr:colOff>
      <xdr:row>106</xdr:row>
      <xdr:rowOff>82550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F99894F-4D65-8748-A808-114CD74357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482600</xdr:colOff>
      <xdr:row>82</xdr:row>
      <xdr:rowOff>196850</xdr:rowOff>
    </xdr:from>
    <xdr:to>
      <xdr:col>10</xdr:col>
      <xdr:colOff>101600</xdr:colOff>
      <xdr:row>96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9E0A3E-FFA2-5546-890D-BB12A208CB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203200</xdr:colOff>
      <xdr:row>97</xdr:row>
      <xdr:rowOff>6350</xdr:rowOff>
    </xdr:from>
    <xdr:to>
      <xdr:col>9</xdr:col>
      <xdr:colOff>647700</xdr:colOff>
      <xdr:row>110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7A1B79-C528-2F4A-BCB7-B0EC177398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25400</xdr:rowOff>
    </xdr:from>
    <xdr:to>
      <xdr:col>4</xdr:col>
      <xdr:colOff>177800</xdr:colOff>
      <xdr:row>18</xdr:row>
      <xdr:rowOff>12700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356F94-A783-0E40-838A-42629C080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47800"/>
          <a:ext cx="3479800" cy="2222500"/>
        </a:xfrm>
        <a:prstGeom prst="rect">
          <a:avLst/>
        </a:prstGeom>
      </xdr:spPr>
    </xdr:pic>
    <xdr:clientData/>
  </xdr:twoCellAnchor>
  <xdr:oneCellAnchor>
    <xdr:from>
      <xdr:col>10</xdr:col>
      <xdr:colOff>0</xdr:colOff>
      <xdr:row>7</xdr:row>
      <xdr:rowOff>25400</xdr:rowOff>
    </xdr:from>
    <xdr:ext cx="3479800" cy="2222500"/>
    <xdr:pic>
      <xdr:nvPicPr>
        <xdr:cNvPr id="3" name="Picture 2">
          <a:extLst>
            <a:ext uri="{FF2B5EF4-FFF2-40B4-BE49-F238E27FC236}">
              <a16:creationId xmlns:a16="http://schemas.microsoft.com/office/drawing/2014/main" id="{6869D4CD-2D99-D14A-8B0A-288AED68DD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47800"/>
          <a:ext cx="3479800" cy="2222500"/>
        </a:xfrm>
        <a:prstGeom prst="rect">
          <a:avLst/>
        </a:prstGeom>
      </xdr:spPr>
    </xdr:pic>
    <xdr:clientData/>
  </xdr:oneCellAnchor>
  <xdr:twoCellAnchor>
    <xdr:from>
      <xdr:col>0</xdr:col>
      <xdr:colOff>571500</xdr:colOff>
      <xdr:row>33</xdr:row>
      <xdr:rowOff>196850</xdr:rowOff>
    </xdr:from>
    <xdr:to>
      <xdr:col>6</xdr:col>
      <xdr:colOff>190500</xdr:colOff>
      <xdr:row>47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BA37FDF-B4EF-C141-A711-5530C84A5A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279400</xdr:colOff>
      <xdr:row>35</xdr:row>
      <xdr:rowOff>82550</xdr:rowOff>
    </xdr:from>
    <xdr:to>
      <xdr:col>15</xdr:col>
      <xdr:colOff>723900</xdr:colOff>
      <xdr:row>48</xdr:row>
      <xdr:rowOff>184150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CC3BFEB-8262-324E-8FEC-C5876F4BC3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5E8F-3B92-B344-AAEC-3D1121BB31D4}">
  <sheetPr codeName="Sheet1"/>
  <dimension ref="A1:L39"/>
  <sheetViews>
    <sheetView workbookViewId="0">
      <selection activeCell="F21" sqref="F21"/>
    </sheetView>
  </sheetViews>
  <sheetFormatPr baseColWidth="10" defaultRowHeight="16" x14ac:dyDescent="0.2"/>
  <sheetData>
    <row r="1" spans="1:12" x14ac:dyDescent="0.2">
      <c r="B1" t="s">
        <v>0</v>
      </c>
      <c r="H1" t="s">
        <v>0</v>
      </c>
    </row>
    <row r="2" spans="1:12" x14ac:dyDescent="0.2">
      <c r="A2" s="1" t="s">
        <v>1</v>
      </c>
      <c r="B2" s="1" t="s">
        <v>5</v>
      </c>
      <c r="G2" s="1" t="s">
        <v>1</v>
      </c>
      <c r="H2" s="1" t="s">
        <v>18</v>
      </c>
    </row>
    <row r="3" spans="1:12" x14ac:dyDescent="0.2">
      <c r="A3" t="s">
        <v>2</v>
      </c>
      <c r="B3" t="s">
        <v>3</v>
      </c>
      <c r="G3" t="s">
        <v>2</v>
      </c>
      <c r="H3" t="s">
        <v>3</v>
      </c>
    </row>
    <row r="4" spans="1:12" x14ac:dyDescent="0.2">
      <c r="A4" s="1" t="s">
        <v>6</v>
      </c>
      <c r="B4" s="1"/>
      <c r="G4" s="1" t="s">
        <v>19</v>
      </c>
      <c r="H4" s="1"/>
    </row>
    <row r="5" spans="1:12" x14ac:dyDescent="0.2">
      <c r="A5" t="s">
        <v>4</v>
      </c>
      <c r="B5" t="s">
        <v>21</v>
      </c>
      <c r="G5" t="s">
        <v>4</v>
      </c>
      <c r="H5" t="s">
        <v>20</v>
      </c>
      <c r="L5" t="s">
        <v>17</v>
      </c>
    </row>
    <row r="7" spans="1:12" x14ac:dyDescent="0.2">
      <c r="A7" s="2"/>
      <c r="B7" s="1"/>
      <c r="C7" s="2" t="s">
        <v>7</v>
      </c>
      <c r="D7" s="1">
        <v>0.01</v>
      </c>
      <c r="G7" s="2"/>
      <c r="H7" s="1"/>
      <c r="I7" s="2" t="s">
        <v>7</v>
      </c>
      <c r="J7" s="1">
        <v>0.01</v>
      </c>
    </row>
    <row r="8" spans="1:12" x14ac:dyDescent="0.2">
      <c r="A8" s="3" t="s">
        <v>8</v>
      </c>
      <c r="B8" s="3" t="s">
        <v>13</v>
      </c>
      <c r="C8" s="3" t="s">
        <v>14</v>
      </c>
      <c r="D8" s="4"/>
      <c r="G8" s="3" t="s">
        <v>8</v>
      </c>
      <c r="H8" s="3" t="s">
        <v>15</v>
      </c>
      <c r="I8" s="3" t="s">
        <v>16</v>
      </c>
      <c r="J8" s="4"/>
    </row>
    <row r="9" spans="1:12" x14ac:dyDescent="0.2">
      <c r="A9">
        <v>0</v>
      </c>
      <c r="B9">
        <v>0.03</v>
      </c>
      <c r="C9">
        <f>13.1*(B9)-((13.1)/(0.94))*(B9)^2</f>
        <v>0.38045744680851062</v>
      </c>
      <c r="G9">
        <v>0</v>
      </c>
      <c r="H9">
        <v>0</v>
      </c>
      <c r="I9">
        <f>1.71*((0.94*EXP(13.1*G9))/(30.333+EXP(13.1*G9)))</f>
        <v>5.130054575048671E-2</v>
      </c>
    </row>
    <row r="10" spans="1:12" x14ac:dyDescent="0.2">
      <c r="A10">
        <v>0.1</v>
      </c>
      <c r="B10">
        <f>B9+C9*$D$7</f>
        <v>3.3804574468085102E-2</v>
      </c>
      <c r="C10">
        <f t="shared" ref="C10:C19" si="0">13.1*(B10)-((13.1)/(0.94))*(B10)^2</f>
        <v>0.42691437740416494</v>
      </c>
      <c r="G10">
        <v>0.1</v>
      </c>
      <c r="H10">
        <f>H9+I9*$J$7</f>
        <v>5.1300545750486708E-4</v>
      </c>
      <c r="I10">
        <f t="shared" ref="I10:I19" si="1">1.71*((0.94*EXP(13.1*G10))/(30.333+EXP(13.1*G10)))</f>
        <v>0.17501316792744964</v>
      </c>
    </row>
    <row r="11" spans="1:12" x14ac:dyDescent="0.2">
      <c r="A11">
        <v>0.2</v>
      </c>
      <c r="B11">
        <f t="shared" ref="B11:B19" si="2">B10+C10*$D$7</f>
        <v>3.8073718242126756E-2</v>
      </c>
      <c r="C11">
        <f t="shared" si="0"/>
        <v>0.47856372485246773</v>
      </c>
      <c r="G11">
        <v>0.2</v>
      </c>
      <c r="H11">
        <f t="shared" ref="H11:H19" si="3">H10+I10*$J$7</f>
        <v>2.2631371367793636E-3</v>
      </c>
      <c r="I11">
        <f t="shared" si="1"/>
        <v>0.50100843170620757</v>
      </c>
    </row>
    <row r="12" spans="1:12" x14ac:dyDescent="0.2">
      <c r="A12">
        <v>0.3</v>
      </c>
      <c r="B12">
        <f>B11+C11*$D$7</f>
        <v>4.2859355490651431E-2</v>
      </c>
      <c r="C12">
        <f t="shared" si="0"/>
        <v>0.53585786647511902</v>
      </c>
      <c r="G12">
        <v>0.3</v>
      </c>
      <c r="H12">
        <f t="shared" si="3"/>
        <v>7.27322145384144E-3</v>
      </c>
      <c r="I12">
        <f t="shared" si="1"/>
        <v>1.0072365632431213</v>
      </c>
    </row>
    <row r="13" spans="1:12" x14ac:dyDescent="0.2">
      <c r="A13">
        <v>0.4</v>
      </c>
      <c r="B13">
        <f t="shared" si="2"/>
        <v>4.8217934155402618E-2</v>
      </c>
      <c r="C13">
        <f t="shared" si="0"/>
        <v>0.59925377128448376</v>
      </c>
      <c r="G13">
        <v>0.4</v>
      </c>
      <c r="H13">
        <f t="shared" si="3"/>
        <v>1.7345587086272651E-2</v>
      </c>
      <c r="I13">
        <f t="shared" si="1"/>
        <v>1.3847672442790995</v>
      </c>
    </row>
    <row r="14" spans="1:12" x14ac:dyDescent="0.2">
      <c r="A14">
        <v>0.5</v>
      </c>
      <c r="B14">
        <f t="shared" si="2"/>
        <v>5.4210471868247456E-2</v>
      </c>
      <c r="C14">
        <f t="shared" si="0"/>
        <v>0.66920190923113476</v>
      </c>
      <c r="G14">
        <v>0.5</v>
      </c>
      <c r="H14">
        <f t="shared" si="3"/>
        <v>3.1193259529063648E-2</v>
      </c>
      <c r="I14">
        <f t="shared" si="1"/>
        <v>1.5405705185553074</v>
      </c>
    </row>
    <row r="15" spans="1:12" x14ac:dyDescent="0.2">
      <c r="A15">
        <v>0.6</v>
      </c>
      <c r="B15">
        <f t="shared" si="2"/>
        <v>6.0902490960558803E-2</v>
      </c>
      <c r="C15">
        <f t="shared" si="0"/>
        <v>0.74613179582998801</v>
      </c>
      <c r="G15">
        <v>0.6</v>
      </c>
      <c r="H15">
        <f t="shared" si="3"/>
        <v>4.659896471461672E-2</v>
      </c>
      <c r="I15">
        <f t="shared" si="1"/>
        <v>1.5888035122416684</v>
      </c>
    </row>
    <row r="16" spans="1:12" x14ac:dyDescent="0.2">
      <c r="A16">
        <v>0.7</v>
      </c>
      <c r="B16">
        <f t="shared" si="2"/>
        <v>6.8363808918858682E-2</v>
      </c>
      <c r="C16">
        <f t="shared" si="0"/>
        <v>0.83043366721405476</v>
      </c>
      <c r="G16">
        <v>0.7</v>
      </c>
      <c r="H16">
        <f t="shared" si="3"/>
        <v>6.2486999837033402E-2</v>
      </c>
      <c r="I16">
        <f t="shared" si="1"/>
        <v>1.6023395455830025</v>
      </c>
    </row>
    <row r="17" spans="1:9" x14ac:dyDescent="0.2">
      <c r="A17">
        <v>0.8</v>
      </c>
      <c r="B17">
        <f t="shared" si="2"/>
        <v>7.6668145590999229E-2</v>
      </c>
      <c r="C17">
        <f t="shared" si="0"/>
        <v>0.92243583534469542</v>
      </c>
      <c r="G17">
        <v>0.8</v>
      </c>
      <c r="H17">
        <f t="shared" si="3"/>
        <v>7.8510395292863425E-2</v>
      </c>
      <c r="I17">
        <f t="shared" si="1"/>
        <v>1.6060314419040709</v>
      </c>
    </row>
    <row r="18" spans="1:9" x14ac:dyDescent="0.2">
      <c r="A18">
        <v>0.9</v>
      </c>
      <c r="B18">
        <f t="shared" si="2"/>
        <v>8.5892503944446183E-2</v>
      </c>
      <c r="C18">
        <f t="shared" si="0"/>
        <v>1.0223773960728919</v>
      </c>
      <c r="G18">
        <v>0.9</v>
      </c>
      <c r="H18">
        <f t="shared" si="3"/>
        <v>9.4570709711904136E-2</v>
      </c>
      <c r="I18">
        <f t="shared" si="1"/>
        <v>1.6070305058690741</v>
      </c>
    </row>
    <row r="19" spans="1:9" x14ac:dyDescent="0.2">
      <c r="A19">
        <v>1</v>
      </c>
      <c r="B19" s="9">
        <f t="shared" si="2"/>
        <v>9.6116277905175102E-2</v>
      </c>
      <c r="C19">
        <f t="shared" si="0"/>
        <v>1.1303761774659666</v>
      </c>
      <c r="G19">
        <v>1</v>
      </c>
      <c r="H19" s="9">
        <f t="shared" si="3"/>
        <v>0.11064101477059488</v>
      </c>
      <c r="I19">
        <f t="shared" si="1"/>
        <v>1.6073002863361245</v>
      </c>
    </row>
    <row r="24" spans="1:9" x14ac:dyDescent="0.2">
      <c r="A24" s="5" t="s">
        <v>9</v>
      </c>
    </row>
    <row r="25" spans="1:9" x14ac:dyDescent="0.2">
      <c r="A25" s="5" t="s">
        <v>12</v>
      </c>
    </row>
    <row r="26" spans="1:9" x14ac:dyDescent="0.2">
      <c r="A26" s="5" t="s">
        <v>10</v>
      </c>
    </row>
    <row r="28" spans="1:9" x14ac:dyDescent="0.2">
      <c r="A28" s="6" t="s">
        <v>8</v>
      </c>
      <c r="B28" s="7" t="s">
        <v>11</v>
      </c>
    </row>
    <row r="29" spans="1:9" x14ac:dyDescent="0.2">
      <c r="A29" s="7">
        <v>0</v>
      </c>
      <c r="B29" s="8">
        <f>(0.94*EXP((13.1*A29))/(30.333+EXP((13.1*A29))))</f>
        <v>3.0000319152331409E-2</v>
      </c>
    </row>
    <row r="30" spans="1:9" x14ac:dyDescent="0.2">
      <c r="A30" s="7">
        <v>0.01</v>
      </c>
      <c r="B30" s="8">
        <f t="shared" ref="B30:B39" si="4">(0.94*EXP((13.1*A30))/(30.333+EXP((13.1*A30))))</f>
        <v>3.4047304400366948E-2</v>
      </c>
    </row>
    <row r="31" spans="1:9" x14ac:dyDescent="0.2">
      <c r="A31" s="7">
        <v>0.02</v>
      </c>
      <c r="B31" s="8">
        <f t="shared" si="4"/>
        <v>3.8617052869460843E-2</v>
      </c>
    </row>
    <row r="32" spans="1:9" x14ac:dyDescent="0.2">
      <c r="A32" s="7">
        <v>0.03</v>
      </c>
      <c r="B32" s="8">
        <f t="shared" si="4"/>
        <v>4.3770508985214451E-2</v>
      </c>
    </row>
    <row r="33" spans="1:2" x14ac:dyDescent="0.2">
      <c r="A33" s="7">
        <v>0.04</v>
      </c>
      <c r="B33" s="8">
        <f t="shared" si="4"/>
        <v>4.9573871724130879E-2</v>
      </c>
    </row>
    <row r="34" spans="1:2" x14ac:dyDescent="0.2">
      <c r="A34" s="7">
        <v>0.05</v>
      </c>
      <c r="B34" s="8">
        <f t="shared" si="4"/>
        <v>5.6098517307963176E-2</v>
      </c>
    </row>
    <row r="35" spans="1:2" x14ac:dyDescent="0.2">
      <c r="A35" s="7">
        <v>0.06</v>
      </c>
      <c r="B35" s="8">
        <f t="shared" si="4"/>
        <v>6.3420737755448417E-2</v>
      </c>
    </row>
    <row r="36" spans="1:2" x14ac:dyDescent="0.2">
      <c r="A36" s="7">
        <v>7.0000000000000007E-2</v>
      </c>
      <c r="B36" s="8">
        <f t="shared" si="4"/>
        <v>7.1621244772618622E-2</v>
      </c>
    </row>
    <row r="37" spans="1:2" x14ac:dyDescent="0.2">
      <c r="A37" s="7">
        <v>0.08</v>
      </c>
      <c r="B37" s="8">
        <f t="shared" si="4"/>
        <v>8.0784383286455694E-2</v>
      </c>
    </row>
    <row r="38" spans="1:2" x14ac:dyDescent="0.2">
      <c r="A38" s="7">
        <v>0.09</v>
      </c>
      <c r="B38" s="8">
        <f t="shared" si="4"/>
        <v>9.0996996067811781E-2</v>
      </c>
    </row>
    <row r="39" spans="1:2" x14ac:dyDescent="0.2">
      <c r="A39" s="7">
        <v>0.1</v>
      </c>
      <c r="B39" s="10">
        <f t="shared" si="4"/>
        <v>0.10234688182891792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85412-1204-7648-A580-226794644913}">
  <sheetPr codeName="Sheet2"/>
  <dimension ref="A3:L21"/>
  <sheetViews>
    <sheetView topLeftCell="A11" workbookViewId="0">
      <selection activeCell="F14" sqref="F14"/>
    </sheetView>
  </sheetViews>
  <sheetFormatPr baseColWidth="10" defaultRowHeight="16" x14ac:dyDescent="0.2"/>
  <sheetData>
    <row r="3" spans="1:12" x14ac:dyDescent="0.2">
      <c r="A3" s="11"/>
      <c r="B3" s="11" t="s">
        <v>0</v>
      </c>
      <c r="C3" s="11"/>
      <c r="D3" s="11"/>
      <c r="I3" s="11"/>
      <c r="J3" s="11" t="s">
        <v>0</v>
      </c>
      <c r="K3" s="11"/>
      <c r="L3" s="11"/>
    </row>
    <row r="4" spans="1:12" x14ac:dyDescent="0.2">
      <c r="A4" s="11" t="s">
        <v>1</v>
      </c>
      <c r="B4" s="11" t="s">
        <v>5</v>
      </c>
      <c r="C4" s="11"/>
      <c r="D4" s="11"/>
      <c r="I4" s="11" t="s">
        <v>1</v>
      </c>
      <c r="J4" s="11" t="s">
        <v>35</v>
      </c>
      <c r="K4" s="11"/>
      <c r="L4" s="11"/>
    </row>
    <row r="6" spans="1:12" x14ac:dyDescent="0.2">
      <c r="I6" t="s">
        <v>17</v>
      </c>
    </row>
    <row r="8" spans="1:12" x14ac:dyDescent="0.2">
      <c r="A8" t="s">
        <v>4</v>
      </c>
      <c r="B8" t="s">
        <v>32</v>
      </c>
      <c r="I8" t="s">
        <v>4</v>
      </c>
      <c r="J8" t="s">
        <v>34</v>
      </c>
    </row>
    <row r="9" spans="1:12" x14ac:dyDescent="0.2">
      <c r="A9" s="12"/>
      <c r="B9" s="11" t="s">
        <v>27</v>
      </c>
      <c r="C9" s="11">
        <v>0.1</v>
      </c>
      <c r="I9" s="12"/>
      <c r="J9" s="11" t="s">
        <v>27</v>
      </c>
      <c r="K9" s="11">
        <v>0.1</v>
      </c>
    </row>
    <row r="10" spans="1:12" x14ac:dyDescent="0.2">
      <c r="A10" s="13" t="s">
        <v>8</v>
      </c>
      <c r="B10" s="14" t="s">
        <v>28</v>
      </c>
      <c r="C10" s="13" t="s">
        <v>29</v>
      </c>
      <c r="D10" s="15" t="s">
        <v>33</v>
      </c>
      <c r="I10" s="13" t="s">
        <v>8</v>
      </c>
      <c r="J10" s="14" t="s">
        <v>28</v>
      </c>
      <c r="K10" s="13" t="s">
        <v>29</v>
      </c>
      <c r="L10" s="15" t="s">
        <v>36</v>
      </c>
    </row>
    <row r="11" spans="1:12" x14ac:dyDescent="0.2">
      <c r="A11" s="16">
        <v>0</v>
      </c>
      <c r="B11" s="17">
        <f>$C$9*((13.1*D11)-(13.1/0.94)*(D11)^2)</f>
        <v>3.8045744680851062E-2</v>
      </c>
      <c r="C11" s="17">
        <f>$C$9*((13.1*(D11+B11))-(13.1/0.94)*(D11+B11)^2)</f>
        <v>8.2687167432324724E-2</v>
      </c>
      <c r="D11" s="17">
        <v>0.03</v>
      </c>
      <c r="I11" s="16">
        <v>0</v>
      </c>
      <c r="J11" s="17">
        <f>$K$9*(1.71*(0.94*EXP(13.1*I11))/(30.333+EXP(13.1*I11)))</f>
        <v>5.1300545750486712E-3</v>
      </c>
      <c r="K11" s="17">
        <f>$K$9*(1.71*(0.94*EXP(13.1*I11))/(30.333+EXP(13.1*I11)))</f>
        <v>5.1300545750486712E-3</v>
      </c>
      <c r="L11" s="17">
        <v>0</v>
      </c>
    </row>
    <row r="12" spans="1:12" x14ac:dyDescent="0.2">
      <c r="A12" s="16">
        <v>0.1</v>
      </c>
      <c r="B12" s="17">
        <f t="shared" ref="B12:B21" si="0">$C$9*((13.1*D12)-(13.1/0.94)*(D12)^2)</f>
        <v>0.10699964652126029</v>
      </c>
      <c r="C12" s="17">
        <f t="shared" ref="C12:C21" si="1">$C$9*((13.1*(D12+B12))-(13.1/0.94)*(D12+B12)^2)</f>
        <v>0.20426350313733402</v>
      </c>
      <c r="D12" s="17">
        <f>D11+(1/2)*(B11+C11)</f>
        <v>9.0366456056587885E-2</v>
      </c>
      <c r="I12" s="16">
        <v>0.1</v>
      </c>
      <c r="J12" s="17">
        <f t="shared" ref="J12:J21" si="2">$K$9*(1.71*(0.94*EXP(13.1*I12))/(30.333+EXP(13.1*I12)))</f>
        <v>1.7501316792744966E-2</v>
      </c>
      <c r="K12" s="17">
        <f t="shared" ref="K12:K21" si="3">$K$9*(1.71*(0.94*EXP(13.1*I12))/(30.333+EXP(13.1*I12)))</f>
        <v>1.7501316792744966E-2</v>
      </c>
      <c r="L12" s="17">
        <f>L11+(1/2)*(J11+K11)</f>
        <v>5.1300545750486712E-3</v>
      </c>
    </row>
    <row r="13" spans="1:12" x14ac:dyDescent="0.2">
      <c r="A13" s="16">
        <v>0.2</v>
      </c>
      <c r="B13" s="17">
        <f t="shared" si="0"/>
        <v>0.23792264293747745</v>
      </c>
      <c r="C13" s="17">
        <f t="shared" si="1"/>
        <v>0.3075799377029762</v>
      </c>
      <c r="D13" s="17">
        <f t="shared" ref="D13:D21" si="4">D12+(1/2)*(B12+C12)</f>
        <v>0.24599803088588504</v>
      </c>
      <c r="I13" s="16">
        <v>0.2</v>
      </c>
      <c r="J13" s="17">
        <f t="shared" si="2"/>
        <v>5.010084317062076E-2</v>
      </c>
      <c r="K13" s="17">
        <f t="shared" si="3"/>
        <v>5.010084317062076E-2</v>
      </c>
      <c r="L13" s="17">
        <f t="shared" ref="L13:L21" si="5">L12+(1/2)*(J12+K12)</f>
        <v>2.2631371367793637E-2</v>
      </c>
    </row>
    <row r="14" spans="1:12" x14ac:dyDescent="0.2">
      <c r="A14" s="16">
        <v>0.3</v>
      </c>
      <c r="B14" s="17">
        <f t="shared" si="0"/>
        <v>0.30453807428015506</v>
      </c>
      <c r="C14" s="17">
        <f t="shared" si="1"/>
        <v>0.13390989490382382</v>
      </c>
      <c r="D14" s="17">
        <f t="shared" si="4"/>
        <v>0.51874932120611184</v>
      </c>
      <c r="I14" s="16">
        <v>0.3</v>
      </c>
      <c r="J14" s="17">
        <f t="shared" si="2"/>
        <v>0.10072365632431216</v>
      </c>
      <c r="K14" s="17">
        <f t="shared" si="3"/>
        <v>0.10072365632431216</v>
      </c>
      <c r="L14" s="17">
        <f t="shared" si="5"/>
        <v>7.27322145384144E-2</v>
      </c>
    </row>
    <row r="15" spans="1:12" x14ac:dyDescent="0.2">
      <c r="A15" s="16">
        <v>0.4</v>
      </c>
      <c r="B15" s="17">
        <f t="shared" si="0"/>
        <v>0.20777479007162222</v>
      </c>
      <c r="C15" s="17">
        <f t="shared" si="1"/>
        <v>-7.5760515404304845E-3</v>
      </c>
      <c r="D15" s="17">
        <f t="shared" si="4"/>
        <v>0.73797330579810128</v>
      </c>
      <c r="I15" s="16">
        <v>0.4</v>
      </c>
      <c r="J15" s="17">
        <f t="shared" si="2"/>
        <v>0.13847672442790995</v>
      </c>
      <c r="K15" s="17">
        <f t="shared" si="3"/>
        <v>0.13847672442790995</v>
      </c>
      <c r="L15" s="17">
        <f t="shared" si="5"/>
        <v>0.17345587086272657</v>
      </c>
    </row>
    <row r="16" spans="1:12" x14ac:dyDescent="0.2">
      <c r="A16" s="16">
        <v>0.5</v>
      </c>
      <c r="B16" s="17">
        <f t="shared" si="0"/>
        <v>0.11904625818255817</v>
      </c>
      <c r="C16" s="17">
        <f t="shared" si="1"/>
        <v>-2.2834212996096073E-2</v>
      </c>
      <c r="D16" s="17">
        <f t="shared" si="4"/>
        <v>0.83807267506369709</v>
      </c>
      <c r="I16" s="16">
        <v>0.5</v>
      </c>
      <c r="J16" s="17">
        <f t="shared" si="2"/>
        <v>0.15405705185553076</v>
      </c>
      <c r="K16" s="17">
        <f t="shared" si="3"/>
        <v>0.15405705185553076</v>
      </c>
      <c r="L16" s="17">
        <f t="shared" si="5"/>
        <v>0.31193259529063655</v>
      </c>
    </row>
    <row r="17" spans="1:12" x14ac:dyDescent="0.2">
      <c r="A17" s="16">
        <v>0.6</v>
      </c>
      <c r="B17" s="17">
        <f t="shared" si="0"/>
        <v>6.6468970231621155E-2</v>
      </c>
      <c r="C17" s="17">
        <f t="shared" si="1"/>
        <v>-1.6791372794589955E-2</v>
      </c>
      <c r="D17" s="17">
        <f t="shared" si="4"/>
        <v>0.88617869765692814</v>
      </c>
      <c r="I17" s="16">
        <v>0.6</v>
      </c>
      <c r="J17" s="17">
        <f t="shared" si="2"/>
        <v>0.15888035122416683</v>
      </c>
      <c r="K17" s="17">
        <f t="shared" si="3"/>
        <v>0.15888035122416683</v>
      </c>
      <c r="L17" s="17">
        <f t="shared" si="5"/>
        <v>0.46598964714616731</v>
      </c>
    </row>
    <row r="18" spans="1:12" x14ac:dyDescent="0.2">
      <c r="A18" s="16">
        <v>0.7</v>
      </c>
      <c r="B18" s="17">
        <f t="shared" si="0"/>
        <v>3.6796461634961197E-2</v>
      </c>
      <c r="C18" s="17">
        <f t="shared" si="1"/>
        <v>-1.032137637780366E-2</v>
      </c>
      <c r="D18" s="17">
        <f t="shared" si="4"/>
        <v>0.91101749637544371</v>
      </c>
      <c r="I18" s="16">
        <v>0.7</v>
      </c>
      <c r="J18" s="17">
        <f t="shared" si="2"/>
        <v>0.16023395455830025</v>
      </c>
      <c r="K18" s="17">
        <f t="shared" si="3"/>
        <v>0.16023395455830025</v>
      </c>
      <c r="L18" s="17">
        <f t="shared" si="5"/>
        <v>0.62486999837033408</v>
      </c>
    </row>
    <row r="19" spans="1:12" x14ac:dyDescent="0.2">
      <c r="A19" s="16">
        <v>0.8</v>
      </c>
      <c r="B19" s="17">
        <f t="shared" si="0"/>
        <v>2.0280415953919651E-2</v>
      </c>
      <c r="C19" s="17">
        <f t="shared" si="1"/>
        <v>-5.9701131871330304E-3</v>
      </c>
      <c r="D19" s="17">
        <f t="shared" si="4"/>
        <v>0.92425503900402251</v>
      </c>
      <c r="I19" s="16">
        <v>0.8</v>
      </c>
      <c r="J19" s="17">
        <f t="shared" si="2"/>
        <v>0.16060314419040711</v>
      </c>
      <c r="K19" s="17">
        <f t="shared" si="3"/>
        <v>0.16060314419040711</v>
      </c>
      <c r="L19" s="17">
        <f t="shared" si="5"/>
        <v>0.78510395292863433</v>
      </c>
    </row>
    <row r="20" spans="1:12" x14ac:dyDescent="0.2">
      <c r="A20" s="16">
        <v>0.9</v>
      </c>
      <c r="B20" s="17">
        <f t="shared" si="0"/>
        <v>1.114982279862744E-2</v>
      </c>
      <c r="C20" s="17">
        <f t="shared" si="1"/>
        <v>-3.3627505763142553E-3</v>
      </c>
      <c r="D20" s="17">
        <f t="shared" si="4"/>
        <v>0.93141019038741579</v>
      </c>
      <c r="I20" s="16">
        <v>0.9</v>
      </c>
      <c r="J20" s="17">
        <f t="shared" si="2"/>
        <v>0.16070305058690745</v>
      </c>
      <c r="K20" s="17">
        <f t="shared" si="3"/>
        <v>0.16070305058690745</v>
      </c>
      <c r="L20" s="17">
        <f t="shared" si="5"/>
        <v>0.94570709711904144</v>
      </c>
    </row>
    <row r="21" spans="1:12" x14ac:dyDescent="0.2">
      <c r="A21" s="16">
        <v>1</v>
      </c>
      <c r="B21" s="17">
        <f t="shared" si="0"/>
        <v>6.1213820846482752E-3</v>
      </c>
      <c r="C21" s="17">
        <f t="shared" si="1"/>
        <v>-1.86972258887117E-3</v>
      </c>
      <c r="D21" s="10">
        <f t="shared" si="4"/>
        <v>0.93530372649857241</v>
      </c>
      <c r="I21" s="16">
        <v>1</v>
      </c>
      <c r="J21" s="17">
        <f t="shared" si="2"/>
        <v>0.16073002863361244</v>
      </c>
      <c r="K21" s="17">
        <f t="shared" si="3"/>
        <v>0.16073002863361244</v>
      </c>
      <c r="L21" s="10">
        <f t="shared" si="5"/>
        <v>1.1064101477059489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F0C3D-BB73-4747-A31A-68915DA01070}">
  <sheetPr codeName="Sheet3"/>
  <dimension ref="A1:F103"/>
  <sheetViews>
    <sheetView topLeftCell="A77" workbookViewId="0">
      <selection activeCell="M96" sqref="M96"/>
    </sheetView>
  </sheetViews>
  <sheetFormatPr baseColWidth="10" defaultRowHeight="16" x14ac:dyDescent="0.2"/>
  <cols>
    <col min="1" max="1" width="16" customWidth="1"/>
    <col min="2" max="5" width="14" customWidth="1"/>
  </cols>
  <sheetData>
    <row r="1" spans="1:6" x14ac:dyDescent="0.2">
      <c r="A1">
        <v>2</v>
      </c>
      <c r="B1" t="s">
        <v>37</v>
      </c>
      <c r="C1">
        <v>0.01</v>
      </c>
      <c r="D1" t="s">
        <v>38</v>
      </c>
      <c r="E1">
        <v>1</v>
      </c>
      <c r="F1" t="s">
        <v>39</v>
      </c>
    </row>
    <row r="2" spans="1:6" x14ac:dyDescent="0.2">
      <c r="A2" t="s">
        <v>40</v>
      </c>
      <c r="B2" t="s">
        <v>13</v>
      </c>
      <c r="C2" t="s">
        <v>15</v>
      </c>
    </row>
    <row r="3" spans="1:6" x14ac:dyDescent="0.2">
      <c r="A3">
        <v>0</v>
      </c>
      <c r="B3">
        <v>0.03</v>
      </c>
      <c r="C3">
        <v>0</v>
      </c>
      <c r="D3" t="s">
        <v>41</v>
      </c>
    </row>
    <row r="4" spans="1:6" x14ac:dyDescent="0.2">
      <c r="A4">
        <v>0.01</v>
      </c>
      <c r="B4">
        <v>3.3804574468085102E-2</v>
      </c>
      <c r="C4">
        <v>5.13E-4</v>
      </c>
    </row>
    <row r="5" spans="1:6" x14ac:dyDescent="0.2">
      <c r="A5">
        <v>0.02</v>
      </c>
      <c r="B5">
        <v>3.8073718242126749E-2</v>
      </c>
      <c r="C5">
        <v>1.0910582234042552E-3</v>
      </c>
    </row>
    <row r="6" spans="1:6" x14ac:dyDescent="0.2">
      <c r="A6">
        <v>0.03</v>
      </c>
      <c r="B6">
        <v>4.2859355490651424E-2</v>
      </c>
      <c r="C6">
        <v>1.7421188053446226E-3</v>
      </c>
    </row>
    <row r="7" spans="1:6" x14ac:dyDescent="0.2">
      <c r="A7">
        <v>0.04</v>
      </c>
      <c r="B7">
        <v>4.8217934155402611E-2</v>
      </c>
      <c r="C7">
        <v>2.4750137842347616E-3</v>
      </c>
    </row>
    <row r="8" spans="1:6" x14ac:dyDescent="0.2">
      <c r="A8">
        <v>0.05</v>
      </c>
      <c r="B8">
        <v>5.4210471868247449E-2</v>
      </c>
      <c r="C8">
        <v>3.2995404582921461E-3</v>
      </c>
    </row>
    <row r="9" spans="1:6" x14ac:dyDescent="0.2">
      <c r="A9">
        <v>6.0000000000000005E-2</v>
      </c>
      <c r="B9">
        <v>6.0902490960558796E-2</v>
      </c>
      <c r="C9">
        <v>4.2265395272391773E-3</v>
      </c>
    </row>
    <row r="10" spans="1:6" x14ac:dyDescent="0.2">
      <c r="A10">
        <v>7.0000000000000007E-2</v>
      </c>
      <c r="B10">
        <v>6.8363808918858682E-2</v>
      </c>
      <c r="C10">
        <v>5.2679721226647326E-3</v>
      </c>
    </row>
    <row r="11" spans="1:6" x14ac:dyDescent="0.2">
      <c r="A11">
        <v>0.08</v>
      </c>
      <c r="B11">
        <v>7.6668145590999229E-2</v>
      </c>
      <c r="C11">
        <v>6.4369932551772164E-3</v>
      </c>
    </row>
    <row r="12" spans="1:6" x14ac:dyDescent="0.2">
      <c r="A12">
        <v>0.09</v>
      </c>
      <c r="B12">
        <v>8.5892503944446183E-2</v>
      </c>
      <c r="C12">
        <v>7.7480185447833033E-3</v>
      </c>
    </row>
    <row r="13" spans="1:6" x14ac:dyDescent="0.2">
      <c r="A13">
        <v>9.9999999999999992E-2</v>
      </c>
      <c r="B13">
        <v>9.6116277905175102E-2</v>
      </c>
      <c r="C13">
        <v>9.2167803622333327E-3</v>
      </c>
    </row>
    <row r="14" spans="1:6" x14ac:dyDescent="0.2">
      <c r="A14">
        <v>0.10999999999999999</v>
      </c>
      <c r="B14">
        <v>0.10742003967983477</v>
      </c>
      <c r="C14">
        <v>1.0860368714411827E-2</v>
      </c>
    </row>
    <row r="15" spans="1:6" x14ac:dyDescent="0.2">
      <c r="A15">
        <v>0.11999999999999998</v>
      </c>
      <c r="B15">
        <v>0.11988396114900901</v>
      </c>
      <c r="C15">
        <v>1.2697251392937002E-2</v>
      </c>
    </row>
    <row r="16" spans="1:6" x14ac:dyDescent="0.2">
      <c r="A16">
        <v>0.12999999999999998</v>
      </c>
      <c r="B16">
        <v>0.13358583080161238</v>
      </c>
      <c r="C16">
        <v>1.4747267128585055E-2</v>
      </c>
    </row>
    <row r="17" spans="1:3" x14ac:dyDescent="0.2">
      <c r="A17">
        <v>0.13999999999999999</v>
      </c>
      <c r="B17">
        <v>0.14859864078660726</v>
      </c>
      <c r="C17">
        <v>1.7031584835292626E-2</v>
      </c>
    </row>
    <row r="18" spans="1:3" x14ac:dyDescent="0.2">
      <c r="A18">
        <v>0.15</v>
      </c>
      <c r="B18">
        <v>0.16498773949378562</v>
      </c>
      <c r="C18">
        <v>1.957262159274361E-2</v>
      </c>
    </row>
    <row r="19" spans="1:3" x14ac:dyDescent="0.2">
      <c r="A19">
        <v>0.16</v>
      </c>
      <c r="B19">
        <v>0.18280757485895208</v>
      </c>
      <c r="C19">
        <v>2.2393911938087343E-2</v>
      </c>
    </row>
    <row r="20" spans="1:3" x14ac:dyDescent="0.2">
      <c r="A20">
        <v>0.17</v>
      </c>
      <c r="B20">
        <v>0.20209809287315428</v>
      </c>
      <c r="C20">
        <v>2.5519921468175423E-2</v>
      </c>
    </row>
    <row r="21" spans="1:3" x14ac:dyDescent="0.2">
      <c r="A21">
        <v>0.18000000000000002</v>
      </c>
      <c r="B21">
        <v>0.22288090396748583</v>
      </c>
      <c r="C21">
        <v>2.897579885630636E-2</v>
      </c>
    </row>
    <row r="22" spans="1:3" x14ac:dyDescent="0.2">
      <c r="A22">
        <v>0.19000000000000003</v>
      </c>
      <c r="B22">
        <v>0.24515538477734281</v>
      </c>
      <c r="C22">
        <v>3.2787062314150364E-2</v>
      </c>
    </row>
    <row r="23" spans="1:3" x14ac:dyDescent="0.2">
      <c r="A23">
        <v>0.20000000000000004</v>
      </c>
      <c r="B23">
        <v>0.26889493985149615</v>
      </c>
      <c r="C23">
        <v>3.6979219393842924E-2</v>
      </c>
    </row>
    <row r="24" spans="1:3" x14ac:dyDescent="0.2">
      <c r="A24">
        <v>0.21000000000000005</v>
      </c>
      <c r="B24">
        <v>0.29404370035844224</v>
      </c>
      <c r="C24">
        <v>4.1577322865303509E-2</v>
      </c>
    </row>
    <row r="25" spans="1:3" x14ac:dyDescent="0.2">
      <c r="A25">
        <v>0.22000000000000006</v>
      </c>
      <c r="B25">
        <v>0.32051397574222412</v>
      </c>
      <c r="C25">
        <v>4.6605470141432868E-2</v>
      </c>
    </row>
    <row r="26" spans="1:3" x14ac:dyDescent="0.2">
      <c r="A26">
        <v>0.23000000000000007</v>
      </c>
      <c r="B26">
        <v>0.34818478918930929</v>
      </c>
      <c r="C26">
        <v>5.2086259126624901E-2</v>
      </c>
    </row>
    <row r="27" spans="1:3" x14ac:dyDescent="0.2">
      <c r="A27">
        <v>0.24000000000000007</v>
      </c>
      <c r="B27">
        <v>0.37690180847482446</v>
      </c>
      <c r="C27">
        <v>5.8040219021762089E-2</v>
      </c>
    </row>
    <row r="28" spans="1:3" x14ac:dyDescent="0.2">
      <c r="A28">
        <v>0.25000000000000006</v>
      </c>
      <c r="B28">
        <v>0.40647892251977252</v>
      </c>
      <c r="C28">
        <v>6.4485239946681594E-2</v>
      </c>
    </row>
    <row r="29" spans="1:3" x14ac:dyDescent="0.2">
      <c r="A29">
        <v>0.26000000000000006</v>
      </c>
      <c r="B29">
        <v>0.43670160818547826</v>
      </c>
      <c r="C29">
        <v>7.1436029521769709E-2</v>
      </c>
    </row>
    <row r="30" spans="1:3" x14ac:dyDescent="0.2">
      <c r="A30">
        <v>0.27000000000000007</v>
      </c>
      <c r="B30">
        <v>0.4673320863136019</v>
      </c>
      <c r="C30">
        <v>7.890362702174139E-2</v>
      </c>
    </row>
    <row r="31" spans="1:3" x14ac:dyDescent="0.2">
      <c r="A31">
        <v>0.28000000000000008</v>
      </c>
      <c r="B31">
        <v>0.49811609436997384</v>
      </c>
      <c r="C31">
        <v>8.6895005697703989E-2</v>
      </c>
    </row>
    <row r="32" spans="1:3" x14ac:dyDescent="0.2">
      <c r="A32">
        <v>0.29000000000000009</v>
      </c>
      <c r="B32">
        <v>0.52879092688709795</v>
      </c>
      <c r="C32">
        <v>9.5412790911430539E-2</v>
      </c>
    </row>
    <row r="33" spans="1:3" x14ac:dyDescent="0.2">
      <c r="A33">
        <v>0.3000000000000001</v>
      </c>
      <c r="B33">
        <v>0.55909424085088943</v>
      </c>
      <c r="C33">
        <v>0.10445511576119991</v>
      </c>
    </row>
    <row r="34" spans="1:3" x14ac:dyDescent="0.2">
      <c r="A34">
        <v>0.31000000000000011</v>
      </c>
      <c r="B34">
        <v>0.58877301779597846</v>
      </c>
      <c r="C34">
        <v>0.11401562727975012</v>
      </c>
    </row>
    <row r="35" spans="1:3" x14ac:dyDescent="0.2">
      <c r="A35">
        <v>0.32000000000000012</v>
      </c>
      <c r="B35">
        <v>0.61759203811716601</v>
      </c>
      <c r="C35">
        <v>0.12408364588406134</v>
      </c>
    </row>
    <row r="36" spans="1:3" x14ac:dyDescent="0.2">
      <c r="A36">
        <v>0.33000000000000013</v>
      </c>
      <c r="B36">
        <v>0.64534126506105871</v>
      </c>
      <c r="C36">
        <v>0.13464446973586489</v>
      </c>
    </row>
    <row r="37" spans="1:3" x14ac:dyDescent="0.2">
      <c r="A37">
        <v>0.34000000000000014</v>
      </c>
      <c r="B37">
        <v>0.67184165095515358</v>
      </c>
      <c r="C37">
        <v>0.14567980536840899</v>
      </c>
    </row>
    <row r="38" spans="1:3" x14ac:dyDescent="0.2">
      <c r="A38">
        <v>0.35000000000000014</v>
      </c>
      <c r="B38">
        <v>0.69694904795526047</v>
      </c>
      <c r="C38">
        <v>0.15716829759974213</v>
      </c>
    </row>
    <row r="39" spans="1:3" x14ac:dyDescent="0.2">
      <c r="A39">
        <v>0.36000000000000015</v>
      </c>
      <c r="B39">
        <v>0.72055610219123734</v>
      </c>
      <c r="C39">
        <v>0.16908612631977707</v>
      </c>
    </row>
    <row r="40" spans="1:3" x14ac:dyDescent="0.2">
      <c r="A40">
        <v>0.37000000000000016</v>
      </c>
      <c r="B40">
        <v>0.74259220303673756</v>
      </c>
      <c r="C40">
        <v>0.18140763566724724</v>
      </c>
    </row>
    <row r="41" spans="1:3" x14ac:dyDescent="0.2">
      <c r="A41">
        <v>0.38000000000000017</v>
      </c>
      <c r="B41">
        <v>0.76302172144153402</v>
      </c>
      <c r="C41">
        <v>0.19410596233917546</v>
      </c>
    </row>
    <row r="42" spans="1:3" x14ac:dyDescent="0.2">
      <c r="A42">
        <v>0.39000000000000018</v>
      </c>
      <c r="B42">
        <v>0.78184088470750279</v>
      </c>
      <c r="C42">
        <v>0.20715363377582569</v>
      </c>
    </row>
    <row r="43" spans="1:3" x14ac:dyDescent="0.2">
      <c r="A43">
        <v>0.40000000000000019</v>
      </c>
      <c r="B43">
        <v>0.79907369258394356</v>
      </c>
      <c r="C43">
        <v>0.22052311290432397</v>
      </c>
    </row>
    <row r="44" spans="1:3" x14ac:dyDescent="0.2">
      <c r="A44">
        <v>0.4100000000000002</v>
      </c>
      <c r="B44">
        <v>0.8147672842171787</v>
      </c>
      <c r="C44">
        <v>0.23418727304750941</v>
      </c>
    </row>
    <row r="45" spans="1:3" x14ac:dyDescent="0.2">
      <c r="A45">
        <v>0.42000000000000021</v>
      </c>
      <c r="B45">
        <v>0.82898712792472118</v>
      </c>
      <c r="C45">
        <v>0.24811979360762318</v>
      </c>
    </row>
    <row r="46" spans="1:3" x14ac:dyDescent="0.2">
      <c r="A46">
        <v>0.43000000000000022</v>
      </c>
      <c r="B46">
        <v>0.84181234037147767</v>
      </c>
      <c r="C46">
        <v>0.26229547349513593</v>
      </c>
    </row>
    <row r="47" spans="1:3" x14ac:dyDescent="0.2">
      <c r="A47">
        <v>0.44000000000000022</v>
      </c>
      <c r="B47">
        <v>0.85333136318501002</v>
      </c>
      <c r="C47">
        <v>0.27669046451548818</v>
      </c>
    </row>
    <row r="48" spans="1:3" x14ac:dyDescent="0.2">
      <c r="A48">
        <v>0.45000000000000023</v>
      </c>
      <c r="B48">
        <v>0.86363814578695952</v>
      </c>
      <c r="C48">
        <v>0.29128243082595184</v>
      </c>
    </row>
    <row r="49" spans="1:3" x14ac:dyDescent="0.2">
      <c r="A49">
        <v>0.46000000000000024</v>
      </c>
      <c r="B49">
        <v>0.87282891209947433</v>
      </c>
      <c r="C49">
        <v>0.30605064311890884</v>
      </c>
    </row>
    <row r="50" spans="1:3" x14ac:dyDescent="0.2">
      <c r="A50">
        <v>0.47000000000000025</v>
      </c>
      <c r="B50">
        <v>0.88099953087878791</v>
      </c>
      <c r="C50">
        <v>0.32097601751580984</v>
      </c>
    </row>
    <row r="51" spans="1:3" x14ac:dyDescent="0.2">
      <c r="A51">
        <v>0.48000000000000026</v>
      </c>
      <c r="B51">
        <v>0.88824346653398101</v>
      </c>
      <c r="C51">
        <v>0.33604110949383709</v>
      </c>
    </row>
    <row r="52" spans="1:3" x14ac:dyDescent="0.2">
      <c r="A52">
        <v>0.49000000000000027</v>
      </c>
      <c r="B52">
        <v>0.89465025882537963</v>
      </c>
      <c r="C52">
        <v>0.35123007277156815</v>
      </c>
    </row>
    <row r="53" spans="1:3" x14ac:dyDescent="0.2">
      <c r="A53">
        <v>0.50000000000000022</v>
      </c>
      <c r="B53">
        <v>0.90030446377859186</v>
      </c>
      <c r="C53">
        <v>0.36652859219748213</v>
      </c>
    </row>
    <row r="54" spans="1:3" x14ac:dyDescent="0.2">
      <c r="A54">
        <v>0.51000000000000023</v>
      </c>
      <c r="B54">
        <v>0.90528498182884787</v>
      </c>
      <c r="C54">
        <v>0.38192379852809605</v>
      </c>
    </row>
    <row r="55" spans="1:3" x14ac:dyDescent="0.2">
      <c r="A55">
        <v>0.52000000000000024</v>
      </c>
      <c r="B55">
        <v>0.9096646998946436</v>
      </c>
      <c r="C55">
        <v>0.39740417171736936</v>
      </c>
    </row>
    <row r="56" spans="1:3" x14ac:dyDescent="0.2">
      <c r="A56">
        <v>0.53000000000000025</v>
      </c>
      <c r="B56">
        <v>0.9135103793290249</v>
      </c>
      <c r="C56">
        <v>0.41295943808556779</v>
      </c>
    </row>
    <row r="57" spans="1:3" x14ac:dyDescent="0.2">
      <c r="A57">
        <v>0.54000000000000026</v>
      </c>
      <c r="B57">
        <v>0.91688272953008088</v>
      </c>
      <c r="C57">
        <v>0.42858046557209412</v>
      </c>
    </row>
    <row r="58" spans="1:3" x14ac:dyDescent="0.2">
      <c r="A58">
        <v>0.55000000000000027</v>
      </c>
      <c r="B58">
        <v>0.91983661592609633</v>
      </c>
      <c r="C58">
        <v>0.44425916024705847</v>
      </c>
    </row>
    <row r="59" spans="1:3" x14ac:dyDescent="0.2">
      <c r="A59">
        <v>0.56000000000000028</v>
      </c>
      <c r="B59">
        <v>0.92242136005945019</v>
      </c>
      <c r="C59">
        <v>0.45998836637939472</v>
      </c>
    </row>
    <row r="60" spans="1:3" x14ac:dyDescent="0.2">
      <c r="A60">
        <v>0.57000000000000028</v>
      </c>
      <c r="B60">
        <v>0.92468109792968045</v>
      </c>
      <c r="C60">
        <v>0.47576177163641131</v>
      </c>
    </row>
    <row r="61" spans="1:3" x14ac:dyDescent="0.2">
      <c r="A61">
        <v>0.58000000000000029</v>
      </c>
      <c r="B61">
        <v>0.92665517026297328</v>
      </c>
      <c r="C61">
        <v>0.49157381841100883</v>
      </c>
    </row>
    <row r="62" spans="1:3" x14ac:dyDescent="0.2">
      <c r="A62">
        <v>0.5900000000000003</v>
      </c>
      <c r="B62">
        <v>0.92837852480216942</v>
      </c>
      <c r="C62">
        <v>0.50741962182250566</v>
      </c>
    </row>
    <row r="63" spans="1:3" x14ac:dyDescent="0.2">
      <c r="A63">
        <v>0.60000000000000031</v>
      </c>
      <c r="B63">
        <v>0.92988211604474869</v>
      </c>
      <c r="C63">
        <v>0.52329489459662271</v>
      </c>
    </row>
    <row r="64" spans="1:3" x14ac:dyDescent="0.2">
      <c r="A64">
        <v>0.61000000000000032</v>
      </c>
      <c r="B64">
        <v>0.93119329216584312</v>
      </c>
      <c r="C64">
        <v>0.53919587878098796</v>
      </c>
    </row>
    <row r="65" spans="1:3" x14ac:dyDescent="0.2">
      <c r="A65">
        <v>0.62000000000000033</v>
      </c>
      <c r="B65">
        <v>0.93233616226288707</v>
      </c>
      <c r="C65">
        <v>0.55511928407702382</v>
      </c>
    </row>
    <row r="66" spans="1:3" x14ac:dyDescent="0.2">
      <c r="A66">
        <v>0.63000000000000034</v>
      </c>
      <c r="B66">
        <v>0.93333193967925654</v>
      </c>
      <c r="C66">
        <v>0.57106223245171917</v>
      </c>
    </row>
    <row r="67" spans="1:3" x14ac:dyDescent="0.2">
      <c r="A67">
        <v>0.64000000000000035</v>
      </c>
      <c r="B67">
        <v>0.93419925913794866</v>
      </c>
      <c r="C67">
        <v>0.58702220862023446</v>
      </c>
    </row>
    <row r="68" spans="1:3" x14ac:dyDescent="0.2">
      <c r="A68">
        <v>0.65000000000000036</v>
      </c>
      <c r="B68">
        <v>0.9349544668654669</v>
      </c>
      <c r="C68">
        <v>0.60299701595149335</v>
      </c>
    </row>
    <row r="69" spans="1:3" x14ac:dyDescent="0.2">
      <c r="A69">
        <v>0.66000000000000036</v>
      </c>
      <c r="B69">
        <v>0.93561188391885231</v>
      </c>
      <c r="C69">
        <v>0.61898473733489279</v>
      </c>
    </row>
    <row r="70" spans="1:3" x14ac:dyDescent="0.2">
      <c r="A70">
        <v>0.67000000000000037</v>
      </c>
      <c r="B70">
        <v>0.93618404363748353</v>
      </c>
      <c r="C70">
        <v>0.63498370054990516</v>
      </c>
    </row>
    <row r="71" spans="1:3" x14ac:dyDescent="0.2">
      <c r="A71">
        <v>0.68000000000000038</v>
      </c>
      <c r="B71">
        <v>0.93668190460234779</v>
      </c>
      <c r="C71">
        <v>0.65099244769610609</v>
      </c>
    </row>
    <row r="72" spans="1:3" x14ac:dyDescent="0.2">
      <c r="A72">
        <v>0.69000000000000039</v>
      </c>
      <c r="B72">
        <v>0.9371150407609552</v>
      </c>
      <c r="C72">
        <v>0.66700970826480621</v>
      </c>
    </row>
    <row r="73" spans="1:3" x14ac:dyDescent="0.2">
      <c r="A73">
        <v>0.7000000000000004</v>
      </c>
      <c r="B73">
        <v>0.93749181051524322</v>
      </c>
      <c r="C73">
        <v>0.68303437546181855</v>
      </c>
    </row>
    <row r="74" spans="1:3" x14ac:dyDescent="0.2">
      <c r="A74">
        <v>0.71000000000000041</v>
      </c>
      <c r="B74">
        <v>0.93781950661125868</v>
      </c>
      <c r="C74">
        <v>0.69906548542162916</v>
      </c>
    </row>
    <row r="75" spans="1:3" x14ac:dyDescent="0.2">
      <c r="A75">
        <v>0.72000000000000042</v>
      </c>
      <c r="B75">
        <v>0.93810448864280527</v>
      </c>
      <c r="C75">
        <v>0.71510219898468164</v>
      </c>
    </row>
    <row r="76" spans="1:3" x14ac:dyDescent="0.2">
      <c r="A76">
        <v>0.73000000000000043</v>
      </c>
      <c r="B76">
        <v>0.93835229990911584</v>
      </c>
      <c r="C76">
        <v>0.73114378574047356</v>
      </c>
    </row>
    <row r="77" spans="1:3" x14ac:dyDescent="0.2">
      <c r="A77">
        <v>0.74000000000000044</v>
      </c>
      <c r="B77">
        <v>0.93856777026576399</v>
      </c>
      <c r="C77">
        <v>0.74718961006891949</v>
      </c>
    </row>
    <row r="78" spans="1:3" x14ac:dyDescent="0.2">
      <c r="A78">
        <v>0.75000000000000044</v>
      </c>
      <c r="B78">
        <v>0.93875510649079619</v>
      </c>
      <c r="C78">
        <v>0.76323911894046403</v>
      </c>
    </row>
    <row r="79" spans="1:3" x14ac:dyDescent="0.2">
      <c r="A79">
        <v>0.76000000000000045</v>
      </c>
      <c r="B79">
        <v>0.93891797156333145</v>
      </c>
      <c r="C79">
        <v>0.77929183126145662</v>
      </c>
    </row>
    <row r="80" spans="1:3" x14ac:dyDescent="0.2">
      <c r="A80">
        <v>0.77000000000000046</v>
      </c>
      <c r="B80">
        <v>0.93905955412586961</v>
      </c>
      <c r="C80">
        <v>0.79534732857518964</v>
      </c>
    </row>
    <row r="81" spans="1:3" x14ac:dyDescent="0.2">
      <c r="A81">
        <v>0.78000000000000047</v>
      </c>
      <c r="B81">
        <v>0.93918262927853391</v>
      </c>
      <c r="C81">
        <v>0.81140524695074201</v>
      </c>
    </row>
    <row r="82" spans="1:3" x14ac:dyDescent="0.2">
      <c r="A82">
        <v>0.79000000000000048</v>
      </c>
      <c r="B82">
        <v>0.93928961173620396</v>
      </c>
      <c r="C82">
        <v>0.8274652699114049</v>
      </c>
    </row>
    <row r="83" spans="1:3" x14ac:dyDescent="0.2">
      <c r="A83">
        <v>0.80000000000000049</v>
      </c>
      <c r="B83">
        <v>0.9393826022696713</v>
      </c>
      <c r="C83">
        <v>0.84352712227209403</v>
      </c>
    </row>
    <row r="84" spans="1:3" x14ac:dyDescent="0.2">
      <c r="A84">
        <v>0.8100000000000005</v>
      </c>
      <c r="B84">
        <v>0.9394634282504567</v>
      </c>
      <c r="C84">
        <v>0.85959056477090545</v>
      </c>
    </row>
    <row r="85" spans="1:3" x14ac:dyDescent="0.2">
      <c r="A85">
        <v>0.82000000000000051</v>
      </c>
      <c r="B85">
        <v>0.93953367902612483</v>
      </c>
      <c r="C85">
        <v>0.87565538939398824</v>
      </c>
    </row>
    <row r="86" spans="1:3" x14ac:dyDescent="0.2">
      <c r="A86">
        <v>0.83000000000000052</v>
      </c>
      <c r="B86">
        <v>0.93959473676876859</v>
      </c>
      <c r="C86">
        <v>0.891721415305335</v>
      </c>
    </row>
    <row r="87" spans="1:3" x14ac:dyDescent="0.2">
      <c r="A87">
        <v>0.84000000000000052</v>
      </c>
      <c r="B87">
        <v>0.93964780336353271</v>
      </c>
      <c r="C87">
        <v>0.90778848530408096</v>
      </c>
    </row>
    <row r="88" spans="1:3" x14ac:dyDescent="0.2">
      <c r="A88">
        <v>0.85000000000000053</v>
      </c>
      <c r="B88">
        <v>0.93969392383614003</v>
      </c>
      <c r="C88">
        <v>0.92385646274159738</v>
      </c>
    </row>
    <row r="89" spans="1:3" x14ac:dyDescent="0.2">
      <c r="A89">
        <v>0.86000000000000054</v>
      </c>
      <c r="B89">
        <v>0.93973400675783658</v>
      </c>
      <c r="C89">
        <v>0.93992522883919538</v>
      </c>
    </row>
    <row r="90" spans="1:3" x14ac:dyDescent="0.2">
      <c r="A90">
        <v>0.87000000000000055</v>
      </c>
      <c r="B90">
        <v>0.93976884201238442</v>
      </c>
      <c r="C90">
        <v>0.95599468035475443</v>
      </c>
    </row>
    <row r="91" spans="1:3" x14ac:dyDescent="0.2">
      <c r="A91">
        <v>0.88000000000000056</v>
      </c>
      <c r="B91">
        <v>0.93979911626210677</v>
      </c>
      <c r="C91">
        <v>0.9720647275531662</v>
      </c>
    </row>
    <row r="92" spans="1:3" x14ac:dyDescent="0.2">
      <c r="A92">
        <v>0.89000000000000057</v>
      </c>
      <c r="B92">
        <v>0.93982542640793021</v>
      </c>
      <c r="C92">
        <v>0.9881352924412482</v>
      </c>
    </row>
    <row r="93" spans="1:3" x14ac:dyDescent="0.2">
      <c r="A93">
        <v>0.90000000000000058</v>
      </c>
      <c r="B93">
        <v>0.93984829130131264</v>
      </c>
      <c r="C93">
        <v>1.0042063072328238</v>
      </c>
    </row>
    <row r="94" spans="1:3" x14ac:dyDescent="0.2">
      <c r="A94">
        <v>0.91000000000000059</v>
      </c>
      <c r="B94">
        <v>0.93986816193335732</v>
      </c>
      <c r="C94">
        <v>1.0202777130140763</v>
      </c>
    </row>
    <row r="95" spans="1:3" x14ac:dyDescent="0.2">
      <c r="A95">
        <v>0.9200000000000006</v>
      </c>
      <c r="B95">
        <v>0.93988543029780336</v>
      </c>
      <c r="C95">
        <v>1.0363494585831368</v>
      </c>
    </row>
    <row r="96" spans="1:3" x14ac:dyDescent="0.2">
      <c r="A96">
        <v>0.9300000000000006</v>
      </c>
      <c r="B96">
        <v>0.93990043709949922</v>
      </c>
      <c r="C96">
        <v>1.0524214994412291</v>
      </c>
    </row>
    <row r="97" spans="1:3" x14ac:dyDescent="0.2">
      <c r="A97">
        <v>0.94000000000000061</v>
      </c>
      <c r="B97">
        <v>0.93991347845800421</v>
      </c>
      <c r="C97">
        <v>1.0684937969156305</v>
      </c>
    </row>
    <row r="98" spans="1:3" x14ac:dyDescent="0.2">
      <c r="A98">
        <v>0.95000000000000062</v>
      </c>
      <c r="B98">
        <v>0.93992481173674713</v>
      </c>
      <c r="C98">
        <v>1.0845663173972624</v>
      </c>
    </row>
    <row r="99" spans="1:3" x14ac:dyDescent="0.2">
      <c r="A99">
        <v>0.96000000000000063</v>
      </c>
      <c r="B99">
        <v>0.9399346606113832</v>
      </c>
      <c r="C99">
        <v>1.1006390316779608</v>
      </c>
    </row>
    <row r="100" spans="1:3" x14ac:dyDescent="0.2">
      <c r="A100">
        <v>0.97000000000000064</v>
      </c>
      <c r="B100">
        <v>0.93994321947632398</v>
      </c>
      <c r="C100">
        <v>1.1167119143744155</v>
      </c>
    </row>
    <row r="101" spans="1:3" x14ac:dyDescent="0.2">
      <c r="A101">
        <v>0.98000000000000065</v>
      </c>
      <c r="B101">
        <v>0.93995065727561955</v>
      </c>
      <c r="C101">
        <v>1.1327849434274606</v>
      </c>
    </row>
    <row r="102" spans="1:3" x14ac:dyDescent="0.2">
      <c r="A102">
        <v>0.99000000000000066</v>
      </c>
      <c r="B102">
        <v>0.93995712083320881</v>
      </c>
      <c r="C102">
        <v>1.1488580996668738</v>
      </c>
    </row>
    <row r="103" spans="1:3" x14ac:dyDescent="0.2">
      <c r="A103" s="9">
        <v>1.0000000000000007</v>
      </c>
      <c r="B103" s="9">
        <v>0.93996273774782479</v>
      </c>
      <c r="C103" s="9">
        <v>1.1649313664331216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2CCC9-8DE8-0E44-9C99-0D22AA4A3AAE}">
  <sheetPr codeName="Sheet4"/>
  <dimension ref="A1:F103"/>
  <sheetViews>
    <sheetView tabSelected="1" topLeftCell="A87" workbookViewId="0">
      <selection activeCell="N102" sqref="N102"/>
    </sheetView>
  </sheetViews>
  <sheetFormatPr baseColWidth="10" defaultRowHeight="16" x14ac:dyDescent="0.2"/>
  <sheetData>
    <row r="1" spans="1:6" x14ac:dyDescent="0.2">
      <c r="A1">
        <v>2</v>
      </c>
      <c r="B1" t="s">
        <v>37</v>
      </c>
      <c r="C1">
        <v>0.01</v>
      </c>
      <c r="D1" t="s">
        <v>38</v>
      </c>
      <c r="E1">
        <v>1</v>
      </c>
      <c r="F1" t="s">
        <v>39</v>
      </c>
    </row>
    <row r="2" spans="1:6" x14ac:dyDescent="0.2">
      <c r="A2" t="s">
        <v>40</v>
      </c>
      <c r="B2" t="s">
        <v>13</v>
      </c>
      <c r="C2" t="s">
        <v>15</v>
      </c>
    </row>
    <row r="3" spans="1:6" x14ac:dyDescent="0.2">
      <c r="A3" s="18">
        <v>0</v>
      </c>
      <c r="B3" s="18">
        <v>0.03</v>
      </c>
      <c r="C3" s="18">
        <v>0</v>
      </c>
      <c r="D3" t="s">
        <v>41</v>
      </c>
    </row>
    <row r="4" spans="1:6" x14ac:dyDescent="0.2">
      <c r="A4" s="18">
        <v>0.01</v>
      </c>
      <c r="B4" s="18">
        <v>3.4036859121063377E-2</v>
      </c>
      <c r="C4" s="18">
        <v>5.4552911170212769E-4</v>
      </c>
      <c r="F4" t="s">
        <v>42</v>
      </c>
    </row>
    <row r="5" spans="1:6" x14ac:dyDescent="0.2">
      <c r="A5" s="18">
        <v>0.02</v>
      </c>
      <c r="B5" s="18">
        <v>3.8594043084743124E-2</v>
      </c>
      <c r="C5" s="18">
        <v>1.1643019754141828E-3</v>
      </c>
    </row>
    <row r="6" spans="1:6" x14ac:dyDescent="0.2">
      <c r="A6" s="18">
        <v>0.03</v>
      </c>
      <c r="B6" s="18">
        <v>4.3732128902594238E-2</v>
      </c>
      <c r="C6" s="18">
        <v>1.8657125672947926E-3</v>
      </c>
    </row>
    <row r="7" spans="1:6" x14ac:dyDescent="0.2">
      <c r="A7" s="18">
        <v>0.04</v>
      </c>
      <c r="B7" s="18">
        <v>4.9516924492541546E-2</v>
      </c>
      <c r="C7" s="18">
        <v>2.6602353184478765E-3</v>
      </c>
    </row>
    <row r="8" spans="1:6" x14ac:dyDescent="0.2">
      <c r="A8" s="18">
        <v>0.05</v>
      </c>
      <c r="B8" s="18">
        <v>5.6019398863162498E-2</v>
      </c>
      <c r="C8" s="18">
        <v>3.5595145846068947E-3</v>
      </c>
    </row>
    <row r="9" spans="1:6" x14ac:dyDescent="0.2">
      <c r="A9" s="18">
        <v>6.0000000000000005E-2</v>
      </c>
      <c r="B9" s="18">
        <v>6.3315431539740161E-2</v>
      </c>
      <c r="C9" s="18">
        <v>4.5764515661365079E-3</v>
      </c>
    </row>
    <row r="10" spans="1:6" x14ac:dyDescent="0.2">
      <c r="A10" s="18">
        <v>7.0000000000000007E-2</v>
      </c>
      <c r="B10" s="18">
        <v>7.1485331273957259E-2</v>
      </c>
      <c r="C10" s="18">
        <v>5.7252851865006778E-3</v>
      </c>
    </row>
    <row r="11" spans="1:6" x14ac:dyDescent="0.2">
      <c r="A11" s="18">
        <v>0.08</v>
      </c>
      <c r="B11" s="18">
        <v>8.061306878696009E-2</v>
      </c>
      <c r="C11" s="18">
        <v>7.0216625323176168E-3</v>
      </c>
    </row>
    <row r="12" spans="1:6" x14ac:dyDescent="0.2">
      <c r="A12" s="18">
        <v>0.09</v>
      </c>
      <c r="B12" s="18">
        <v>9.0785165208964444E-2</v>
      </c>
      <c r="C12" s="18">
        <v>8.482693476476167E-3</v>
      </c>
    </row>
    <row r="13" spans="1:6" x14ac:dyDescent="0.2">
      <c r="A13" s="18">
        <v>9.9999999999999992E-2</v>
      </c>
      <c r="B13" s="18">
        <v>0.10208917844924466</v>
      </c>
      <c r="C13" s="18">
        <v>1.0126983096197108E-2</v>
      </c>
    </row>
    <row r="14" spans="1:6" x14ac:dyDescent="0.2">
      <c r="A14" s="18">
        <v>0.10999999999999999</v>
      </c>
      <c r="B14" s="18">
        <v>0.11461173573186619</v>
      </c>
      <c r="C14" s="18">
        <v>1.197463453677868E-2</v>
      </c>
    </row>
    <row r="15" spans="1:6" x14ac:dyDescent="0.2">
      <c r="A15" s="18">
        <v>0.11999999999999998</v>
      </c>
      <c r="B15" s="18">
        <v>0.12843607395979684</v>
      </c>
      <c r="C15" s="18">
        <v>1.4047214168191487E-2</v>
      </c>
    </row>
    <row r="16" spans="1:6" x14ac:dyDescent="0.2">
      <c r="A16" s="18">
        <v>0.12999999999999998</v>
      </c>
      <c r="B16" s="18">
        <v>0.14363907242309068</v>
      </c>
      <c r="C16" s="18">
        <v>1.6367670379992934E-2</v>
      </c>
    </row>
    <row r="17" spans="1:3" x14ac:dyDescent="0.2">
      <c r="A17" s="18">
        <v>0.13999999999999999</v>
      </c>
      <c r="B17" s="18">
        <v>0.1602877962875166</v>
      </c>
      <c r="C17" s="18">
        <v>1.8960197337334724E-2</v>
      </c>
    </row>
    <row r="18" spans="1:3" x14ac:dyDescent="0.2">
      <c r="A18" s="18">
        <v>0.15</v>
      </c>
      <c r="B18" s="18">
        <v>0.17843561504857813</v>
      </c>
      <c r="C18" s="18">
        <v>2.1850035677142415E-2</v>
      </c>
    </row>
    <row r="19" spans="1:3" x14ac:dyDescent="0.2">
      <c r="A19" s="18">
        <v>0.16</v>
      </c>
      <c r="B19" s="18">
        <v>0.19811801693438888</v>
      </c>
      <c r="C19" s="18">
        <v>2.5063203661568546E-2</v>
      </c>
    </row>
    <row r="20" spans="1:3" x14ac:dyDescent="0.2">
      <c r="A20" s="18">
        <v>0.17</v>
      </c>
      <c r="B20" s="18">
        <v>0.21934830507317396</v>
      </c>
      <c r="C20" s="18">
        <v>2.8626154898771905E-2</v>
      </c>
    </row>
    <row r="21" spans="1:3" x14ac:dyDescent="0.2">
      <c r="A21" s="18">
        <v>0.18000000000000002</v>
      </c>
      <c r="B21" s="18">
        <v>0.24211342828065774</v>
      </c>
      <c r="C21" s="18">
        <v>3.2565362488774605E-2</v>
      </c>
    </row>
    <row r="22" spans="1:3" x14ac:dyDescent="0.2">
      <c r="A22" s="18">
        <v>0.19000000000000003</v>
      </c>
      <c r="B22" s="18">
        <v>0.26637025973721046</v>
      </c>
      <c r="C22" s="18">
        <v>3.6906834329466537E-2</v>
      </c>
    </row>
    <row r="23" spans="1:3" x14ac:dyDescent="0.2">
      <c r="A23" s="18">
        <v>0.20000000000000004</v>
      </c>
      <c r="B23" s="18">
        <v>0.29204267924740823</v>
      </c>
      <c r="C23" s="18">
        <v>4.1675570124262852E-2</v>
      </c>
    </row>
    <row r="24" spans="1:3" x14ac:dyDescent="0.2">
      <c r="A24" s="18">
        <v>0.21000000000000005</v>
      </c>
      <c r="B24" s="18">
        <v>0.31901982667836432</v>
      </c>
      <c r="C24" s="18">
        <v>4.689497695704143E-2</v>
      </c>
    </row>
    <row r="25" spans="1:3" x14ac:dyDescent="0.2">
      <c r="A25" s="18">
        <v>0.22000000000000006</v>
      </c>
      <c r="B25" s="18">
        <v>0.34715586420622974</v>
      </c>
      <c r="C25" s="18">
        <v>5.2586266515565701E-2</v>
      </c>
    </row>
    <row r="26" spans="1:3" x14ac:dyDescent="0.2">
      <c r="A26" s="18">
        <v>0.23000000000000007</v>
      </c>
      <c r="B26" s="18">
        <v>0.37627150602376974</v>
      </c>
      <c r="C26" s="18">
        <v>5.8767862354091302E-2</v>
      </c>
    </row>
    <row r="27" spans="1:3" x14ac:dyDescent="0.2">
      <c r="A27" s="18">
        <v>0.24000000000000007</v>
      </c>
      <c r="B27" s="18">
        <v>0.40615744633732642</v>
      </c>
      <c r="C27" s="18">
        <v>6.5454849119326974E-2</v>
      </c>
    </row>
    <row r="28" spans="1:3" x14ac:dyDescent="0.2">
      <c r="A28" s="18">
        <v>0.25000000000000006</v>
      </c>
      <c r="B28" s="18">
        <v>0.43657964944020278</v>
      </c>
      <c r="C28" s="18">
        <v>7.2658496627173191E-2</v>
      </c>
    </row>
    <row r="29" spans="1:3" x14ac:dyDescent="0.2">
      <c r="A29" s="18">
        <v>0.26000000000000006</v>
      </c>
      <c r="B29" s="18">
        <v>0.46728627872167672</v>
      </c>
      <c r="C29" s="18">
        <v>8.0385889525092874E-2</v>
      </c>
    </row>
    <row r="30" spans="1:3" x14ac:dyDescent="0.2">
      <c r="A30" s="18">
        <v>0.27000000000000007</v>
      </c>
      <c r="B30" s="18">
        <v>0.49801586130709885</v>
      </c>
      <c r="C30" s="18">
        <v>8.8639687866376771E-2</v>
      </c>
    </row>
    <row r="31" spans="1:3" x14ac:dyDescent="0.2">
      <c r="A31" s="18">
        <v>0.28000000000000008</v>
      </c>
      <c r="B31" s="18">
        <v>0.52850614070794033</v>
      </c>
      <c r="C31" s="18">
        <v>9.7418035616699039E-2</v>
      </c>
    </row>
    <row r="32" spans="1:3" x14ac:dyDescent="0.2">
      <c r="A32" s="18">
        <v>0.29000000000000009</v>
      </c>
      <c r="B32" s="18">
        <v>0.55850298654992603</v>
      </c>
      <c r="C32" s="18">
        <v>0.10671462376017819</v>
      </c>
    </row>
    <row r="33" spans="1:3" x14ac:dyDescent="0.2">
      <c r="A33" s="18">
        <v>0.3000000000000001</v>
      </c>
      <c r="B33" s="18">
        <v>0.58776872332190699</v>
      </c>
      <c r="C33" s="18">
        <v>0.11651890349113664</v>
      </c>
    </row>
    <row r="34" spans="1:3" x14ac:dyDescent="0.2">
      <c r="A34" s="18">
        <v>0.31000000000000011</v>
      </c>
      <c r="B34" s="18">
        <v>0.61608931049812798</v>
      </c>
      <c r="C34" s="18">
        <v>0.12681643434363313</v>
      </c>
    </row>
    <row r="35" spans="1:3" x14ac:dyDescent="0.2">
      <c r="A35" s="18">
        <v>0.32000000000000012</v>
      </c>
      <c r="B35" s="18">
        <v>0.64327994149437595</v>
      </c>
      <c r="C35" s="18">
        <v>0.1375893432987435</v>
      </c>
    </row>
    <row r="36" spans="1:3" x14ac:dyDescent="0.2">
      <c r="A36" s="18">
        <v>0.33000000000000013</v>
      </c>
      <c r="B36" s="18">
        <v>0.66918880495725575</v>
      </c>
      <c r="C36" s="18">
        <v>0.14881686486532275</v>
      </c>
    </row>
    <row r="37" spans="1:3" x14ac:dyDescent="0.2">
      <c r="A37" s="18">
        <v>0.34000000000000014</v>
      </c>
      <c r="B37" s="18">
        <v>0.69369893994550713</v>
      </c>
      <c r="C37" s="18">
        <v>0.16047592932324956</v>
      </c>
    </row>
    <row r="38" spans="1:3" x14ac:dyDescent="0.2">
      <c r="A38" s="18">
        <v>0.35000000000000014</v>
      </c>
      <c r="B38" s="18">
        <v>0.71672828905796726</v>
      </c>
      <c r="C38" s="18">
        <v>0.17254176670835872</v>
      </c>
    </row>
    <row r="39" spans="1:3" x14ac:dyDescent="0.2">
      <c r="A39" s="18">
        <v>0.36000000000000015</v>
      </c>
      <c r="B39" s="18">
        <v>0.73822818952449742</v>
      </c>
      <c r="C39" s="18">
        <v>0.1849884972286984</v>
      </c>
    </row>
    <row r="40" spans="1:3" x14ac:dyDescent="0.2">
      <c r="A40" s="18">
        <v>0.37000000000000016</v>
      </c>
      <c r="B40" s="18">
        <v>0.75818063024116356</v>
      </c>
      <c r="C40" s="18">
        <v>0.19778968386810736</v>
      </c>
    </row>
    <row r="41" spans="1:3" x14ac:dyDescent="0.2">
      <c r="A41" s="18">
        <v>0.38000000000000017</v>
      </c>
      <c r="B41" s="18">
        <v>0.77659464096260833</v>
      </c>
      <c r="C41" s="18">
        <v>0.21091882907913814</v>
      </c>
    </row>
    <row r="42" spans="1:3" x14ac:dyDescent="0.2">
      <c r="A42" s="18">
        <v>0.39000000000000018</v>
      </c>
      <c r="B42" s="18">
        <v>0.79350217445196591</v>
      </c>
      <c r="C42" s="18">
        <v>0.22434980386327458</v>
      </c>
    </row>
    <row r="43" spans="1:3" x14ac:dyDescent="0.2">
      <c r="A43" s="18">
        <v>0.40000000000000019</v>
      </c>
      <c r="B43" s="18">
        <v>0.80895380422599383</v>
      </c>
      <c r="C43" s="18">
        <v>0.23805720351088935</v>
      </c>
    </row>
    <row r="44" spans="1:3" x14ac:dyDescent="0.2">
      <c r="A44" s="18">
        <v>0.4100000000000002</v>
      </c>
      <c r="B44" s="18">
        <v>0.82301450219281125</v>
      </c>
      <c r="C44" s="18">
        <v>0.252016629368844</v>
      </c>
    </row>
    <row r="45" spans="1:3" x14ac:dyDescent="0.2">
      <c r="A45" s="18">
        <v>0.42000000000000021</v>
      </c>
      <c r="B45" s="18">
        <v>0.83575969370597225</v>
      </c>
      <c r="C45" s="18">
        <v>0.26620489998041408</v>
      </c>
    </row>
    <row r="46" spans="1:3" x14ac:dyDescent="0.2">
      <c r="A46" s="18">
        <v>0.43000000000000022</v>
      </c>
      <c r="B46" s="18">
        <v>0.84727172171221388</v>
      </c>
      <c r="C46" s="18">
        <v>0.28060019774707096</v>
      </c>
    </row>
    <row r="47" spans="1:3" x14ac:dyDescent="0.2">
      <c r="A47" s="18">
        <v>0.44000000000000022</v>
      </c>
      <c r="B47" s="18">
        <v>0.85763679311273955</v>
      </c>
      <c r="C47" s="18">
        <v>0.2951821589777735</v>
      </c>
    </row>
    <row r="48" spans="1:3" x14ac:dyDescent="0.2">
      <c r="A48" s="18">
        <v>0.45000000000000023</v>
      </c>
      <c r="B48" s="18">
        <v>0.86694243265630111</v>
      </c>
      <c r="C48" s="18">
        <v>0.30993191598522063</v>
      </c>
    </row>
    <row r="49" spans="1:3" x14ac:dyDescent="0.2">
      <c r="A49" s="18">
        <v>0.46000000000000024</v>
      </c>
      <c r="B49" s="18">
        <v>0.87527543374189964</v>
      </c>
      <c r="C49" s="18">
        <v>0.32483209996301676</v>
      </c>
    </row>
    <row r="50" spans="1:3" x14ac:dyDescent="0.2">
      <c r="A50" s="18">
        <v>0.47000000000000025</v>
      </c>
      <c r="B50" s="18">
        <v>0.88272027087167815</v>
      </c>
      <c r="C50" s="18">
        <v>0.33986681293759163</v>
      </c>
    </row>
    <row r="51" spans="1:3" x14ac:dyDescent="0.2">
      <c r="A51" s="18">
        <v>0.48000000000000026</v>
      </c>
      <c r="B51" s="18">
        <v>0.88935792361628241</v>
      </c>
      <c r="C51" s="18">
        <v>0.35502157631787168</v>
      </c>
    </row>
    <row r="52" spans="1:3" x14ac:dyDescent="0.2">
      <c r="A52" s="18">
        <v>0.49000000000000027</v>
      </c>
      <c r="B52" s="18">
        <v>0.8952650548571075</v>
      </c>
      <c r="C52" s="18">
        <v>0.37028326261561956</v>
      </c>
    </row>
    <row r="53" spans="1:3" x14ac:dyDescent="0.2">
      <c r="A53" s="18">
        <v>0.50000000000000022</v>
      </c>
      <c r="B53" s="18">
        <v>0.90051348473112347</v>
      </c>
      <c r="C53" s="18">
        <v>0.38564001589577518</v>
      </c>
    </row>
    <row r="54" spans="1:3" x14ac:dyDescent="0.2">
      <c r="A54" s="18">
        <v>0.51000000000000023</v>
      </c>
      <c r="B54" s="18">
        <v>0.90516990429950939</v>
      </c>
      <c r="C54" s="18">
        <v>0.40108116552096185</v>
      </c>
    </row>
    <row r="55" spans="1:3" x14ac:dyDescent="0.2">
      <c r="A55" s="18">
        <v>0.52000000000000024</v>
      </c>
      <c r="B55" s="18">
        <v>0.90929577797990402</v>
      </c>
      <c r="C55" s="18">
        <v>0.41659713683052252</v>
      </c>
    </row>
    <row r="56" spans="1:3" x14ac:dyDescent="0.2">
      <c r="A56" s="18">
        <v>0.53000000000000025</v>
      </c>
      <c r="B56" s="18">
        <v>0.9129473900576297</v>
      </c>
      <c r="C56" s="18">
        <v>0.43217936157200432</v>
      </c>
    </row>
    <row r="57" spans="1:3" x14ac:dyDescent="0.2">
      <c r="A57" s="18">
        <v>0.54000000000000026</v>
      </c>
      <c r="B57" s="18">
        <v>0.91617599728166055</v>
      </c>
      <c r="C57" s="18">
        <v>0.44782019019483932</v>
      </c>
    </row>
    <row r="58" spans="1:3" x14ac:dyDescent="0.2">
      <c r="A58" s="18">
        <v>0.55000000000000027</v>
      </c>
      <c r="B58" s="18">
        <v>0.91902805609014615</v>
      </c>
      <c r="C58" s="18">
        <v>0.46351280752317769</v>
      </c>
    </row>
    <row r="59" spans="1:3" x14ac:dyDescent="0.2">
      <c r="A59" s="18">
        <v>0.56000000000000028</v>
      </c>
      <c r="B59" s="18">
        <v>0.92154549905028182</v>
      </c>
      <c r="C59" s="18">
        <v>0.4792511528409526</v>
      </c>
    </row>
    <row r="60" spans="1:3" x14ac:dyDescent="0.2">
      <c r="A60" s="18">
        <v>0.57000000000000028</v>
      </c>
      <c r="B60" s="18">
        <v>0.92376604045342126</v>
      </c>
      <c r="C60" s="18">
        <v>0.49502984503651565</v>
      </c>
    </row>
    <row r="61" spans="1:3" x14ac:dyDescent="0.2">
      <c r="A61" s="18">
        <v>0.58000000000000029</v>
      </c>
      <c r="B61" s="18">
        <v>0.92572349560822575</v>
      </c>
      <c r="C61" s="18">
        <v>0.51084411315381595</v>
      </c>
    </row>
    <row r="62" spans="1:3" x14ac:dyDescent="0.2">
      <c r="A62" s="18">
        <v>0.5900000000000003</v>
      </c>
      <c r="B62" s="18">
        <v>0.92744810222739171</v>
      </c>
      <c r="C62" s="18">
        <v>0.52668973246895223</v>
      </c>
    </row>
    <row r="63" spans="1:3" x14ac:dyDescent="0.2">
      <c r="A63" s="18">
        <v>0.60000000000000031</v>
      </c>
      <c r="B63" s="18">
        <v>0.92896683545788417</v>
      </c>
      <c r="C63" s="18">
        <v>0.54256296604244747</v>
      </c>
    </row>
    <row r="64" spans="1:3" x14ac:dyDescent="0.2">
      <c r="A64" s="18">
        <v>0.61000000000000032</v>
      </c>
      <c r="B64" s="18">
        <v>0.93030371063571471</v>
      </c>
      <c r="C64" s="18">
        <v>0.55846051157738996</v>
      </c>
    </row>
    <row r="65" spans="1:3" x14ac:dyDescent="0.2">
      <c r="A65" s="18">
        <v>0.62000000000000033</v>
      </c>
      <c r="B65" s="18">
        <v>0.93148006983889953</v>
      </c>
      <c r="C65" s="18">
        <v>0.57437945333168272</v>
      </c>
    </row>
    <row r="66" spans="1:3" x14ac:dyDescent="0.2">
      <c r="A66" s="18">
        <v>0.63000000000000034</v>
      </c>
      <c r="B66" s="18">
        <v>0.93251484985128164</v>
      </c>
      <c r="C66" s="18">
        <v>0.59031721878057231</v>
      </c>
    </row>
    <row r="67" spans="1:3" x14ac:dyDescent="0.2">
      <c r="A67" s="18">
        <v>0.64000000000000035</v>
      </c>
      <c r="B67" s="18">
        <v>0.93342483031496981</v>
      </c>
      <c r="C67" s="18">
        <v>0.6062715396963354</v>
      </c>
    </row>
    <row r="68" spans="1:3" x14ac:dyDescent="0.2">
      <c r="A68" s="18">
        <v>0.65000000000000036</v>
      </c>
      <c r="B68" s="18">
        <v>0.9342248617114286</v>
      </c>
      <c r="C68" s="18">
        <v>0.622240417299739</v>
      </c>
    </row>
    <row r="69" spans="1:3" x14ac:dyDescent="0.2">
      <c r="A69" s="18">
        <v>0.66000000000000036</v>
      </c>
      <c r="B69" s="18">
        <v>0.93492807343240858</v>
      </c>
      <c r="C69" s="18">
        <v>0.63822209113805251</v>
      </c>
    </row>
    <row r="70" spans="1:3" x14ac:dyDescent="0.2">
      <c r="A70" s="18">
        <v>0.67000000000000037</v>
      </c>
      <c r="B70" s="18">
        <v>0.93554606263400431</v>
      </c>
      <c r="C70" s="18">
        <v>0.65421501135333482</v>
      </c>
    </row>
    <row r="71" spans="1:3" x14ac:dyDescent="0.2">
      <c r="A71" s="18">
        <v>0.68000000000000038</v>
      </c>
      <c r="B71" s="18">
        <v>0.9360890648532515</v>
      </c>
      <c r="C71" s="18">
        <v>0.67021781401962854</v>
      </c>
    </row>
    <row r="72" spans="1:3" x14ac:dyDescent="0.2">
      <c r="A72" s="18">
        <v>0.69000000000000039</v>
      </c>
      <c r="B72" s="18">
        <v>0.93656610754188929</v>
      </c>
      <c r="C72" s="18">
        <v>0.68622929924639398</v>
      </c>
    </row>
    <row r="73" spans="1:3" x14ac:dyDescent="0.2">
      <c r="A73" s="18">
        <v>0.7000000000000004</v>
      </c>
      <c r="B73" s="18">
        <v>0.93698514776430675</v>
      </c>
      <c r="C73" s="18">
        <v>0.70224841176639408</v>
      </c>
    </row>
    <row r="74" spans="1:3" x14ac:dyDescent="0.2">
      <c r="A74" s="18">
        <v>0.71000000000000041</v>
      </c>
      <c r="B74" s="18">
        <v>0.93735319533849304</v>
      </c>
      <c r="C74" s="18">
        <v>0.71827422374808203</v>
      </c>
    </row>
    <row r="75" spans="1:3" x14ac:dyDescent="0.2">
      <c r="A75" s="18">
        <v>0.72000000000000042</v>
      </c>
      <c r="B75" s="18">
        <v>0.93767642268736306</v>
      </c>
      <c r="C75" s="18">
        <v>0.73430591959449076</v>
      </c>
    </row>
    <row r="76" spans="1:3" x14ac:dyDescent="0.2">
      <c r="A76" s="18">
        <v>0.73000000000000043</v>
      </c>
      <c r="B76" s="18">
        <v>0.93796026262651633</v>
      </c>
      <c r="C76" s="18">
        <v>0.75034278251206166</v>
      </c>
    </row>
    <row r="77" spans="1:3" x14ac:dyDescent="0.2">
      <c r="A77" s="18">
        <v>0.74000000000000044</v>
      </c>
      <c r="B77" s="18">
        <v>0.9382094952534894</v>
      </c>
      <c r="C77" s="18">
        <v>0.76638418265337349</v>
      </c>
    </row>
    <row r="78" spans="1:3" x14ac:dyDescent="0.2">
      <c r="A78" s="18">
        <v>0.75000000000000044</v>
      </c>
      <c r="B78" s="18">
        <v>0.93842832503052431</v>
      </c>
      <c r="C78" s="18">
        <v>0.78242956665707464</v>
      </c>
    </row>
    <row r="79" spans="1:3" x14ac:dyDescent="0.2">
      <c r="A79" s="18">
        <v>0.76000000000000045</v>
      </c>
      <c r="B79" s="18">
        <v>0.93862044907344666</v>
      </c>
      <c r="C79" s="18">
        <v>0.79847844842634275</v>
      </c>
    </row>
    <row r="80" spans="1:3" x14ac:dyDescent="0.2">
      <c r="A80" s="18">
        <v>0.77000000000000046</v>
      </c>
      <c r="B80" s="18">
        <v>0.93878911757752137</v>
      </c>
      <c r="C80" s="18">
        <v>0.81453040100381691</v>
      </c>
    </row>
    <row r="81" spans="1:3" x14ac:dyDescent="0.2">
      <c r="A81" s="18">
        <v>0.78000000000000047</v>
      </c>
      <c r="B81" s="18">
        <v>0.93893718723003428</v>
      </c>
      <c r="C81" s="18">
        <v>0.83058504941616695</v>
      </c>
    </row>
    <row r="82" spans="1:3" x14ac:dyDescent="0.2">
      <c r="A82" s="18">
        <v>0.79000000000000048</v>
      </c>
      <c r="B82" s="18">
        <v>0.93906716838081616</v>
      </c>
      <c r="C82" s="18">
        <v>0.84664206437531164</v>
      </c>
    </row>
    <row r="83" spans="1:3" x14ac:dyDescent="0.2">
      <c r="A83" s="18">
        <v>0.80000000000000049</v>
      </c>
      <c r="B83" s="18">
        <v>0.93918126666729285</v>
      </c>
      <c r="C83" s="18">
        <v>0.86270115673582837</v>
      </c>
    </row>
    <row r="84" spans="1:3" x14ac:dyDescent="0.2">
      <c r="A84" s="18">
        <v>0.8100000000000005</v>
      </c>
      <c r="B84" s="18">
        <v>0.93928141972069745</v>
      </c>
      <c r="C84" s="18">
        <v>0.87876207261938843</v>
      </c>
    </row>
    <row r="85" spans="1:3" x14ac:dyDescent="0.2">
      <c r="A85" s="18">
        <v>0.82000000000000051</v>
      </c>
      <c r="B85" s="18">
        <v>0.93936932951523711</v>
      </c>
      <c r="C85" s="18">
        <v>0.89482458912719209</v>
      </c>
    </row>
    <row r="86" spans="1:3" x14ac:dyDescent="0.2">
      <c r="A86" s="18">
        <v>0.83000000000000052</v>
      </c>
      <c r="B86" s="18">
        <v>0.93944649086241983</v>
      </c>
      <c r="C86" s="18">
        <v>0.91088851057044873</v>
      </c>
    </row>
    <row r="87" spans="1:3" x14ac:dyDescent="0.2">
      <c r="A87" s="18">
        <v>0.84000000000000052</v>
      </c>
      <c r="B87" s="18">
        <v>0.93951421649837019</v>
      </c>
      <c r="C87" s="18">
        <v>0.92695366515704991</v>
      </c>
    </row>
    <row r="88" spans="1:3" x14ac:dyDescent="0.2">
      <c r="A88" s="18">
        <v>0.85000000000000053</v>
      </c>
      <c r="B88" s="18">
        <v>0.93957365916263236</v>
      </c>
      <c r="C88" s="18">
        <v>0.94301990207979614</v>
      </c>
    </row>
    <row r="89" spans="1:3" x14ac:dyDescent="0.2">
      <c r="A89" s="18">
        <v>0.86000000000000054</v>
      </c>
      <c r="B89" s="18">
        <v>0.9396258310224177</v>
      </c>
      <c r="C89" s="18">
        <v>0.95908708895794947</v>
      </c>
    </row>
    <row r="90" spans="1:3" x14ac:dyDescent="0.2">
      <c r="A90" s="18">
        <v>0.87000000000000055</v>
      </c>
      <c r="B90" s="18">
        <v>0.93967162075620148</v>
      </c>
      <c r="C90" s="18">
        <v>0.9751551095895773</v>
      </c>
    </row>
    <row r="91" spans="1:3" x14ac:dyDescent="0.2">
      <c r="A91" s="18">
        <v>0.88000000000000056</v>
      </c>
      <c r="B91" s="18">
        <v>0.93971180857467262</v>
      </c>
      <c r="C91" s="18">
        <v>0.99122386197719281</v>
      </c>
    </row>
    <row r="92" spans="1:3" x14ac:dyDescent="0.2">
      <c r="A92" s="18">
        <v>0.89000000000000057</v>
      </c>
      <c r="B92" s="18">
        <v>0.93974707942496405</v>
      </c>
      <c r="C92" s="18">
        <v>1.007293256593663</v>
      </c>
    </row>
    <row r="93" spans="1:3" x14ac:dyDescent="0.2">
      <c r="A93" s="18">
        <v>0.90000000000000058</v>
      </c>
      <c r="B93" s="18">
        <v>0.9397780345954887</v>
      </c>
      <c r="C93" s="18">
        <v>1.0233632148592984</v>
      </c>
    </row>
    <row r="94" spans="1:3" x14ac:dyDescent="0.2">
      <c r="A94" s="18">
        <v>0.91000000000000059</v>
      </c>
      <c r="B94" s="18">
        <v>0.93980520191326566</v>
      </c>
      <c r="C94" s="18">
        <v>1.0394336678045268</v>
      </c>
    </row>
    <row r="95" spans="1:3" x14ac:dyDescent="0.2">
      <c r="A95" s="18">
        <v>0.9200000000000006</v>
      </c>
      <c r="B95" s="18">
        <v>0.93982904470302686</v>
      </c>
      <c r="C95" s="18">
        <v>1.0555045548956261</v>
      </c>
    </row>
    <row r="96" spans="1:3" x14ac:dyDescent="0.2">
      <c r="A96" s="18">
        <v>0.9300000000000006</v>
      </c>
      <c r="B96" s="18">
        <v>0.93984996965736101</v>
      </c>
      <c r="C96" s="18">
        <v>1.0715758230037045</v>
      </c>
    </row>
    <row r="97" spans="1:3" x14ac:dyDescent="0.2">
      <c r="A97" s="18">
        <v>0.94000000000000061</v>
      </c>
      <c r="B97" s="18">
        <v>0.9398683337494137</v>
      </c>
      <c r="C97" s="18">
        <v>1.0876474254995101</v>
      </c>
    </row>
    <row r="98" spans="1:3" x14ac:dyDescent="0.2">
      <c r="A98" s="18">
        <v>0.95000000000000062</v>
      </c>
      <c r="B98" s="18">
        <v>0.93988445030397283</v>
      </c>
      <c r="C98" s="18">
        <v>1.1037193214587524</v>
      </c>
    </row>
    <row r="99" spans="1:3" x14ac:dyDescent="0.2">
      <c r="A99" s="18">
        <v>0.96000000000000063</v>
      </c>
      <c r="B99" s="18">
        <v>0.93989859432890499</v>
      </c>
      <c r="C99" s="18">
        <v>1.1197914749644782</v>
      </c>
    </row>
    <row r="100" spans="1:3" x14ac:dyDescent="0.2">
      <c r="A100" s="18">
        <v>0.97000000000000064</v>
      </c>
      <c r="B100" s="18">
        <v>0.93991100719667042</v>
      </c>
      <c r="C100" s="18">
        <v>1.1358638544946715</v>
      </c>
    </row>
    <row r="101" spans="1:3" x14ac:dyDescent="0.2">
      <c r="A101" s="18">
        <v>0.98000000000000065</v>
      </c>
      <c r="B101" s="18">
        <v>0.93992190075484794</v>
      </c>
      <c r="C101" s="18">
        <v>1.1519364323846872</v>
      </c>
    </row>
    <row r="102" spans="1:3" x14ac:dyDescent="0.2">
      <c r="A102" s="18">
        <v>0.99000000000000066</v>
      </c>
      <c r="B102" s="18">
        <v>0.93993146093508451</v>
      </c>
      <c r="C102" s="18">
        <v>1.1680091843553868</v>
      </c>
    </row>
    <row r="103" spans="1:3" x14ac:dyDescent="0.2">
      <c r="A103" s="19">
        <v>1.0000000000000007</v>
      </c>
      <c r="B103" s="19">
        <v>0.93993985092149501</v>
      </c>
      <c r="C103" s="19">
        <v>1.184082089098959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603F4-DBE5-574A-A263-0565CAE0026E}">
  <sheetPr codeName="Sheet5"/>
  <dimension ref="A1:P33"/>
  <sheetViews>
    <sheetView topLeftCell="A19" workbookViewId="0">
      <selection activeCell="R33" sqref="R33"/>
    </sheetView>
  </sheetViews>
  <sheetFormatPr baseColWidth="10" defaultRowHeight="16" x14ac:dyDescent="0.2"/>
  <sheetData>
    <row r="1" spans="1:16" x14ac:dyDescent="0.2">
      <c r="A1" s="11"/>
      <c r="B1" s="11" t="s">
        <v>0</v>
      </c>
      <c r="C1" s="11"/>
      <c r="D1" s="11"/>
      <c r="K1" s="11"/>
      <c r="L1" s="11" t="s">
        <v>0</v>
      </c>
      <c r="M1" s="11"/>
      <c r="N1" s="11"/>
    </row>
    <row r="2" spans="1:16" x14ac:dyDescent="0.2">
      <c r="A2" s="11" t="s">
        <v>1</v>
      </c>
      <c r="B2" s="11" t="s">
        <v>5</v>
      </c>
      <c r="C2" s="11"/>
      <c r="D2" s="11"/>
      <c r="K2" s="11" t="s">
        <v>1</v>
      </c>
      <c r="L2" s="11" t="s">
        <v>35</v>
      </c>
      <c r="M2" s="11"/>
      <c r="N2" s="11"/>
    </row>
    <row r="3" spans="1:16" x14ac:dyDescent="0.2">
      <c r="A3" s="11" t="s">
        <v>22</v>
      </c>
      <c r="B3" s="11"/>
      <c r="C3" s="11"/>
      <c r="D3" s="11"/>
      <c r="K3" s="11" t="s">
        <v>22</v>
      </c>
      <c r="L3" s="11"/>
      <c r="M3" s="11"/>
      <c r="N3" s="11"/>
    </row>
    <row r="4" spans="1:16" x14ac:dyDescent="0.2">
      <c r="A4" s="11" t="s">
        <v>23</v>
      </c>
      <c r="B4" s="11"/>
      <c r="C4" s="11"/>
      <c r="D4" s="11"/>
      <c r="K4" s="11" t="s">
        <v>23</v>
      </c>
      <c r="L4" s="11"/>
      <c r="M4" s="11"/>
      <c r="N4" s="11"/>
      <c r="P4" t="s">
        <v>17</v>
      </c>
    </row>
    <row r="5" spans="1:16" x14ac:dyDescent="0.2">
      <c r="A5" s="11" t="s">
        <v>24</v>
      </c>
      <c r="B5" s="11"/>
      <c r="C5" s="11"/>
      <c r="D5" s="11"/>
      <c r="K5" s="11" t="s">
        <v>24</v>
      </c>
      <c r="L5" s="11"/>
      <c r="M5" s="11"/>
      <c r="N5" s="11"/>
    </row>
    <row r="6" spans="1:16" x14ac:dyDescent="0.2">
      <c r="A6" s="11" t="s">
        <v>25</v>
      </c>
      <c r="B6" s="11"/>
      <c r="C6" s="11"/>
      <c r="D6" s="11"/>
      <c r="K6" s="11" t="s">
        <v>25</v>
      </c>
      <c r="L6" s="11"/>
      <c r="M6" s="11"/>
      <c r="N6" s="11"/>
    </row>
    <row r="7" spans="1:16" x14ac:dyDescent="0.2">
      <c r="A7" s="11" t="s">
        <v>26</v>
      </c>
      <c r="B7" s="11"/>
      <c r="C7" s="11"/>
      <c r="D7" s="11"/>
      <c r="K7" s="11" t="s">
        <v>26</v>
      </c>
      <c r="L7" s="11"/>
      <c r="M7" s="11"/>
      <c r="N7" s="11"/>
    </row>
    <row r="8" spans="1:16" x14ac:dyDescent="0.2">
      <c r="A8" s="11"/>
      <c r="B8" s="11"/>
      <c r="C8" s="11"/>
      <c r="D8" s="11"/>
      <c r="K8" s="11"/>
      <c r="L8" s="11"/>
      <c r="M8" s="11"/>
      <c r="N8" s="11"/>
    </row>
    <row r="9" spans="1:16" x14ac:dyDescent="0.2">
      <c r="A9" s="11"/>
      <c r="B9" s="11"/>
      <c r="C9" s="11"/>
      <c r="D9" s="11"/>
      <c r="K9" s="11"/>
      <c r="L9" s="11"/>
      <c r="M9" s="11"/>
      <c r="N9" s="11"/>
    </row>
    <row r="10" spans="1:16" x14ac:dyDescent="0.2">
      <c r="A10" s="11"/>
      <c r="B10" s="11"/>
      <c r="C10" s="11"/>
      <c r="D10" s="11"/>
      <c r="K10" s="11"/>
      <c r="L10" s="11"/>
      <c r="M10" s="11"/>
      <c r="N10" s="11"/>
    </row>
    <row r="11" spans="1:16" x14ac:dyDescent="0.2">
      <c r="A11" s="11"/>
      <c r="B11" s="11"/>
      <c r="C11" s="11"/>
      <c r="D11" s="11"/>
      <c r="K11" s="11"/>
      <c r="L11" s="11"/>
      <c r="M11" s="11"/>
      <c r="N11" s="11"/>
    </row>
    <row r="12" spans="1:16" x14ac:dyDescent="0.2">
      <c r="A12" s="11"/>
      <c r="B12" s="11"/>
      <c r="C12" s="11"/>
      <c r="D12" s="11"/>
      <c r="K12" s="11"/>
      <c r="L12" s="11"/>
      <c r="M12" s="11"/>
      <c r="N12" s="11"/>
    </row>
    <row r="13" spans="1:16" x14ac:dyDescent="0.2">
      <c r="A13" s="11"/>
      <c r="B13" s="11"/>
      <c r="C13" s="11"/>
      <c r="D13" s="11"/>
      <c r="K13" s="11"/>
      <c r="L13" s="11"/>
      <c r="M13" s="11"/>
      <c r="N13" s="11"/>
    </row>
    <row r="14" spans="1:16" x14ac:dyDescent="0.2">
      <c r="A14" s="11"/>
      <c r="B14" s="11"/>
      <c r="C14" s="11"/>
      <c r="D14" s="11"/>
      <c r="K14" s="11"/>
      <c r="L14" s="11"/>
      <c r="M14" s="11"/>
      <c r="N14" s="11"/>
    </row>
    <row r="15" spans="1:16" x14ac:dyDescent="0.2">
      <c r="A15" s="11"/>
      <c r="B15" s="11"/>
      <c r="C15" s="11"/>
      <c r="D15" s="11"/>
      <c r="K15" s="11"/>
      <c r="L15" s="11"/>
      <c r="M15" s="11"/>
      <c r="N15" s="11"/>
    </row>
    <row r="16" spans="1:16" x14ac:dyDescent="0.2">
      <c r="A16" s="11"/>
      <c r="B16" s="11"/>
      <c r="C16" s="11"/>
      <c r="D16" s="11"/>
      <c r="K16" s="11"/>
      <c r="L16" s="11"/>
      <c r="M16" s="11"/>
      <c r="N16" s="11"/>
    </row>
    <row r="17" spans="1:16" x14ac:dyDescent="0.2">
      <c r="A17" s="11"/>
      <c r="B17" s="11"/>
      <c r="C17" s="11"/>
      <c r="D17" s="11"/>
      <c r="K17" s="11"/>
      <c r="L17" s="11"/>
      <c r="M17" s="11"/>
      <c r="N17" s="11"/>
    </row>
    <row r="18" spans="1:16" x14ac:dyDescent="0.2">
      <c r="A18" s="11"/>
      <c r="B18" s="11"/>
      <c r="C18" s="11"/>
      <c r="D18" s="11"/>
      <c r="K18" s="11"/>
      <c r="L18" s="11"/>
      <c r="M18" s="11"/>
      <c r="N18" s="11"/>
    </row>
    <row r="19" spans="1:16" x14ac:dyDescent="0.2">
      <c r="A19" s="11"/>
      <c r="B19" s="11"/>
      <c r="C19" s="11"/>
      <c r="D19" s="11"/>
      <c r="K19" s="11"/>
      <c r="L19" s="11"/>
      <c r="M19" s="11"/>
      <c r="N19" s="11"/>
    </row>
    <row r="20" spans="1:16" x14ac:dyDescent="0.2">
      <c r="A20" t="s">
        <v>4</v>
      </c>
      <c r="B20" t="s">
        <v>32</v>
      </c>
      <c r="K20" t="s">
        <v>4</v>
      </c>
      <c r="L20" t="s">
        <v>34</v>
      </c>
    </row>
    <row r="21" spans="1:16" x14ac:dyDescent="0.2">
      <c r="A21" s="12"/>
      <c r="B21" s="11" t="s">
        <v>27</v>
      </c>
      <c r="C21" s="11">
        <v>0.1</v>
      </c>
      <c r="K21" s="12"/>
      <c r="L21" s="11" t="s">
        <v>7</v>
      </c>
      <c r="M21" s="11">
        <v>0.1</v>
      </c>
    </row>
    <row r="22" spans="1:16" x14ac:dyDescent="0.2">
      <c r="A22" s="13" t="s">
        <v>8</v>
      </c>
      <c r="B22" s="14" t="s">
        <v>28</v>
      </c>
      <c r="C22" s="13" t="s">
        <v>29</v>
      </c>
      <c r="D22" s="14" t="s">
        <v>30</v>
      </c>
      <c r="E22" s="13" t="s">
        <v>31</v>
      </c>
      <c r="F22" s="15" t="s">
        <v>33</v>
      </c>
      <c r="K22" s="13" t="s">
        <v>8</v>
      </c>
      <c r="L22" s="14" t="s">
        <v>28</v>
      </c>
      <c r="M22" s="13" t="s">
        <v>29</v>
      </c>
      <c r="N22" s="14" t="s">
        <v>30</v>
      </c>
      <c r="O22" s="13" t="s">
        <v>31</v>
      </c>
      <c r="P22" s="15" t="s">
        <v>36</v>
      </c>
    </row>
    <row r="23" spans="1:16" x14ac:dyDescent="0.2">
      <c r="A23" s="16">
        <v>0</v>
      </c>
      <c r="B23" s="17">
        <f t="shared" ref="B23:B33" si="0">h*((13.1*F23)-(13.1/0.94)*(F23)^2)</f>
        <v>3.8045744680851062E-2</v>
      </c>
      <c r="C23" s="17">
        <f t="shared" ref="C23:C33" si="1">h*((13.1*(F23+B23/2))-(13.1/0.94)*((F23+B23/2))^2)</f>
        <v>6.0870763791082527E-2</v>
      </c>
      <c r="D23" s="17">
        <f t="shared" ref="D23:D33" si="2">h*((13.1*(F23+C23/2))-(13.1/0.94)*((F23+C23/2))^2)</f>
        <v>7.4080254161705342E-2</v>
      </c>
      <c r="E23" s="17">
        <f t="shared" ref="E23:E33" si="3">h*((13.1*(F23+D23))-(13.1/0.94)*(F23+D23)^2)</f>
        <v>0.1212484988121123</v>
      </c>
      <c r="F23" s="17">
        <v>0.03</v>
      </c>
      <c r="K23" s="16">
        <v>0</v>
      </c>
      <c r="L23" s="17">
        <f t="shared" ref="L23:L33" si="4">h*(1.71*(0.94*EXP(13.1*K23))/(30.333+EXP(13.1*K23)))</f>
        <v>5.1300545750486712E-3</v>
      </c>
      <c r="M23" s="17">
        <f t="shared" ref="M23:M33" si="5">h*(1.71*(0.94*EXP(13.1*(K23+h/2)))/(30.333+EXP(13.1*(K23+h/2))))</f>
        <v>9.5928464596617049E-3</v>
      </c>
      <c r="N23" s="17">
        <f t="shared" ref="N23:N33" si="6">h*(1.71*(0.94*EXP(13.1*(K23+h/2)))/(30.333+EXP(13.1*(K23+h/2))))</f>
        <v>9.5928464596617049E-3</v>
      </c>
      <c r="O23" s="17">
        <f t="shared" ref="O23:O33" si="7">h*(1.71*(0.94*EXP(13.1*(K23+h)))/(30.333+EXP(13.1*(K23+h))))</f>
        <v>1.7501316792744966E-2</v>
      </c>
      <c r="P23" s="17">
        <v>0</v>
      </c>
    </row>
    <row r="24" spans="1:16" x14ac:dyDescent="0.2">
      <c r="A24" s="16">
        <v>0.1</v>
      </c>
      <c r="B24" s="17">
        <f t="shared" si="0"/>
        <v>0.11864120717366744</v>
      </c>
      <c r="C24" s="17">
        <f t="shared" si="1"/>
        <v>0.17465969153741728</v>
      </c>
      <c r="D24" s="17">
        <f t="shared" si="2"/>
        <v>0.19770093451315685</v>
      </c>
      <c r="E24" s="17">
        <f t="shared" si="3"/>
        <v>0.26721052909437298</v>
      </c>
      <c r="F24" s="17">
        <f>F23+(1/6)*(B23+2*C23+2*D23+E23)</f>
        <v>0.10153271323308985</v>
      </c>
      <c r="K24" s="16">
        <v>0.1</v>
      </c>
      <c r="L24" s="17">
        <f t="shared" si="4"/>
        <v>1.7501316792744966E-2</v>
      </c>
      <c r="M24" s="17">
        <f t="shared" si="5"/>
        <v>3.0609280593958444E-2</v>
      </c>
      <c r="N24" s="17">
        <f t="shared" si="6"/>
        <v>3.0609280593958444E-2</v>
      </c>
      <c r="O24" s="17">
        <f t="shared" si="7"/>
        <v>5.010084317062076E-2</v>
      </c>
      <c r="P24" s="17">
        <f>P23+(1/6)*(L23+2*M23+2*N23+O23)</f>
        <v>1.0167126201073408E-2</v>
      </c>
    </row>
    <row r="25" spans="1:16" x14ac:dyDescent="0.2">
      <c r="A25" s="16">
        <v>0.2</v>
      </c>
      <c r="B25" s="17">
        <f t="shared" si="0"/>
        <v>0.26267751330776051</v>
      </c>
      <c r="C25" s="17">
        <f t="shared" si="1"/>
        <v>0.30454481334216543</v>
      </c>
      <c r="D25" s="17">
        <f t="shared" si="2"/>
        <v>0.30677558613488498</v>
      </c>
      <c r="E25" s="17">
        <f t="shared" si="3"/>
        <v>0.28546530488155719</v>
      </c>
      <c r="F25" s="17">
        <f t="shared" ref="F25:F33" si="8">F24+(1/6)*(B24+2*C24+2*D24+E24)</f>
        <v>0.28996154462795465</v>
      </c>
      <c r="K25" s="16">
        <v>0.2</v>
      </c>
      <c r="L25" s="17">
        <f t="shared" si="4"/>
        <v>5.010084317062076E-2</v>
      </c>
      <c r="M25" s="17">
        <f t="shared" si="5"/>
        <v>7.486380131417518E-2</v>
      </c>
      <c r="N25" s="17">
        <f t="shared" si="6"/>
        <v>7.486380131417518E-2</v>
      </c>
      <c r="O25" s="17">
        <f t="shared" si="7"/>
        <v>0.10072365632431216</v>
      </c>
      <c r="P25" s="17">
        <f t="shared" ref="P25:P33" si="9">P24+(1/6)*(L24+2*M24+2*N24+O24)</f>
        <v>4.1840339924273315E-2</v>
      </c>
    </row>
    <row r="26" spans="1:16" x14ac:dyDescent="0.2">
      <c r="A26" s="16">
        <v>0.3</v>
      </c>
      <c r="B26" s="17">
        <f t="shared" si="0"/>
        <v>0.28938986685031232</v>
      </c>
      <c r="C26" s="17">
        <f t="shared" si="1"/>
        <v>0.21379572456981447</v>
      </c>
      <c r="D26" s="17">
        <f t="shared" si="2"/>
        <v>0.23917316019848478</v>
      </c>
      <c r="E26" s="17">
        <f t="shared" si="3"/>
        <v>0.13294561725643117</v>
      </c>
      <c r="F26" s="17">
        <f t="shared" si="8"/>
        <v>0.58509214748519112</v>
      </c>
      <c r="K26" s="16">
        <v>0.3</v>
      </c>
      <c r="L26" s="17">
        <f t="shared" si="4"/>
        <v>0.10072365632431216</v>
      </c>
      <c r="M26" s="17">
        <f t="shared" si="5"/>
        <v>0.12274817143958756</v>
      </c>
      <c r="N26" s="17">
        <f t="shared" si="6"/>
        <v>0.12274817143958756</v>
      </c>
      <c r="O26" s="17">
        <f t="shared" si="7"/>
        <v>0.13847672442790995</v>
      </c>
      <c r="P26" s="17">
        <f t="shared" si="9"/>
        <v>0.11688695738287891</v>
      </c>
    </row>
    <row r="27" spans="1:16" x14ac:dyDescent="0.2">
      <c r="A27" s="16">
        <v>0.4</v>
      </c>
      <c r="B27" s="17">
        <f t="shared" si="0"/>
        <v>0.1500747854373172</v>
      </c>
      <c r="C27" s="17">
        <f t="shared" si="1"/>
        <v>7.1856041562580408E-2</v>
      </c>
      <c r="D27" s="17">
        <f t="shared" si="2"/>
        <v>0.11458173114867538</v>
      </c>
      <c r="E27" s="17">
        <f t="shared" si="3"/>
        <v>2.4320586050957084E-2</v>
      </c>
      <c r="F27" s="17">
        <f t="shared" si="8"/>
        <v>0.80647102309241481</v>
      </c>
      <c r="K27" s="16">
        <v>0.4</v>
      </c>
      <c r="L27" s="17">
        <f t="shared" si="4"/>
        <v>0.13847672442790995</v>
      </c>
      <c r="M27" s="17">
        <f t="shared" si="5"/>
        <v>0.14835090470571932</v>
      </c>
      <c r="N27" s="17">
        <f t="shared" si="6"/>
        <v>0.14835090470571932</v>
      </c>
      <c r="O27" s="17">
        <f t="shared" si="7"/>
        <v>0.15405705185553076</v>
      </c>
      <c r="P27" s="17">
        <f t="shared" si="9"/>
        <v>0.23858580180130762</v>
      </c>
    </row>
    <row r="28" spans="1:16" x14ac:dyDescent="0.2">
      <c r="A28" s="16">
        <v>0.5</v>
      </c>
      <c r="B28" s="17">
        <f t="shared" si="0"/>
        <v>5.2939867953058523E-2</v>
      </c>
      <c r="C28" s="17">
        <f t="shared" si="1"/>
        <v>2.0409877412950729E-2</v>
      </c>
      <c r="D28" s="17">
        <f t="shared" si="2"/>
        <v>4.0629916183857341E-2</v>
      </c>
      <c r="E28" s="17">
        <f t="shared" si="3"/>
        <v>2.2063186973209528E-3</v>
      </c>
      <c r="F28" s="17">
        <f t="shared" si="8"/>
        <v>0.89768284257754583</v>
      </c>
      <c r="K28" s="16">
        <v>0.5</v>
      </c>
      <c r="L28" s="17">
        <f t="shared" si="4"/>
        <v>0.15405705185553076</v>
      </c>
      <c r="M28" s="17">
        <f t="shared" si="5"/>
        <v>0.15719782386534853</v>
      </c>
      <c r="N28" s="17">
        <f t="shared" si="6"/>
        <v>0.15719782386534853</v>
      </c>
      <c r="O28" s="17">
        <f t="shared" si="7"/>
        <v>0.15888035122416683</v>
      </c>
      <c r="P28" s="17">
        <f t="shared" si="9"/>
        <v>0.38624203431902726</v>
      </c>
    </row>
    <row r="29" spans="1:16" x14ac:dyDescent="0.2">
      <c r="A29" s="16">
        <v>0.6</v>
      </c>
      <c r="B29" s="17">
        <f t="shared" si="0"/>
        <v>1.6513581825935476E-2</v>
      </c>
      <c r="C29" s="17">
        <f t="shared" si="1"/>
        <v>5.8962795195650845E-3</v>
      </c>
      <c r="D29" s="17">
        <f t="shared" si="2"/>
        <v>1.2744417451684599E-2</v>
      </c>
      <c r="E29" s="17">
        <f t="shared" si="3"/>
        <v>4.5993687742829081E-5</v>
      </c>
      <c r="F29" s="17">
        <f t="shared" si="8"/>
        <v>0.92722047155154508</v>
      </c>
      <c r="K29" s="16">
        <v>0.6</v>
      </c>
      <c r="L29" s="17">
        <f t="shared" si="4"/>
        <v>0.15888035122416683</v>
      </c>
      <c r="M29" s="17">
        <f t="shared" si="5"/>
        <v>0.15976861960367117</v>
      </c>
      <c r="N29" s="17">
        <f t="shared" si="6"/>
        <v>0.15976861960367117</v>
      </c>
      <c r="O29" s="17">
        <f t="shared" si="7"/>
        <v>0.16023395455830025</v>
      </c>
      <c r="P29" s="17">
        <f t="shared" si="9"/>
        <v>0.54319681740920922</v>
      </c>
    </row>
    <row r="30" spans="1:16" x14ac:dyDescent="0.2">
      <c r="A30" s="16">
        <v>0.7</v>
      </c>
      <c r="B30" s="17">
        <f t="shared" si="0"/>
        <v>4.965716151525257E-3</v>
      </c>
      <c r="C30" s="17">
        <f t="shared" si="1"/>
        <v>1.7309199216084536E-3</v>
      </c>
      <c r="D30" s="17">
        <f t="shared" si="2"/>
        <v>3.8401008188442276E-3</v>
      </c>
      <c r="E30" s="17">
        <f t="shared" si="3"/>
        <v>-4.4629753879021908E-5</v>
      </c>
      <c r="F30" s="17">
        <f t="shared" si="8"/>
        <v>0.93619396646090802</v>
      </c>
      <c r="K30" s="16">
        <v>0.7</v>
      </c>
      <c r="L30" s="17">
        <f t="shared" si="4"/>
        <v>0.16023395455830025</v>
      </c>
      <c r="M30" s="17">
        <f t="shared" si="5"/>
        <v>0.16047674042559534</v>
      </c>
      <c r="N30" s="17">
        <f t="shared" si="6"/>
        <v>0.16047674042559534</v>
      </c>
      <c r="O30" s="17">
        <f t="shared" si="7"/>
        <v>0.16060314419040708</v>
      </c>
      <c r="P30" s="17">
        <f t="shared" si="9"/>
        <v>0.70289494810873454</v>
      </c>
    </row>
    <row r="31" spans="1:16" x14ac:dyDescent="0.2">
      <c r="A31" s="16">
        <v>0.8</v>
      </c>
      <c r="B31" s="17">
        <f t="shared" si="0"/>
        <v>1.4770118072917173E-3</v>
      </c>
      <c r="C31" s="17">
        <f t="shared" si="1"/>
        <v>5.1113261042790015E-4</v>
      </c>
      <c r="D31" s="17">
        <f t="shared" si="2"/>
        <v>1.142933027344384E-3</v>
      </c>
      <c r="E31" s="17">
        <f t="shared" si="3"/>
        <v>-1.8454859667116352E-5</v>
      </c>
      <c r="F31" s="17">
        <f t="shared" si="8"/>
        <v>0.9388711544406666</v>
      </c>
      <c r="K31" s="16">
        <v>0.8</v>
      </c>
      <c r="L31" s="17">
        <f t="shared" si="4"/>
        <v>0.16060314419040711</v>
      </c>
      <c r="M31" s="17">
        <f t="shared" si="5"/>
        <v>0.16066888223798997</v>
      </c>
      <c r="N31" s="17">
        <f t="shared" si="6"/>
        <v>0.16066888223798997</v>
      </c>
      <c r="O31" s="17">
        <f t="shared" si="7"/>
        <v>0.16070305058690745</v>
      </c>
      <c r="P31" s="17">
        <f t="shared" si="9"/>
        <v>0.86335229151724935</v>
      </c>
    </row>
    <row r="32" spans="1:16" x14ac:dyDescent="0.2">
      <c r="A32" s="16">
        <v>0.9</v>
      </c>
      <c r="B32" s="17">
        <f t="shared" si="0"/>
        <v>4.3790491737301097E-4</v>
      </c>
      <c r="C32" s="17">
        <f t="shared" si="1"/>
        <v>1.5121445960382119E-4</v>
      </c>
      <c r="D32" s="17">
        <f t="shared" si="2"/>
        <v>3.3892194906268717E-4</v>
      </c>
      <c r="E32" s="17">
        <f t="shared" si="3"/>
        <v>-5.9270277988687784E-6</v>
      </c>
      <c r="F32" s="17">
        <f t="shared" si="8"/>
        <v>0.93966560247786146</v>
      </c>
      <c r="K32" s="16">
        <v>0.9</v>
      </c>
      <c r="L32" s="17">
        <f t="shared" si="4"/>
        <v>0.16070305058690745</v>
      </c>
      <c r="M32" s="17">
        <f t="shared" si="5"/>
        <v>0.16072080480023143</v>
      </c>
      <c r="N32" s="17">
        <f t="shared" si="6"/>
        <v>0.16072080480023143</v>
      </c>
      <c r="O32" s="17">
        <f t="shared" si="7"/>
        <v>0.16073002863361244</v>
      </c>
      <c r="P32" s="17">
        <f t="shared" si="9"/>
        <v>1.0240159121387951</v>
      </c>
    </row>
    <row r="33" spans="1:16" x14ac:dyDescent="0.2">
      <c r="A33" s="16">
        <v>1</v>
      </c>
      <c r="B33" s="17">
        <f t="shared" si="0"/>
        <v>1.2970568463668286E-4</v>
      </c>
      <c r="C33" s="17">
        <f t="shared" si="1"/>
        <v>4.4760499092788566E-5</v>
      </c>
      <c r="D33" s="17">
        <f t="shared" si="2"/>
        <v>1.0039303662008338E-4</v>
      </c>
      <c r="E33" s="17">
        <f t="shared" si="3"/>
        <v>-1.7955309305150991E-6</v>
      </c>
      <c r="F33" s="10">
        <f t="shared" si="8"/>
        <v>0.93990097759567937</v>
      </c>
      <c r="K33" s="16">
        <v>1</v>
      </c>
      <c r="L33" s="17">
        <f t="shared" si="4"/>
        <v>0.16073002863361244</v>
      </c>
      <c r="M33" s="17">
        <f t="shared" si="5"/>
        <v>0.16073482029846481</v>
      </c>
      <c r="N33" s="17">
        <f t="shared" si="6"/>
        <v>0.16073482029846481</v>
      </c>
      <c r="O33" s="17">
        <f t="shared" si="7"/>
        <v>0.1607373094034856</v>
      </c>
      <c r="P33" s="10">
        <f t="shared" si="9"/>
        <v>1.184735295209036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a</vt:lpstr>
      <vt:lpstr>b</vt:lpstr>
      <vt:lpstr>c</vt:lpstr>
      <vt:lpstr>d</vt:lpstr>
      <vt:lpstr>e</vt:lpstr>
      <vt:lpstr>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2020-04-04T15:51:39Z</dcterms:created>
  <dcterms:modified xsi:type="dcterms:W3CDTF">2020-04-05T18:03:27Z</dcterms:modified>
</cp:coreProperties>
</file>