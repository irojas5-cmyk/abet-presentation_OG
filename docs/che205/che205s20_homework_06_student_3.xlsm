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pabi\Downloads\"/>
    </mc:Choice>
  </mc:AlternateContent>
  <xr:revisionPtr revIDLastSave="0" documentId="8_{3C3BC801-A76A-4511-A454-F2B7021F50CB}" xr6:coauthVersionLast="45" xr6:coauthVersionMax="45" xr10:uidLastSave="{00000000-0000-0000-0000-000000000000}"/>
  <bookViews>
    <workbookView xWindow="4050" yWindow="2550" windowWidth="16875" windowHeight="10523" activeTab="2" xr2:uid="{93B2E6AA-CC18-4006-B636-D93C02F1EEF5}"/>
  </bookViews>
  <sheets>
    <sheet name="5.9a" sheetId="1" r:id="rId1"/>
    <sheet name="5.9b" sheetId="2" r:id="rId2"/>
    <sheet name="5.9c" sheetId="3" r:id="rId3"/>
    <sheet name="5.9d" sheetId="4" r:id="rId4"/>
    <sheet name="5.9e" sheetId="5" r:id="rId5"/>
  </sheets>
  <definedNames>
    <definedName name="a">'5.9a'!$B$4</definedName>
    <definedName name="b">'5.9a'!$B$5</definedName>
    <definedName name="d">'5.9a'!$B$6</definedName>
    <definedName name="h">'5.9a'!$B$7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9" i="5" l="1"/>
  <c r="F9" i="5"/>
  <c r="D9" i="5"/>
  <c r="J9" i="5"/>
  <c r="K9" i="5"/>
  <c r="L9" i="5" s="1"/>
  <c r="M9" i="5" s="1"/>
  <c r="E9" i="5"/>
  <c r="E10" i="2"/>
  <c r="D10" i="2"/>
  <c r="C11" i="2"/>
  <c r="G10" i="2"/>
  <c r="Q10" i="2"/>
  <c r="R10" i="2"/>
  <c r="F10" i="2"/>
  <c r="P10" i="2"/>
  <c r="N11" i="2" s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0" i="1"/>
  <c r="I12" i="1"/>
  <c r="I13" i="1" s="1"/>
  <c r="K11" i="1"/>
  <c r="K12" i="1"/>
  <c r="I11" i="1"/>
  <c r="K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10" i="1"/>
  <c r="B12" i="1"/>
  <c r="B13" i="1" s="1"/>
  <c r="D11" i="1"/>
  <c r="D12" i="1"/>
  <c r="B11" i="1"/>
  <c r="D10" i="1"/>
  <c r="J11" i="1"/>
  <c r="J12" i="1" s="1"/>
  <c r="C11" i="1"/>
  <c r="A10" i="5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B7" i="5"/>
  <c r="B6" i="5"/>
  <c r="B5" i="5"/>
  <c r="B4" i="5"/>
  <c r="A11" i="2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B7" i="2"/>
  <c r="B6" i="2"/>
  <c r="B5" i="2"/>
  <c r="B4" i="2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G9" i="5" l="1"/>
  <c r="I9" i="5" s="1"/>
  <c r="C10" i="5"/>
  <c r="S11" i="2"/>
  <c r="R11" i="2"/>
  <c r="P11" i="2"/>
  <c r="N12" i="2" s="1"/>
  <c r="Q11" i="2"/>
  <c r="B11" i="2"/>
  <c r="S10" i="2"/>
  <c r="O11" i="2" s="1"/>
  <c r="O12" i="2" s="1"/>
  <c r="K13" i="1"/>
  <c r="I14" i="1" s="1"/>
  <c r="D13" i="1"/>
  <c r="B14" i="1"/>
  <c r="J13" i="1"/>
  <c r="J14" i="1" s="1"/>
  <c r="C12" i="1"/>
  <c r="B10" i="5" l="1"/>
  <c r="F10" i="5" s="1"/>
  <c r="S12" i="2"/>
  <c r="O13" i="2" s="1"/>
  <c r="R12" i="2"/>
  <c r="P12" i="2"/>
  <c r="Q12" i="2" s="1"/>
  <c r="N13" i="2" s="1"/>
  <c r="D11" i="2"/>
  <c r="E11" i="2" s="1"/>
  <c r="B12" i="2" s="1"/>
  <c r="F11" i="2"/>
  <c r="K14" i="1"/>
  <c r="I15" i="1" s="1"/>
  <c r="J15" i="1"/>
  <c r="D14" i="1"/>
  <c r="B15" i="1"/>
  <c r="C13" i="1"/>
  <c r="C14" i="1" s="1"/>
  <c r="C15" i="1" s="1"/>
  <c r="C16" i="1" s="1"/>
  <c r="E10" i="5" l="1"/>
  <c r="J10" i="5" s="1"/>
  <c r="D10" i="5"/>
  <c r="R13" i="2"/>
  <c r="P13" i="2"/>
  <c r="D12" i="2"/>
  <c r="F12" i="2"/>
  <c r="G12" i="2" s="1"/>
  <c r="G11" i="2"/>
  <c r="C12" i="2" s="1"/>
  <c r="K15" i="1"/>
  <c r="I16" i="1" s="1"/>
  <c r="J16" i="1"/>
  <c r="D15" i="1"/>
  <c r="B16" i="1" s="1"/>
  <c r="K10" i="5" l="1"/>
  <c r="L10" i="5" s="1"/>
  <c r="M10" i="5" s="1"/>
  <c r="G10" i="5"/>
  <c r="H10" i="5" s="1"/>
  <c r="I10" i="5" s="1"/>
  <c r="C13" i="2"/>
  <c r="O14" i="2"/>
  <c r="E12" i="2"/>
  <c r="B13" i="2" s="1"/>
  <c r="S13" i="2"/>
  <c r="Q13" i="2"/>
  <c r="N14" i="2" s="1"/>
  <c r="K16" i="1"/>
  <c r="I17" i="1" s="1"/>
  <c r="J17" i="1"/>
  <c r="D16" i="1"/>
  <c r="B17" i="1" s="1"/>
  <c r="C17" i="1"/>
  <c r="L32" i="5" l="1"/>
  <c r="M32" i="5" s="1"/>
  <c r="B11" i="5"/>
  <c r="C11" i="5"/>
  <c r="F13" i="2"/>
  <c r="G13" i="2" s="1"/>
  <c r="D13" i="2"/>
  <c r="E13" i="2" s="1"/>
  <c r="B14" i="2" s="1"/>
  <c r="R14" i="2"/>
  <c r="S14" i="2" s="1"/>
  <c r="O15" i="2" s="1"/>
  <c r="P14" i="2"/>
  <c r="Q14" i="2" s="1"/>
  <c r="K17" i="1"/>
  <c r="I18" i="1" s="1"/>
  <c r="J18" i="1"/>
  <c r="D17" i="1"/>
  <c r="B18" i="1"/>
  <c r="C18" i="1"/>
  <c r="C19" i="1" s="1"/>
  <c r="E11" i="5" l="1"/>
  <c r="J11" i="5" s="1"/>
  <c r="K11" i="5" s="1"/>
  <c r="L11" i="5" s="1"/>
  <c r="M11" i="5" s="1"/>
  <c r="F11" i="5"/>
  <c r="D11" i="5"/>
  <c r="C14" i="2"/>
  <c r="N15" i="2"/>
  <c r="F14" i="2"/>
  <c r="G14" i="2"/>
  <c r="D14" i="2"/>
  <c r="E14" i="2" s="1"/>
  <c r="K18" i="1"/>
  <c r="I19" i="1"/>
  <c r="J19" i="1"/>
  <c r="J20" i="1" s="1"/>
  <c r="D18" i="1"/>
  <c r="B19" i="1" s="1"/>
  <c r="G11" i="5" l="1"/>
  <c r="H11" i="5" s="1"/>
  <c r="I11" i="5" s="1"/>
  <c r="C12" i="5"/>
  <c r="R15" i="2"/>
  <c r="S15" i="2"/>
  <c r="P15" i="2"/>
  <c r="B15" i="2"/>
  <c r="C15" i="2"/>
  <c r="I20" i="1"/>
  <c r="K19" i="1"/>
  <c r="D19" i="1"/>
  <c r="B20" i="1" s="1"/>
  <c r="C20" i="1"/>
  <c r="B12" i="5" l="1"/>
  <c r="F12" i="5" s="1"/>
  <c r="L33" i="5"/>
  <c r="M33" i="5" s="1"/>
  <c r="D12" i="5"/>
  <c r="G12" i="5" s="1"/>
  <c r="H12" i="5" s="1"/>
  <c r="I12" i="5" s="1"/>
  <c r="E12" i="5"/>
  <c r="J12" i="5" s="1"/>
  <c r="O16" i="2"/>
  <c r="Q15" i="2"/>
  <c r="N16" i="2" s="1"/>
  <c r="F15" i="2"/>
  <c r="G15" i="2" s="1"/>
  <c r="D15" i="2"/>
  <c r="E15" i="2" s="1"/>
  <c r="B16" i="2" s="1"/>
  <c r="I21" i="1"/>
  <c r="K20" i="1"/>
  <c r="J21" i="1"/>
  <c r="B21" i="1"/>
  <c r="D20" i="1"/>
  <c r="C21" i="1"/>
  <c r="K12" i="5" l="1"/>
  <c r="L12" i="5" s="1"/>
  <c r="M12" i="5" s="1"/>
  <c r="B13" i="5"/>
  <c r="F13" i="5" s="1"/>
  <c r="R16" i="2"/>
  <c r="S16" i="2" s="1"/>
  <c r="P16" i="2"/>
  <c r="C16" i="2"/>
  <c r="F16" i="2"/>
  <c r="D16" i="2"/>
  <c r="E16" i="2" s="1"/>
  <c r="I22" i="1"/>
  <c r="K21" i="1"/>
  <c r="J22" i="1"/>
  <c r="C22" i="1"/>
  <c r="D21" i="1"/>
  <c r="B22" i="1" s="1"/>
  <c r="L34" i="5" l="1"/>
  <c r="M34" i="5" s="1"/>
  <c r="C13" i="5"/>
  <c r="O17" i="2"/>
  <c r="Q16" i="2"/>
  <c r="N17" i="2" s="1"/>
  <c r="B17" i="2"/>
  <c r="G16" i="2"/>
  <c r="C17" i="2" s="1"/>
  <c r="K22" i="1"/>
  <c r="I23" i="1" s="1"/>
  <c r="J23" i="1"/>
  <c r="D22" i="1"/>
  <c r="B23" i="1" s="1"/>
  <c r="C23" i="1"/>
  <c r="D13" i="5" l="1"/>
  <c r="E13" i="5"/>
  <c r="J13" i="5" s="1"/>
  <c r="K13" i="5" s="1"/>
  <c r="L13" i="5" s="1"/>
  <c r="M13" i="5" s="1"/>
  <c r="R17" i="2"/>
  <c r="S17" i="2" s="1"/>
  <c r="O18" i="2" s="1"/>
  <c r="P17" i="2"/>
  <c r="F17" i="2"/>
  <c r="D17" i="2"/>
  <c r="E17" i="2" s="1"/>
  <c r="K23" i="1"/>
  <c r="I24" i="1" s="1"/>
  <c r="J24" i="1"/>
  <c r="D23" i="1"/>
  <c r="B24" i="1" s="1"/>
  <c r="C24" i="1"/>
  <c r="L35" i="5" l="1"/>
  <c r="C14" i="5"/>
  <c r="G13" i="5"/>
  <c r="Q17" i="2"/>
  <c r="N18" i="2" s="1"/>
  <c r="B18" i="2"/>
  <c r="G17" i="2"/>
  <c r="C18" i="2" s="1"/>
  <c r="K24" i="1"/>
  <c r="I25" i="1"/>
  <c r="J25" i="1"/>
  <c r="D24" i="1"/>
  <c r="B25" i="1" s="1"/>
  <c r="C25" i="1"/>
  <c r="M35" i="5" l="1"/>
  <c r="L36" i="5"/>
  <c r="M36" i="5" s="1"/>
  <c r="H13" i="5"/>
  <c r="I13" i="5" s="1"/>
  <c r="R18" i="2"/>
  <c r="S18" i="2"/>
  <c r="P18" i="2"/>
  <c r="Q18" i="2" s="1"/>
  <c r="F18" i="2"/>
  <c r="D18" i="2"/>
  <c r="E18" i="2" s="1"/>
  <c r="B19" i="2" s="1"/>
  <c r="I26" i="1"/>
  <c r="K25" i="1"/>
  <c r="J26" i="1"/>
  <c r="D25" i="1"/>
  <c r="B26" i="1" s="1"/>
  <c r="C26" i="1"/>
  <c r="B14" i="5" l="1"/>
  <c r="F14" i="5" s="1"/>
  <c r="O19" i="2"/>
  <c r="N19" i="2"/>
  <c r="F19" i="2"/>
  <c r="G19" i="2" s="1"/>
  <c r="D19" i="2"/>
  <c r="G18" i="2"/>
  <c r="C19" i="2" s="1"/>
  <c r="K26" i="1"/>
  <c r="I27" i="1" s="1"/>
  <c r="J27" i="1"/>
  <c r="D26" i="1"/>
  <c r="B27" i="1"/>
  <c r="C27" i="1"/>
  <c r="C28" i="1" s="1"/>
  <c r="E14" i="5" l="1"/>
  <c r="D14" i="5"/>
  <c r="G14" i="5" s="1"/>
  <c r="H14" i="5" s="1"/>
  <c r="I14" i="5" s="1"/>
  <c r="R19" i="2"/>
  <c r="S19" i="2" s="1"/>
  <c r="O20" i="2" s="1"/>
  <c r="P19" i="2"/>
  <c r="C20" i="2"/>
  <c r="E19" i="2"/>
  <c r="B20" i="2" s="1"/>
  <c r="I28" i="1"/>
  <c r="K27" i="1"/>
  <c r="J28" i="1"/>
  <c r="D27" i="1"/>
  <c r="B28" i="1" s="1"/>
  <c r="L37" i="5" l="1"/>
  <c r="M37" i="5" s="1"/>
  <c r="B15" i="5"/>
  <c r="F15" i="5" s="1"/>
  <c r="J14" i="5"/>
  <c r="Q19" i="2"/>
  <c r="N20" i="2" s="1"/>
  <c r="F20" i="2"/>
  <c r="G20" i="2" s="1"/>
  <c r="D20" i="2"/>
  <c r="J29" i="1"/>
  <c r="K28" i="1"/>
  <c r="I29" i="1" s="1"/>
  <c r="D28" i="1"/>
  <c r="B29" i="1" s="1"/>
  <c r="C29" i="1"/>
  <c r="L38" i="5" l="1"/>
  <c r="M38" i="5" s="1"/>
  <c r="K14" i="5"/>
  <c r="L14" i="5" s="1"/>
  <c r="M14" i="5" s="1"/>
  <c r="C21" i="2"/>
  <c r="R20" i="2"/>
  <c r="P20" i="2"/>
  <c r="E20" i="2"/>
  <c r="B21" i="2" s="1"/>
  <c r="I30" i="1"/>
  <c r="K29" i="1"/>
  <c r="J30" i="1"/>
  <c r="D29" i="1"/>
  <c r="B30" i="1" s="1"/>
  <c r="D30" i="1" s="1"/>
  <c r="C30" i="1"/>
  <c r="C15" i="5" l="1"/>
  <c r="E15" i="5"/>
  <c r="J15" i="5" s="1"/>
  <c r="K15" i="5" s="1"/>
  <c r="L15" i="5" s="1"/>
  <c r="M15" i="5" s="1"/>
  <c r="D15" i="5"/>
  <c r="S20" i="2"/>
  <c r="O21" i="2" s="1"/>
  <c r="Q20" i="2"/>
  <c r="N21" i="2" s="1"/>
  <c r="F21" i="2"/>
  <c r="G21" i="2" s="1"/>
  <c r="D21" i="2"/>
  <c r="E21" i="2" s="1"/>
  <c r="K30" i="1"/>
  <c r="I31" i="1" s="1"/>
  <c r="J31" i="1"/>
  <c r="L39" i="5" l="1"/>
  <c r="M39" i="5" s="1"/>
  <c r="C16" i="5"/>
  <c r="G15" i="5"/>
  <c r="H15" i="5" s="1"/>
  <c r="I15" i="5" s="1"/>
  <c r="R21" i="2"/>
  <c r="O22" i="2" s="1"/>
  <c r="S21" i="2"/>
  <c r="P21" i="2"/>
  <c r="Q21" i="2" s="1"/>
  <c r="B22" i="2"/>
  <c r="C22" i="2"/>
  <c r="K31" i="1"/>
  <c r="I32" i="1"/>
  <c r="J32" i="1"/>
  <c r="B16" i="5" l="1"/>
  <c r="F16" i="5" s="1"/>
  <c r="N22" i="2"/>
  <c r="F22" i="2"/>
  <c r="G22" i="2" s="1"/>
  <c r="D22" i="2"/>
  <c r="K32" i="1"/>
  <c r="I33" i="1"/>
  <c r="J33" i="1"/>
  <c r="J34" i="1" s="1"/>
  <c r="L40" i="5" l="1"/>
  <c r="M40" i="5" s="1"/>
  <c r="D16" i="5"/>
  <c r="R22" i="2"/>
  <c r="P22" i="2"/>
  <c r="Q22" i="2" s="1"/>
  <c r="C23" i="2"/>
  <c r="E22" i="2"/>
  <c r="B23" i="2" s="1"/>
  <c r="K33" i="1"/>
  <c r="I34" i="1" s="1"/>
  <c r="E16" i="5" l="1"/>
  <c r="G16" i="5"/>
  <c r="H16" i="5" s="1"/>
  <c r="I16" i="5" s="1"/>
  <c r="S22" i="2"/>
  <c r="O23" i="2" s="1"/>
  <c r="N23" i="2"/>
  <c r="F23" i="2"/>
  <c r="D23" i="2"/>
  <c r="E23" i="2" s="1"/>
  <c r="K34" i="1"/>
  <c r="I35" i="1" s="1"/>
  <c r="J35" i="1"/>
  <c r="B17" i="5" l="1"/>
  <c r="F17" i="5" s="1"/>
  <c r="J16" i="5"/>
  <c r="R23" i="2"/>
  <c r="P23" i="2"/>
  <c r="Q23" i="2" s="1"/>
  <c r="B24" i="2"/>
  <c r="G23" i="2"/>
  <c r="C24" i="2" s="1"/>
  <c r="K35" i="1"/>
  <c r="I36" i="1" s="1"/>
  <c r="J36" i="1"/>
  <c r="K16" i="5" l="1"/>
  <c r="L16" i="5" s="1"/>
  <c r="M16" i="5" s="1"/>
  <c r="C17" i="5" s="1"/>
  <c r="D17" i="5"/>
  <c r="G17" i="5" s="1"/>
  <c r="H17" i="5" s="1"/>
  <c r="I17" i="5" s="1"/>
  <c r="E17" i="5"/>
  <c r="J17" i="5" s="1"/>
  <c r="K17" i="5" s="1"/>
  <c r="L17" i="5" s="1"/>
  <c r="M17" i="5" s="1"/>
  <c r="O24" i="2"/>
  <c r="S23" i="2"/>
  <c r="N24" i="2"/>
  <c r="F24" i="2"/>
  <c r="G24" i="2" s="1"/>
  <c r="C25" i="2" s="1"/>
  <c r="D24" i="2"/>
  <c r="E24" i="2" s="1"/>
  <c r="K36" i="1"/>
  <c r="I37" i="1" s="1"/>
  <c r="J37" i="1"/>
  <c r="L41" i="5" l="1"/>
  <c r="M41" i="5" s="1"/>
  <c r="L42" i="5"/>
  <c r="M42" i="5" s="1"/>
  <c r="C18" i="5"/>
  <c r="B18" i="5"/>
  <c r="F18" i="5" s="1"/>
  <c r="R24" i="2"/>
  <c r="P24" i="2"/>
  <c r="B25" i="2"/>
  <c r="K37" i="1"/>
  <c r="I38" i="1" s="1"/>
  <c r="J38" i="1"/>
  <c r="S24" i="2" l="1"/>
  <c r="O25" i="2" s="1"/>
  <c r="Q24" i="2"/>
  <c r="N25" i="2" s="1"/>
  <c r="F25" i="2"/>
  <c r="D25" i="2"/>
  <c r="E25" i="2" s="1"/>
  <c r="K38" i="1"/>
  <c r="I39" i="1" s="1"/>
  <c r="J39" i="1"/>
  <c r="D18" i="5" l="1"/>
  <c r="E18" i="5"/>
  <c r="J18" i="5" s="1"/>
  <c r="O26" i="2"/>
  <c r="R25" i="2"/>
  <c r="S25" i="2"/>
  <c r="P25" i="2"/>
  <c r="B26" i="2"/>
  <c r="G25" i="2"/>
  <c r="C26" i="2" s="1"/>
  <c r="K39" i="1"/>
  <c r="I40" i="1" s="1"/>
  <c r="J40" i="1"/>
  <c r="K18" i="5" l="1"/>
  <c r="L18" i="5" s="1"/>
  <c r="M18" i="5" s="1"/>
  <c r="G18" i="5"/>
  <c r="H18" i="5" s="1"/>
  <c r="I18" i="5" s="1"/>
  <c r="Q25" i="2"/>
  <c r="N26" i="2" s="1"/>
  <c r="F26" i="2"/>
  <c r="D26" i="2"/>
  <c r="E26" i="2" s="1"/>
  <c r="K40" i="1"/>
  <c r="I41" i="1"/>
  <c r="J41" i="1"/>
  <c r="J42" i="1" s="1"/>
  <c r="L43" i="5" l="1"/>
  <c r="M43" i="5" s="1"/>
  <c r="C19" i="5"/>
  <c r="B19" i="5"/>
  <c r="F19" i="5" s="1"/>
  <c r="R26" i="2"/>
  <c r="S26" i="2" s="1"/>
  <c r="P26" i="2"/>
  <c r="B27" i="2"/>
  <c r="G26" i="2"/>
  <c r="C27" i="2" s="1"/>
  <c r="K41" i="1"/>
  <c r="I42" i="1" s="1"/>
  <c r="L44" i="5" l="1"/>
  <c r="M44" i="5" s="1"/>
  <c r="O27" i="2"/>
  <c r="Q26" i="2"/>
  <c r="N27" i="2" s="1"/>
  <c r="F27" i="2"/>
  <c r="D27" i="2"/>
  <c r="E27" i="2" s="1"/>
  <c r="B28" i="2" s="1"/>
  <c r="K42" i="1"/>
  <c r="I43" i="1"/>
  <c r="J43" i="1"/>
  <c r="E19" i="5" l="1"/>
  <c r="J19" i="5" s="1"/>
  <c r="D19" i="5"/>
  <c r="R27" i="2"/>
  <c r="S27" i="2" s="1"/>
  <c r="P27" i="2"/>
  <c r="F28" i="2"/>
  <c r="G28" i="2" s="1"/>
  <c r="D28" i="2"/>
  <c r="G27" i="2"/>
  <c r="C28" i="2" s="1"/>
  <c r="J44" i="1"/>
  <c r="K43" i="1"/>
  <c r="I44" i="1" s="1"/>
  <c r="K19" i="5" l="1"/>
  <c r="L19" i="5" s="1"/>
  <c r="M19" i="5" s="1"/>
  <c r="G19" i="5"/>
  <c r="O28" i="2"/>
  <c r="Q27" i="2"/>
  <c r="N28" i="2" s="1"/>
  <c r="C29" i="2"/>
  <c r="E28" i="2"/>
  <c r="B29" i="2" s="1"/>
  <c r="I45" i="1"/>
  <c r="K44" i="1"/>
  <c r="J45" i="1"/>
  <c r="J46" i="1" s="1"/>
  <c r="C20" i="5" l="1"/>
  <c r="L45" i="5"/>
  <c r="M45" i="5" s="1"/>
  <c r="H19" i="5"/>
  <c r="I19" i="5" s="1"/>
  <c r="R28" i="2"/>
  <c r="S28" i="2"/>
  <c r="O29" i="2" s="1"/>
  <c r="P28" i="2"/>
  <c r="F29" i="2"/>
  <c r="D29" i="2"/>
  <c r="E29" i="2" s="1"/>
  <c r="K45" i="1"/>
  <c r="I46" i="1"/>
  <c r="L46" i="5" l="1"/>
  <c r="M46" i="5" s="1"/>
  <c r="B20" i="5"/>
  <c r="F20" i="5" s="1"/>
  <c r="D20" i="5"/>
  <c r="Q28" i="2"/>
  <c r="N29" i="2" s="1"/>
  <c r="B30" i="2"/>
  <c r="G29" i="2"/>
  <c r="C30" i="2" s="1"/>
  <c r="K46" i="1"/>
  <c r="I47" i="1" s="1"/>
  <c r="J47" i="1"/>
  <c r="G20" i="5" l="1"/>
  <c r="H20" i="5" s="1"/>
  <c r="I20" i="5" s="1"/>
  <c r="E20" i="5"/>
  <c r="J20" i="5" s="1"/>
  <c r="S29" i="2"/>
  <c r="R29" i="2"/>
  <c r="P29" i="2"/>
  <c r="F30" i="2"/>
  <c r="G30" i="2" s="1"/>
  <c r="D30" i="2"/>
  <c r="E30" i="2" s="1"/>
  <c r="K47" i="1"/>
  <c r="I48" i="1" s="1"/>
  <c r="J48" i="1"/>
  <c r="B21" i="5" l="1"/>
  <c r="F21" i="5" s="1"/>
  <c r="K20" i="5"/>
  <c r="L20" i="5" s="1"/>
  <c r="M20" i="5" s="1"/>
  <c r="C21" i="5" s="1"/>
  <c r="O30" i="2"/>
  <c r="Q29" i="2"/>
  <c r="N30" i="2" s="1"/>
  <c r="K48" i="1"/>
  <c r="I49" i="1"/>
  <c r="J49" i="1"/>
  <c r="J50" i="1" s="1"/>
  <c r="L47" i="5" l="1"/>
  <c r="M47" i="5" s="1"/>
  <c r="D21" i="5"/>
  <c r="E21" i="5"/>
  <c r="J21" i="5" s="1"/>
  <c r="K21" i="5" s="1"/>
  <c r="L21" i="5" s="1"/>
  <c r="M21" i="5" s="1"/>
  <c r="S30" i="2"/>
  <c r="O31" i="2" s="1"/>
  <c r="R30" i="2"/>
  <c r="P30" i="2"/>
  <c r="Q30" i="2" s="1"/>
  <c r="K49" i="1"/>
  <c r="I50" i="1"/>
  <c r="C22" i="5" l="1"/>
  <c r="G21" i="5"/>
  <c r="H21" i="5" s="1"/>
  <c r="I21" i="5" s="1"/>
  <c r="N31" i="2"/>
  <c r="K50" i="1"/>
  <c r="I51" i="1"/>
  <c r="J51" i="1"/>
  <c r="J52" i="1" s="1"/>
  <c r="L48" i="5" l="1"/>
  <c r="M48" i="5" s="1"/>
  <c r="B22" i="5"/>
  <c r="F22" i="5" s="1"/>
  <c r="R31" i="2"/>
  <c r="P31" i="2"/>
  <c r="Q31" i="2" s="1"/>
  <c r="K51" i="1"/>
  <c r="I52" i="1" s="1"/>
  <c r="L49" i="5" l="1"/>
  <c r="M49" i="5" s="1"/>
  <c r="D22" i="5"/>
  <c r="G22" i="5" s="1"/>
  <c r="H22" i="5" s="1"/>
  <c r="I22" i="5" s="1"/>
  <c r="E22" i="5"/>
  <c r="J22" i="5" s="1"/>
  <c r="S31" i="2"/>
  <c r="O32" i="2" s="1"/>
  <c r="N32" i="2"/>
  <c r="K52" i="1"/>
  <c r="I53" i="1" s="1"/>
  <c r="J53" i="1"/>
  <c r="L50" i="5" l="1"/>
  <c r="M50" i="5" s="1"/>
  <c r="K22" i="5"/>
  <c r="L22" i="5" s="1"/>
  <c r="M22" i="5" s="1"/>
  <c r="B23" i="5"/>
  <c r="F23" i="5" s="1"/>
  <c r="R32" i="2"/>
  <c r="P32" i="2"/>
  <c r="K53" i="1"/>
  <c r="I54" i="1" s="1"/>
  <c r="J54" i="1"/>
  <c r="C23" i="5" l="1"/>
  <c r="S32" i="2"/>
  <c r="O33" i="2" s="1"/>
  <c r="Q32" i="2"/>
  <c r="N33" i="2" s="1"/>
  <c r="K54" i="1"/>
  <c r="I55" i="1" s="1"/>
  <c r="J55" i="1"/>
  <c r="E23" i="5" l="1"/>
  <c r="J23" i="5" s="1"/>
  <c r="K23" i="5" s="1"/>
  <c r="L23" i="5" s="1"/>
  <c r="M23" i="5" s="1"/>
  <c r="D23" i="5"/>
  <c r="R33" i="2"/>
  <c r="P33" i="2"/>
  <c r="Q33" i="2" s="1"/>
  <c r="K55" i="1"/>
  <c r="I56" i="1"/>
  <c r="J56" i="1"/>
  <c r="J57" i="1" s="1"/>
  <c r="L51" i="5" l="1"/>
  <c r="M51" i="5" s="1"/>
  <c r="C24" i="5"/>
  <c r="G23" i="5"/>
  <c r="H23" i="5" s="1"/>
  <c r="I23" i="5" s="1"/>
  <c r="S33" i="2"/>
  <c r="O34" i="2" s="1"/>
  <c r="N34" i="2"/>
  <c r="K56" i="1"/>
  <c r="I57" i="1"/>
  <c r="B24" i="5" l="1"/>
  <c r="F24" i="5" s="1"/>
  <c r="R34" i="2"/>
  <c r="P34" i="2"/>
  <c r="Q34" i="2" s="1"/>
  <c r="K57" i="1"/>
  <c r="I58" i="1" s="1"/>
  <c r="J58" i="1"/>
  <c r="D24" i="5" l="1"/>
  <c r="E24" i="5"/>
  <c r="J24" i="5" s="1"/>
  <c r="S34" i="2"/>
  <c r="O35" i="2" s="1"/>
  <c r="N35" i="2"/>
  <c r="K58" i="1"/>
  <c r="I59" i="1"/>
  <c r="J59" i="1"/>
  <c r="J60" i="1" s="1"/>
  <c r="L52" i="5" l="1"/>
  <c r="M52" i="5" s="1"/>
  <c r="L53" i="5"/>
  <c r="M53" i="5" s="1"/>
  <c r="K24" i="5"/>
  <c r="L24" i="5" s="1"/>
  <c r="M24" i="5" s="1"/>
  <c r="R35" i="2"/>
  <c r="P35" i="2"/>
  <c r="K59" i="1"/>
  <c r="I60" i="1" s="1"/>
  <c r="C25" i="5" l="1"/>
  <c r="G24" i="5"/>
  <c r="H24" i="5" s="1"/>
  <c r="S35" i="2"/>
  <c r="O36" i="2" s="1"/>
  <c r="Q35" i="2"/>
  <c r="N36" i="2" s="1"/>
  <c r="K60" i="1"/>
  <c r="I61" i="1" s="1"/>
  <c r="J61" i="1"/>
  <c r="I24" i="5" l="1"/>
  <c r="B25" i="5" s="1"/>
  <c r="F25" i="5" s="1"/>
  <c r="R36" i="2"/>
  <c r="S36" i="2" s="1"/>
  <c r="P36" i="2"/>
  <c r="K61" i="1"/>
  <c r="I62" i="1" s="1"/>
  <c r="J62" i="1"/>
  <c r="D25" i="5" l="1"/>
  <c r="G25" i="5" s="1"/>
  <c r="H25" i="5" s="1"/>
  <c r="I25" i="5" s="1"/>
  <c r="E25" i="5"/>
  <c r="J25" i="5" s="1"/>
  <c r="O37" i="2"/>
  <c r="Q36" i="2"/>
  <c r="N37" i="2" s="1"/>
  <c r="K62" i="1"/>
  <c r="I63" i="1" s="1"/>
  <c r="J63" i="1"/>
  <c r="L54" i="5" l="1"/>
  <c r="M54" i="5" s="1"/>
  <c r="K25" i="5"/>
  <c r="L25" i="5" s="1"/>
  <c r="M25" i="5" s="1"/>
  <c r="B26" i="5"/>
  <c r="F26" i="5" s="1"/>
  <c r="D26" i="5"/>
  <c r="G26" i="5" s="1"/>
  <c r="H26" i="5" s="1"/>
  <c r="I26" i="5" s="1"/>
  <c r="S37" i="2"/>
  <c r="R37" i="2"/>
  <c r="O38" i="2" s="1"/>
  <c r="P37" i="2"/>
  <c r="Q37" i="2" s="1"/>
  <c r="K63" i="1"/>
  <c r="I64" i="1" s="1"/>
  <c r="J64" i="1"/>
  <c r="E26" i="5" l="1"/>
  <c r="J26" i="5" s="1"/>
  <c r="K26" i="5" s="1"/>
  <c r="L26" i="5" s="1"/>
  <c r="M26" i="5" s="1"/>
  <c r="C26" i="5"/>
  <c r="B27" i="5"/>
  <c r="F27" i="5" s="1"/>
  <c r="N38" i="2"/>
  <c r="K64" i="1"/>
  <c r="I65" i="1"/>
  <c r="J65" i="1"/>
  <c r="J66" i="1" s="1"/>
  <c r="L55" i="5" l="1"/>
  <c r="M55" i="5" s="1"/>
  <c r="C27" i="5"/>
  <c r="D27" i="5"/>
  <c r="E27" i="5"/>
  <c r="J27" i="5" s="1"/>
  <c r="K27" i="5" s="1"/>
  <c r="L27" i="5" s="1"/>
  <c r="M27" i="5" s="1"/>
  <c r="R38" i="2"/>
  <c r="P38" i="2"/>
  <c r="Q38" i="2" s="1"/>
  <c r="K65" i="1"/>
  <c r="I66" i="1"/>
  <c r="C28" i="5" l="1"/>
  <c r="G27" i="5"/>
  <c r="H27" i="5" s="1"/>
  <c r="I27" i="5" s="1"/>
  <c r="S38" i="2"/>
  <c r="O39" i="2" s="1"/>
  <c r="N39" i="2"/>
  <c r="K66" i="1"/>
  <c r="I67" i="1"/>
  <c r="J67" i="1"/>
  <c r="J68" i="1" s="1"/>
  <c r="L56" i="5" l="1"/>
  <c r="M56" i="5" s="1"/>
  <c r="B28" i="5"/>
  <c r="F28" i="5" s="1"/>
  <c r="S39" i="2"/>
  <c r="R39" i="2"/>
  <c r="O40" i="2" s="1"/>
  <c r="P39" i="2"/>
  <c r="K67" i="1"/>
  <c r="I68" i="1" s="1"/>
  <c r="L57" i="5" l="1"/>
  <c r="M57" i="5" s="1"/>
  <c r="E28" i="5"/>
  <c r="J28" i="5" s="1"/>
  <c r="K28" i="5" s="1"/>
  <c r="L28" i="5" s="1"/>
  <c r="M28" i="5" s="1"/>
  <c r="D28" i="5"/>
  <c r="G28" i="5" s="1"/>
  <c r="H28" i="5" s="1"/>
  <c r="I28" i="5" s="1"/>
  <c r="Q39" i="2"/>
  <c r="N40" i="2" s="1"/>
  <c r="K68" i="1"/>
  <c r="I69" i="1" s="1"/>
  <c r="J69" i="1"/>
  <c r="C29" i="5" l="1"/>
  <c r="B29" i="5"/>
  <c r="F29" i="5" s="1"/>
  <c r="R40" i="2"/>
  <c r="S40" i="2" s="1"/>
  <c r="P40" i="2"/>
  <c r="Q40" i="2" s="1"/>
  <c r="K69" i="1"/>
  <c r="I70" i="1" s="1"/>
  <c r="J70" i="1"/>
  <c r="D29" i="5" l="1"/>
  <c r="E29" i="5"/>
  <c r="J29" i="5" s="1"/>
  <c r="K29" i="5" s="1"/>
  <c r="L29" i="5" s="1"/>
  <c r="M29" i="5" s="1"/>
  <c r="O41" i="2"/>
  <c r="N41" i="2"/>
  <c r="K70" i="1"/>
  <c r="I71" i="1" s="1"/>
  <c r="J71" i="1"/>
  <c r="L58" i="5" l="1"/>
  <c r="M58" i="5" s="1"/>
  <c r="G29" i="5"/>
  <c r="R41" i="2"/>
  <c r="S41" i="2" s="1"/>
  <c r="O42" i="2" s="1"/>
  <c r="P41" i="2"/>
  <c r="K71" i="1"/>
  <c r="I72" i="1"/>
  <c r="J72" i="1"/>
  <c r="L59" i="5" l="1"/>
  <c r="M59" i="5" s="1"/>
  <c r="H29" i="5"/>
  <c r="I29" i="5" s="1"/>
  <c r="Q41" i="2"/>
  <c r="N42" i="2" s="1"/>
  <c r="J73" i="1"/>
  <c r="K72" i="1"/>
  <c r="I73" i="1"/>
  <c r="R42" i="2" l="1"/>
  <c r="P42" i="2"/>
  <c r="K73" i="1"/>
  <c r="I74" i="1"/>
  <c r="J74" i="1"/>
  <c r="J75" i="1" s="1"/>
  <c r="S42" i="2" l="1"/>
  <c r="O43" i="2" s="1"/>
  <c r="Q42" i="2"/>
  <c r="N43" i="2" s="1"/>
  <c r="K74" i="1"/>
  <c r="I75" i="1"/>
  <c r="L60" i="5" l="1"/>
  <c r="M60" i="5" s="1"/>
  <c r="R43" i="2"/>
  <c r="P43" i="2"/>
  <c r="K75" i="1"/>
  <c r="I76" i="1" s="1"/>
  <c r="J76" i="1"/>
  <c r="L61" i="5" l="1"/>
  <c r="M61" i="5" s="1"/>
  <c r="S43" i="2"/>
  <c r="O44" i="2" s="1"/>
  <c r="Q43" i="2"/>
  <c r="N44" i="2" s="1"/>
  <c r="K76" i="1"/>
  <c r="I77" i="1" s="1"/>
  <c r="J77" i="1"/>
  <c r="S44" i="2" l="1"/>
  <c r="R44" i="2"/>
  <c r="O45" i="2" s="1"/>
  <c r="P44" i="2"/>
  <c r="K77" i="1"/>
  <c r="I78" i="1"/>
  <c r="J78" i="1"/>
  <c r="J79" i="1" s="1"/>
  <c r="L62" i="5" l="1"/>
  <c r="M62" i="5" s="1"/>
  <c r="Q44" i="2"/>
  <c r="N45" i="2" s="1"/>
  <c r="K78" i="1"/>
  <c r="I79" i="1"/>
  <c r="R45" i="2" l="1"/>
  <c r="S45" i="2"/>
  <c r="P45" i="2"/>
  <c r="K79" i="1"/>
  <c r="I80" i="1"/>
  <c r="J80" i="1"/>
  <c r="J81" i="1" s="1"/>
  <c r="L63" i="5" l="1"/>
  <c r="M63" i="5" s="1"/>
  <c r="O46" i="2"/>
  <c r="Q45" i="2"/>
  <c r="N46" i="2" s="1"/>
  <c r="K80" i="1"/>
  <c r="I81" i="1" s="1"/>
  <c r="S46" i="2" l="1"/>
  <c r="O47" i="2" s="1"/>
  <c r="R46" i="2"/>
  <c r="P46" i="2"/>
  <c r="Q46" i="2" s="1"/>
  <c r="K81" i="1"/>
  <c r="I82" i="1"/>
  <c r="J82" i="1"/>
  <c r="J83" i="1" s="1"/>
  <c r="N47" i="2" l="1"/>
  <c r="K82" i="1"/>
  <c r="I83" i="1"/>
  <c r="R47" i="2" l="1"/>
  <c r="P47" i="2"/>
  <c r="Q47" i="2" s="1"/>
  <c r="K83" i="1"/>
  <c r="I84" i="1" s="1"/>
  <c r="J84" i="1"/>
  <c r="L64" i="5" l="1"/>
  <c r="M64" i="5" s="1"/>
  <c r="S47" i="2"/>
  <c r="O48" i="2" s="1"/>
  <c r="N48" i="2"/>
  <c r="K84" i="1"/>
  <c r="I85" i="1" s="1"/>
  <c r="J85" i="1"/>
  <c r="R48" i="2" l="1"/>
  <c r="O49" i="2" s="1"/>
  <c r="S48" i="2"/>
  <c r="P48" i="2"/>
  <c r="K85" i="1"/>
  <c r="I86" i="1" s="1"/>
  <c r="J86" i="1"/>
  <c r="Q48" i="2" l="1"/>
  <c r="N49" i="2" s="1"/>
  <c r="K86" i="1"/>
  <c r="I87" i="1" s="1"/>
  <c r="J87" i="1"/>
  <c r="L65" i="5" l="1"/>
  <c r="M65" i="5" s="1"/>
  <c r="S49" i="2"/>
  <c r="R49" i="2"/>
  <c r="P49" i="2"/>
  <c r="K87" i="1"/>
  <c r="I88" i="1" s="1"/>
  <c r="J88" i="1"/>
  <c r="L66" i="5" l="1"/>
  <c r="M66" i="5" s="1"/>
  <c r="O50" i="2"/>
  <c r="Q49" i="2"/>
  <c r="N50" i="2" s="1"/>
  <c r="K88" i="1"/>
  <c r="I89" i="1"/>
  <c r="J89" i="1"/>
  <c r="J90" i="1" s="1"/>
  <c r="R50" i="2" l="1"/>
  <c r="S50" i="2" s="1"/>
  <c r="O51" i="2" s="1"/>
  <c r="P50" i="2"/>
  <c r="Q50" i="2" s="1"/>
  <c r="K89" i="1"/>
  <c r="I90" i="1"/>
  <c r="N51" i="2" l="1"/>
  <c r="K90" i="1"/>
  <c r="I91" i="1"/>
  <c r="J91" i="1"/>
  <c r="J92" i="1" s="1"/>
  <c r="L67" i="5" l="1"/>
  <c r="M67" i="5" s="1"/>
  <c r="R51" i="2"/>
  <c r="P51" i="2"/>
  <c r="K91" i="1"/>
  <c r="I92" i="1" s="1"/>
  <c r="S51" i="2" l="1"/>
  <c r="O52" i="2" s="1"/>
  <c r="Q51" i="2"/>
  <c r="N52" i="2" s="1"/>
  <c r="K92" i="1"/>
  <c r="I93" i="1" s="1"/>
  <c r="J93" i="1"/>
  <c r="L68" i="5" l="1"/>
  <c r="M68" i="5" s="1"/>
  <c r="R52" i="2"/>
  <c r="O53" i="2" s="1"/>
  <c r="S52" i="2"/>
  <c r="P52" i="2"/>
  <c r="K93" i="1"/>
  <c r="I94" i="1" s="1"/>
  <c r="J94" i="1"/>
  <c r="L69" i="5" l="1"/>
  <c r="M69" i="5" s="1"/>
  <c r="Q52" i="2"/>
  <c r="N53" i="2" s="1"/>
  <c r="K94" i="1"/>
  <c r="I95" i="1"/>
  <c r="J95" i="1"/>
  <c r="J96" i="1" s="1"/>
  <c r="R53" i="2" l="1"/>
  <c r="P53" i="2"/>
  <c r="Q53" i="2" s="1"/>
  <c r="K95" i="1"/>
  <c r="I96" i="1"/>
  <c r="L70" i="5" l="1"/>
  <c r="M70" i="5" s="1"/>
  <c r="S53" i="2"/>
  <c r="O54" i="2" s="1"/>
  <c r="N54" i="2"/>
  <c r="K96" i="1"/>
  <c r="I97" i="1"/>
  <c r="J97" i="1"/>
  <c r="J98" i="1" s="1"/>
  <c r="L71" i="5" l="1"/>
  <c r="M71" i="5" s="1"/>
  <c r="R54" i="2"/>
  <c r="P54" i="2"/>
  <c r="K97" i="1"/>
  <c r="I98" i="1" s="1"/>
  <c r="S54" i="2" l="1"/>
  <c r="O55" i="2" s="1"/>
  <c r="Q54" i="2"/>
  <c r="N55" i="2" s="1"/>
  <c r="K98" i="1"/>
  <c r="I99" i="1"/>
  <c r="J99" i="1"/>
  <c r="J100" i="1" s="1"/>
  <c r="R55" i="2" l="1"/>
  <c r="P55" i="2"/>
  <c r="K99" i="1"/>
  <c r="I100" i="1" s="1"/>
  <c r="S55" i="2" l="1"/>
  <c r="O56" i="2" s="1"/>
  <c r="Q55" i="2"/>
  <c r="N56" i="2" s="1"/>
  <c r="K100" i="1"/>
  <c r="I101" i="1" s="1"/>
  <c r="J101" i="1"/>
  <c r="L72" i="5" l="1"/>
  <c r="M72" i="5" s="1"/>
  <c r="R56" i="2"/>
  <c r="O57" i="2" s="1"/>
  <c r="S56" i="2"/>
  <c r="P56" i="2"/>
  <c r="Q56" i="2" s="1"/>
  <c r="K101" i="1"/>
  <c r="I102" i="1" s="1"/>
  <c r="J102" i="1"/>
  <c r="L73" i="5" l="1"/>
  <c r="M73" i="5" s="1"/>
  <c r="N57" i="2"/>
  <c r="K102" i="1"/>
  <c r="I103" i="1" s="1"/>
  <c r="J103" i="1"/>
  <c r="R57" i="2" l="1"/>
  <c r="S57" i="2" s="1"/>
  <c r="P57" i="2"/>
  <c r="K103" i="1"/>
  <c r="I104" i="1"/>
  <c r="J104" i="1"/>
  <c r="J105" i="1" s="1"/>
  <c r="O58" i="2" l="1"/>
  <c r="Q57" i="2"/>
  <c r="N58" i="2" s="1"/>
  <c r="K104" i="1"/>
  <c r="I105" i="1"/>
  <c r="L74" i="5" l="1"/>
  <c r="M74" i="5" s="1"/>
  <c r="R58" i="2"/>
  <c r="O59" i="2" s="1"/>
  <c r="S58" i="2"/>
  <c r="P58" i="2"/>
  <c r="K105" i="1"/>
  <c r="I106" i="1"/>
  <c r="J106" i="1"/>
  <c r="J107" i="1" s="1"/>
  <c r="L75" i="5" l="1"/>
  <c r="M75" i="5" s="1"/>
  <c r="Q58" i="2"/>
  <c r="N59" i="2" s="1"/>
  <c r="K106" i="1"/>
  <c r="I107" i="1"/>
  <c r="L76" i="5" l="1"/>
  <c r="M76" i="5" s="1"/>
  <c r="R59" i="2"/>
  <c r="P59" i="2"/>
  <c r="K107" i="1"/>
  <c r="I108" i="1" s="1"/>
  <c r="J108" i="1"/>
  <c r="S59" i="2" l="1"/>
  <c r="O60" i="2" s="1"/>
  <c r="Q59" i="2"/>
  <c r="N60" i="2" s="1"/>
  <c r="K108" i="1"/>
  <c r="I109" i="1" s="1"/>
  <c r="J109" i="1"/>
  <c r="R60" i="2" l="1"/>
  <c r="O61" i="2" s="1"/>
  <c r="S60" i="2"/>
  <c r="P60" i="2"/>
  <c r="K109" i="1"/>
  <c r="I110" i="1" s="1"/>
  <c r="K110" i="1" s="1"/>
  <c r="J110" i="1"/>
  <c r="Q60" i="2" l="1"/>
  <c r="N61" i="2" s="1"/>
  <c r="L77" i="5" l="1"/>
  <c r="M77" i="5" s="1"/>
  <c r="R61" i="2"/>
  <c r="S61" i="2"/>
  <c r="P61" i="2"/>
  <c r="L78" i="5" l="1"/>
  <c r="M78" i="5" s="1"/>
  <c r="O62" i="2"/>
  <c r="Q61" i="2"/>
  <c r="N62" i="2" s="1"/>
  <c r="L79" i="5" l="1"/>
  <c r="M79" i="5" s="1"/>
  <c r="R62" i="2"/>
  <c r="S62" i="2" s="1"/>
  <c r="P62" i="2"/>
  <c r="O63" i="2" l="1"/>
  <c r="Q62" i="2"/>
  <c r="N63" i="2" s="1"/>
  <c r="R63" i="2" l="1"/>
  <c r="P63" i="2"/>
  <c r="O64" i="2" l="1"/>
  <c r="S63" i="2"/>
  <c r="Q63" i="2"/>
  <c r="N64" i="2" s="1"/>
  <c r="L80" i="5" l="1"/>
  <c r="M80" i="5" s="1"/>
  <c r="R64" i="2"/>
  <c r="S64" i="2" s="1"/>
  <c r="P64" i="2"/>
  <c r="L81" i="5" l="1"/>
  <c r="M81" i="5" s="1"/>
  <c r="O65" i="2"/>
  <c r="Q64" i="2"/>
  <c r="N65" i="2" s="1"/>
  <c r="L82" i="5" l="1"/>
  <c r="M82" i="5" s="1"/>
  <c r="R65" i="2"/>
  <c r="O66" i="2" s="1"/>
  <c r="S65" i="2"/>
  <c r="P65" i="2"/>
  <c r="Q65" i="2" l="1"/>
  <c r="N66" i="2" s="1"/>
  <c r="R66" i="2" l="1"/>
  <c r="S66" i="2"/>
  <c r="P66" i="2"/>
  <c r="Q66" i="2" s="1"/>
  <c r="L83" i="5" l="1"/>
  <c r="M83" i="5" s="1"/>
  <c r="O67" i="2"/>
  <c r="N67" i="2"/>
  <c r="S67" i="2" l="1"/>
  <c r="R67" i="2"/>
  <c r="O68" i="2" s="1"/>
  <c r="P67" i="2"/>
  <c r="L84" i="5" l="1"/>
  <c r="M84" i="5" s="1"/>
  <c r="Q67" i="2"/>
  <c r="N68" i="2" s="1"/>
  <c r="R68" i="2" l="1"/>
  <c r="P68" i="2"/>
  <c r="S68" i="2" l="1"/>
  <c r="O69" i="2" s="1"/>
  <c r="Q68" i="2"/>
  <c r="N69" i="2" s="1"/>
  <c r="L85" i="5" l="1"/>
  <c r="M85" i="5" s="1"/>
  <c r="R69" i="2"/>
  <c r="P69" i="2"/>
  <c r="L86" i="5" l="1"/>
  <c r="M86" i="5" s="1"/>
  <c r="S69" i="2"/>
  <c r="O70" i="2" s="1"/>
  <c r="Q69" i="2"/>
  <c r="N70" i="2" s="1"/>
  <c r="R70" i="2" l="1"/>
  <c r="P70" i="2"/>
  <c r="L87" i="5" l="1"/>
  <c r="M87" i="5" s="1"/>
  <c r="S70" i="2"/>
  <c r="O71" i="2" s="1"/>
  <c r="Q70" i="2"/>
  <c r="N71" i="2" s="1"/>
  <c r="R71" i="2" l="1"/>
  <c r="P71" i="2"/>
  <c r="Q71" i="2" s="1"/>
  <c r="S71" i="2" l="1"/>
  <c r="O72" i="2" s="1"/>
  <c r="N72" i="2"/>
  <c r="L88" i="5" l="1"/>
  <c r="M88" i="5" s="1"/>
  <c r="R72" i="2"/>
  <c r="P72" i="2"/>
  <c r="L89" i="5" l="1"/>
  <c r="S72" i="2"/>
  <c r="O73" i="2" s="1"/>
  <c r="Q72" i="2"/>
  <c r="N73" i="2" s="1"/>
  <c r="M89" i="5" l="1"/>
  <c r="L90" i="5"/>
  <c r="M90" i="5" s="1"/>
  <c r="R73" i="2"/>
  <c r="P73" i="2"/>
  <c r="S73" i="2" l="1"/>
  <c r="O74" i="2" s="1"/>
  <c r="Q73" i="2"/>
  <c r="N74" i="2" s="1"/>
  <c r="R74" i="2" l="1"/>
  <c r="O75" i="2" s="1"/>
  <c r="S74" i="2"/>
  <c r="P74" i="2"/>
  <c r="Q74" i="2" l="1"/>
  <c r="N75" i="2" s="1"/>
  <c r="L91" i="5" l="1"/>
  <c r="M91" i="5" s="1"/>
  <c r="R75" i="2"/>
  <c r="P75" i="2"/>
  <c r="L92" i="5" l="1"/>
  <c r="M92" i="5" s="1"/>
  <c r="S75" i="2"/>
  <c r="O76" i="2" s="1"/>
  <c r="Q75" i="2"/>
  <c r="N76" i="2" s="1"/>
  <c r="R76" i="2" l="1"/>
  <c r="S76" i="2" s="1"/>
  <c r="P76" i="2"/>
  <c r="L93" i="5" l="1"/>
  <c r="M93" i="5" s="1"/>
  <c r="O77" i="2"/>
  <c r="Q76" i="2"/>
  <c r="N77" i="2" s="1"/>
  <c r="R77" i="2" l="1"/>
  <c r="S77" i="2"/>
  <c r="O78" i="2" s="1"/>
  <c r="P77" i="2"/>
  <c r="L94" i="5" l="1"/>
  <c r="M94" i="5" s="1"/>
  <c r="Q77" i="2"/>
  <c r="N78" i="2" s="1"/>
  <c r="R78" i="2" l="1"/>
  <c r="P78" i="2"/>
  <c r="L95" i="5" l="1"/>
  <c r="M95" i="5" s="1"/>
  <c r="S78" i="2"/>
  <c r="O79" i="2" s="1"/>
  <c r="Q78" i="2"/>
  <c r="N79" i="2" s="1"/>
  <c r="R79" i="2" l="1"/>
  <c r="P79" i="2"/>
  <c r="S79" i="2" l="1"/>
  <c r="O80" i="2" s="1"/>
  <c r="Q79" i="2"/>
  <c r="N80" i="2" s="1"/>
  <c r="L96" i="5" l="1"/>
  <c r="M96" i="5" s="1"/>
  <c r="R80" i="2"/>
  <c r="O81" i="2" s="1"/>
  <c r="S80" i="2"/>
  <c r="P80" i="2"/>
  <c r="Q80" i="2" l="1"/>
  <c r="N81" i="2" s="1"/>
  <c r="L97" i="5" l="1"/>
  <c r="M97" i="5" s="1"/>
  <c r="R81" i="2"/>
  <c r="S81" i="2"/>
  <c r="P81" i="2"/>
  <c r="Q81" i="2" s="1"/>
  <c r="N82" i="2" s="1"/>
  <c r="R82" i="2" l="1"/>
  <c r="S82" i="2" s="1"/>
  <c r="O82" i="2"/>
  <c r="P82" i="2"/>
  <c r="L98" i="5" l="1"/>
  <c r="M98" i="5" s="1"/>
  <c r="O83" i="2"/>
  <c r="Q82" i="2"/>
  <c r="N83" i="2" s="1"/>
  <c r="R83" i="2" l="1"/>
  <c r="P83" i="2"/>
  <c r="L99" i="5" l="1"/>
  <c r="M99" i="5" s="1"/>
  <c r="O84" i="2"/>
  <c r="S83" i="2"/>
  <c r="Q83" i="2"/>
  <c r="N84" i="2" s="1"/>
  <c r="R84" i="2" l="1"/>
  <c r="O85" i="2" s="1"/>
  <c r="S84" i="2"/>
  <c r="P84" i="2"/>
  <c r="L100" i="5" l="1"/>
  <c r="M100" i="5" s="1"/>
  <c r="Q84" i="2"/>
  <c r="N85" i="2" s="1"/>
  <c r="R85" i="2" l="1"/>
  <c r="P85" i="2"/>
  <c r="S85" i="2" l="1"/>
  <c r="O86" i="2" s="1"/>
  <c r="Q85" i="2"/>
  <c r="N86" i="2" s="1"/>
  <c r="L101" i="5" l="1"/>
  <c r="M101" i="5" s="1"/>
  <c r="S86" i="2"/>
  <c r="O87" i="2" s="1"/>
  <c r="R86" i="2"/>
  <c r="P86" i="2"/>
  <c r="L102" i="5" l="1"/>
  <c r="M102" i="5" s="1"/>
  <c r="Q86" i="2"/>
  <c r="N87" i="2" s="1"/>
  <c r="R87" i="2" l="1"/>
  <c r="P87" i="2"/>
  <c r="Q87" i="2" s="1"/>
  <c r="L103" i="5" l="1"/>
  <c r="M103" i="5" s="1"/>
  <c r="S87" i="2"/>
  <c r="O88" i="2" s="1"/>
  <c r="N88" i="2"/>
  <c r="R88" i="2" l="1"/>
  <c r="P88" i="2"/>
  <c r="L104" i="5" l="1"/>
  <c r="M104" i="5" s="1"/>
  <c r="S88" i="2"/>
  <c r="O89" i="2" s="1"/>
  <c r="Q88" i="2"/>
  <c r="N89" i="2" s="1"/>
  <c r="R89" i="2" l="1"/>
  <c r="P89" i="2"/>
  <c r="L105" i="5" l="1"/>
  <c r="M105" i="5" s="1"/>
  <c r="S89" i="2"/>
  <c r="O90" i="2" s="1"/>
  <c r="Q89" i="2"/>
  <c r="N90" i="2" s="1"/>
  <c r="R90" i="2" l="1"/>
  <c r="P90" i="2"/>
  <c r="L106" i="5" l="1"/>
  <c r="M106" i="5" s="1"/>
  <c r="S90" i="2"/>
  <c r="O91" i="2" s="1"/>
  <c r="Q90" i="2"/>
  <c r="N91" i="2" s="1"/>
  <c r="R91" i="2" l="1"/>
  <c r="P91" i="2"/>
  <c r="L107" i="5" l="1"/>
  <c r="M107" i="5" s="1"/>
  <c r="S91" i="2"/>
  <c r="O92" i="2" s="1"/>
  <c r="Q91" i="2"/>
  <c r="N92" i="2" s="1"/>
  <c r="R92" i="2" l="1"/>
  <c r="P92" i="2"/>
  <c r="S92" i="2" l="1"/>
  <c r="O93" i="2" s="1"/>
  <c r="Q92" i="2"/>
  <c r="N93" i="2" s="1"/>
  <c r="L108" i="5" l="1"/>
  <c r="M108" i="5" s="1"/>
  <c r="R93" i="2"/>
  <c r="O94" i="2" s="1"/>
  <c r="S93" i="2"/>
  <c r="P93" i="2"/>
  <c r="L109" i="5" l="1"/>
  <c r="M109" i="5" s="1"/>
  <c r="Q93" i="2"/>
  <c r="N94" i="2" s="1"/>
  <c r="R94" i="2" l="1"/>
  <c r="S94" i="2" s="1"/>
  <c r="P94" i="2"/>
  <c r="L110" i="5" l="1"/>
  <c r="M110" i="5" s="1"/>
  <c r="O95" i="2"/>
  <c r="Q94" i="2"/>
  <c r="N95" i="2" s="1"/>
  <c r="R95" i="2" l="1"/>
  <c r="P95" i="2"/>
  <c r="L111" i="5" l="1"/>
  <c r="M111" i="5" s="1"/>
  <c r="S95" i="2"/>
  <c r="O96" i="2" s="1"/>
  <c r="Q95" i="2"/>
  <c r="N96" i="2" s="1"/>
  <c r="R96" i="2" l="1"/>
  <c r="P96" i="2"/>
  <c r="L112" i="5" l="1"/>
  <c r="M112" i="5" s="1"/>
  <c r="S96" i="2"/>
  <c r="O97" i="2" s="1"/>
  <c r="Q96" i="2"/>
  <c r="N97" i="2" s="1"/>
  <c r="R97" i="2" l="1"/>
  <c r="S97" i="2" s="1"/>
  <c r="P97" i="2"/>
  <c r="Q97" i="2" s="1"/>
  <c r="L113" i="5" l="1"/>
  <c r="M113" i="5" s="1"/>
  <c r="O98" i="2"/>
  <c r="N98" i="2"/>
  <c r="R98" i="2" l="1"/>
  <c r="S98" i="2"/>
  <c r="O99" i="2"/>
  <c r="P98" i="2"/>
  <c r="L114" i="5" l="1"/>
  <c r="M114" i="5" s="1"/>
  <c r="Q98" i="2"/>
  <c r="N99" i="2" s="1"/>
  <c r="R99" i="2" l="1"/>
  <c r="P99" i="2"/>
  <c r="S99" i="2" l="1"/>
  <c r="O100" i="2" s="1"/>
  <c r="Q99" i="2"/>
  <c r="N100" i="2" s="1"/>
  <c r="L115" i="5" l="1"/>
  <c r="M115" i="5" s="1"/>
  <c r="R100" i="2"/>
  <c r="S100" i="2" s="1"/>
  <c r="O101" i="2" s="1"/>
  <c r="P100" i="2"/>
  <c r="L116" i="5" l="1"/>
  <c r="M116" i="5" s="1"/>
  <c r="Q100" i="2"/>
  <c r="N101" i="2" s="1"/>
  <c r="R101" i="2" l="1"/>
  <c r="P101" i="2"/>
  <c r="S101" i="2" l="1"/>
  <c r="O102" i="2" s="1"/>
  <c r="Q101" i="2"/>
  <c r="N102" i="2" s="1"/>
  <c r="R102" i="2" l="1"/>
  <c r="P102" i="2"/>
  <c r="L117" i="5" l="1"/>
  <c r="M117" i="5" s="1"/>
  <c r="S102" i="2"/>
  <c r="O103" i="2" s="1"/>
  <c r="Q102" i="2"/>
  <c r="N103" i="2" s="1"/>
  <c r="L118" i="5" l="1"/>
  <c r="M118" i="5" s="1"/>
  <c r="R103" i="2"/>
  <c r="P103" i="2"/>
  <c r="S103" i="2" l="1"/>
  <c r="O104" i="2" s="1"/>
  <c r="Q103" i="2"/>
  <c r="N104" i="2" s="1"/>
  <c r="L119" i="5" l="1"/>
  <c r="M119" i="5" s="1"/>
  <c r="R104" i="2"/>
  <c r="O105" i="2" s="1"/>
  <c r="S104" i="2"/>
  <c r="P104" i="2"/>
  <c r="Q104" i="2" s="1"/>
  <c r="N105" i="2" l="1"/>
  <c r="L120" i="5" l="1"/>
  <c r="M120" i="5" s="1"/>
  <c r="R105" i="2"/>
  <c r="S105" i="2"/>
  <c r="P105" i="2"/>
  <c r="O106" i="2" l="1"/>
  <c r="Q105" i="2"/>
  <c r="N106" i="2" s="1"/>
  <c r="L121" i="5" l="1"/>
  <c r="M121" i="5" s="1"/>
  <c r="R106" i="2"/>
  <c r="O107" i="2" s="1"/>
  <c r="S106" i="2"/>
  <c r="P106" i="2"/>
  <c r="Q106" i="2" s="1"/>
  <c r="N107" i="2" l="1"/>
  <c r="L122" i="5" l="1"/>
  <c r="M122" i="5" s="1"/>
  <c r="R107" i="2"/>
  <c r="P107" i="2"/>
  <c r="S107" i="2" l="1"/>
  <c r="O108" i="2" s="1"/>
  <c r="Q107" i="2"/>
  <c r="N108" i="2" s="1"/>
  <c r="L123" i="5" l="1"/>
  <c r="M123" i="5" s="1"/>
  <c r="R108" i="2"/>
  <c r="S108" i="2"/>
  <c r="O109" i="2" s="1"/>
  <c r="P108" i="2"/>
  <c r="Q108" i="2" l="1"/>
  <c r="N109" i="2" s="1"/>
  <c r="S109" i="2" l="1"/>
  <c r="R109" i="2"/>
  <c r="P109" i="2"/>
  <c r="Q109" i="2" s="1"/>
  <c r="L124" i="5" l="1"/>
  <c r="M124" i="5" s="1"/>
  <c r="O110" i="2"/>
  <c r="N110" i="2"/>
  <c r="L125" i="5" l="1"/>
  <c r="M125" i="5" s="1"/>
  <c r="S110" i="2"/>
  <c r="R110" i="2"/>
  <c r="P110" i="2"/>
  <c r="Q110" i="2"/>
  <c r="L126" i="5" l="1"/>
  <c r="M126" i="5" s="1"/>
  <c r="L127" i="5" l="1"/>
  <c r="M127" i="5" s="1"/>
  <c r="L128" i="5" l="1"/>
  <c r="M128" i="5" s="1"/>
  <c r="L129" i="5" l="1"/>
  <c r="M129" i="5" s="1"/>
  <c r="L130" i="5" l="1"/>
  <c r="M130" i="5" s="1"/>
  <c r="L131" i="5" l="1"/>
  <c r="M131" i="5" s="1"/>
  <c r="L132" i="5" l="1"/>
  <c r="M132" i="5" s="1"/>
</calcChain>
</file>

<file path=xl/sharedStrings.xml><?xml version="1.0" encoding="utf-8"?>
<sst xmlns="http://schemas.openxmlformats.org/spreadsheetml/2006/main" count="79" uniqueCount="29">
  <si>
    <t>dy1/dt = b1y1-b1/b2y1^2</t>
  </si>
  <si>
    <t>y1(0) = 0.03</t>
  </si>
  <si>
    <t>dy2.dt = b3y1</t>
  </si>
  <si>
    <t>y2(0) = 0.0</t>
  </si>
  <si>
    <t xml:space="preserve">Euler </t>
  </si>
  <si>
    <t>t</t>
  </si>
  <si>
    <t>y1</t>
  </si>
  <si>
    <t>y2</t>
  </si>
  <si>
    <t xml:space="preserve">b1 </t>
  </si>
  <si>
    <t xml:space="preserve">b2 </t>
  </si>
  <si>
    <t xml:space="preserve">b3 </t>
  </si>
  <si>
    <t>h</t>
  </si>
  <si>
    <t>b1</t>
  </si>
  <si>
    <t>b2</t>
  </si>
  <si>
    <t>b3</t>
  </si>
  <si>
    <t>2nd order RK</t>
  </si>
  <si>
    <t>N</t>
  </si>
  <si>
    <t>TimeMax</t>
  </si>
  <si>
    <t>Time</t>
  </si>
  <si>
    <t>k1</t>
  </si>
  <si>
    <t>k2</t>
  </si>
  <si>
    <t>k3</t>
  </si>
  <si>
    <t>k4</t>
  </si>
  <si>
    <t>h2</t>
  </si>
  <si>
    <t>dy2/dt = b3y1</t>
  </si>
  <si>
    <t>dy1/dt</t>
  </si>
  <si>
    <t>dy2/dt</t>
  </si>
  <si>
    <t>K1</t>
  </si>
  <si>
    <t>K2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</si>
</sst>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Concentration vs. 0.05</a:t>
            </a:r>
            <a:r>
              <a:rPr lang="en-US" baseline="0"/>
              <a:t> Time Step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'5.9a'!$B$9</c:f>
              <c:strCache>
                <c:ptCount val="1"/>
                <c:pt idx="0">
                  <c:v>y1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'5.9a'!$A$10:$A$30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'5.9a'!$B$10:$B$30</c:f>
              <c:numCache>
                <c:formatCode>General</c:formatCode>
                <c:ptCount val="21"/>
                <c:pt idx="0">
                  <c:v>0.03</c:v>
                </c:pt>
                <c:pt idx="1">
                  <c:v>4.902287234042553E-2</c:v>
                </c:pt>
                <c:pt idx="2">
                  <c:v>7.9458254235966794E-2</c:v>
                </c:pt>
                <c:pt idx="3">
                  <c:v>0.12710403067661119</c:v>
                </c:pt>
                <c:pt idx="4">
                  <c:v>0.19909992643752789</c:v>
                </c:pt>
                <c:pt idx="5">
                  <c:v>0.30188834488882565</c:v>
                </c:pt>
                <c:pt idx="6">
                  <c:v>0.43612047124769471</c:v>
                </c:pt>
                <c:pt idx="7">
                  <c:v>0.5892456587829572</c:v>
                </c:pt>
                <c:pt idx="8">
                  <c:v>0.73326237125554139</c:v>
                </c:pt>
                <c:pt idx="9">
                  <c:v>0.83889361076830271</c:v>
                </c:pt>
                <c:pt idx="10">
                  <c:v>0.8979951693608369</c:v>
                </c:pt>
                <c:pt idx="11">
                  <c:v>0.92427888045390227</c:v>
                </c:pt>
                <c:pt idx="12">
                  <c:v>0.93440399502483273</c:v>
                </c:pt>
                <c:pt idx="13">
                  <c:v>0.9380475575357462</c:v>
                </c:pt>
                <c:pt idx="14">
                  <c:v>0.9393237510937873</c:v>
                </c:pt>
                <c:pt idx="15">
                  <c:v>0.93976637546805664</c:v>
                </c:pt>
                <c:pt idx="16">
                  <c:v>0.93991936150437705</c:v>
                </c:pt>
                <c:pt idx="17">
                  <c:v>0.93997217518796605</c:v>
                </c:pt>
                <c:pt idx="18">
                  <c:v>0.93999039990036504</c:v>
                </c:pt>
                <c:pt idx="19">
                  <c:v>0.93999668790140667</c:v>
                </c:pt>
                <c:pt idx="20">
                  <c:v>0.93999885731834132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A7-4799-8798-52B9ED26386B}"/>
            </c:ext>
          </c:extLst>
        </c:ser>
        <c:ser>
          <c:idx val="1"/>
          <c:order val="1"/>
          <c:tx>
            <c:strRef>
              <c:f>'5.9a'!$C$9</c:f>
              <c:strCache>
                <c:ptCount val="1"/>
                <c:pt idx="0">
                  <c:v>y2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'5.9a'!$A$10:$A$30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'5.9a'!$C$10:$C$30</c:f>
              <c:numCache>
                <c:formatCode>General</c:formatCode>
                <c:ptCount val="21"/>
                <c:pt idx="0">
                  <c:v>0</c:v>
                </c:pt>
                <c:pt idx="1">
                  <c:v>2.565E-3</c:v>
                </c:pt>
                <c:pt idx="2">
                  <c:v>6.7564555851063832E-3</c:v>
                </c:pt>
                <c:pt idx="3">
                  <c:v>1.3550136322281544E-2</c:v>
                </c:pt>
                <c:pt idx="4">
                  <c:v>2.4417530945131802E-2</c:v>
                </c:pt>
                <c:pt idx="5">
                  <c:v>4.1440574655540435E-2</c:v>
                </c:pt>
                <c:pt idx="6">
                  <c:v>6.7252028143535036E-2</c:v>
                </c:pt>
                <c:pt idx="7">
                  <c:v>0.10454032843521294</c:v>
                </c:pt>
                <c:pt idx="8">
                  <c:v>0.15492083226115577</c:v>
                </c:pt>
                <c:pt idx="9">
                  <c:v>0.21761476500350457</c:v>
                </c:pt>
                <c:pt idx="10">
                  <c:v>0.28934016872419444</c:v>
                </c:pt>
                <c:pt idx="11">
                  <c:v>0.366118755704546</c:v>
                </c:pt>
                <c:pt idx="12">
                  <c:v>0.44514459998335465</c:v>
                </c:pt>
                <c:pt idx="13">
                  <c:v>0.52503614155797784</c:v>
                </c:pt>
                <c:pt idx="14">
                  <c:v>0.60523920772728412</c:v>
                </c:pt>
                <c:pt idx="15">
                  <c:v>0.68555138844580288</c:v>
                </c:pt>
                <c:pt idx="16">
                  <c:v>0.76590141354832175</c:v>
                </c:pt>
                <c:pt idx="17">
                  <c:v>0.84626451895694599</c:v>
                </c:pt>
                <c:pt idx="18">
                  <c:v>0.92663213993551707</c:v>
                </c:pt>
                <c:pt idx="19">
                  <c:v>1.0070013191269982</c:v>
                </c:pt>
                <c:pt idx="20">
                  <c:v>1.0873710359425686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A7-4799-8798-52B9ED263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629944"/>
        <c:axId val="640629288"/>
      </c:scatterChart>
      <c:valAx>
        <c:axId val="640629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629288"/>
        <c:crosses val="autoZero"/>
        <c:crossBetween val="midCat"/>
      </c:valAx>
      <c:valAx>
        <c:axId val="640629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Concentration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629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Concentration vs. 0.01</a:t>
            </a:r>
            <a:r>
              <a:rPr lang="en-US" baseline="0"/>
              <a:t> Time Step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'5.9a'!$I$9</c:f>
              <c:strCache>
                <c:ptCount val="1"/>
                <c:pt idx="0">
                  <c:v>y1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'5.9a'!$H$10:$H$110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'5.9a'!$I$10:$I$110</c:f>
              <c:numCache>
                <c:formatCode>General</c:formatCode>
                <c:ptCount val="101"/>
                <c:pt idx="0">
                  <c:v>0.03</c:v>
                </c:pt>
                <c:pt idx="1">
                  <c:v>3.3804574468085102E-2</c:v>
                </c:pt>
                <c:pt idx="2">
                  <c:v>3.8073718242126756E-2</c:v>
                </c:pt>
                <c:pt idx="3">
                  <c:v>4.2859355490651431E-2</c:v>
                </c:pt>
                <c:pt idx="4">
                  <c:v>4.8217934155402618E-2</c:v>
                </c:pt>
                <c:pt idx="5">
                  <c:v>5.4210471868247456E-2</c:v>
                </c:pt>
                <c:pt idx="6">
                  <c:v>6.0902490960558803E-2</c:v>
                </c:pt>
                <c:pt idx="7">
                  <c:v>6.8363808918858682E-2</c:v>
                </c:pt>
                <c:pt idx="8">
                  <c:v>7.6668145590999229E-2</c:v>
                </c:pt>
                <c:pt idx="9">
                  <c:v>8.5892503944446183E-2</c:v>
                </c:pt>
                <c:pt idx="10">
                  <c:v>9.6116277905175102E-2</c:v>
                </c:pt>
                <c:pt idx="11">
                  <c:v>0.10742003967983477</c:v>
                </c:pt>
                <c:pt idx="12">
                  <c:v>0.11988396114900901</c:v>
                </c:pt>
                <c:pt idx="13">
                  <c:v>0.13358583080161238</c:v>
                </c:pt>
                <c:pt idx="14">
                  <c:v>0.14859864078660726</c:v>
                </c:pt>
                <c:pt idx="15">
                  <c:v>0.16498773949378562</c:v>
                </c:pt>
                <c:pt idx="16">
                  <c:v>0.1828075748589521</c:v>
                </c:pt>
                <c:pt idx="17">
                  <c:v>0.20209809287315431</c:v>
                </c:pt>
                <c:pt idx="18">
                  <c:v>0.22288090396748586</c:v>
                </c:pt>
                <c:pt idx="19">
                  <c:v>0.24515538477734286</c:v>
                </c:pt>
                <c:pt idx="20">
                  <c:v>0.26889493985149621</c:v>
                </c:pt>
                <c:pt idx="21">
                  <c:v>0.29404370035844229</c:v>
                </c:pt>
                <c:pt idx="22">
                  <c:v>0.32051397574222418</c:v>
                </c:pt>
                <c:pt idx="23">
                  <c:v>0.34818478918930934</c:v>
                </c:pt>
                <c:pt idx="24">
                  <c:v>0.37690180847482452</c:v>
                </c:pt>
                <c:pt idx="25">
                  <c:v>0.40647892251977258</c:v>
                </c:pt>
                <c:pt idx="26">
                  <c:v>0.43670160818547832</c:v>
                </c:pt>
                <c:pt idx="27">
                  <c:v>0.46733208631360196</c:v>
                </c:pt>
                <c:pt idx="28">
                  <c:v>0.49811609436997389</c:v>
                </c:pt>
                <c:pt idx="29">
                  <c:v>0.52879092688709795</c:v>
                </c:pt>
                <c:pt idx="30">
                  <c:v>0.55909424085088943</c:v>
                </c:pt>
                <c:pt idx="31">
                  <c:v>0.58877301779597846</c:v>
                </c:pt>
                <c:pt idx="32">
                  <c:v>0.61759203811716601</c:v>
                </c:pt>
                <c:pt idx="33">
                  <c:v>0.64534126506105871</c:v>
                </c:pt>
                <c:pt idx="34">
                  <c:v>0.67184165095515358</c:v>
                </c:pt>
                <c:pt idx="35">
                  <c:v>0.69694904795526047</c:v>
                </c:pt>
                <c:pt idx="36">
                  <c:v>0.72055610219123734</c:v>
                </c:pt>
                <c:pt idx="37">
                  <c:v>0.74259220303673756</c:v>
                </c:pt>
                <c:pt idx="38">
                  <c:v>0.76302172144153402</c:v>
                </c:pt>
                <c:pt idx="39">
                  <c:v>0.78184088470750279</c:v>
                </c:pt>
                <c:pt idx="40">
                  <c:v>0.79907369258394356</c:v>
                </c:pt>
                <c:pt idx="41">
                  <c:v>0.8147672842171787</c:v>
                </c:pt>
                <c:pt idx="42">
                  <c:v>0.82898712792472118</c:v>
                </c:pt>
                <c:pt idx="43">
                  <c:v>0.84181234037147767</c:v>
                </c:pt>
                <c:pt idx="44">
                  <c:v>0.85333136318501002</c:v>
                </c:pt>
                <c:pt idx="45">
                  <c:v>0.86363814578695952</c:v>
                </c:pt>
                <c:pt idx="46">
                  <c:v>0.87282891209947433</c:v>
                </c:pt>
                <c:pt idx="47">
                  <c:v>0.88099953087878791</c:v>
                </c:pt>
                <c:pt idx="48">
                  <c:v>0.88824346653398101</c:v>
                </c:pt>
                <c:pt idx="49">
                  <c:v>0.89465025882537963</c:v>
                </c:pt>
                <c:pt idx="50">
                  <c:v>0.90030446377859186</c:v>
                </c:pt>
                <c:pt idx="51">
                  <c:v>0.90528498182884787</c:v>
                </c:pt>
                <c:pt idx="52">
                  <c:v>0.9096646998946436</c:v>
                </c:pt>
                <c:pt idx="53">
                  <c:v>0.9135103793290249</c:v>
                </c:pt>
                <c:pt idx="54">
                  <c:v>0.91688272953008088</c:v>
                </c:pt>
                <c:pt idx="55">
                  <c:v>0.91983661592609633</c:v>
                </c:pt>
                <c:pt idx="56">
                  <c:v>0.92242136005945019</c:v>
                </c:pt>
                <c:pt idx="57">
                  <c:v>0.92468109792968045</c:v>
                </c:pt>
                <c:pt idx="58">
                  <c:v>0.92665517026297328</c:v>
                </c:pt>
                <c:pt idx="59">
                  <c:v>0.92837852480216942</c:v>
                </c:pt>
                <c:pt idx="60">
                  <c:v>0.92988211604474869</c:v>
                </c:pt>
                <c:pt idx="61">
                  <c:v>0.93119329216584312</c:v>
                </c:pt>
                <c:pt idx="62">
                  <c:v>0.93233616226288707</c:v>
                </c:pt>
                <c:pt idx="63">
                  <c:v>0.93333193967925654</c:v>
                </c:pt>
                <c:pt idx="64">
                  <c:v>0.93419925913794866</c:v>
                </c:pt>
                <c:pt idx="65">
                  <c:v>0.9349544668654669</c:v>
                </c:pt>
                <c:pt idx="66">
                  <c:v>0.93561188391885231</c:v>
                </c:pt>
                <c:pt idx="67">
                  <c:v>0.93618404363748353</c:v>
                </c:pt>
                <c:pt idx="68">
                  <c:v>0.93668190460234779</c:v>
                </c:pt>
                <c:pt idx="69">
                  <c:v>0.9371150407609552</c:v>
                </c:pt>
                <c:pt idx="70">
                  <c:v>0.93749181051524322</c:v>
                </c:pt>
                <c:pt idx="71">
                  <c:v>0.93781950661125868</c:v>
                </c:pt>
                <c:pt idx="72">
                  <c:v>0.93810448864280527</c:v>
                </c:pt>
                <c:pt idx="73">
                  <c:v>0.93835229990911584</c:v>
                </c:pt>
                <c:pt idx="74">
                  <c:v>0.93856777026576399</c:v>
                </c:pt>
                <c:pt idx="75">
                  <c:v>0.93875510649079619</c:v>
                </c:pt>
                <c:pt idx="76">
                  <c:v>0.93891797156333145</c:v>
                </c:pt>
                <c:pt idx="77">
                  <c:v>0.93905955412586961</c:v>
                </c:pt>
                <c:pt idx="78">
                  <c:v>0.93918262927853391</c:v>
                </c:pt>
                <c:pt idx="79">
                  <c:v>0.93928961173620396</c:v>
                </c:pt>
                <c:pt idx="80">
                  <c:v>0.9393826022696713</c:v>
                </c:pt>
                <c:pt idx="81">
                  <c:v>0.9394634282504567</c:v>
                </c:pt>
                <c:pt idx="82">
                  <c:v>0.93953367902612483</c:v>
                </c:pt>
                <c:pt idx="83">
                  <c:v>0.93959473676876859</c:v>
                </c:pt>
                <c:pt idx="84">
                  <c:v>0.93964780336353271</c:v>
                </c:pt>
                <c:pt idx="85">
                  <c:v>0.93969392383614003</c:v>
                </c:pt>
                <c:pt idx="86">
                  <c:v>0.93973400675783658</c:v>
                </c:pt>
                <c:pt idx="87">
                  <c:v>0.93976884201238442</c:v>
                </c:pt>
                <c:pt idx="88">
                  <c:v>0.93979911626210677</c:v>
                </c:pt>
                <c:pt idx="89">
                  <c:v>0.93982542640793021</c:v>
                </c:pt>
                <c:pt idx="90">
                  <c:v>0.93984829130131264</c:v>
                </c:pt>
                <c:pt idx="91">
                  <c:v>0.93986816193335732</c:v>
                </c:pt>
                <c:pt idx="92">
                  <c:v>0.93988543029780336</c:v>
                </c:pt>
                <c:pt idx="93">
                  <c:v>0.93990043709949922</c:v>
                </c:pt>
                <c:pt idx="94">
                  <c:v>0.93991347845800421</c:v>
                </c:pt>
                <c:pt idx="95">
                  <c:v>0.93992481173674713</c:v>
                </c:pt>
                <c:pt idx="96">
                  <c:v>0.9399346606113832</c:v>
                </c:pt>
                <c:pt idx="97">
                  <c:v>0.93994321947632398</c:v>
                </c:pt>
                <c:pt idx="98">
                  <c:v>0.93995065727561955</c:v>
                </c:pt>
                <c:pt idx="99">
                  <c:v>0.93995712083320881</c:v>
                </c:pt>
                <c:pt idx="100">
                  <c:v>0.93996273774782479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84-41C6-A88C-3328C64E0E97}"/>
            </c:ext>
          </c:extLst>
        </c:ser>
        <c:ser>
          <c:idx val="1"/>
          <c:order val="1"/>
          <c:tx>
            <c:strRef>
              <c:f>'5.9a'!$J$9</c:f>
              <c:strCache>
                <c:ptCount val="1"/>
                <c:pt idx="0">
                  <c:v>y2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'5.9a'!$H$10:$H$110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'5.9a'!$J$10:$J$110</c:f>
              <c:numCache>
                <c:formatCode>General</c:formatCode>
                <c:ptCount val="101"/>
                <c:pt idx="0">
                  <c:v>0</c:v>
                </c:pt>
                <c:pt idx="1">
                  <c:v>5.13E-4</c:v>
                </c:pt>
                <c:pt idx="2">
                  <c:v>1.0910582234042554E-3</c:v>
                </c:pt>
                <c:pt idx="3">
                  <c:v>1.742118805344623E-3</c:v>
                </c:pt>
                <c:pt idx="4">
                  <c:v>2.4750137842347625E-3</c:v>
                </c:pt>
                <c:pt idx="5">
                  <c:v>3.2995404582921474E-3</c:v>
                </c:pt>
                <c:pt idx="6">
                  <c:v>4.226539527239179E-3</c:v>
                </c:pt>
                <c:pt idx="7">
                  <c:v>5.2679721226647344E-3</c:v>
                </c:pt>
                <c:pt idx="8">
                  <c:v>6.4369932551772181E-3</c:v>
                </c:pt>
                <c:pt idx="9">
                  <c:v>7.748018544783305E-3</c:v>
                </c:pt>
                <c:pt idx="10">
                  <c:v>9.2167803622333344E-3</c:v>
                </c:pt>
                <c:pt idx="11">
                  <c:v>1.0860368714411829E-2</c:v>
                </c:pt>
                <c:pt idx="12">
                  <c:v>1.2697251392937004E-2</c:v>
                </c:pt>
                <c:pt idx="13">
                  <c:v>1.4747267128585057E-2</c:v>
                </c:pt>
                <c:pt idx="14">
                  <c:v>1.7031584835292629E-2</c:v>
                </c:pt>
                <c:pt idx="15">
                  <c:v>1.9572621592743613E-2</c:v>
                </c:pt>
                <c:pt idx="16">
                  <c:v>2.2393911938087346E-2</c:v>
                </c:pt>
                <c:pt idx="17">
                  <c:v>2.5519921468175426E-2</c:v>
                </c:pt>
                <c:pt idx="18">
                  <c:v>2.8975798856306363E-2</c:v>
                </c:pt>
                <c:pt idx="19">
                  <c:v>3.2787062314150371E-2</c:v>
                </c:pt>
                <c:pt idx="20">
                  <c:v>3.6979219393842931E-2</c:v>
                </c:pt>
                <c:pt idx="21">
                  <c:v>4.1577322865303516E-2</c:v>
                </c:pt>
                <c:pt idx="22">
                  <c:v>4.6605470141432882E-2</c:v>
                </c:pt>
                <c:pt idx="23">
                  <c:v>5.2086259126624915E-2</c:v>
                </c:pt>
                <c:pt idx="24">
                  <c:v>5.8040219021762103E-2</c:v>
                </c:pt>
                <c:pt idx="25">
                  <c:v>6.4485239946681608E-2</c:v>
                </c:pt>
                <c:pt idx="26">
                  <c:v>7.1436029521769723E-2</c:v>
                </c:pt>
                <c:pt idx="27">
                  <c:v>7.8903627021741404E-2</c:v>
                </c:pt>
                <c:pt idx="28">
                  <c:v>8.6895005697704003E-2</c:v>
                </c:pt>
                <c:pt idx="29">
                  <c:v>9.5412790911430553E-2</c:v>
                </c:pt>
                <c:pt idx="30">
                  <c:v>0.10445511576119992</c:v>
                </c:pt>
                <c:pt idx="31">
                  <c:v>0.11401562727975013</c:v>
                </c:pt>
                <c:pt idx="32">
                  <c:v>0.12408364588406137</c:v>
                </c:pt>
                <c:pt idx="33">
                  <c:v>0.13464446973586491</c:v>
                </c:pt>
                <c:pt idx="34">
                  <c:v>0.14567980536840902</c:v>
                </c:pt>
                <c:pt idx="35">
                  <c:v>0.15716829759974216</c:v>
                </c:pt>
                <c:pt idx="36">
                  <c:v>0.1690861263197771</c:v>
                </c:pt>
                <c:pt idx="37">
                  <c:v>0.18140763566724727</c:v>
                </c:pt>
                <c:pt idx="38">
                  <c:v>0.19410596233917549</c:v>
                </c:pt>
                <c:pt idx="39">
                  <c:v>0.20715363377582571</c:v>
                </c:pt>
                <c:pt idx="40">
                  <c:v>0.22052311290432403</c:v>
                </c:pt>
                <c:pt idx="41">
                  <c:v>0.23418727304750947</c:v>
                </c:pt>
                <c:pt idx="42">
                  <c:v>0.24811979360762323</c:v>
                </c:pt>
                <c:pt idx="43">
                  <c:v>0.26229547349513599</c:v>
                </c:pt>
                <c:pt idx="44">
                  <c:v>0.27669046451548823</c:v>
                </c:pt>
                <c:pt idx="45">
                  <c:v>0.2912824308259519</c:v>
                </c:pt>
                <c:pt idx="46">
                  <c:v>0.30605064311890889</c:v>
                </c:pt>
                <c:pt idx="47">
                  <c:v>0.3209760175158099</c:v>
                </c:pt>
                <c:pt idx="48">
                  <c:v>0.33604110949383714</c:v>
                </c:pt>
                <c:pt idx="49">
                  <c:v>0.3512300727715682</c:v>
                </c:pt>
                <c:pt idx="50">
                  <c:v>0.36652859219748218</c:v>
                </c:pt>
                <c:pt idx="51">
                  <c:v>0.3819237985280961</c:v>
                </c:pt>
                <c:pt idx="52">
                  <c:v>0.39740417171736941</c:v>
                </c:pt>
                <c:pt idx="53">
                  <c:v>0.41295943808556784</c:v>
                </c:pt>
                <c:pt idx="54">
                  <c:v>0.42858046557209417</c:v>
                </c:pt>
                <c:pt idx="55">
                  <c:v>0.44425916024705858</c:v>
                </c:pt>
                <c:pt idx="56">
                  <c:v>0.45998836637939483</c:v>
                </c:pt>
                <c:pt idx="57">
                  <c:v>0.47576177163641142</c:v>
                </c:pt>
                <c:pt idx="58">
                  <c:v>0.49157381841100894</c:v>
                </c:pt>
                <c:pt idx="59">
                  <c:v>0.50741962182250577</c:v>
                </c:pt>
                <c:pt idx="60">
                  <c:v>0.52329489459662282</c:v>
                </c:pt>
                <c:pt idx="61">
                  <c:v>0.53919587878098807</c:v>
                </c:pt>
                <c:pt idx="62">
                  <c:v>0.55511928407702393</c:v>
                </c:pt>
                <c:pt idx="63">
                  <c:v>0.57106223245171928</c:v>
                </c:pt>
                <c:pt idx="64">
                  <c:v>0.58702220862023458</c:v>
                </c:pt>
                <c:pt idx="65">
                  <c:v>0.60299701595149346</c:v>
                </c:pt>
                <c:pt idx="66">
                  <c:v>0.6189847373348929</c:v>
                </c:pt>
                <c:pt idx="67">
                  <c:v>0.63498370054990527</c:v>
                </c:pt>
                <c:pt idx="68">
                  <c:v>0.6509924476961062</c:v>
                </c:pt>
                <c:pt idx="69">
                  <c:v>0.66700970826480632</c:v>
                </c:pt>
                <c:pt idx="70">
                  <c:v>0.68303437546181867</c:v>
                </c:pt>
                <c:pt idx="71">
                  <c:v>0.69906548542162927</c:v>
                </c:pt>
                <c:pt idx="72">
                  <c:v>0.71510219898468175</c:v>
                </c:pt>
                <c:pt idx="73">
                  <c:v>0.73114378574047367</c:v>
                </c:pt>
                <c:pt idx="74">
                  <c:v>0.7471896100689196</c:v>
                </c:pt>
                <c:pt idx="75">
                  <c:v>0.76323911894046415</c:v>
                </c:pt>
                <c:pt idx="76">
                  <c:v>0.77929183126145674</c:v>
                </c:pt>
                <c:pt idx="77">
                  <c:v>0.79534732857518975</c:v>
                </c:pt>
                <c:pt idx="78">
                  <c:v>0.81140524695074212</c:v>
                </c:pt>
                <c:pt idx="79">
                  <c:v>0.82746526991140501</c:v>
                </c:pt>
                <c:pt idx="80">
                  <c:v>0.84352712227209414</c:v>
                </c:pt>
                <c:pt idx="81">
                  <c:v>0.85959056477090556</c:v>
                </c:pt>
                <c:pt idx="82">
                  <c:v>0.87565538939398835</c:v>
                </c:pt>
                <c:pt idx="83">
                  <c:v>0.89172141530533511</c:v>
                </c:pt>
                <c:pt idx="84">
                  <c:v>0.90778848530408107</c:v>
                </c:pt>
                <c:pt idx="85">
                  <c:v>0.9238564627415975</c:v>
                </c:pt>
                <c:pt idx="86">
                  <c:v>0.93992522883919549</c:v>
                </c:pt>
                <c:pt idx="87">
                  <c:v>0.95599468035475454</c:v>
                </c:pt>
                <c:pt idx="88">
                  <c:v>0.97206472755316631</c:v>
                </c:pt>
                <c:pt idx="89">
                  <c:v>0.98813529244124831</c:v>
                </c:pt>
                <c:pt idx="90">
                  <c:v>1.004206307232824</c:v>
                </c:pt>
                <c:pt idx="91">
                  <c:v>1.0202777130140765</c:v>
                </c:pt>
                <c:pt idx="92">
                  <c:v>1.036349458583137</c:v>
                </c:pt>
                <c:pt idx="93">
                  <c:v>1.0524214994412293</c:v>
                </c:pt>
                <c:pt idx="94">
                  <c:v>1.0684937969156307</c:v>
                </c:pt>
                <c:pt idx="95">
                  <c:v>1.0845663173972626</c:v>
                </c:pt>
                <c:pt idx="96">
                  <c:v>1.1006390316779611</c:v>
                </c:pt>
                <c:pt idx="97">
                  <c:v>1.1167119143744157</c:v>
                </c:pt>
                <c:pt idx="98">
                  <c:v>1.1327849434274608</c:v>
                </c:pt>
                <c:pt idx="99">
                  <c:v>1.148858099666874</c:v>
                </c:pt>
                <c:pt idx="100">
                  <c:v>1.1649313664331218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84-41C6-A88C-3328C64E0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457568"/>
        <c:axId val="723454944"/>
      </c:scatterChart>
      <c:valAx>
        <c:axId val="72345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454944"/>
        <c:crosses val="autoZero"/>
        <c:crossBetween val="midCat"/>
      </c:valAx>
      <c:valAx>
        <c:axId val="72345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Concentration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457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Concentration</a:t>
            </a:r>
            <a:r>
              <a:rPr lang="en-US" baseline="0"/>
              <a:t> vs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'5.9b'!$B$9</c:f>
              <c:strCache>
                <c:ptCount val="1"/>
                <c:pt idx="0">
                  <c:v>y1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'5.9b'!$A$10:$A$30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'5.9b'!$B$10:$B$30</c:f>
              <c:numCache>
                <c:formatCode>General</c:formatCode>
                <c:ptCount val="21"/>
                <c:pt idx="0">
                  <c:v>0.03</c:v>
                </c:pt>
                <c:pt idx="1">
                  <c:v>5.4729127117983396E-2</c:v>
                </c:pt>
                <c:pt idx="2">
                  <c:v>9.7861537140518429E-2</c:v>
                </c:pt>
                <c:pt idx="3">
                  <c:v>0.16902974855191405</c:v>
                </c:pt>
                <c:pt idx="4">
                  <c:v>0.27600653161807309</c:v>
                </c:pt>
                <c:pt idx="5">
                  <c:v>0.41528877427405975</c:v>
                </c:pt>
                <c:pt idx="6">
                  <c:v>0.5648840962319237</c:v>
                </c:pt>
                <c:pt idx="7">
                  <c:v>0.69517802906602288</c:v>
                </c:pt>
                <c:pt idx="8">
                  <c:v>0.79026318789780448</c:v>
                </c:pt>
                <c:pt idx="9">
                  <c:v>0.85194817635960451</c:v>
                </c:pt>
                <c:pt idx="10">
                  <c:v>0.88935594461233403</c:v>
                </c:pt>
                <c:pt idx="11">
                  <c:v>0.9112264964127661</c:v>
                </c:pt>
                <c:pt idx="12">
                  <c:v>0.92376291113129683</c:v>
                </c:pt>
                <c:pt idx="13">
                  <c:v>0.93087179425090338</c:v>
                </c:pt>
                <c:pt idx="14">
                  <c:v>0.93487905532587334</c:v>
                </c:pt>
                <c:pt idx="15">
                  <c:v>0.93713050523003649</c:v>
                </c:pt>
                <c:pt idx="16">
                  <c:v>0.93839314666148133</c:v>
                </c:pt>
                <c:pt idx="17">
                  <c:v>0.93910052735142269</c:v>
                </c:pt>
                <c:pt idx="18">
                  <c:v>0.93949660288980574</c:v>
                </c:pt>
                <c:pt idx="19">
                  <c:v>0.93971830203486095</c:v>
                </c:pt>
                <c:pt idx="20">
                  <c:v>0.93984237363455092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0-4F4A-80D2-973F1A6E2966}"/>
            </c:ext>
          </c:extLst>
        </c:ser>
        <c:ser>
          <c:idx val="1"/>
          <c:order val="1"/>
          <c:tx>
            <c:strRef>
              <c:f>'5.9b'!$C$9</c:f>
              <c:strCache>
                <c:ptCount val="1"/>
                <c:pt idx="0">
                  <c:v>y2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'5.9b'!$A$10:$A$30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'5.9b'!$C$10:$C$30</c:f>
              <c:numCache>
                <c:formatCode>General</c:formatCode>
                <c:ptCount val="21"/>
                <c:pt idx="0">
                  <c:v>0</c:v>
                </c:pt>
                <c:pt idx="1">
                  <c:v>2.67465375E-3</c:v>
                </c:pt>
                <c:pt idx="2">
                  <c:v>7.5540359193446999E-3</c:v>
                </c:pt>
                <c:pt idx="3">
                  <c:v>1.6278893495799765E-2</c:v>
                </c:pt>
                <c:pt idx="4">
                  <c:v>3.1348761856664228E-2</c:v>
                </c:pt>
                <c:pt idx="5">
                  <c:v>5.5956158683889992E-2</c:v>
                </c:pt>
                <c:pt idx="6">
                  <c:v>9.298128126539057E-2</c:v>
                </c:pt>
                <c:pt idx="7">
                  <c:v>0.14334359347545977</c:v>
                </c:pt>
                <c:pt idx="8">
                  <c:v>0.20532227755409468</c:v>
                </c:pt>
                <c:pt idx="9">
                  <c:v>0.27577829085402195</c:v>
                </c:pt>
                <c:pt idx="10">
                  <c:v>0.35173383701088456</c:v>
                </c:pt>
                <c:pt idx="11">
                  <c:v>0.43102447742229028</c:v>
                </c:pt>
                <c:pt idx="12">
                  <c:v>0.51226498961328248</c:v>
                </c:pt>
                <c:pt idx="13">
                  <c:v>0.5946231874255572</c:v>
                </c:pt>
                <c:pt idx="14">
                  <c:v>0.67761517860097076</c:v>
                </c:pt>
                <c:pt idx="15">
                  <c:v>0.76096443763843091</c:v>
                </c:pt>
                <c:pt idx="16">
                  <c:v>0.84451442497352802</c:v>
                </c:pt>
                <c:pt idx="17">
                  <c:v>0.92817698326327569</c:v>
                </c:pt>
                <c:pt idx="18">
                  <c:v>1.0119026081668576</c:v>
                </c:pt>
                <c:pt idx="19">
                  <c:v>1.0956635452345735</c:v>
                </c:pt>
                <c:pt idx="20">
                  <c:v>1.1794442479172793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80-4F4A-80D2-973F1A6E2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284736"/>
        <c:axId val="670281128"/>
      </c:scatterChart>
      <c:valAx>
        <c:axId val="67028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281128"/>
        <c:crosses val="autoZero"/>
        <c:crossBetween val="midCat"/>
      </c:valAx>
      <c:valAx>
        <c:axId val="670281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Concentration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284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Concentration</a:t>
            </a:r>
            <a:r>
              <a:rPr lang="en-US" baseline="0"/>
              <a:t> vs.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'5.9b'!$N$9</c:f>
              <c:strCache>
                <c:ptCount val="1"/>
                <c:pt idx="0">
                  <c:v>y1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'5.9b'!$M$10:$M$110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'5.9b'!$N$10:$N$110</c:f>
              <c:numCache>
                <c:formatCode>General</c:formatCode>
                <c:ptCount val="101"/>
                <c:pt idx="0">
                  <c:v>0.03</c:v>
                </c:pt>
                <c:pt idx="1">
                  <c:v>3.4036859121063377E-2</c:v>
                </c:pt>
                <c:pt idx="2">
                  <c:v>3.8594043084743124E-2</c:v>
                </c:pt>
                <c:pt idx="3">
                  <c:v>4.3732128902594238E-2</c:v>
                </c:pt>
                <c:pt idx="4">
                  <c:v>4.9516924492541546E-2</c:v>
                </c:pt>
                <c:pt idx="5">
                  <c:v>5.6019398863162498E-2</c:v>
                </c:pt>
                <c:pt idx="6">
                  <c:v>6.3315431539740161E-2</c:v>
                </c:pt>
                <c:pt idx="7">
                  <c:v>7.1485331273957259E-2</c:v>
                </c:pt>
                <c:pt idx="8">
                  <c:v>8.061306878696009E-2</c:v>
                </c:pt>
                <c:pt idx="9">
                  <c:v>9.0785165208964444E-2</c:v>
                </c:pt>
                <c:pt idx="10">
                  <c:v>0.10208917844924467</c:v>
                </c:pt>
                <c:pt idx="11">
                  <c:v>0.1146117357318662</c:v>
                </c:pt>
                <c:pt idx="12">
                  <c:v>0.12843607395979684</c:v>
                </c:pt>
                <c:pt idx="13">
                  <c:v>0.14363907242309068</c:v>
                </c:pt>
                <c:pt idx="14">
                  <c:v>0.1602877962875166</c:v>
                </c:pt>
                <c:pt idx="15">
                  <c:v>0.17843561504857813</c:v>
                </c:pt>
                <c:pt idx="16">
                  <c:v>0.19811801693438888</c:v>
                </c:pt>
                <c:pt idx="17">
                  <c:v>0.21934830507317396</c:v>
                </c:pt>
                <c:pt idx="18">
                  <c:v>0.24211342828065774</c:v>
                </c:pt>
                <c:pt idx="19">
                  <c:v>0.26637025973721046</c:v>
                </c:pt>
                <c:pt idx="20">
                  <c:v>0.29204267924740823</c:v>
                </c:pt>
                <c:pt idx="21">
                  <c:v>0.31901982667836432</c:v>
                </c:pt>
                <c:pt idx="22">
                  <c:v>0.34715586420622974</c:v>
                </c:pt>
                <c:pt idx="23">
                  <c:v>0.37627150602376974</c:v>
                </c:pt>
                <c:pt idx="24">
                  <c:v>0.40615744633732642</c:v>
                </c:pt>
                <c:pt idx="25">
                  <c:v>0.43657964944020278</c:v>
                </c:pt>
                <c:pt idx="26">
                  <c:v>0.46728627872167672</c:v>
                </c:pt>
                <c:pt idx="27">
                  <c:v>0.49801586130709885</c:v>
                </c:pt>
                <c:pt idx="28">
                  <c:v>0.52850614070794033</c:v>
                </c:pt>
                <c:pt idx="29">
                  <c:v>0.55850298654992603</c:v>
                </c:pt>
                <c:pt idx="30">
                  <c:v>0.58776872332190699</c:v>
                </c:pt>
                <c:pt idx="31">
                  <c:v>0.61608931049812798</c:v>
                </c:pt>
                <c:pt idx="32">
                  <c:v>0.64327994149437595</c:v>
                </c:pt>
                <c:pt idx="33">
                  <c:v>0.66918880495725575</c:v>
                </c:pt>
                <c:pt idx="34">
                  <c:v>0.69369893994550713</c:v>
                </c:pt>
                <c:pt idx="35">
                  <c:v>0.71672828905796726</c:v>
                </c:pt>
                <c:pt idx="36">
                  <c:v>0.73822818952449742</c:v>
                </c:pt>
                <c:pt idx="37">
                  <c:v>0.75818063024116356</c:v>
                </c:pt>
                <c:pt idx="38">
                  <c:v>0.77659464096260833</c:v>
                </c:pt>
                <c:pt idx="39">
                  <c:v>0.79350217445196591</c:v>
                </c:pt>
                <c:pt idx="40">
                  <c:v>0.80895380422599383</c:v>
                </c:pt>
                <c:pt idx="41">
                  <c:v>0.82301450219281125</c:v>
                </c:pt>
                <c:pt idx="42">
                  <c:v>0.83575969370597225</c:v>
                </c:pt>
                <c:pt idx="43">
                  <c:v>0.84727172171221388</c:v>
                </c:pt>
                <c:pt idx="44">
                  <c:v>0.85763679311273955</c:v>
                </c:pt>
                <c:pt idx="45">
                  <c:v>0.86694243265630111</c:v>
                </c:pt>
                <c:pt idx="46">
                  <c:v>0.87527543374189964</c:v>
                </c:pt>
                <c:pt idx="47">
                  <c:v>0.88272027087167815</c:v>
                </c:pt>
                <c:pt idx="48">
                  <c:v>0.88935792361628241</c:v>
                </c:pt>
                <c:pt idx="49">
                  <c:v>0.8952650548571075</c:v>
                </c:pt>
                <c:pt idx="50">
                  <c:v>0.90051348473112347</c:v>
                </c:pt>
                <c:pt idx="51">
                  <c:v>0.90516990429950939</c:v>
                </c:pt>
                <c:pt idx="52">
                  <c:v>0.90929577797990402</c:v>
                </c:pt>
                <c:pt idx="53">
                  <c:v>0.9129473900576297</c:v>
                </c:pt>
                <c:pt idx="54">
                  <c:v>0.91617599728166055</c:v>
                </c:pt>
                <c:pt idx="55">
                  <c:v>0.91902805609014615</c:v>
                </c:pt>
                <c:pt idx="56">
                  <c:v>0.92154549905028182</c:v>
                </c:pt>
                <c:pt idx="57">
                  <c:v>0.92376604045342126</c:v>
                </c:pt>
                <c:pt idx="58">
                  <c:v>0.92572349560822575</c:v>
                </c:pt>
                <c:pt idx="59">
                  <c:v>0.92744810222739171</c:v>
                </c:pt>
                <c:pt idx="60">
                  <c:v>0.92896683545788417</c:v>
                </c:pt>
                <c:pt idx="61">
                  <c:v>0.93030371063571471</c:v>
                </c:pt>
                <c:pt idx="62">
                  <c:v>0.93148006983889953</c:v>
                </c:pt>
                <c:pt idx="63">
                  <c:v>0.93251484985128164</c:v>
                </c:pt>
                <c:pt idx="64">
                  <c:v>0.93342483031496981</c:v>
                </c:pt>
                <c:pt idx="65">
                  <c:v>0.9342248617114286</c:v>
                </c:pt>
                <c:pt idx="66">
                  <c:v>0.93492807343240858</c:v>
                </c:pt>
                <c:pt idx="67">
                  <c:v>0.93554606263400431</c:v>
                </c:pt>
                <c:pt idx="68">
                  <c:v>0.9360890648532515</c:v>
                </c:pt>
                <c:pt idx="69">
                  <c:v>0.93656610754188929</c:v>
                </c:pt>
                <c:pt idx="70">
                  <c:v>0.93698514776430675</c:v>
                </c:pt>
                <c:pt idx="71">
                  <c:v>0.93735319533849304</c:v>
                </c:pt>
                <c:pt idx="72">
                  <c:v>0.93767642268736306</c:v>
                </c:pt>
                <c:pt idx="73">
                  <c:v>0.93796026262651633</c:v>
                </c:pt>
                <c:pt idx="74">
                  <c:v>0.9382094952534894</c:v>
                </c:pt>
                <c:pt idx="75">
                  <c:v>0.93842832503052431</c:v>
                </c:pt>
                <c:pt idx="76">
                  <c:v>0.93862044907344666</c:v>
                </c:pt>
                <c:pt idx="77">
                  <c:v>0.93878911757752137</c:v>
                </c:pt>
                <c:pt idx="78">
                  <c:v>0.93893718723003428</c:v>
                </c:pt>
                <c:pt idx="79">
                  <c:v>0.93906716838081616</c:v>
                </c:pt>
                <c:pt idx="80">
                  <c:v>0.93918126666729285</c:v>
                </c:pt>
                <c:pt idx="81">
                  <c:v>0.93928141972069745</c:v>
                </c:pt>
                <c:pt idx="82">
                  <c:v>0.93936932951523711</c:v>
                </c:pt>
                <c:pt idx="83">
                  <c:v>0.93944649086241983</c:v>
                </c:pt>
                <c:pt idx="84">
                  <c:v>0.93951421649837019</c:v>
                </c:pt>
                <c:pt idx="85">
                  <c:v>0.93957365916263236</c:v>
                </c:pt>
                <c:pt idx="86">
                  <c:v>0.9396258310224177</c:v>
                </c:pt>
                <c:pt idx="87">
                  <c:v>0.93967162075620148</c:v>
                </c:pt>
                <c:pt idx="88">
                  <c:v>0.93971180857467262</c:v>
                </c:pt>
                <c:pt idx="89">
                  <c:v>0.93974707942496405</c:v>
                </c:pt>
                <c:pt idx="90">
                  <c:v>0.9397780345954887</c:v>
                </c:pt>
                <c:pt idx="91">
                  <c:v>0.93980520191326566</c:v>
                </c:pt>
                <c:pt idx="92">
                  <c:v>0.93982904470302686</c:v>
                </c:pt>
                <c:pt idx="93">
                  <c:v>0.93984996965736101</c:v>
                </c:pt>
                <c:pt idx="94">
                  <c:v>0.9398683337494137</c:v>
                </c:pt>
                <c:pt idx="95">
                  <c:v>0.93988445030397283</c:v>
                </c:pt>
                <c:pt idx="96">
                  <c:v>0.93989859432890499</c:v>
                </c:pt>
                <c:pt idx="97">
                  <c:v>0.93991100719667042</c:v>
                </c:pt>
                <c:pt idx="98">
                  <c:v>0.93992190075484794</c:v>
                </c:pt>
                <c:pt idx="99">
                  <c:v>0.93993146093508451</c:v>
                </c:pt>
                <c:pt idx="100">
                  <c:v>0.93993985092149501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93-49D3-B7C4-C3CFADDF38C2}"/>
            </c:ext>
          </c:extLst>
        </c:ser>
        <c:ser>
          <c:idx val="1"/>
          <c:order val="1"/>
          <c:tx>
            <c:strRef>
              <c:f>'5.9b'!$O$9</c:f>
              <c:strCache>
                <c:ptCount val="1"/>
                <c:pt idx="0">
                  <c:v>y2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'5.9b'!$M$10:$M$110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'5.9b'!$O$10:$O$110</c:f>
              <c:numCache>
                <c:formatCode>General</c:formatCode>
                <c:ptCount val="101"/>
                <c:pt idx="0">
                  <c:v>0</c:v>
                </c:pt>
                <c:pt idx="1">
                  <c:v>5.1738614999999994E-4</c:v>
                </c:pt>
                <c:pt idx="2">
                  <c:v>1.1043927999579788E-3</c:v>
                </c:pt>
                <c:pt idx="3">
                  <c:v>1.7699935787762911E-3</c:v>
                </c:pt>
                <c:pt idx="4">
                  <c:v>2.5242068389168563E-3</c:v>
                </c:pt>
                <c:pt idx="5">
                  <c:v>3.3781858696847488E-3</c:v>
                </c:pt>
                <c:pt idx="6">
                  <c:v>4.3443079064556158E-3</c:v>
                </c:pt>
                <c:pt idx="7">
                  <c:v>5.4362588184534407E-3</c:v>
                </c:pt>
                <c:pt idx="8">
                  <c:v>6.6691094960970188E-3</c:v>
                </c:pt>
                <c:pt idx="9">
                  <c:v>8.059379006076034E-3</c:v>
                </c:pt>
                <c:pt idx="10">
                  <c:v>9.6250785762287024E-3</c:v>
                </c:pt>
                <c:pt idx="11">
                  <c:v>1.1385729476045959E-2</c:v>
                </c:pt>
                <c:pt idx="12">
                  <c:v>1.3362346965883547E-2</c:v>
                </c:pt>
                <c:pt idx="13">
                  <c:v>1.5577381826789366E-2</c:v>
                </c:pt>
                <c:pt idx="14">
                  <c:v>1.8054610715807835E-2</c:v>
                </c:pt>
                <c:pt idx="15">
                  <c:v>2.0818966909580586E-2</c:v>
                </c:pt>
                <c:pt idx="16">
                  <c:v>2.3896304106009451E-2</c:v>
                </c:pt>
                <c:pt idx="17">
                  <c:v>2.7313088040253394E-2</c:v>
                </c:pt>
                <c:pt idx="18">
                  <c:v>3.1096013875947893E-2</c:v>
                </c:pt>
                <c:pt idx="19">
                  <c:v>3.5271551693328913E-2</c:v>
                </c:pt>
                <c:pt idx="20">
                  <c:v>3.9865427798660091E-2</c:v>
                </c:pt>
                <c:pt idx="21">
                  <c:v>4.4902055713710143E-2</c:v>
                </c:pt>
                <c:pt idx="22">
                  <c:v>5.0403937043669682E-2</c:v>
                </c:pt>
                <c:pt idx="23">
                  <c:v>5.6391058244722486E-2</c:v>
                </c:pt>
                <c:pt idx="24">
                  <c:v>6.2880313773267152E-2</c:v>
                </c:pt>
                <c:pt idx="25">
                  <c:v>6.9884988355077185E-2</c:v>
                </c:pt>
                <c:pt idx="26">
                  <c:v>7.7414330488151051E-2</c:v>
                </c:pt>
                <c:pt idx="27">
                  <c:v>8.5473245444672219E-2</c:v>
                </c:pt>
                <c:pt idx="28">
                  <c:v>9.4062129082026019E-2</c:v>
                </c:pt>
                <c:pt idx="29">
                  <c:v>0.103176854328434</c:v>
                </c:pt>
                <c:pt idx="30">
                  <c:v>0.11280891132758628</c:v>
                </c:pt>
                <c:pt idx="31">
                  <c:v>0.12294569122258417</c:v>
                </c:pt>
                <c:pt idx="32">
                  <c:v>0.13357089376974354</c:v>
                </c:pt>
                <c:pt idx="33">
                  <c:v>0.14466503151314355</c:v>
                </c:pt>
                <c:pt idx="34">
                  <c:v>0.1562059988271414</c:v>
                </c:pt>
                <c:pt idx="35">
                  <c:v>0.16816967295372431</c:v>
                </c:pt>
                <c:pt idx="36">
                  <c:v>0.18053051595611727</c:v>
                </c:pt>
                <c:pt idx="37">
                  <c:v>0.19326215064943561</c:v>
                </c:pt>
                <c:pt idx="38">
                  <c:v>0.20633788922560392</c:v>
                </c:pt>
                <c:pt idx="39">
                  <c:v>0.21973119960554646</c:v>
                </c:pt>
                <c:pt idx="40">
                  <c:v>0.23341610077409083</c:v>
                </c:pt>
                <c:pt idx="41">
                  <c:v>0.24736748391730218</c:v>
                </c:pt>
                <c:pt idx="42">
                  <c:v>0.26156136074009234</c:v>
                </c:pt>
                <c:pt idx="43">
                  <c:v>0.27597504374848275</c:v>
                </c:pt>
                <c:pt idx="44">
                  <c:v>0.29058726555183456</c:v>
                </c:pt>
                <c:pt idx="45">
                  <c:v>0.30537824550139947</c:v>
                </c:pt>
                <c:pt idx="46">
                  <c:v>0.32032971241818875</c:v>
                </c:pt>
                <c:pt idx="47">
                  <c:v>0.33542489197996544</c:v>
                </c:pt>
                <c:pt idx="48">
                  <c:v>0.35064846672907396</c:v>
                </c:pt>
                <c:pt idx="49">
                  <c:v>0.36598651579813468</c:v>
                </c:pt>
                <c:pt idx="50">
                  <c:v>0.38142644046353658</c:v>
                </c:pt>
                <c:pt idx="51">
                  <c:v>0.39695688062647388</c:v>
                </c:pt>
                <c:pt idx="52">
                  <c:v>0.41256762635585359</c:v>
                </c:pt>
                <c:pt idx="53">
                  <c:v>0.42824952774852948</c:v>
                </c:pt>
                <c:pt idx="54">
                  <c:v>0.4439944055916783</c:v>
                </c:pt>
                <c:pt idx="55">
                  <c:v>0.45979496465687725</c:v>
                </c:pt>
                <c:pt idx="56">
                  <c:v>0.4756447109129594</c:v>
                </c:pt>
                <c:pt idx="57">
                  <c:v>0.49153787350640787</c:v>
                </c:pt>
                <c:pt idx="58">
                  <c:v>0.50746933201210587</c:v>
                </c:pt>
                <c:pt idx="59">
                  <c:v>0.52343454919068189</c:v>
                </c:pt>
                <c:pt idx="60">
                  <c:v>0.53942950928855649</c:v>
                </c:pt>
                <c:pt idx="61">
                  <c:v>0.55545066177106439</c:v>
                </c:pt>
                <c:pt idx="62">
                  <c:v>0.57149487027694856</c:v>
                </c:pt>
                <c:pt idx="63">
                  <c:v>0.58755936651480456</c:v>
                </c:pt>
                <c:pt idx="64">
                  <c:v>0.60364170878088397</c:v>
                </c:pt>
                <c:pt idx="65">
                  <c:v>0.61973974475658611</c:v>
                </c:pt>
                <c:pt idx="66">
                  <c:v>0.63585157823775806</c:v>
                </c:pt>
                <c:pt idx="67">
                  <c:v>0.65197553945242848</c:v>
                </c:pt>
                <c:pt idx="68">
                  <c:v>0.66811015863555734</c:v>
                </c:pt>
                <c:pt idx="69">
                  <c:v>0.68425414254627481</c:v>
                </c:pt>
                <c:pt idx="70">
                  <c:v>0.70040635363299431</c:v>
                </c:pt>
                <c:pt idx="71">
                  <c:v>0.71656579157329281</c:v>
                </c:pt>
                <c:pt idx="72">
                  <c:v>0.73273157693750546</c:v>
                </c:pt>
                <c:pt idx="73">
                  <c:v>0.74890293674683839</c:v>
                </c:pt>
                <c:pt idx="74">
                  <c:v>0.76507919171794914</c:v>
                </c:pt>
                <c:pt idx="75">
                  <c:v>0.78125974500603734</c:v>
                </c:pt>
                <c:pt idx="76">
                  <c:v>0.79744407227732039</c:v>
                </c:pt>
                <c:pt idx="77">
                  <c:v>0.81363171295923309</c:v>
                </c:pt>
                <c:pt idx="78">
                  <c:v>0.82982226253274416</c:v>
                </c:pt>
                <c:pt idx="79">
                  <c:v>0.84601536574583669</c:v>
                </c:pt>
                <c:pt idx="80">
                  <c:v>0.86221071064050181</c:v>
                </c:pt>
                <c:pt idx="81">
                  <c:v>0.87840802329760559</c:v>
                </c:pt>
                <c:pt idx="82">
                  <c:v>0.89460706321479977</c:v>
                </c:pt>
                <c:pt idx="83">
                  <c:v>0.91080761924233211</c:v>
                </c:pt>
                <c:pt idx="84">
                  <c:v>0.92700950601027599</c:v>
                </c:pt>
                <c:pt idx="85">
                  <c:v>0.94321256078842131</c:v>
                </c:pt>
                <c:pt idx="86">
                  <c:v>0.95941664072694022</c:v>
                </c:pt>
                <c:pt idx="87">
                  <c:v>0.97562162043204814</c:v>
                </c:pt>
                <c:pt idx="88">
                  <c:v>0.99182738983629182</c:v>
                </c:pt>
                <c:pt idx="89">
                  <c:v>1.0080338523278913</c:v>
                </c:pt>
                <c:pt idx="90">
                  <c:v>1.0242409231078056</c:v>
                </c:pt>
                <c:pt idx="91">
                  <c:v>1.0404485277469364</c:v>
                </c:pt>
                <c:pt idx="92">
                  <c:v>1.0566566009191989</c:v>
                </c:pt>
                <c:pt idx="93">
                  <c:v>1.0728650852891015</c:v>
                </c:pt>
                <c:pt idx="94">
                  <c:v>1.0890739305350561</c:v>
                </c:pt>
                <c:pt idx="95">
                  <c:v>1.1052830924919068</c:v>
                </c:pt>
                <c:pt idx="96">
                  <c:v>1.1214925323981615</c:v>
                </c:pt>
                <c:pt idx="97">
                  <c:v>1.1377022162351695</c:v>
                </c:pt>
                <c:pt idx="98">
                  <c:v>1.1539121141470399</c:v>
                </c:pt>
                <c:pt idx="99">
                  <c:v>1.1701221999314477</c:v>
                </c:pt>
                <c:pt idx="100">
                  <c:v>1.1863324505926838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93-49D3-B7C4-C3CFADDF3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504104"/>
        <c:axId val="723501152"/>
      </c:scatterChart>
      <c:valAx>
        <c:axId val="72350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501152"/>
        <c:crosses val="autoZero"/>
        <c:crossBetween val="midCat"/>
      </c:valAx>
      <c:valAx>
        <c:axId val="72350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Concentration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504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Concentration</a:t>
            </a:r>
            <a:r>
              <a:rPr lang="en-US" baseline="0"/>
              <a:t> vs.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'5.9c'!$B$2</c:f>
              <c:strCache>
                <c:ptCount val="1"/>
                <c:pt idx="0">
                  <c:v>y1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'5.9c'!$A$3:$A$103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'5.9c'!$B$3:$B$103</c:f>
              <c:numCache>
                <c:formatCode>General</c:formatCode>
                <c:ptCount val="101"/>
                <c:pt idx="0">
                  <c:v>0.03</c:v>
                </c:pt>
                <c:pt idx="1">
                  <c:v>3.3804574468085102E-2</c:v>
                </c:pt>
                <c:pt idx="2">
                  <c:v>3.8073718242126749E-2</c:v>
                </c:pt>
                <c:pt idx="3">
                  <c:v>4.2859355490651424E-2</c:v>
                </c:pt>
                <c:pt idx="4">
                  <c:v>4.8217934155402611E-2</c:v>
                </c:pt>
                <c:pt idx="5">
                  <c:v>5.4210471868247449E-2</c:v>
                </c:pt>
                <c:pt idx="6">
                  <c:v>6.0902490960558796E-2</c:v>
                </c:pt>
                <c:pt idx="7">
                  <c:v>6.8363808918858682E-2</c:v>
                </c:pt>
                <c:pt idx="8">
                  <c:v>7.6668145590999229E-2</c:v>
                </c:pt>
                <c:pt idx="9">
                  <c:v>8.5892503944446183E-2</c:v>
                </c:pt>
                <c:pt idx="10">
                  <c:v>9.6116277905175102E-2</c:v>
                </c:pt>
                <c:pt idx="11">
                  <c:v>0.10742003967983477</c:v>
                </c:pt>
                <c:pt idx="12">
                  <c:v>0.11988396114900901</c:v>
                </c:pt>
                <c:pt idx="13">
                  <c:v>0.13358583080161238</c:v>
                </c:pt>
                <c:pt idx="14">
                  <c:v>0.14859864078660726</c:v>
                </c:pt>
                <c:pt idx="15">
                  <c:v>0.16498773949378562</c:v>
                </c:pt>
                <c:pt idx="16">
                  <c:v>0.18280757485895208</c:v>
                </c:pt>
                <c:pt idx="17">
                  <c:v>0.20209809287315428</c:v>
                </c:pt>
                <c:pt idx="18">
                  <c:v>0.22288090396748583</c:v>
                </c:pt>
                <c:pt idx="19">
                  <c:v>0.24515538477734281</c:v>
                </c:pt>
                <c:pt idx="20">
                  <c:v>0.26889493985149615</c:v>
                </c:pt>
                <c:pt idx="21">
                  <c:v>0.29404370035844224</c:v>
                </c:pt>
                <c:pt idx="22">
                  <c:v>0.32051397574222412</c:v>
                </c:pt>
                <c:pt idx="23">
                  <c:v>0.34818478918930929</c:v>
                </c:pt>
                <c:pt idx="24">
                  <c:v>0.37690180847482446</c:v>
                </c:pt>
                <c:pt idx="25">
                  <c:v>0.40647892251977252</c:v>
                </c:pt>
                <c:pt idx="26">
                  <c:v>0.43670160818547826</c:v>
                </c:pt>
                <c:pt idx="27">
                  <c:v>0.4673320863136019</c:v>
                </c:pt>
                <c:pt idx="28">
                  <c:v>0.49811609436997384</c:v>
                </c:pt>
                <c:pt idx="29">
                  <c:v>0.52879092688709795</c:v>
                </c:pt>
                <c:pt idx="30">
                  <c:v>0.55909424085088943</c:v>
                </c:pt>
                <c:pt idx="31">
                  <c:v>0.58877301779597846</c:v>
                </c:pt>
                <c:pt idx="32">
                  <c:v>0.61759203811716601</c:v>
                </c:pt>
                <c:pt idx="33">
                  <c:v>0.64534126506105871</c:v>
                </c:pt>
                <c:pt idx="34">
                  <c:v>0.67184165095515358</c:v>
                </c:pt>
                <c:pt idx="35">
                  <c:v>0.69694904795526047</c:v>
                </c:pt>
                <c:pt idx="36">
                  <c:v>0.72055610219123734</c:v>
                </c:pt>
                <c:pt idx="37">
                  <c:v>0.74259220303673756</c:v>
                </c:pt>
                <c:pt idx="38">
                  <c:v>0.76302172144153402</c:v>
                </c:pt>
                <c:pt idx="39">
                  <c:v>0.78184088470750279</c:v>
                </c:pt>
                <c:pt idx="40">
                  <c:v>0.79907369258394356</c:v>
                </c:pt>
                <c:pt idx="41">
                  <c:v>0.8147672842171787</c:v>
                </c:pt>
                <c:pt idx="42">
                  <c:v>0.82898712792472118</c:v>
                </c:pt>
                <c:pt idx="43">
                  <c:v>0.84181234037147767</c:v>
                </c:pt>
                <c:pt idx="44">
                  <c:v>0.85333136318501002</c:v>
                </c:pt>
                <c:pt idx="45">
                  <c:v>0.86363814578695952</c:v>
                </c:pt>
                <c:pt idx="46">
                  <c:v>0.87282891209947433</c:v>
                </c:pt>
                <c:pt idx="47">
                  <c:v>0.88099953087878791</c:v>
                </c:pt>
                <c:pt idx="48">
                  <c:v>0.88824346653398101</c:v>
                </c:pt>
                <c:pt idx="49">
                  <c:v>0.89465025882537963</c:v>
                </c:pt>
                <c:pt idx="50">
                  <c:v>0.90030446377859186</c:v>
                </c:pt>
                <c:pt idx="51">
                  <c:v>0.90528498182884787</c:v>
                </c:pt>
                <c:pt idx="52">
                  <c:v>0.9096646998946436</c:v>
                </c:pt>
                <c:pt idx="53">
                  <c:v>0.9135103793290249</c:v>
                </c:pt>
                <c:pt idx="54">
                  <c:v>0.91688272953008088</c:v>
                </c:pt>
                <c:pt idx="55">
                  <c:v>0.91983661592609633</c:v>
                </c:pt>
                <c:pt idx="56">
                  <c:v>0.92242136005945019</c:v>
                </c:pt>
                <c:pt idx="57">
                  <c:v>0.92468109792968045</c:v>
                </c:pt>
                <c:pt idx="58">
                  <c:v>0.92665517026297328</c:v>
                </c:pt>
                <c:pt idx="59">
                  <c:v>0.92837852480216942</c:v>
                </c:pt>
                <c:pt idx="60">
                  <c:v>0.92988211604474869</c:v>
                </c:pt>
                <c:pt idx="61">
                  <c:v>0.93119329216584312</c:v>
                </c:pt>
                <c:pt idx="62">
                  <c:v>0.93233616226288707</c:v>
                </c:pt>
                <c:pt idx="63">
                  <c:v>0.93333193967925654</c:v>
                </c:pt>
                <c:pt idx="64">
                  <c:v>0.93419925913794866</c:v>
                </c:pt>
                <c:pt idx="65">
                  <c:v>0.9349544668654669</c:v>
                </c:pt>
                <c:pt idx="66">
                  <c:v>0.93561188391885231</c:v>
                </c:pt>
                <c:pt idx="67">
                  <c:v>0.93618404363748353</c:v>
                </c:pt>
                <c:pt idx="68">
                  <c:v>0.93668190460234779</c:v>
                </c:pt>
                <c:pt idx="69">
                  <c:v>0.9371150407609552</c:v>
                </c:pt>
                <c:pt idx="70">
                  <c:v>0.93749181051524322</c:v>
                </c:pt>
                <c:pt idx="71">
                  <c:v>0.93781950661125868</c:v>
                </c:pt>
                <c:pt idx="72">
                  <c:v>0.93810448864280527</c:v>
                </c:pt>
                <c:pt idx="73">
                  <c:v>0.93835229990911584</c:v>
                </c:pt>
                <c:pt idx="74">
                  <c:v>0.93856777026576399</c:v>
                </c:pt>
                <c:pt idx="75">
                  <c:v>0.93875510649079619</c:v>
                </c:pt>
                <c:pt idx="76">
                  <c:v>0.93891797156333145</c:v>
                </c:pt>
                <c:pt idx="77">
                  <c:v>0.93905955412586961</c:v>
                </c:pt>
                <c:pt idx="78">
                  <c:v>0.93918262927853391</c:v>
                </c:pt>
                <c:pt idx="79">
                  <c:v>0.93928961173620396</c:v>
                </c:pt>
                <c:pt idx="80">
                  <c:v>0.9393826022696713</c:v>
                </c:pt>
                <c:pt idx="81">
                  <c:v>0.9394634282504567</c:v>
                </c:pt>
                <c:pt idx="82">
                  <c:v>0.93953367902612483</c:v>
                </c:pt>
                <c:pt idx="83">
                  <c:v>0.93959473676876859</c:v>
                </c:pt>
                <c:pt idx="84">
                  <c:v>0.93964780336353271</c:v>
                </c:pt>
                <c:pt idx="85">
                  <c:v>0.93969392383614003</c:v>
                </c:pt>
                <c:pt idx="86">
                  <c:v>0.93973400675783658</c:v>
                </c:pt>
                <c:pt idx="87">
                  <c:v>0.93976884201238442</c:v>
                </c:pt>
                <c:pt idx="88">
                  <c:v>0.93979911626210677</c:v>
                </c:pt>
                <c:pt idx="89">
                  <c:v>0.93982542640793021</c:v>
                </c:pt>
                <c:pt idx="90">
                  <c:v>0.93984829130131264</c:v>
                </c:pt>
                <c:pt idx="91">
                  <c:v>0.93986816193335732</c:v>
                </c:pt>
                <c:pt idx="92">
                  <c:v>0.93988543029780336</c:v>
                </c:pt>
                <c:pt idx="93">
                  <c:v>0.93990043709949922</c:v>
                </c:pt>
                <c:pt idx="94">
                  <c:v>0.93991347845800421</c:v>
                </c:pt>
                <c:pt idx="95">
                  <c:v>0.93992481173674713</c:v>
                </c:pt>
                <c:pt idx="96">
                  <c:v>0.9399346606113832</c:v>
                </c:pt>
                <c:pt idx="97">
                  <c:v>0.93994321947632398</c:v>
                </c:pt>
                <c:pt idx="98">
                  <c:v>0.93995065727561955</c:v>
                </c:pt>
                <c:pt idx="99">
                  <c:v>0.93995712083320881</c:v>
                </c:pt>
                <c:pt idx="100">
                  <c:v>0.93996273774782479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6F-4F4A-95EF-34DE4B2B2C70}"/>
            </c:ext>
          </c:extLst>
        </c:ser>
        <c:ser>
          <c:idx val="1"/>
          <c:order val="1"/>
          <c:tx>
            <c:strRef>
              <c:f>'5.9c'!$C$2</c:f>
              <c:strCache>
                <c:ptCount val="1"/>
                <c:pt idx="0">
                  <c:v>y2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'5.9c'!$A$3:$A$103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'5.9c'!$C$3:$C$103</c:f>
              <c:numCache>
                <c:formatCode>General</c:formatCode>
                <c:ptCount val="101"/>
                <c:pt idx="0">
                  <c:v>0</c:v>
                </c:pt>
                <c:pt idx="1">
                  <c:v>5.13E-4</c:v>
                </c:pt>
                <c:pt idx="2">
                  <c:v>1.0910582234042552E-3</c:v>
                </c:pt>
                <c:pt idx="3">
                  <c:v>1.7421188053446226E-3</c:v>
                </c:pt>
                <c:pt idx="4">
                  <c:v>2.4750137842347616E-3</c:v>
                </c:pt>
                <c:pt idx="5">
                  <c:v>3.2995404582921461E-3</c:v>
                </c:pt>
                <c:pt idx="6">
                  <c:v>4.2265395272391773E-3</c:v>
                </c:pt>
                <c:pt idx="7">
                  <c:v>5.2679721226647326E-3</c:v>
                </c:pt>
                <c:pt idx="8">
                  <c:v>6.4369932551772164E-3</c:v>
                </c:pt>
                <c:pt idx="9">
                  <c:v>7.7480185447833033E-3</c:v>
                </c:pt>
                <c:pt idx="10">
                  <c:v>9.2167803622333327E-3</c:v>
                </c:pt>
                <c:pt idx="11">
                  <c:v>1.0860368714411827E-2</c:v>
                </c:pt>
                <c:pt idx="12">
                  <c:v>1.2697251392937002E-2</c:v>
                </c:pt>
                <c:pt idx="13">
                  <c:v>1.4747267128585055E-2</c:v>
                </c:pt>
                <c:pt idx="14">
                  <c:v>1.7031584835292626E-2</c:v>
                </c:pt>
                <c:pt idx="15">
                  <c:v>1.957262159274361E-2</c:v>
                </c:pt>
                <c:pt idx="16">
                  <c:v>2.2393911938087343E-2</c:v>
                </c:pt>
                <c:pt idx="17">
                  <c:v>2.5519921468175423E-2</c:v>
                </c:pt>
                <c:pt idx="18">
                  <c:v>2.897579885630636E-2</c:v>
                </c:pt>
                <c:pt idx="19">
                  <c:v>3.2787062314150364E-2</c:v>
                </c:pt>
                <c:pt idx="20">
                  <c:v>3.6979219393842924E-2</c:v>
                </c:pt>
                <c:pt idx="21">
                  <c:v>4.1577322865303509E-2</c:v>
                </c:pt>
                <c:pt idx="22">
                  <c:v>4.6605470141432868E-2</c:v>
                </c:pt>
                <c:pt idx="23">
                  <c:v>5.2086259126624901E-2</c:v>
                </c:pt>
                <c:pt idx="24">
                  <c:v>5.8040219021762089E-2</c:v>
                </c:pt>
                <c:pt idx="25">
                  <c:v>6.4485239946681594E-2</c:v>
                </c:pt>
                <c:pt idx="26">
                  <c:v>7.1436029521769709E-2</c:v>
                </c:pt>
                <c:pt idx="27">
                  <c:v>7.890362702174139E-2</c:v>
                </c:pt>
                <c:pt idx="28">
                  <c:v>8.6895005697703989E-2</c:v>
                </c:pt>
                <c:pt idx="29">
                  <c:v>9.5412790911430539E-2</c:v>
                </c:pt>
                <c:pt idx="30">
                  <c:v>0.10445511576119991</c:v>
                </c:pt>
                <c:pt idx="31">
                  <c:v>0.11401562727975012</c:v>
                </c:pt>
                <c:pt idx="32">
                  <c:v>0.12408364588406134</c:v>
                </c:pt>
                <c:pt idx="33">
                  <c:v>0.13464446973586489</c:v>
                </c:pt>
                <c:pt idx="34">
                  <c:v>0.14567980536840899</c:v>
                </c:pt>
                <c:pt idx="35">
                  <c:v>0.15716829759974213</c:v>
                </c:pt>
                <c:pt idx="36">
                  <c:v>0.16908612631977707</c:v>
                </c:pt>
                <c:pt idx="37">
                  <c:v>0.18140763566724724</c:v>
                </c:pt>
                <c:pt idx="38">
                  <c:v>0.19410596233917546</c:v>
                </c:pt>
                <c:pt idx="39">
                  <c:v>0.20715363377582569</c:v>
                </c:pt>
                <c:pt idx="40">
                  <c:v>0.22052311290432397</c:v>
                </c:pt>
                <c:pt idx="41">
                  <c:v>0.23418727304750941</c:v>
                </c:pt>
                <c:pt idx="42">
                  <c:v>0.24811979360762318</c:v>
                </c:pt>
                <c:pt idx="43">
                  <c:v>0.26229547349513593</c:v>
                </c:pt>
                <c:pt idx="44">
                  <c:v>0.27669046451548818</c:v>
                </c:pt>
                <c:pt idx="45">
                  <c:v>0.29128243082595184</c:v>
                </c:pt>
                <c:pt idx="46">
                  <c:v>0.30605064311890884</c:v>
                </c:pt>
                <c:pt idx="47">
                  <c:v>0.32097601751580984</c:v>
                </c:pt>
                <c:pt idx="48">
                  <c:v>0.33604110949383709</c:v>
                </c:pt>
                <c:pt idx="49">
                  <c:v>0.35123007277156815</c:v>
                </c:pt>
                <c:pt idx="50">
                  <c:v>0.36652859219748213</c:v>
                </c:pt>
                <c:pt idx="51">
                  <c:v>0.38192379852809605</c:v>
                </c:pt>
                <c:pt idx="52">
                  <c:v>0.39740417171736936</c:v>
                </c:pt>
                <c:pt idx="53">
                  <c:v>0.41295943808556779</c:v>
                </c:pt>
                <c:pt idx="54">
                  <c:v>0.42858046557209412</c:v>
                </c:pt>
                <c:pt idx="55">
                  <c:v>0.44425916024705847</c:v>
                </c:pt>
                <c:pt idx="56">
                  <c:v>0.45998836637939472</c:v>
                </c:pt>
                <c:pt idx="57">
                  <c:v>0.47576177163641131</c:v>
                </c:pt>
                <c:pt idx="58">
                  <c:v>0.49157381841100883</c:v>
                </c:pt>
                <c:pt idx="59">
                  <c:v>0.50741962182250566</c:v>
                </c:pt>
                <c:pt idx="60">
                  <c:v>0.52329489459662271</c:v>
                </c:pt>
                <c:pt idx="61">
                  <c:v>0.53919587878098796</c:v>
                </c:pt>
                <c:pt idx="62">
                  <c:v>0.55511928407702382</c:v>
                </c:pt>
                <c:pt idx="63">
                  <c:v>0.57106223245171917</c:v>
                </c:pt>
                <c:pt idx="64">
                  <c:v>0.58702220862023446</c:v>
                </c:pt>
                <c:pt idx="65">
                  <c:v>0.60299701595149335</c:v>
                </c:pt>
                <c:pt idx="66">
                  <c:v>0.61898473733489279</c:v>
                </c:pt>
                <c:pt idx="67">
                  <c:v>0.63498370054990516</c:v>
                </c:pt>
                <c:pt idx="68">
                  <c:v>0.65099244769610609</c:v>
                </c:pt>
                <c:pt idx="69">
                  <c:v>0.66700970826480621</c:v>
                </c:pt>
                <c:pt idx="70">
                  <c:v>0.68303437546181855</c:v>
                </c:pt>
                <c:pt idx="71">
                  <c:v>0.69906548542162916</c:v>
                </c:pt>
                <c:pt idx="72">
                  <c:v>0.71510219898468164</c:v>
                </c:pt>
                <c:pt idx="73">
                  <c:v>0.73114378574047356</c:v>
                </c:pt>
                <c:pt idx="74">
                  <c:v>0.74718961006891949</c:v>
                </c:pt>
                <c:pt idx="75">
                  <c:v>0.76323911894046403</c:v>
                </c:pt>
                <c:pt idx="76">
                  <c:v>0.77929183126145662</c:v>
                </c:pt>
                <c:pt idx="77">
                  <c:v>0.79534732857518964</c:v>
                </c:pt>
                <c:pt idx="78">
                  <c:v>0.81140524695074201</c:v>
                </c:pt>
                <c:pt idx="79">
                  <c:v>0.8274652699114049</c:v>
                </c:pt>
                <c:pt idx="80">
                  <c:v>0.84352712227209403</c:v>
                </c:pt>
                <c:pt idx="81">
                  <c:v>0.85959056477090545</c:v>
                </c:pt>
                <c:pt idx="82">
                  <c:v>0.87565538939398824</c:v>
                </c:pt>
                <c:pt idx="83">
                  <c:v>0.891721415305335</c:v>
                </c:pt>
                <c:pt idx="84">
                  <c:v>0.90778848530408096</c:v>
                </c:pt>
                <c:pt idx="85">
                  <c:v>0.92385646274159738</c:v>
                </c:pt>
                <c:pt idx="86">
                  <c:v>0.93992522883919538</c:v>
                </c:pt>
                <c:pt idx="87">
                  <c:v>0.95599468035475443</c:v>
                </c:pt>
                <c:pt idx="88">
                  <c:v>0.9720647275531662</c:v>
                </c:pt>
                <c:pt idx="89">
                  <c:v>0.9881352924412482</c:v>
                </c:pt>
                <c:pt idx="90">
                  <c:v>1.0042063072328238</c:v>
                </c:pt>
                <c:pt idx="91">
                  <c:v>1.0202777130140763</c:v>
                </c:pt>
                <c:pt idx="92">
                  <c:v>1.0363494585831368</c:v>
                </c:pt>
                <c:pt idx="93">
                  <c:v>1.0524214994412291</c:v>
                </c:pt>
                <c:pt idx="94">
                  <c:v>1.0684937969156305</c:v>
                </c:pt>
                <c:pt idx="95">
                  <c:v>1.0845663173972624</c:v>
                </c:pt>
                <c:pt idx="96">
                  <c:v>1.1006390316779608</c:v>
                </c:pt>
                <c:pt idx="97">
                  <c:v>1.1167119143744155</c:v>
                </c:pt>
                <c:pt idx="98">
                  <c:v>1.1327849434274606</c:v>
                </c:pt>
                <c:pt idx="99">
                  <c:v>1.1488580996668738</c:v>
                </c:pt>
                <c:pt idx="100">
                  <c:v>1.1649313664331216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6F-4F4A-95EF-34DE4B2B2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225168"/>
        <c:axId val="736225824"/>
      </c:scatterChart>
      <c:valAx>
        <c:axId val="736225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225824"/>
        <c:crosses val="autoZero"/>
        <c:crossBetween val="midCat"/>
      </c:valAx>
      <c:valAx>
        <c:axId val="73622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Concentration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225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Concentration vs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'5.9d'!$B$2</c:f>
              <c:strCache>
                <c:ptCount val="1"/>
                <c:pt idx="0">
                  <c:v>y1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'5.9d'!$A$3:$A$103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'5.9d'!$B$3:$B$103</c:f>
              <c:numCache>
                <c:formatCode>General</c:formatCode>
                <c:ptCount val="101"/>
                <c:pt idx="0">
                  <c:v>0.03</c:v>
                </c:pt>
                <c:pt idx="1">
                  <c:v>3.2025052714318242E-2</c:v>
                </c:pt>
                <c:pt idx="2">
                  <c:v>3.418162151878483E-2</c:v>
                </c:pt>
                <c:pt idx="3">
                  <c:v>3.6477528315655705E-2</c:v>
                </c:pt>
                <c:pt idx="4">
                  <c:v>3.8920960593524186E-2</c:v>
                </c:pt>
                <c:pt idx="5">
                  <c:v>4.1520474356712023E-2</c:v>
                </c:pt>
                <c:pt idx="6">
                  <c:v>4.428499471091845E-2</c:v>
                </c:pt>
                <c:pt idx="7">
                  <c:v>4.7223813712573053E-2</c:v>
                </c:pt>
                <c:pt idx="8">
                  <c:v>5.0346585053968482E-2</c:v>
                </c:pt>
                <c:pt idx="9">
                  <c:v>5.3663315121251609E-2</c:v>
                </c:pt>
                <c:pt idx="10">
                  <c:v>5.7184349928649333E-2</c:v>
                </c:pt>
                <c:pt idx="11">
                  <c:v>6.0920357401027657E-2</c:v>
                </c:pt>
                <c:pt idx="12">
                  <c:v>6.4882304449391387E-2</c:v>
                </c:pt>
                <c:pt idx="13">
                  <c:v>6.9081428261834082E-2</c:v>
                </c:pt>
                <c:pt idx="14">
                  <c:v>7.3529201217611986E-2</c:v>
                </c:pt>
                <c:pt idx="15">
                  <c:v>7.8237288826572285E-2</c:v>
                </c:pt>
                <c:pt idx="16">
                  <c:v>8.3217500102505101E-2</c:v>
                </c:pt>
                <c:pt idx="17">
                  <c:v>8.8481729799733677E-2</c:v>
                </c:pt>
                <c:pt idx="18">
                  <c:v>9.4041891980232523E-2</c:v>
                </c:pt>
                <c:pt idx="19">
                  <c:v>9.9909844436725695E-2</c:v>
                </c:pt>
                <c:pt idx="20">
                  <c:v>0.10609730357857586</c:v>
                </c:pt>
                <c:pt idx="21">
                  <c:v>0.11261574949476769</c:v>
                </c:pt>
                <c:pt idx="22">
                  <c:v>0.1194763210446384</c:v>
                </c:pt>
                <c:pt idx="23">
                  <c:v>0.12668970099453145</c:v>
                </c:pt>
                <c:pt idx="24">
                  <c:v>0.13426599141894552</c:v>
                </c:pt>
                <c:pt idx="25">
                  <c:v>0.14221457981884467</c:v>
                </c:pt>
                <c:pt idx="26">
                  <c:v>0.15054399667726759</c:v>
                </c:pt>
                <c:pt idx="27">
                  <c:v>0.15926176547146692</c:v>
                </c:pt>
                <c:pt idx="28">
                  <c:v>0.16837424648803931</c:v>
                </c:pt>
                <c:pt idx="29">
                  <c:v>0.17788647613739469</c:v>
                </c:pt>
                <c:pt idx="30">
                  <c:v>0.18780200382875709</c:v>
                </c:pt>
                <c:pt idx="31">
                  <c:v>0.19812272883662024</c:v>
                </c:pt>
                <c:pt idx="32">
                  <c:v>0.20884873995171935</c:v>
                </c:pt>
                <c:pt idx="33">
                  <c:v>0.21997816104933582</c:v>
                </c:pt>
                <c:pt idx="34">
                  <c:v>0.2315070060083016</c:v>
                </c:pt>
                <c:pt idx="35">
                  <c:v>0.2434290466570336</c:v>
                </c:pt>
                <c:pt idx="36">
                  <c:v>0.25573569758905934</c:v>
                </c:pt>
                <c:pt idx="37">
                  <c:v>0.26841592176059398</c:v>
                </c:pt>
                <c:pt idx="38">
                  <c:v>0.28145616073875501</c:v>
                </c:pt>
                <c:pt idx="39">
                  <c:v>0.29484029329534511</c:v>
                </c:pt>
                <c:pt idx="40">
                  <c:v>0.30854962572598177</c:v>
                </c:pt>
                <c:pt idx="41">
                  <c:v>0.32256291681106314</c:v>
                </c:pt>
                <c:pt idx="42">
                  <c:v>0.33685643972341012</c:v>
                </c:pt>
                <c:pt idx="43">
                  <c:v>0.3514040824346627</c:v>
                </c:pt>
                <c:pt idx="44">
                  <c:v>0.36617748729399219</c:v>
                </c:pt>
                <c:pt idx="45">
                  <c:v>0.38114622947209131</c:v>
                </c:pt>
                <c:pt idx="46">
                  <c:v>0.39627803291230662</c:v>
                </c:pt>
                <c:pt idx="47">
                  <c:v>0.41153902134765613</c:v>
                </c:pt>
                <c:pt idx="48">
                  <c:v>0.42689400087105001</c:v>
                </c:pt>
                <c:pt idx="49">
                  <c:v>0.44230676953303255</c:v>
                </c:pt>
                <c:pt idx="50">
                  <c:v>0.45774044853388574</c:v>
                </c:pt>
                <c:pt idx="51">
                  <c:v>0.47315782881948398</c:v>
                </c:pt>
                <c:pt idx="52">
                  <c:v>0.48852172632185925</c:v>
                </c:pt>
                <c:pt idx="53">
                  <c:v>0.50379533873673032</c:v>
                </c:pt>
                <c:pt idx="54">
                  <c:v>0.51894259662145237</c:v>
                </c:pt>
                <c:pt idx="55">
                  <c:v>0.53392850173599782</c:v>
                </c:pt>
                <c:pt idx="56">
                  <c:v>0.54871944593189215</c:v>
                </c:pt>
                <c:pt idx="57">
                  <c:v>0.5632835045020248</c:v>
                </c:pt>
                <c:pt idx="58">
                  <c:v>0.57759069870895208</c:v>
                </c:pt>
                <c:pt idx="59">
                  <c:v>0.59161322317210685</c:v>
                </c:pt>
                <c:pt idx="60">
                  <c:v>0.60532563486968671</c:v>
                </c:pt>
                <c:pt idx="61">
                  <c:v>0.61870500164938236</c:v>
                </c:pt>
                <c:pt idx="62">
                  <c:v>0.63173100929325354</c:v>
                </c:pt>
                <c:pt idx="63">
                  <c:v>0.64438602729795613</c:v>
                </c:pt>
                <c:pt idx="64">
                  <c:v>0.65665513456914681</c:v>
                </c:pt>
                <c:pt idx="65">
                  <c:v>0.66852610715236216</c:v>
                </c:pt>
                <c:pt idx="66">
                  <c:v>0.67998937090469758</c:v>
                </c:pt>
                <c:pt idx="67">
                  <c:v>0.69103792263427144</c:v>
                </c:pt>
                <c:pt idx="68">
                  <c:v>0.70166722368920698</c:v>
                </c:pt>
                <c:pt idx="69">
                  <c:v>0.71187507026496122</c:v>
                </c:pt>
                <c:pt idx="70">
                  <c:v>0.72166144482625338</c:v>
                </c:pt>
                <c:pt idx="71">
                  <c:v>0.73102835302183389</c:v>
                </c:pt>
                <c:pt idx="72">
                  <c:v>0.73997965032578694</c:v>
                </c:pt>
                <c:pt idx="73">
                  <c:v>0.74852086238981608</c:v>
                </c:pt>
                <c:pt idx="74">
                  <c:v>0.75665900276025577</c:v>
                </c:pt>
                <c:pt idx="75">
                  <c:v>0.76440239122456055</c:v>
                </c:pt>
                <c:pt idx="76">
                  <c:v>0.77176047562673988</c:v>
                </c:pt>
                <c:pt idx="77">
                  <c:v>0.7787436595495294</c:v>
                </c:pt>
                <c:pt idx="78">
                  <c:v>0.78536313782024125</c:v>
                </c:pt>
                <c:pt idx="79">
                  <c:v>0.79163074137143152</c:v>
                </c:pt>
                <c:pt idx="80">
                  <c:v>0.79755879258785611</c:v>
                </c:pt>
                <c:pt idx="81">
                  <c:v>0.80315997190574306</c:v>
                </c:pt>
                <c:pt idx="82">
                  <c:v>0.80844719610448346</c:v>
                </c:pt>
                <c:pt idx="83">
                  <c:v>0.81343350844726725</c:v>
                </c:pt>
                <c:pt idx="84">
                  <c:v>0.81813198058673164</c:v>
                </c:pt>
                <c:pt idx="85">
                  <c:v>0.82255562595343368</c:v>
                </c:pt>
                <c:pt idx="86">
                  <c:v>0.82671732418671484</c:v>
                </c:pt>
                <c:pt idx="87">
                  <c:v>0.83062975604619571</c:v>
                </c:pt>
                <c:pt idx="88">
                  <c:v>0.83430534815401902</c:v>
                </c:pt>
                <c:pt idx="89">
                  <c:v>0.83775622685905171</c:v>
                </c:pt>
                <c:pt idx="90">
                  <c:v>0.84099418048044916</c:v>
                </c:pt>
                <c:pt idx="91">
                  <c:v>0.84403062917526095</c:v>
                </c:pt>
                <c:pt idx="92">
                  <c:v>0.84687660167931189</c:v>
                </c:pt>
                <c:pt idx="93">
                  <c:v>0.84954271818890215</c:v>
                </c:pt>
                <c:pt idx="94">
                  <c:v>0.85203917867978918</c:v>
                </c:pt>
                <c:pt idx="95">
                  <c:v>0.85437575599665316</c:v>
                </c:pt>
                <c:pt idx="96">
                  <c:v>0.85656179308841374</c:v>
                </c:pt>
                <c:pt idx="97">
                  <c:v>0.85860620381033215</c:v>
                </c:pt>
                <c:pt idx="98">
                  <c:v>0.86051747676113421</c:v>
                </c:pt>
                <c:pt idx="99">
                  <c:v>0.86230368167105687</c:v>
                </c:pt>
                <c:pt idx="100">
                  <c:v>0.86397247790370413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DA-4C40-9EE5-9A708A62C1F8}"/>
            </c:ext>
          </c:extLst>
        </c:ser>
        <c:ser>
          <c:idx val="1"/>
          <c:order val="1"/>
          <c:tx>
            <c:strRef>
              <c:f>'5.9d'!$C$2</c:f>
              <c:strCache>
                <c:ptCount val="1"/>
                <c:pt idx="0">
                  <c:v>y2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'5.9d'!$A$3:$A$103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'5.9d'!$C$3:$C$103</c:f>
              <c:numCache>
                <c:formatCode>General</c:formatCode>
                <c:ptCount val="101"/>
                <c:pt idx="0">
                  <c:v>0</c:v>
                </c:pt>
                <c:pt idx="1">
                  <c:v>5.1738614999999994E-4</c:v>
                </c:pt>
                <c:pt idx="2">
                  <c:v>1.0696967742469387E-3</c:v>
                </c:pt>
                <c:pt idx="3">
                  <c:v>1.6592000261923133E-3</c:v>
                </c:pt>
                <c:pt idx="4">
                  <c:v>2.2882989574174164E-3</c:v>
                </c:pt>
                <c:pt idx="5">
                  <c:v>2.9595378226102563E-3</c:v>
                </c:pt>
                <c:pt idx="6">
                  <c:v>3.675608435063355E-3</c:v>
                </c:pt>
                <c:pt idx="7">
                  <c:v>4.4393565322717703E-3</c:v>
                </c:pt>
                <c:pt idx="8">
                  <c:v>5.2537881044406164E-3</c:v>
                </c:pt>
                <c:pt idx="9">
                  <c:v>6.1220756313312931E-3</c:v>
                </c:pt>
                <c:pt idx="10">
                  <c:v>7.0475641648919986E-3</c:v>
                </c:pt>
                <c:pt idx="11">
                  <c:v>8.0337771865532197E-3</c:v>
                </c:pt>
                <c:pt idx="12">
                  <c:v>9.0844221589646106E-3</c:v>
                </c:pt>
                <c:pt idx="13">
                  <c:v>1.0203395682371226E-2</c:v>
                </c:pt>
                <c:pt idx="14">
                  <c:v>1.139478815586761E-2</c:v>
                </c:pt>
                <c:pt idx="15">
                  <c:v>1.2662887833552796E-2</c:v>
                </c:pt>
                <c:pt idx="16">
                  <c:v>1.401218415530007E-2</c:v>
                </c:pt>
                <c:pt idx="17">
                  <c:v>1.5447370221655394E-2</c:v>
                </c:pt>
                <c:pt idx="18">
                  <c:v>1.697334427253621E-2</c:v>
                </c:pt>
                <c:pt idx="19">
                  <c:v>1.8595210020215157E-2</c:v>
                </c:pt>
                <c:pt idx="20">
                  <c:v>2.0318275678889039E-2</c:v>
                </c:pt>
                <c:pt idx="21">
                  <c:v>2.2148051526352391E-2</c:v>
                </c:pt>
                <c:pt idx="22">
                  <c:v>2.4090245828367801E-2</c:v>
                </c:pt>
                <c:pt idx="23">
                  <c:v>2.6150758953749451E-2</c:v>
                </c:pt>
                <c:pt idx="24">
                  <c:v>2.8335675508489845E-2</c:v>
                </c:pt>
                <c:pt idx="25">
                  <c:v>3.065125432102922E-2</c:v>
                </c:pt>
                <c:pt idx="26">
                  <c:v>3.3103916118573877E-2</c:v>
                </c:pt>
                <c:pt idx="27">
                  <c:v>3.5700228746789353E-2</c:v>
                </c:pt>
                <c:pt idx="28">
                  <c:v>3.8446889802772194E-2</c:v>
                </c:pt>
                <c:pt idx="29">
                  <c:v>4.1350706574425453E-2</c:v>
                </c:pt>
                <c:pt idx="30">
                  <c:v>4.441857320861857E-2</c:v>
                </c:pt>
                <c:pt idx="31">
                  <c:v>4.7657445066060102E-2</c:v>
                </c:pt>
                <c:pt idx="32">
                  <c:v>5.1074310262735866E-2</c:v>
                </c:pt>
                <c:pt idx="33">
                  <c:v>5.467615844593491E-2</c:v>
                </c:pt>
                <c:pt idx="34">
                  <c:v>5.8469946906914767E-2</c:v>
                </c:pt>
                <c:pt idx="35">
                  <c:v>6.2462564191470171E-2</c:v>
                </c:pt>
                <c:pt idx="36">
                  <c:v>6.6660791433071936E-2</c:v>
                </c:pt>
                <c:pt idx="37">
                  <c:v>7.1071261699510863E-2</c:v>
                </c:pt>
                <c:pt idx="38">
                  <c:v>7.5700417711458023E-2</c:v>
                </c:pt>
                <c:pt idx="39">
                  <c:v>8.0554468358071549E-2</c:v>
                </c:pt>
                <c:pt idx="40">
                  <c:v>8.5639344498503189E-2</c:v>
                </c:pt>
                <c:pt idx="41">
                  <c:v>9.0960654596446741E-2</c:v>
                </c:pt>
                <c:pt idx="42">
                  <c:v>9.6523640785168285E-2</c:v>
                </c:pt>
                <c:pt idx="43">
                  <c:v>0.10233313600020837</c:v>
                </c:pt>
                <c:pt idx="44">
                  <c:v>0.10839352284371345</c:v>
                </c:pt>
                <c:pt idx="45">
                  <c:v>0.11470869485597053</c:v>
                </c:pt>
                <c:pt idx="46">
                  <c:v>0.12128202086442326</c:v>
                </c:pt>
                <c:pt idx="47">
                  <c:v>0.12811631305702564</c:v>
                </c:pt>
                <c:pt idx="48">
                  <c:v>0.13521379938468669</c:v>
                </c:pt>
                <c:pt idx="49">
                  <c:v>0.142576100836979</c:v>
                </c:pt>
                <c:pt idx="50">
                  <c:v>0.15020421405723344</c:v>
                </c:pt>
                <c:pt idx="51">
                  <c:v>0.15809849966944078</c:v>
                </c:pt>
                <c:pt idx="52">
                  <c:v>0.1662586765826165</c:v>
                </c:pt>
                <c:pt idx="53">
                  <c:v>0.17468382242171718</c:v>
                </c:pt>
                <c:pt idx="54">
                  <c:v>0.18337238011161527</c:v>
                </c:pt>
                <c:pt idx="55">
                  <c:v>0.19232217051618114</c:v>
                </c:pt>
                <c:pt idx="56">
                  <c:v>0.20153041091246301</c:v>
                </c:pt>
                <c:pt idx="57">
                  <c:v>0.21099373896449083</c:v>
                </c:pt>
                <c:pt idx="58">
                  <c:v>0.22070824175625117</c:v>
                </c:pt>
                <c:pt idx="59">
                  <c:v>0.23066948935227899</c:v>
                </c:pt>
                <c:pt idx="60">
                  <c:v>0.2408725722798159</c:v>
                </c:pt>
                <c:pt idx="61">
                  <c:v>0.25131214227053367</c:v>
                </c:pt>
                <c:pt idx="62">
                  <c:v>0.26198245556350425</c:v>
                </c:pt>
                <c:pt idx="63">
                  <c:v>0.27287741805463261</c:v>
                </c:pt>
                <c:pt idx="64">
                  <c:v>0.28399063158054877</c:v>
                </c:pt>
                <c:pt idx="65">
                  <c:v>0.29531544064563087</c:v>
                </c:pt>
                <c:pt idx="66">
                  <c:v>0.30684497893743246</c:v>
                </c:pt>
                <c:pt idx="67">
                  <c:v>0.3185722150258759</c:v>
                </c:pt>
                <c:pt idx="68">
                  <c:v>0.3304899967024007</c:v>
                </c:pt>
                <c:pt idx="69">
                  <c:v>0.34259109348392563</c:v>
                </c:pt>
                <c:pt idx="70">
                  <c:v>0.35486823688010455</c:v>
                </c:pt>
                <c:pt idx="71">
                  <c:v>0.3673141580981743</c:v>
                </c:pt>
                <c:pt idx="72">
                  <c:v>0.37992162293520121</c:v>
                </c:pt>
                <c:pt idx="73">
                  <c:v>0.39268346368054807</c:v>
                </c:pt>
                <c:pt idx="74">
                  <c:v>0.40559260792009966</c:v>
                </c:pt>
                <c:pt idx="75">
                  <c:v>0.41864210419679859</c:v>
                </c:pt>
                <c:pt idx="76">
                  <c:v>0.43182514453834758</c:v>
                </c:pt>
                <c:pt idx="77">
                  <c:v>0.44513508391190382</c:v>
                </c:pt>
                <c:pt idx="78">
                  <c:v>0.45856545670694521</c:v>
                </c:pt>
                <c:pt idx="79">
                  <c:v>0.47210999038123636</c:v>
                </c:pt>
                <c:pt idx="80">
                  <c:v>0.48576261643123003</c:v>
                </c:pt>
                <c:pt idx="81">
                  <c:v>0.49951747886775266</c:v>
                </c:pt>
                <c:pt idx="82">
                  <c:v>0.51336894039103331</c:v>
                </c:pt>
                <c:pt idx="83">
                  <c:v>0.52731158646672649</c:v>
                </c:pt>
                <c:pt idx="84">
                  <c:v>0.54134022750727728</c:v>
                </c:pt>
                <c:pt idx="85">
                  <c:v>0.55544989936153211</c:v>
                </c:pt>
                <c:pt idx="86">
                  <c:v>0.56963586231062835</c:v>
                </c:pt>
                <c:pt idx="87">
                  <c:v>0.58389359876060387</c:v>
                </c:pt>
                <c:pt idx="88">
                  <c:v>0.59821880981247655</c:v>
                </c:pt>
                <c:pt idx="89">
                  <c:v>0.61260741087933712</c:v>
                </c:pt>
                <c:pt idx="90">
                  <c:v>0.62705552650777485</c:v>
                </c:pt>
                <c:pt idx="91">
                  <c:v>0.64155948454814771</c:v>
                </c:pt>
                <c:pt idx="92">
                  <c:v>0.65611580980518325</c:v>
                </c:pt>
                <c:pt idx="93">
                  <c:v>0.67072121728744805</c:v>
                </c:pt>
                <c:pt idx="94">
                  <c:v>0.68537260516159104</c:v>
                </c:pt>
                <c:pt idx="95">
                  <c:v>0.70006704750513427</c:v>
                </c:pt>
                <c:pt idx="96">
                  <c:v>0.71480178694008256</c:v>
                </c:pt>
                <c:pt idx="97">
                  <c:v>0.7295742272188529</c:v>
                </c:pt>
                <c:pt idx="98">
                  <c:v>0.74438192582403762</c:v>
                </c:pt>
                <c:pt idx="99">
                  <c:v>0.75922258663434283</c:v>
                </c:pt>
                <c:pt idx="100">
                  <c:v>0.77409405270069664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DA-4C40-9EE5-9A708A62C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7305520"/>
        <c:axId val="647306176"/>
      </c:scatterChart>
      <c:valAx>
        <c:axId val="64730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06176"/>
        <c:crosses val="autoZero"/>
        <c:crossBetween val="midCat"/>
      </c:valAx>
      <c:valAx>
        <c:axId val="64730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Concentration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305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Concentration</a:t>
            </a:r>
            <a:r>
              <a:rPr lang="en-US" baseline="0"/>
              <a:t> vs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'5.9e'!$B$8</c:f>
              <c:strCache>
                <c:ptCount val="1"/>
                <c:pt idx="0">
                  <c:v>y1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'5.9e'!$A$9:$A$29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'5.9e'!$B$9:$B$29</c:f>
              <c:numCache>
                <c:formatCode>General</c:formatCode>
                <c:ptCount val="21"/>
                <c:pt idx="0">
                  <c:v>0.03</c:v>
                </c:pt>
                <c:pt idx="1">
                  <c:v>4.9986036268035591E-2</c:v>
                </c:pt>
                <c:pt idx="2">
                  <c:v>7.5278056975959851E-2</c:v>
                </c:pt>
                <c:pt idx="3">
                  <c:v>9.8911576209841312E-2</c:v>
                </c:pt>
                <c:pt idx="4">
                  <c:v>0.1130949288383197</c:v>
                </c:pt>
                <c:pt idx="5">
                  <c:v>0.11812094806763276</c:v>
                </c:pt>
                <c:pt idx="6">
                  <c:v>0.11929146129328495</c:v>
                </c:pt>
                <c:pt idx="7">
                  <c:v>0.11951870284465327</c:v>
                </c:pt>
                <c:pt idx="8">
                  <c:v>0.11956083910238145</c:v>
                </c:pt>
                <c:pt idx="9">
                  <c:v>0.11956858150811339</c:v>
                </c:pt>
                <c:pt idx="10">
                  <c:v>0.11957000174558249</c:v>
                </c:pt>
                <c:pt idx="11">
                  <c:v>0.11957026218749107</c:v>
                </c:pt>
                <c:pt idx="12">
                  <c:v>0.11957030994437481</c:v>
                </c:pt>
                <c:pt idx="13">
                  <c:v>0.11957031870139892</c:v>
                </c:pt>
                <c:pt idx="14">
                  <c:v>0.11957032030714281</c:v>
                </c:pt>
                <c:pt idx="15">
                  <c:v>0.11957032060158218</c:v>
                </c:pt>
                <c:pt idx="16">
                  <c:v>0.11957032065557244</c:v>
                </c:pt>
                <c:pt idx="17">
                  <c:v>0.11957032066547243</c:v>
                </c:pt>
                <c:pt idx="18">
                  <c:v>0.11957032066728776</c:v>
                </c:pt>
                <c:pt idx="19">
                  <c:v>0.11957032066762062</c:v>
                </c:pt>
                <c:pt idx="20">
                  <c:v>0.11957032066768164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F2-40F2-8EAF-D3E50A1F7A63}"/>
            </c:ext>
          </c:extLst>
        </c:ser>
        <c:ser>
          <c:idx val="1"/>
          <c:order val="1"/>
          <c:tx>
            <c:strRef>
              <c:f>'5.9e'!$C$8</c:f>
              <c:strCache>
                <c:ptCount val="1"/>
                <c:pt idx="0">
                  <c:v>y2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'5.9e'!$A$9:$A$29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'5.9e'!$C$9:$C$29</c:f>
              <c:numCache>
                <c:formatCode>General</c:formatCode>
                <c:ptCount val="21"/>
                <c:pt idx="0">
                  <c:v>0</c:v>
                </c:pt>
                <c:pt idx="1">
                  <c:v>2.6778456815688277E-3</c:v>
                </c:pt>
                <c:pt idx="2">
                  <c:v>7.1396753935388906E-3</c:v>
                </c:pt>
                <c:pt idx="3">
                  <c:v>1.3859109386537767E-2</c:v>
                </c:pt>
                <c:pt idx="4">
                  <c:v>2.2688107293560751E-2</c:v>
                </c:pt>
                <c:pt idx="5">
                  <c:v>3.2783132853461697E-2</c:v>
                </c:pt>
                <c:pt idx="6">
                  <c:v>4.3326788542985904E-2</c:v>
                </c:pt>
                <c:pt idx="7">
                  <c:v>5.3974926025394512E-2</c:v>
                </c:pt>
                <c:pt idx="8">
                  <c:v>6.4643347434703277E-2</c:v>
                </c:pt>
                <c:pt idx="9">
                  <c:v>7.5315529990538532E-2</c:v>
                </c:pt>
                <c:pt idx="10">
                  <c:v>8.598840364529893E-2</c:v>
                </c:pt>
                <c:pt idx="11">
                  <c:v>9.6661404072618445E-2</c:v>
                </c:pt>
                <c:pt idx="12">
                  <c:v>0.10733442774737929</c:v>
                </c:pt>
                <c:pt idx="13">
                  <c:v>0.11800745568499231</c:v>
                </c:pt>
                <c:pt idx="14">
                  <c:v>0.12868048440427063</c:v>
                </c:pt>
                <c:pt idx="15">
                  <c:v>0.13935351326688009</c:v>
                </c:pt>
                <c:pt idx="16">
                  <c:v>0.15002654215577166</c:v>
                </c:pt>
                <c:pt idx="17">
                  <c:v>0.16069957104948249</c:v>
                </c:pt>
                <c:pt idx="18">
                  <c:v>0.171372599944077</c:v>
                </c:pt>
                <c:pt idx="19">
                  <c:v>0.18204562883883355</c:v>
                </c:pt>
                <c:pt idx="20">
                  <c:v>0.19271865773361982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F2-40F2-8EAF-D3E50A1F7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291304"/>
        <c:axId val="573293272"/>
      </c:scatterChart>
      <c:valAx>
        <c:axId val="573291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293272"/>
        <c:crosses val="autoZero"/>
        <c:crossBetween val="midCat"/>
      </c:valAx>
      <c:valAx>
        <c:axId val="57329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Concentration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291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</xdr:colOff>
      <xdr:row>33</xdr:row>
      <xdr:rowOff>4762</xdr:rowOff>
    </xdr:from>
    <xdr:to>
      <xdr:col>6</xdr:col>
      <xdr:colOff>452438</xdr:colOff>
      <xdr:row>46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AB33D2-F2C8-4911-A32C-9054D1477D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116681</xdr:colOff>
      <xdr:row>6</xdr:row>
      <xdr:rowOff>14287</xdr:rowOff>
    </xdr:from>
    <xdr:to>
      <xdr:col>19</xdr:col>
      <xdr:colOff>154781</xdr:colOff>
      <xdr:row>21</xdr:row>
      <xdr:rowOff>42862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8B1345E-AD42-45D8-886B-4E67302562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176211</xdr:colOff>
      <xdr:row>31</xdr:row>
      <xdr:rowOff>57152</xdr:rowOff>
    </xdr:from>
    <xdr:to>
      <xdr:col>6</xdr:col>
      <xdr:colOff>428625</xdr:colOff>
      <xdr:row>44</xdr:row>
      <xdr:rowOff>14289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0F713B-21BE-4DF5-9C11-49E34C78EB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269081</xdr:colOff>
      <xdr:row>7</xdr:row>
      <xdr:rowOff>52387</xdr:rowOff>
    </xdr:from>
    <xdr:to>
      <xdr:col>26</xdr:col>
      <xdr:colOff>307181</xdr:colOff>
      <xdr:row>22</xdr:row>
      <xdr:rowOff>80962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56D109-3801-4010-8215-459B1F2B9B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340518</xdr:colOff>
      <xdr:row>83</xdr:row>
      <xdr:rowOff>14288</xdr:rowOff>
    </xdr:from>
    <xdr:to>
      <xdr:col>10</xdr:col>
      <xdr:colOff>378618</xdr:colOff>
      <xdr:row>98</xdr:row>
      <xdr:rowOff>42863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6A4D388-B2DF-4C33-83B7-198045E030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402430</xdr:colOff>
      <xdr:row>78</xdr:row>
      <xdr:rowOff>100012</xdr:rowOff>
    </xdr:from>
    <xdr:to>
      <xdr:col>10</xdr:col>
      <xdr:colOff>440530</xdr:colOff>
      <xdr:row>93</xdr:row>
      <xdr:rowOff>128587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B31BF41-4A08-4AE4-AE0A-74FB844B8F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230980</xdr:colOff>
      <xdr:row>31</xdr:row>
      <xdr:rowOff>38099</xdr:rowOff>
    </xdr:from>
    <xdr:to>
      <xdr:col>7</xdr:col>
      <xdr:colOff>269080</xdr:colOff>
      <xdr:row>46</xdr:row>
      <xdr:rowOff>66674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772804D-ECFB-4C90-AA6E-9EB5D40DF8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96D7F-A54E-4860-8EFF-53E2F206CD3F}">
  <sheetPr codeName="Sheet1"/>
  <dimension ref="A1:L110"/>
  <sheetViews>
    <sheetView topLeftCell="A26" workbookViewId="0">
      <selection activeCell="A112" sqref="A112"/>
    </sheetView>
  </sheetViews>
  <sheetFormatPr defaultRowHeight="14.25" x14ac:dyDescent="0.45"/>
  <sheetData>
    <row r="1" spans="1:12" x14ac:dyDescent="0.45">
      <c r="A1" t="s">
        <v>0</v>
      </c>
      <c r="D1" t="s">
        <v>1</v>
      </c>
    </row>
    <row r="2" spans="1:12" x14ac:dyDescent="0.45">
      <c r="A2" t="s">
        <v>24</v>
      </c>
      <c r="D2" t="s">
        <v>3</v>
      </c>
    </row>
    <row r="4" spans="1:12" x14ac:dyDescent="0.45">
      <c r="A4" t="s">
        <v>8</v>
      </c>
      <c r="B4">
        <v>13.1</v>
      </c>
    </row>
    <row r="5" spans="1:12" x14ac:dyDescent="0.45">
      <c r="A5" t="s">
        <v>9</v>
      </c>
      <c r="B5">
        <v>0.94</v>
      </c>
    </row>
    <row r="6" spans="1:12" x14ac:dyDescent="0.45">
      <c r="A6" t="s">
        <v>10</v>
      </c>
      <c r="B6">
        <v>1.71</v>
      </c>
    </row>
    <row r="7" spans="1:12" x14ac:dyDescent="0.45">
      <c r="A7" t="s">
        <v>11</v>
      </c>
      <c r="B7">
        <v>0.05</v>
      </c>
      <c r="H7" t="s">
        <v>23</v>
      </c>
      <c r="I7">
        <v>0.01</v>
      </c>
    </row>
    <row r="8" spans="1:12" x14ac:dyDescent="0.45">
      <c r="A8" t="s">
        <v>4</v>
      </c>
    </row>
    <row r="9" spans="1:12" x14ac:dyDescent="0.45">
      <c r="A9" t="s">
        <v>5</v>
      </c>
      <c r="B9" t="s">
        <v>6</v>
      </c>
      <c r="C9" t="s">
        <v>7</v>
      </c>
      <c r="D9" t="s">
        <v>25</v>
      </c>
      <c r="E9" t="s">
        <v>26</v>
      </c>
      <c r="H9" t="s">
        <v>5</v>
      </c>
      <c r="I9" t="s">
        <v>6</v>
      </c>
      <c r="J9" t="s">
        <v>7</v>
      </c>
      <c r="K9" t="s">
        <v>25</v>
      </c>
      <c r="L9" t="s">
        <v>26</v>
      </c>
    </row>
    <row r="10" spans="1:12" x14ac:dyDescent="0.45">
      <c r="A10">
        <v>0</v>
      </c>
      <c r="B10">
        <v>0.03</v>
      </c>
      <c r="C10">
        <v>0</v>
      </c>
      <c r="D10">
        <f>a*B10-(a/b*B10^2)</f>
        <v>0.38045744680851062</v>
      </c>
      <c r="E10">
        <f>d*B10</f>
        <v>5.1299999999999998E-2</v>
      </c>
      <c r="H10">
        <v>0</v>
      </c>
      <c r="I10">
        <v>0.03</v>
      </c>
      <c r="J10">
        <v>0</v>
      </c>
      <c r="K10">
        <f>a*I10-(a/b*I10^2)</f>
        <v>0.38045744680851062</v>
      </c>
      <c r="L10">
        <f>d*I10</f>
        <v>5.1299999999999998E-2</v>
      </c>
    </row>
    <row r="11" spans="1:12" x14ac:dyDescent="0.45">
      <c r="A11">
        <f>A10+h</f>
        <v>0.05</v>
      </c>
      <c r="B11">
        <f>B10+(h*D10)</f>
        <v>4.902287234042553E-2</v>
      </c>
      <c r="C11">
        <f>C10+(h*(d*B10))</f>
        <v>2.565E-3</v>
      </c>
      <c r="D11">
        <f>a*B11-(a/b*B11^2)</f>
        <v>0.60870763791082527</v>
      </c>
      <c r="E11">
        <f>d*B11</f>
        <v>8.3829111702127659E-2</v>
      </c>
      <c r="H11">
        <v>0.01</v>
      </c>
      <c r="I11">
        <f>I10+($I$7*K10)</f>
        <v>3.3804574468085102E-2</v>
      </c>
      <c r="J11">
        <f>J10+($I$7*(d*I10))</f>
        <v>5.13E-4</v>
      </c>
      <c r="K11">
        <f>a*I11-(a/b*I11^2)</f>
        <v>0.42691437740416494</v>
      </c>
      <c r="L11">
        <f>d*I11</f>
        <v>5.7805822340425521E-2</v>
      </c>
    </row>
    <row r="12" spans="1:12" x14ac:dyDescent="0.45">
      <c r="A12">
        <f>A11+h</f>
        <v>0.1</v>
      </c>
      <c r="B12">
        <f>B11+(h*D11)</f>
        <v>7.9458254235966794E-2</v>
      </c>
      <c r="C12">
        <f>C11+(h*(d*B11))</f>
        <v>6.7564555851063832E-3</v>
      </c>
      <c r="D12">
        <f>a*B12-(a/b*B12^2)</f>
        <v>0.95291552881288755</v>
      </c>
      <c r="E12">
        <f>d*B12</f>
        <v>0.13587361474350321</v>
      </c>
      <c r="H12">
        <v>0.02</v>
      </c>
      <c r="I12">
        <f t="shared" ref="I12:I75" si="0">I11+($I$7*K11)</f>
        <v>3.8073718242126756E-2</v>
      </c>
      <c r="J12">
        <f>J11+($I$7*(d*I11))</f>
        <v>1.0910582234042554E-3</v>
      </c>
      <c r="K12">
        <f>a*I12-(a/b*I12^2)</f>
        <v>0.47856372485246773</v>
      </c>
      <c r="L12">
        <f>d*I12</f>
        <v>6.5106058194036753E-2</v>
      </c>
    </row>
    <row r="13" spans="1:12" x14ac:dyDescent="0.45">
      <c r="A13">
        <f>A12+h</f>
        <v>0.15000000000000002</v>
      </c>
      <c r="B13">
        <f>B12+(h*D12)</f>
        <v>0.12710403067661119</v>
      </c>
      <c r="C13">
        <f>C12+(h*(d*B12))</f>
        <v>1.3550136322281544E-2</v>
      </c>
      <c r="D13">
        <f>a*B13-(a/b*B13^2)</f>
        <v>1.4399179152183341</v>
      </c>
      <c r="E13">
        <f>d*B13</f>
        <v>0.21734789245700514</v>
      </c>
      <c r="H13">
        <v>0.03</v>
      </c>
      <c r="I13">
        <f t="shared" si="0"/>
        <v>4.2859355490651431E-2</v>
      </c>
      <c r="J13">
        <f>J12+($I$7*(d*I12))</f>
        <v>1.742118805344623E-3</v>
      </c>
      <c r="K13">
        <f>a*I13-(a/b*I13^2)</f>
        <v>0.53585786647511902</v>
      </c>
      <c r="L13">
        <f>d*I13</f>
        <v>7.3289497889013941E-2</v>
      </c>
    </row>
    <row r="14" spans="1:12" x14ac:dyDescent="0.45">
      <c r="A14">
        <f>A13+h</f>
        <v>0.2</v>
      </c>
      <c r="B14">
        <f>B13+(h*D13)</f>
        <v>0.19909992643752789</v>
      </c>
      <c r="C14">
        <f>C13+(h*(d*B13))</f>
        <v>2.4417530945131802E-2</v>
      </c>
      <c r="D14">
        <f>a*B14-(a/b*B14^2)</f>
        <v>2.0557683690259552</v>
      </c>
      <c r="E14">
        <f>d*B14</f>
        <v>0.34046087420817267</v>
      </c>
      <c r="H14">
        <v>0.04</v>
      </c>
      <c r="I14">
        <f t="shared" si="0"/>
        <v>4.8217934155402618E-2</v>
      </c>
      <c r="J14">
        <f>J13+($I$7*(d*I13))</f>
        <v>2.4750137842347625E-3</v>
      </c>
      <c r="K14">
        <f>a*I14-(a/b*I14^2)</f>
        <v>0.59925377128448376</v>
      </c>
      <c r="L14">
        <f>d*I14</f>
        <v>8.2452667405738478E-2</v>
      </c>
    </row>
    <row r="15" spans="1:12" x14ac:dyDescent="0.45">
      <c r="A15">
        <f>A14+h</f>
        <v>0.25</v>
      </c>
      <c r="B15">
        <f>B14+(h*D14)</f>
        <v>0.30188834488882565</v>
      </c>
      <c r="C15">
        <f>C14+(h*(d*B14))</f>
        <v>4.1440574655540435E-2</v>
      </c>
      <c r="D15">
        <f>a*B15-(a/b*B15^2)</f>
        <v>2.6846425271773815</v>
      </c>
      <c r="E15">
        <f>d*B15</f>
        <v>0.51622906975989191</v>
      </c>
      <c r="H15">
        <v>0.05</v>
      </c>
      <c r="I15">
        <f t="shared" si="0"/>
        <v>5.4210471868247456E-2</v>
      </c>
      <c r="J15">
        <f>J14+($I$7*(d*I14))</f>
        <v>3.2995404582921474E-3</v>
      </c>
      <c r="K15">
        <f>a*I15-(a/b*I15^2)</f>
        <v>0.66920190923113476</v>
      </c>
      <c r="L15">
        <f>d*I15</f>
        <v>9.2699906894703143E-2</v>
      </c>
    </row>
    <row r="16" spans="1:12" x14ac:dyDescent="0.45">
      <c r="A16">
        <f>A15+h</f>
        <v>0.3</v>
      </c>
      <c r="B16">
        <f>B15+(h*D15)</f>
        <v>0.43612047124769471</v>
      </c>
      <c r="C16">
        <f>C15+(h*(d*B15))</f>
        <v>6.7252028143535036E-2</v>
      </c>
      <c r="D16">
        <f>a*B16-(a/b*B16^2)</f>
        <v>3.0625037507052495</v>
      </c>
      <c r="E16">
        <f>d*B16</f>
        <v>0.7457660058335579</v>
      </c>
      <c r="H16">
        <v>0.06</v>
      </c>
      <c r="I16">
        <f t="shared" si="0"/>
        <v>6.0902490960558803E-2</v>
      </c>
      <c r="J16">
        <f>J15+($I$7*(d*I15))</f>
        <v>4.226539527239179E-3</v>
      </c>
      <c r="K16">
        <f>a*I16-(a/b*I16^2)</f>
        <v>0.74613179582998801</v>
      </c>
      <c r="L16">
        <f>d*I16</f>
        <v>0.10414325954255554</v>
      </c>
    </row>
    <row r="17" spans="1:12" x14ac:dyDescent="0.45">
      <c r="A17">
        <f>A16+h</f>
        <v>0.35</v>
      </c>
      <c r="B17">
        <f>B16+(h*D16)</f>
        <v>0.5892456587829572</v>
      </c>
      <c r="C17">
        <f>C16+(h*(d*B16))</f>
        <v>0.10454032843521294</v>
      </c>
      <c r="D17">
        <f>a*B17-(a/b*B17^2)</f>
        <v>2.8803342494516837</v>
      </c>
      <c r="E17">
        <f>d*B17</f>
        <v>1.0076100765188567</v>
      </c>
      <c r="H17">
        <v>7.0000000000000007E-2</v>
      </c>
      <c r="I17">
        <f t="shared" si="0"/>
        <v>6.8363808918858682E-2</v>
      </c>
      <c r="J17">
        <f>J16+($I$7*(d*I16))</f>
        <v>5.2679721226647344E-3</v>
      </c>
      <c r="K17">
        <f>a*I17-(a/b*I17^2)</f>
        <v>0.83043366721405476</v>
      </c>
      <c r="L17">
        <f>d*I17</f>
        <v>0.11690211325124834</v>
      </c>
    </row>
    <row r="18" spans="1:12" x14ac:dyDescent="0.45">
      <c r="A18">
        <f>A17+h</f>
        <v>0.39999999999999997</v>
      </c>
      <c r="B18">
        <f>B17+(h*D17)</f>
        <v>0.73326237125554139</v>
      </c>
      <c r="C18">
        <f>C17+(h*(d*B17))</f>
        <v>0.15492083226115577</v>
      </c>
      <c r="D18">
        <f>a*B18-(a/b*B18^2)</f>
        <v>2.112624790255226</v>
      </c>
      <c r="E18">
        <f>d*B18</f>
        <v>1.2538786548469758</v>
      </c>
      <c r="H18">
        <v>0.08</v>
      </c>
      <c r="I18">
        <f t="shared" si="0"/>
        <v>7.6668145590999229E-2</v>
      </c>
      <c r="J18">
        <f>J17+($I$7*(d*I17))</f>
        <v>6.4369932551772181E-3</v>
      </c>
      <c r="K18">
        <f>a*I18-(a/b*I18^2)</f>
        <v>0.92243583534469542</v>
      </c>
      <c r="L18">
        <f>d*I18</f>
        <v>0.13110252896060867</v>
      </c>
    </row>
    <row r="19" spans="1:12" x14ac:dyDescent="0.45">
      <c r="A19">
        <f>A18+h</f>
        <v>0.44999999999999996</v>
      </c>
      <c r="B19">
        <f>B18+(h*D18)</f>
        <v>0.83889361076830271</v>
      </c>
      <c r="C19">
        <f>C18+(h*(d*B18))</f>
        <v>0.21761476500350457</v>
      </c>
      <c r="D19">
        <f>a*B19-(a/b*B19^2)</f>
        <v>1.1820311718506833</v>
      </c>
      <c r="E19">
        <f>d*B19</f>
        <v>1.4345080744137977</v>
      </c>
      <c r="H19">
        <v>0.09</v>
      </c>
      <c r="I19">
        <f t="shared" si="0"/>
        <v>8.5892503944446183E-2</v>
      </c>
      <c r="J19">
        <f>J18+($I$7*(d*I18))</f>
        <v>7.748018544783305E-3</v>
      </c>
      <c r="K19">
        <f>a*I19-(a/b*I19^2)</f>
        <v>1.0223773960728919</v>
      </c>
      <c r="L19">
        <f>d*I19</f>
        <v>0.14687618174500297</v>
      </c>
    </row>
    <row r="20" spans="1:12" x14ac:dyDescent="0.45">
      <c r="A20">
        <f>A19+h</f>
        <v>0.49999999999999994</v>
      </c>
      <c r="B20">
        <f>B19+(h*D19)</f>
        <v>0.8979951693608369</v>
      </c>
      <c r="C20">
        <f>C19+(h*(d*B19))</f>
        <v>0.28934016872419444</v>
      </c>
      <c r="D20">
        <f>a*B20-(a/b*B20^2)</f>
        <v>0.52567422186130841</v>
      </c>
      <c r="E20">
        <f>d*B20</f>
        <v>1.535571739607031</v>
      </c>
      <c r="H20">
        <v>0.1</v>
      </c>
      <c r="I20">
        <f t="shared" si="0"/>
        <v>9.6116277905175102E-2</v>
      </c>
      <c r="J20">
        <f>J19+($I$7*(d*I19))</f>
        <v>9.2167803622333344E-3</v>
      </c>
      <c r="K20">
        <f>a*I20-(a/b*I20^2)</f>
        <v>1.1303761774659666</v>
      </c>
      <c r="L20">
        <f>d*I20</f>
        <v>0.16435883521784941</v>
      </c>
    </row>
    <row r="21" spans="1:12" x14ac:dyDescent="0.45">
      <c r="A21">
        <f>A20+h</f>
        <v>0.54999999999999993</v>
      </c>
      <c r="B21">
        <f>B20+(h*D20)</f>
        <v>0.92427888045390227</v>
      </c>
      <c r="C21">
        <f>C20+(h*(d*B20))</f>
        <v>0.366118755704546</v>
      </c>
      <c r="D21">
        <f>a*B21-(a/b*B21^2)</f>
        <v>0.2025022914186092</v>
      </c>
      <c r="E21">
        <f>d*B21</f>
        <v>1.5805168855761729</v>
      </c>
      <c r="H21">
        <v>0.11</v>
      </c>
      <c r="I21">
        <f t="shared" si="0"/>
        <v>0.10742003967983477</v>
      </c>
      <c r="J21">
        <f>J20+($I$7*(d*I20))</f>
        <v>1.0860368714411829E-2</v>
      </c>
      <c r="K21">
        <f>a*I21-(a/b*I21^2)</f>
        <v>1.2463921469174244</v>
      </c>
      <c r="L21">
        <f>d*I21</f>
        <v>0.18368826785251743</v>
      </c>
    </row>
    <row r="22" spans="1:12" x14ac:dyDescent="0.45">
      <c r="A22">
        <f>A21+h</f>
        <v>0.6</v>
      </c>
      <c r="B22">
        <f>B21+(h*D21)</f>
        <v>0.93440399502483273</v>
      </c>
      <c r="C22">
        <f>C21+(h*(d*B21))</f>
        <v>0.44514459998335465</v>
      </c>
      <c r="D22">
        <f>a*B22-(a/b*B22^2)</f>
        <v>7.2871250218268457E-2</v>
      </c>
      <c r="E22">
        <f>d*B22</f>
        <v>1.5978308314924639</v>
      </c>
      <c r="H22">
        <v>0.12</v>
      </c>
      <c r="I22">
        <f t="shared" si="0"/>
        <v>0.11988396114900901</v>
      </c>
      <c r="J22">
        <f>J21+($I$7*(d*I21))</f>
        <v>1.2697251392937004E-2</v>
      </c>
      <c r="K22">
        <f>a*I22-(a/b*I22^2)</f>
        <v>1.3701869652603369</v>
      </c>
      <c r="L22">
        <f>d*I22</f>
        <v>0.20500157356480542</v>
      </c>
    </row>
    <row r="23" spans="1:12" x14ac:dyDescent="0.45">
      <c r="A23">
        <f>A22+h</f>
        <v>0.65</v>
      </c>
      <c r="B23">
        <f>B22+(h*D22)</f>
        <v>0.9380475575357462</v>
      </c>
      <c r="C23">
        <f>C22+(h*(d*B22))</f>
        <v>0.52503614155797784</v>
      </c>
      <c r="D23">
        <f>a*B23-(a/b*B23^2)</f>
        <v>2.5523871160821443E-2</v>
      </c>
      <c r="E23">
        <f>d*B23</f>
        <v>1.6040613233861261</v>
      </c>
      <c r="H23">
        <v>0.13</v>
      </c>
      <c r="I23">
        <f t="shared" si="0"/>
        <v>0.13358583080161238</v>
      </c>
      <c r="J23">
        <f>J22+($I$7*(d*I22))</f>
        <v>1.4747267128585057E-2</v>
      </c>
      <c r="K23">
        <f>a*I23-(a/b*I23^2)</f>
        <v>1.5012809984994873</v>
      </c>
      <c r="L23">
        <f>d*I23</f>
        <v>0.22843177067075715</v>
      </c>
    </row>
    <row r="24" spans="1:12" x14ac:dyDescent="0.45">
      <c r="A24">
        <f>A23+h</f>
        <v>0.70000000000000007</v>
      </c>
      <c r="B24">
        <f>B23+(h*D23)</f>
        <v>0.9393237510937873</v>
      </c>
      <c r="C24">
        <f>C23+(h*(d*B23))</f>
        <v>0.60523920772728412</v>
      </c>
      <c r="D24">
        <f>a*B24-(a/b*B24^2)</f>
        <v>8.8524874853863622E-3</v>
      </c>
      <c r="E24">
        <f>d*B24</f>
        <v>1.6062436143703762</v>
      </c>
      <c r="H24">
        <v>0.14000000000000001</v>
      </c>
      <c r="I24">
        <f t="shared" si="0"/>
        <v>0.14859864078660726</v>
      </c>
      <c r="J24">
        <f>J23+($I$7*(d*I23))</f>
        <v>1.7031584835292629E-2</v>
      </c>
      <c r="K24">
        <f>a*I24-(a/b*I24^2)</f>
        <v>1.6389098707178364</v>
      </c>
      <c r="L24">
        <f>d*I24</f>
        <v>0.2541036757450984</v>
      </c>
    </row>
    <row r="25" spans="1:12" x14ac:dyDescent="0.45">
      <c r="A25">
        <f>A24+h</f>
        <v>0.75000000000000011</v>
      </c>
      <c r="B25">
        <f>B24+(h*D24)</f>
        <v>0.93976637546805664</v>
      </c>
      <c r="C25">
        <f>C24+(h*(d*B24))</f>
        <v>0.68555138844580288</v>
      </c>
      <c r="D25">
        <f>a*B25-(a/b*B25^2)</f>
        <v>3.059720726408699E-3</v>
      </c>
      <c r="E25">
        <f>d*B25</f>
        <v>1.6070005020503768</v>
      </c>
      <c r="H25">
        <v>0.15</v>
      </c>
      <c r="I25">
        <f t="shared" si="0"/>
        <v>0.16498773949378562</v>
      </c>
      <c r="J25">
        <f>J24+($I$7*(d*I24))</f>
        <v>1.9572621592743613E-2</v>
      </c>
      <c r="K25">
        <f>a*I25-(a/b*I25^2)</f>
        <v>1.7819835365166472</v>
      </c>
      <c r="L25">
        <f>d*I25</f>
        <v>0.28212903453437338</v>
      </c>
    </row>
    <row r="26" spans="1:12" x14ac:dyDescent="0.45">
      <c r="A26">
        <f>A25+h</f>
        <v>0.80000000000000016</v>
      </c>
      <c r="B26">
        <f>B25+(h*D25)</f>
        <v>0.93991936150437705</v>
      </c>
      <c r="C26">
        <f>C25+(h*(d*B25))</f>
        <v>0.76590141354832175</v>
      </c>
      <c r="D26">
        <f>a*B26-(a/b*B26^2)</f>
        <v>1.0562736717805166E-3</v>
      </c>
      <c r="E26">
        <f>d*B26</f>
        <v>1.6072621081724847</v>
      </c>
      <c r="H26">
        <v>0.16</v>
      </c>
      <c r="I26">
        <f t="shared" si="0"/>
        <v>0.1828075748589521</v>
      </c>
      <c r="J26">
        <f>J25+($I$7*(d*I25))</f>
        <v>2.2393911938087346E-2</v>
      </c>
      <c r="K26">
        <f>a*I26-(a/b*I26^2)</f>
        <v>1.9290518014202205</v>
      </c>
      <c r="L26">
        <f>d*I26</f>
        <v>0.31260095300880808</v>
      </c>
    </row>
    <row r="27" spans="1:12" x14ac:dyDescent="0.45">
      <c r="A27">
        <f>A26+h</f>
        <v>0.8500000000000002</v>
      </c>
      <c r="B27">
        <f>B26+(h*D26)</f>
        <v>0.93997217518796605</v>
      </c>
      <c r="C27">
        <f>C26+(h*(d*B26))</f>
        <v>0.84626451895694599</v>
      </c>
      <c r="D27">
        <f>a*B27-(a/b*B27^2)</f>
        <v>3.6449424797879715E-4</v>
      </c>
      <c r="E27">
        <f>d*B27</f>
        <v>1.6073524195714219</v>
      </c>
      <c r="H27">
        <v>0.17</v>
      </c>
      <c r="I27">
        <f t="shared" si="0"/>
        <v>0.20209809287315431</v>
      </c>
      <c r="J27">
        <f>J26+($I$7*(d*I26))</f>
        <v>2.5519921468175426E-2</v>
      </c>
      <c r="K27">
        <f>a*I27-(a/b*I27^2)</f>
        <v>2.0782811094331555</v>
      </c>
      <c r="L27">
        <f>d*I27</f>
        <v>0.34558773881309385</v>
      </c>
    </row>
    <row r="28" spans="1:12" x14ac:dyDescent="0.45">
      <c r="A28">
        <f>A27+h</f>
        <v>0.90000000000000024</v>
      </c>
      <c r="B28">
        <f>B27+(h*D27)</f>
        <v>0.93999039990036504</v>
      </c>
      <c r="C28">
        <f>C27+(h*(d*B27))</f>
        <v>0.92663213993551707</v>
      </c>
      <c r="D28">
        <f>a*B28-(a/b*B28^2)</f>
        <v>1.257600208326437E-4</v>
      </c>
      <c r="E28">
        <f>d*B28</f>
        <v>1.6073835838296242</v>
      </c>
      <c r="H28">
        <v>0.18</v>
      </c>
      <c r="I28">
        <f t="shared" si="0"/>
        <v>0.22288090396748586</v>
      </c>
      <c r="J28">
        <f>J27+($I$7*(d*I27))</f>
        <v>2.8975798856306363E-2</v>
      </c>
      <c r="K28">
        <f>a*I28-(a/b*I28^2)</f>
        <v>2.2274480809856989</v>
      </c>
      <c r="L28">
        <f>d*I28</f>
        <v>0.3811263457844008</v>
      </c>
    </row>
    <row r="29" spans="1:12" x14ac:dyDescent="0.45">
      <c r="A29">
        <f>A28+h</f>
        <v>0.95000000000000029</v>
      </c>
      <c r="B29">
        <f>B28+(h*D28)</f>
        <v>0.93999668790140667</v>
      </c>
      <c r="C29">
        <f>C28+(h*(d*B28))</f>
        <v>1.0070013191269982</v>
      </c>
      <c r="D29">
        <f>a*B29-(a/b*B29^2)</f>
        <v>4.3388338692551542E-5</v>
      </c>
      <c r="E29">
        <f>d*B29</f>
        <v>1.6073943363114054</v>
      </c>
      <c r="H29">
        <v>0.19</v>
      </c>
      <c r="I29">
        <f t="shared" si="0"/>
        <v>0.24515538477734286</v>
      </c>
      <c r="J29">
        <f>J28+($I$7*(d*I28))</f>
        <v>3.2787062314150371E-2</v>
      </c>
      <c r="K29">
        <f>a*I29-(a/b*I29^2)</f>
        <v>2.373955507415336</v>
      </c>
      <c r="L29">
        <f>d*I29</f>
        <v>0.41921570796925628</v>
      </c>
    </row>
    <row r="30" spans="1:12" x14ac:dyDescent="0.45">
      <c r="A30">
        <f>A29+h</f>
        <v>1.0000000000000002</v>
      </c>
      <c r="B30">
        <f>B29+(h*D29)</f>
        <v>0.93999885731834132</v>
      </c>
      <c r="C30">
        <f>C29+(h*(d*B29))</f>
        <v>1.0873710359425686</v>
      </c>
      <c r="D30">
        <f>a*B30-(a/b*B30^2)</f>
        <v>1.4969111528984058E-5</v>
      </c>
      <c r="E30">
        <f>d*B30</f>
        <v>1.6073980460143635</v>
      </c>
      <c r="H30">
        <v>0.2</v>
      </c>
      <c r="I30">
        <f t="shared" si="0"/>
        <v>0.26889493985149621</v>
      </c>
      <c r="J30">
        <f>J29+($I$7*(d*I29))</f>
        <v>3.6979219393842931E-2</v>
      </c>
      <c r="K30">
        <f>a*I30-(a/b*I30^2)</f>
        <v>2.5148760506946095</v>
      </c>
      <c r="L30">
        <f>d*I30</f>
        <v>0.45981034714605851</v>
      </c>
    </row>
    <row r="31" spans="1:12" x14ac:dyDescent="0.45">
      <c r="H31">
        <v>0.21</v>
      </c>
      <c r="I31">
        <f t="shared" si="0"/>
        <v>0.29404370035844229</v>
      </c>
      <c r="J31">
        <f>J30+($I$7*(d*I30))</f>
        <v>4.1577322865303516E-2</v>
      </c>
      <c r="K31">
        <f>a*I31-(a/b*I31^2)</f>
        <v>2.6470275383781909</v>
      </c>
      <c r="L31">
        <f>d*I31</f>
        <v>0.50281472761293633</v>
      </c>
    </row>
    <row r="32" spans="1:12" x14ac:dyDescent="0.45">
      <c r="H32">
        <v>0.22</v>
      </c>
      <c r="I32">
        <f t="shared" si="0"/>
        <v>0.32051397574222418</v>
      </c>
      <c r="J32">
        <f>J31+($I$7*(d*I31))</f>
        <v>4.6605470141432882E-2</v>
      </c>
      <c r="K32">
        <f>a*I32-(a/b*I32^2)</f>
        <v>2.7670813447085187</v>
      </c>
      <c r="L32">
        <f>d*I32</f>
        <v>0.54807889851920333</v>
      </c>
    </row>
    <row r="33" spans="8:12" x14ac:dyDescent="0.45">
      <c r="H33">
        <v>0.23</v>
      </c>
      <c r="I33">
        <f t="shared" si="0"/>
        <v>0.34818478918930934</v>
      </c>
      <c r="J33">
        <f>J32+($I$7*(d*I32))</f>
        <v>5.2086259126624915E-2</v>
      </c>
      <c r="K33">
        <f>a*I33-(a/b*I33^2)</f>
        <v>2.8717019285515164</v>
      </c>
      <c r="L33">
        <f>d*I33</f>
        <v>0.59539598951371897</v>
      </c>
    </row>
    <row r="34" spans="8:12" x14ac:dyDescent="0.45">
      <c r="H34">
        <v>0.24</v>
      </c>
      <c r="I34">
        <f t="shared" si="0"/>
        <v>0.37690180847482452</v>
      </c>
      <c r="J34">
        <f>J33+($I$7*(d*I33))</f>
        <v>5.8040219021762103E-2</v>
      </c>
      <c r="K34">
        <f>a*I34-(a/b*I34^2)</f>
        <v>2.9577114044948054</v>
      </c>
      <c r="L34">
        <f>d*I34</f>
        <v>0.6445020924919499</v>
      </c>
    </row>
    <row r="35" spans="8:12" x14ac:dyDescent="0.45">
      <c r="H35">
        <v>0.25</v>
      </c>
      <c r="I35">
        <f t="shared" si="0"/>
        <v>0.40647892251977258</v>
      </c>
      <c r="J35">
        <f>J34+($I$7*(d*I34))</f>
        <v>6.4485239946681608E-2</v>
      </c>
      <c r="K35">
        <f>a*I35-(a/b*I35^2)</f>
        <v>3.0222685665705717</v>
      </c>
      <c r="L35">
        <f>d*I35</f>
        <v>0.6950789575088111</v>
      </c>
    </row>
    <row r="36" spans="8:12" x14ac:dyDescent="0.45">
      <c r="H36">
        <v>0.26</v>
      </c>
      <c r="I36">
        <f t="shared" si="0"/>
        <v>0.43670160818547832</v>
      </c>
      <c r="J36">
        <f>J35+($I$7*(d*I35))</f>
        <v>7.1436029521769723E-2</v>
      </c>
      <c r="K36">
        <f>a*I36-(a/b*I36^2)</f>
        <v>3.0630478128123642</v>
      </c>
      <c r="L36">
        <f>d*I36</f>
        <v>0.74675974999716788</v>
      </c>
    </row>
    <row r="37" spans="8:12" x14ac:dyDescent="0.45">
      <c r="H37">
        <v>0.27</v>
      </c>
      <c r="I37">
        <f t="shared" si="0"/>
        <v>0.46733208631360196</v>
      </c>
      <c r="J37">
        <f>J36+($I$7*(d*I36))</f>
        <v>7.8903627021741404E-2</v>
      </c>
      <c r="K37">
        <f>a*I37-(a/b*I37^2)</f>
        <v>3.0784008056371919</v>
      </c>
      <c r="L37">
        <f>d*I37</f>
        <v>0.79913786759625938</v>
      </c>
    </row>
    <row r="38" spans="8:12" x14ac:dyDescent="0.45">
      <c r="H38">
        <v>0.28000000000000003</v>
      </c>
      <c r="I38">
        <f t="shared" si="0"/>
        <v>0.49811609436997389</v>
      </c>
      <c r="J38">
        <f>J37+($I$7*(d*I37))</f>
        <v>8.6895005697704003E-2</v>
      </c>
      <c r="K38">
        <f>a*I38-(a/b*I38^2)</f>
        <v>3.0674832517124049</v>
      </c>
      <c r="L38">
        <f>d*I38</f>
        <v>0.85177852137265531</v>
      </c>
    </row>
    <row r="39" spans="8:12" x14ac:dyDescent="0.45">
      <c r="H39">
        <v>0.28999999999999998</v>
      </c>
      <c r="I39">
        <f t="shared" si="0"/>
        <v>0.52879092688709795</v>
      </c>
      <c r="J39">
        <f>J38+($I$7*(d*I38))</f>
        <v>9.5412790911430553E-2</v>
      </c>
      <c r="K39">
        <f>a*I39-(a/b*I39^2)</f>
        <v>3.0303313963791516</v>
      </c>
      <c r="L39">
        <f>d*I39</f>
        <v>0.90423248497693742</v>
      </c>
    </row>
    <row r="40" spans="8:12" x14ac:dyDescent="0.45">
      <c r="H40">
        <v>0.3</v>
      </c>
      <c r="I40">
        <f t="shared" si="0"/>
        <v>0.55909424085088943</v>
      </c>
      <c r="J40">
        <f>J39+($I$7*(d*I39))</f>
        <v>0.10445511576119992</v>
      </c>
      <c r="K40">
        <f>a*I40-(a/b*I40^2)</f>
        <v>2.9678776945089025</v>
      </c>
      <c r="L40">
        <f>d*I40</f>
        <v>0.95605115185502088</v>
      </c>
    </row>
    <row r="41" spans="8:12" x14ac:dyDescent="0.45">
      <c r="H41">
        <v>0.31</v>
      </c>
      <c r="I41">
        <f t="shared" si="0"/>
        <v>0.58877301779597846</v>
      </c>
      <c r="J41">
        <f>J40+($I$7*(d*I40))</f>
        <v>0.11401562727975013</v>
      </c>
      <c r="K41">
        <f>a*I41-(a/b*I41^2)</f>
        <v>2.8819020321187594</v>
      </c>
      <c r="L41">
        <f>d*I41</f>
        <v>1.0068018604311231</v>
      </c>
    </row>
    <row r="42" spans="8:12" x14ac:dyDescent="0.45">
      <c r="H42">
        <v>0.32</v>
      </c>
      <c r="I42">
        <f t="shared" si="0"/>
        <v>0.61759203811716601</v>
      </c>
      <c r="J42">
        <f>J41+($I$7*(d*I41))</f>
        <v>0.12408364588406137</v>
      </c>
      <c r="K42">
        <f>a*I42-(a/b*I42^2)</f>
        <v>2.7749226943892715</v>
      </c>
      <c r="L42">
        <f>d*I42</f>
        <v>1.0560823851803538</v>
      </c>
    </row>
    <row r="43" spans="8:12" x14ac:dyDescent="0.45">
      <c r="H43">
        <v>0.33</v>
      </c>
      <c r="I43">
        <f t="shared" si="0"/>
        <v>0.64534126506105871</v>
      </c>
      <c r="J43">
        <f>J42+($I$7*(d*I42))</f>
        <v>0.13464446973586491</v>
      </c>
      <c r="K43">
        <f>a*I43-(a/b*I43^2)</f>
        <v>2.6500385894094869</v>
      </c>
      <c r="L43">
        <f>d*I43</f>
        <v>1.1035335632544103</v>
      </c>
    </row>
    <row r="44" spans="8:12" x14ac:dyDescent="0.45">
      <c r="H44">
        <v>0.34</v>
      </c>
      <c r="I44">
        <f t="shared" si="0"/>
        <v>0.67184165095515358</v>
      </c>
      <c r="J44">
        <f>J43+($I$7*(d*I43))</f>
        <v>0.14567980536840902</v>
      </c>
      <c r="K44">
        <f>a*I44-(a/b*I44^2)</f>
        <v>2.5107397000106841</v>
      </c>
      <c r="L44">
        <f>d*I44</f>
        <v>1.1488492231333125</v>
      </c>
    </row>
    <row r="45" spans="8:12" x14ac:dyDescent="0.45">
      <c r="H45">
        <v>0.35</v>
      </c>
      <c r="I45">
        <f t="shared" si="0"/>
        <v>0.69694904795526047</v>
      </c>
      <c r="J45">
        <f>J44+($I$7*(d*I44))</f>
        <v>0.15716829759974216</v>
      </c>
      <c r="K45">
        <f>a*I45-(a/b*I45^2)</f>
        <v>2.3607054235976914</v>
      </c>
      <c r="L45">
        <f>d*I45</f>
        <v>1.1917828720034953</v>
      </c>
    </row>
    <row r="46" spans="8:12" x14ac:dyDescent="0.45">
      <c r="H46">
        <v>0.36</v>
      </c>
      <c r="I46">
        <f t="shared" si="0"/>
        <v>0.72055610219123734</v>
      </c>
      <c r="J46">
        <f>J45+($I$7*(d*I45))</f>
        <v>0.1690861263197771</v>
      </c>
      <c r="K46">
        <f>a*I46-(a/b*I46^2)</f>
        <v>2.2036100845500179</v>
      </c>
      <c r="L46">
        <f>d*I46</f>
        <v>1.2321509347470159</v>
      </c>
    </row>
    <row r="47" spans="8:12" x14ac:dyDescent="0.45">
      <c r="H47">
        <v>0.37</v>
      </c>
      <c r="I47">
        <f t="shared" si="0"/>
        <v>0.74259220303673756</v>
      </c>
      <c r="J47">
        <f>J46+($I$7*(d*I46))</f>
        <v>0.18140763566724727</v>
      </c>
      <c r="K47">
        <f>a*I47-(a/b*I47^2)</f>
        <v>2.0429518404796498</v>
      </c>
      <c r="L47">
        <f>d*I47</f>
        <v>1.2698326671928213</v>
      </c>
    </row>
    <row r="48" spans="8:12" x14ac:dyDescent="0.45">
      <c r="H48">
        <v>0.38</v>
      </c>
      <c r="I48">
        <f t="shared" si="0"/>
        <v>0.76302172144153402</v>
      </c>
      <c r="J48">
        <f>J47+($I$7*(d*I47))</f>
        <v>0.19410596233917549</v>
      </c>
      <c r="K48">
        <f>a*I48-(a/b*I48^2)</f>
        <v>1.8819163265968761</v>
      </c>
      <c r="L48">
        <f>d*I48</f>
        <v>1.3047671436650232</v>
      </c>
    </row>
    <row r="49" spans="8:12" x14ac:dyDescent="0.45">
      <c r="H49">
        <v>0.39</v>
      </c>
      <c r="I49">
        <f t="shared" si="0"/>
        <v>0.78184088470750279</v>
      </c>
      <c r="J49">
        <f>J48+($I$7*(d*I48))</f>
        <v>0.20715363377582571</v>
      </c>
      <c r="K49">
        <f>a*I49-(a/b*I49^2)</f>
        <v>1.7232807876440717</v>
      </c>
      <c r="L49">
        <f>d*I49</f>
        <v>1.3369479128498298</v>
      </c>
    </row>
    <row r="50" spans="8:12" x14ac:dyDescent="0.45">
      <c r="H50">
        <v>0.4</v>
      </c>
      <c r="I50">
        <f t="shared" si="0"/>
        <v>0.79907369258394356</v>
      </c>
      <c r="J50">
        <f>J49+($I$7*(d*I49))</f>
        <v>0.22052311290432403</v>
      </c>
      <c r="K50">
        <f>a*I50-(a/b*I50^2)</f>
        <v>1.5693591633235133</v>
      </c>
      <c r="L50">
        <f>d*I50</f>
        <v>1.3664160143185435</v>
      </c>
    </row>
    <row r="51" spans="8:12" x14ac:dyDescent="0.45">
      <c r="H51">
        <v>0.41</v>
      </c>
      <c r="I51">
        <f t="shared" si="0"/>
        <v>0.8147672842171787</v>
      </c>
      <c r="J51">
        <f>J50+($I$7*(d*I50))</f>
        <v>0.23418727304750947</v>
      </c>
      <c r="K51">
        <f>a*I51-(a/b*I51^2)</f>
        <v>1.4219843707542505</v>
      </c>
      <c r="L51">
        <f>d*I51</f>
        <v>1.3932520560113755</v>
      </c>
    </row>
    <row r="52" spans="8:12" x14ac:dyDescent="0.45">
      <c r="H52">
        <v>0.42</v>
      </c>
      <c r="I52">
        <f t="shared" si="0"/>
        <v>0.82898712792472118</v>
      </c>
      <c r="J52">
        <f>J51+($I$7*(d*I51))</f>
        <v>0.24811979360762323</v>
      </c>
      <c r="K52">
        <f>a*I52-(a/b*I52^2)</f>
        <v>1.2825212446756531</v>
      </c>
      <c r="L52">
        <f>d*I52</f>
        <v>1.4175679887512731</v>
      </c>
    </row>
    <row r="53" spans="8:12" x14ac:dyDescent="0.45">
      <c r="H53">
        <v>0.43</v>
      </c>
      <c r="I53">
        <f t="shared" si="0"/>
        <v>0.84181234037147767</v>
      </c>
      <c r="J53">
        <f>J52+($I$7*(d*I52))</f>
        <v>0.26229547349513599</v>
      </c>
      <c r="K53">
        <f>a*I53-(a/b*I53^2)</f>
        <v>1.1519022813532391</v>
      </c>
      <c r="L53">
        <f>d*I53</f>
        <v>1.4394991020352268</v>
      </c>
    </row>
    <row r="54" spans="8:12" x14ac:dyDescent="0.45">
      <c r="H54">
        <v>0.44</v>
      </c>
      <c r="I54">
        <f t="shared" si="0"/>
        <v>0.85333136318501002</v>
      </c>
      <c r="J54">
        <f>J53+($I$7*(d*I53))</f>
        <v>0.27669046451548823</v>
      </c>
      <c r="K54">
        <f>a*I54-(a/b*I54^2)</f>
        <v>1.0306782601949536</v>
      </c>
      <c r="L54">
        <f>d*I54</f>
        <v>1.4591966310463671</v>
      </c>
    </row>
    <row r="55" spans="8:12" x14ac:dyDescent="0.45">
      <c r="H55">
        <v>0.45</v>
      </c>
      <c r="I55">
        <f t="shared" si="0"/>
        <v>0.86363814578695952</v>
      </c>
      <c r="J55">
        <f>J54+($I$7*(d*I54))</f>
        <v>0.2912824308259519</v>
      </c>
      <c r="K55">
        <f>a*I55-(a/b*I55^2)</f>
        <v>0.91907663125148531</v>
      </c>
      <c r="L55">
        <f>d*I55</f>
        <v>1.4768212292957008</v>
      </c>
    </row>
    <row r="56" spans="8:12" x14ac:dyDescent="0.45">
      <c r="H56">
        <v>0.46</v>
      </c>
      <c r="I56">
        <f t="shared" si="0"/>
        <v>0.87282891209947433</v>
      </c>
      <c r="J56">
        <f>J55+($I$7*(d*I55))</f>
        <v>0.30605064311890889</v>
      </c>
      <c r="K56">
        <f>a*I56-(a/b*I56^2)</f>
        <v>0.81706187793135854</v>
      </c>
      <c r="L56">
        <f>d*I56</f>
        <v>1.492537439690101</v>
      </c>
    </row>
    <row r="57" spans="8:12" x14ac:dyDescent="0.45">
      <c r="H57">
        <v>0.47</v>
      </c>
      <c r="I57">
        <f t="shared" si="0"/>
        <v>0.88099953087878791</v>
      </c>
      <c r="J57">
        <f>J56+($I$7*(d*I56))</f>
        <v>0.3209760175158099</v>
      </c>
      <c r="K57">
        <f>a*I57-(a/b*I57^2)</f>
        <v>0.72439356551931056</v>
      </c>
      <c r="L57">
        <f>d*I57</f>
        <v>1.5065091978027272</v>
      </c>
    </row>
    <row r="58" spans="8:12" x14ac:dyDescent="0.45">
      <c r="H58">
        <v>0.48</v>
      </c>
      <c r="I58">
        <f t="shared" si="0"/>
        <v>0.88824346653398101</v>
      </c>
      <c r="J58">
        <f>J57+($I$7*(d*I57))</f>
        <v>0.33604110949383714</v>
      </c>
      <c r="K58">
        <f>a*I58-(a/b*I58^2)</f>
        <v>0.64067922913985775</v>
      </c>
      <c r="L58">
        <f>d*I58</f>
        <v>1.5188963277731076</v>
      </c>
    </row>
    <row r="59" spans="8:12" x14ac:dyDescent="0.45">
      <c r="H59">
        <v>0.49</v>
      </c>
      <c r="I59">
        <f t="shared" si="0"/>
        <v>0.89465025882537963</v>
      </c>
      <c r="J59">
        <f>J58+($I$7*(d*I58))</f>
        <v>0.3512300727715682</v>
      </c>
      <c r="K59">
        <f>a*I59-(a/b*I59^2)</f>
        <v>0.56542049532122007</v>
      </c>
      <c r="L59">
        <f>d*I59</f>
        <v>1.5298519425913992</v>
      </c>
    </row>
    <row r="60" spans="8:12" x14ac:dyDescent="0.45">
      <c r="H60">
        <v>0.5</v>
      </c>
      <c r="I60">
        <f t="shared" si="0"/>
        <v>0.90030446377859186</v>
      </c>
      <c r="J60">
        <f>J59+($I$7*(d*I59))</f>
        <v>0.36652859219748218</v>
      </c>
      <c r="K60">
        <f>a*I60-(a/b*I60^2)</f>
        <v>0.49805180502559843</v>
      </c>
      <c r="L60">
        <f>d*I60</f>
        <v>1.539520633061392</v>
      </c>
    </row>
    <row r="61" spans="8:12" x14ac:dyDescent="0.45">
      <c r="H61">
        <v>0.51</v>
      </c>
      <c r="I61">
        <f t="shared" si="0"/>
        <v>0.90528498182884787</v>
      </c>
      <c r="J61">
        <f>J60+($I$7*(d*I60))</f>
        <v>0.3819237985280961</v>
      </c>
      <c r="K61">
        <f>a*I61-(a/b*I61^2)</f>
        <v>0.43797180657957391</v>
      </c>
      <c r="L61">
        <f>d*I61</f>
        <v>1.5480373189273298</v>
      </c>
    </row>
    <row r="62" spans="8:12" x14ac:dyDescent="0.45">
      <c r="H62">
        <v>0.52</v>
      </c>
      <c r="I62">
        <f t="shared" si="0"/>
        <v>0.9096646998946436</v>
      </c>
      <c r="J62">
        <f>J61+($I$7*(d*I61))</f>
        <v>0.39740417171736941</v>
      </c>
      <c r="K62">
        <f>a*I62-(a/b*I62^2)</f>
        <v>0.38456794343813172</v>
      </c>
      <c r="L62">
        <f>d*I62</f>
        <v>1.5555266368198406</v>
      </c>
    </row>
    <row r="63" spans="8:12" x14ac:dyDescent="0.45">
      <c r="H63">
        <v>0.53</v>
      </c>
      <c r="I63">
        <f t="shared" si="0"/>
        <v>0.9135103793290249</v>
      </c>
      <c r="J63">
        <f>J62+($I$7*(d*I62))</f>
        <v>0.41295943808556784</v>
      </c>
      <c r="K63">
        <f>a*I63-(a/b*I63^2)</f>
        <v>0.33723502010559514</v>
      </c>
      <c r="L63">
        <f>d*I63</f>
        <v>1.5621027486526327</v>
      </c>
    </row>
    <row r="64" spans="8:12" x14ac:dyDescent="0.45">
      <c r="H64">
        <v>0.54</v>
      </c>
      <c r="I64">
        <f t="shared" si="0"/>
        <v>0.91688272953008088</v>
      </c>
      <c r="J64">
        <f>J63+($I$7*(d*I63))</f>
        <v>0.42858046557209417</v>
      </c>
      <c r="K64">
        <f>a*I64-(a/b*I64^2)</f>
        <v>0.29538863960154593</v>
      </c>
      <c r="L64">
        <f>d*I64</f>
        <v>1.5678694674964382</v>
      </c>
    </row>
    <row r="65" spans="8:12" x14ac:dyDescent="0.45">
      <c r="H65">
        <v>0.55000000000000004</v>
      </c>
      <c r="I65">
        <f t="shared" si="0"/>
        <v>0.91983661592609633</v>
      </c>
      <c r="J65">
        <f>J64+($I$7*(d*I64))</f>
        <v>0.44425916024705858</v>
      </c>
      <c r="K65">
        <f>a*I65-(a/b*I65^2)</f>
        <v>0.25847441333538868</v>
      </c>
      <c r="L65">
        <f>d*I65</f>
        <v>1.5729206132336246</v>
      </c>
    </row>
    <row r="66" spans="8:12" x14ac:dyDescent="0.45">
      <c r="H66">
        <v>0.56000000000000005</v>
      </c>
      <c r="I66">
        <f t="shared" si="0"/>
        <v>0.92242136005945019</v>
      </c>
      <c r="J66">
        <f>J65+($I$7*(d*I65))</f>
        <v>0.45998836637939483</v>
      </c>
      <c r="K66">
        <f>a*I66-(a/b*I66^2)</f>
        <v>0.22597378702302073</v>
      </c>
      <c r="L66">
        <f>d*I66</f>
        <v>1.5773405257016597</v>
      </c>
    </row>
    <row r="67" spans="8:12" x14ac:dyDescent="0.45">
      <c r="H67">
        <v>0.56999999999999995</v>
      </c>
      <c r="I67">
        <f t="shared" si="0"/>
        <v>0.92468109792968045</v>
      </c>
      <c r="J67">
        <f>J66+($I$7*(d*I66))</f>
        <v>0.47576177163641142</v>
      </c>
      <c r="K67">
        <f>a*I67-(a/b*I67^2)</f>
        <v>0.19740723332928667</v>
      </c>
      <c r="L67">
        <f>d*I67</f>
        <v>1.5812046774597535</v>
      </c>
    </row>
    <row r="68" spans="8:12" x14ac:dyDescent="0.45">
      <c r="H68">
        <v>0.57999999999999996</v>
      </c>
      <c r="I68">
        <f t="shared" si="0"/>
        <v>0.92665517026297328</v>
      </c>
      <c r="J68">
        <f>J67+($I$7*(d*I67))</f>
        <v>0.49157381841100894</v>
      </c>
      <c r="K68">
        <f>a*I68-(a/b*I68^2)</f>
        <v>0.17233545391961869</v>
      </c>
      <c r="L68">
        <f>d*I68</f>
        <v>1.5845803411496844</v>
      </c>
    </row>
    <row r="69" spans="8:12" x14ac:dyDescent="0.45">
      <c r="H69">
        <v>0.59</v>
      </c>
      <c r="I69">
        <f t="shared" si="0"/>
        <v>0.92837852480216942</v>
      </c>
      <c r="J69">
        <f>J68+($I$7*(d*I68))</f>
        <v>0.50741962182250577</v>
      </c>
      <c r="K69">
        <f>a*I69-(a/b*I69^2)</f>
        <v>0.15035912425792475</v>
      </c>
      <c r="L69">
        <f>d*I69</f>
        <v>1.5875272774117097</v>
      </c>
    </row>
    <row r="70" spans="8:12" x14ac:dyDescent="0.45">
      <c r="H70">
        <v>0.6</v>
      </c>
      <c r="I70">
        <f t="shared" si="0"/>
        <v>0.92988211604474869</v>
      </c>
      <c r="J70">
        <f>J69+($I$7*(d*I69))</f>
        <v>0.52329489459662282</v>
      </c>
      <c r="K70">
        <f>a*I70-(a/b*I70^2)</f>
        <v>0.13111761210944195</v>
      </c>
      <c r="L70">
        <f>d*I70</f>
        <v>1.5900984184365201</v>
      </c>
    </row>
    <row r="71" spans="8:12" x14ac:dyDescent="0.45">
      <c r="H71">
        <v>0.61</v>
      </c>
      <c r="I71">
        <f t="shared" si="0"/>
        <v>0.93119329216584312</v>
      </c>
      <c r="J71">
        <f>J70+($I$7*(d*I70))</f>
        <v>0.53919587878098807</v>
      </c>
      <c r="K71">
        <f>a*I71-(a/b*I71^2)</f>
        <v>0.1142870097043911</v>
      </c>
      <c r="L71">
        <f>d*I71</f>
        <v>1.5923405296035917</v>
      </c>
    </row>
    <row r="72" spans="8:12" x14ac:dyDescent="0.45">
      <c r="H72">
        <v>0.62</v>
      </c>
      <c r="I72">
        <f t="shared" si="0"/>
        <v>0.93233616226288707</v>
      </c>
      <c r="J72">
        <f>J71+($I$7*(d*I71))</f>
        <v>0.55511928407702393</v>
      </c>
      <c r="K72">
        <f>a*I72-(a/b*I72^2)</f>
        <v>9.9577741636947437E-2</v>
      </c>
      <c r="L72">
        <f>d*I72</f>
        <v>1.5942948374695369</v>
      </c>
    </row>
    <row r="73" spans="8:12" x14ac:dyDescent="0.45">
      <c r="H73">
        <v>0.63</v>
      </c>
      <c r="I73">
        <f t="shared" si="0"/>
        <v>0.93333193967925654</v>
      </c>
      <c r="J73">
        <f>J72+($I$7*(d*I72))</f>
        <v>0.57106223245171928</v>
      </c>
      <c r="K73">
        <f>a*I73-(a/b*I73^2)</f>
        <v>8.6731945869207294E-2</v>
      </c>
      <c r="L73">
        <f>d*I73</f>
        <v>1.5959976168515286</v>
      </c>
    </row>
    <row r="74" spans="8:12" x14ac:dyDescent="0.45">
      <c r="H74">
        <v>0.64</v>
      </c>
      <c r="I74">
        <f t="shared" si="0"/>
        <v>0.93419925913794866</v>
      </c>
      <c r="J74">
        <f>J73+($I$7*(d*I73))</f>
        <v>0.58702220862023458</v>
      </c>
      <c r="K74">
        <f>a*I74-(a/b*I74^2)</f>
        <v>7.5520772751820786E-2</v>
      </c>
      <c r="L74">
        <f>d*I74</f>
        <v>1.5974807331258922</v>
      </c>
    </row>
    <row r="75" spans="8:12" x14ac:dyDescent="0.45">
      <c r="H75">
        <v>0.65</v>
      </c>
      <c r="I75">
        <f t="shared" si="0"/>
        <v>0.9349544668654669</v>
      </c>
      <c r="J75">
        <f>J74+($I$7*(d*I74))</f>
        <v>0.60299701595149346</v>
      </c>
      <c r="K75">
        <f>a*I75-(a/b*I75^2)</f>
        <v>6.5741705338538736E-2</v>
      </c>
      <c r="L75">
        <f>d*I75</f>
        <v>1.5987721383399485</v>
      </c>
    </row>
    <row r="76" spans="8:12" x14ac:dyDescent="0.45">
      <c r="H76">
        <v>0.66</v>
      </c>
      <c r="I76">
        <f t="shared" ref="I76:I110" si="1">I75+($I$7*K75)</f>
        <v>0.93561188391885231</v>
      </c>
      <c r="J76">
        <f>J75+($I$7*(d*I75))</f>
        <v>0.6189847373348929</v>
      </c>
      <c r="K76">
        <f>a*I76-(a/b*I76^2)</f>
        <v>5.7215971863124437E-2</v>
      </c>
      <c r="L76">
        <f>d*I76</f>
        <v>1.5998963215012374</v>
      </c>
    </row>
    <row r="77" spans="8:12" x14ac:dyDescent="0.45">
      <c r="H77">
        <v>0.67</v>
      </c>
      <c r="I77">
        <f t="shared" si="1"/>
        <v>0.93618404363748353</v>
      </c>
      <c r="J77">
        <f>J76+($I$7*(d*I76))</f>
        <v>0.63498370054990527</v>
      </c>
      <c r="K77">
        <f>a*I77-(a/b*I77^2)</f>
        <v>4.9786096486428733E-2</v>
      </c>
      <c r="L77">
        <f>d*I77</f>
        <v>1.6008747146200968</v>
      </c>
    </row>
    <row r="78" spans="8:12" x14ac:dyDescent="0.45">
      <c r="H78">
        <v>0.68</v>
      </c>
      <c r="I78">
        <f t="shared" si="1"/>
        <v>0.93668190460234779</v>
      </c>
      <c r="J78">
        <f>J77+($I$7*(d*I77))</f>
        <v>0.6509924476961062</v>
      </c>
      <c r="K78">
        <f>a*I78-(a/b*I78^2)</f>
        <v>4.3313615860743226E-2</v>
      </c>
      <c r="L78">
        <f>d*I78</f>
        <v>1.6017260568700147</v>
      </c>
    </row>
    <row r="79" spans="8:12" x14ac:dyDescent="0.45">
      <c r="H79">
        <v>0.69</v>
      </c>
      <c r="I79">
        <f t="shared" si="1"/>
        <v>0.9371150407609552</v>
      </c>
      <c r="J79">
        <f>J78+($I$7*(d*I78))</f>
        <v>0.66700970826480632</v>
      </c>
      <c r="K79">
        <f>a*I79-(a/b*I79^2)</f>
        <v>3.7676975428800219E-2</v>
      </c>
      <c r="L79">
        <f>d*I79</f>
        <v>1.6024667197012334</v>
      </c>
    </row>
    <row r="80" spans="8:12" x14ac:dyDescent="0.45">
      <c r="H80">
        <v>0.7</v>
      </c>
      <c r="I80">
        <f t="shared" si="1"/>
        <v>0.93749181051524322</v>
      </c>
      <c r="J80">
        <f>J79+($I$7*(d*I79))</f>
        <v>0.68303437546181867</v>
      </c>
      <c r="K80">
        <f>a*I80-(a/b*I80^2)</f>
        <v>3.2769609601547955E-2</v>
      </c>
      <c r="L80">
        <f>d*I80</f>
        <v>1.6031109959810659</v>
      </c>
    </row>
    <row r="81" spans="8:12" x14ac:dyDescent="0.45">
      <c r="H81">
        <v>0.71</v>
      </c>
      <c r="I81">
        <f t="shared" si="1"/>
        <v>0.93781950661125868</v>
      </c>
      <c r="J81">
        <f>J80+($I$7*(d*I80))</f>
        <v>0.69906548542162927</v>
      </c>
      <c r="K81">
        <f>a*I81-(a/b*I81^2)</f>
        <v>2.8498203154660118E-2</v>
      </c>
      <c r="L81">
        <f>d*I81</f>
        <v>1.6036713563052523</v>
      </c>
    </row>
    <row r="82" spans="8:12" x14ac:dyDescent="0.45">
      <c r="H82">
        <v>0.72</v>
      </c>
      <c r="I82">
        <f t="shared" si="1"/>
        <v>0.93810448864280527</v>
      </c>
      <c r="J82">
        <f>J81+($I$7*(d*I81))</f>
        <v>0.71510219898468175</v>
      </c>
      <c r="K82">
        <f>a*I82-(a/b*I82^2)</f>
        <v>2.4781126631060246E-2</v>
      </c>
      <c r="L82">
        <f>d*I82</f>
        <v>1.604158675579197</v>
      </c>
    </row>
    <row r="83" spans="8:12" x14ac:dyDescent="0.45">
      <c r="H83">
        <v>0.73</v>
      </c>
      <c r="I83">
        <f t="shared" si="1"/>
        <v>0.93835229990911584</v>
      </c>
      <c r="J83">
        <f>J82+($I$7*(d*I82))</f>
        <v>0.73114378574047367</v>
      </c>
      <c r="K83">
        <f>a*I83-(a/b*I83^2)</f>
        <v>2.1547035664811531E-2</v>
      </c>
      <c r="L83">
        <f>d*I83</f>
        <v>1.6045824328445881</v>
      </c>
    </row>
    <row r="84" spans="8:12" x14ac:dyDescent="0.45">
      <c r="H84">
        <v>0.74</v>
      </c>
      <c r="I84">
        <f t="shared" si="1"/>
        <v>0.93856777026576399</v>
      </c>
      <c r="J84">
        <f>J83+($I$7*(d*I83))</f>
        <v>0.7471896100689196</v>
      </c>
      <c r="K84">
        <f>a*I84-(a/b*I84^2)</f>
        <v>1.8733622503223302E-2</v>
      </c>
      <c r="L84">
        <f>d*I84</f>
        <v>1.6049508871544564</v>
      </c>
    </row>
    <row r="85" spans="8:12" x14ac:dyDescent="0.45">
      <c r="H85">
        <v>0.75</v>
      </c>
      <c r="I85">
        <f t="shared" si="1"/>
        <v>0.93875510649079619</v>
      </c>
      <c r="J85">
        <f>J84+($I$7*(d*I84))</f>
        <v>0.76323911894046415</v>
      </c>
      <c r="K85">
        <f>a*I85-(a/b*I85^2)</f>
        <v>1.6286507253521876E-2</v>
      </c>
      <c r="L85">
        <f>d*I85</f>
        <v>1.6052712320992615</v>
      </c>
    </row>
    <row r="86" spans="8:12" x14ac:dyDescent="0.45">
      <c r="H86">
        <v>0.76</v>
      </c>
      <c r="I86">
        <f t="shared" si="1"/>
        <v>0.93891797156333145</v>
      </c>
      <c r="J86">
        <f>J85+($I$7*(d*I85))</f>
        <v>0.77929183126145674</v>
      </c>
      <c r="K86">
        <f>a*I86-(a/b*I86^2)</f>
        <v>1.4158256253820056E-2</v>
      </c>
      <c r="L86">
        <f>d*I86</f>
        <v>1.6055497313732967</v>
      </c>
    </row>
    <row r="87" spans="8:12" x14ac:dyDescent="0.45">
      <c r="H87">
        <v>0.77</v>
      </c>
      <c r="I87">
        <f t="shared" si="1"/>
        <v>0.93905955412586961</v>
      </c>
      <c r="J87">
        <f>J86+($I$7*(d*I86))</f>
        <v>0.79534732857518975</v>
      </c>
      <c r="K87">
        <f>a*I87-(a/b*I87^2)</f>
        <v>1.2307515266433811E-2</v>
      </c>
      <c r="L87">
        <f>d*I87</f>
        <v>1.6057918375552369</v>
      </c>
    </row>
    <row r="88" spans="8:12" x14ac:dyDescent="0.45">
      <c r="H88">
        <v>0.78</v>
      </c>
      <c r="I88">
        <f t="shared" si="1"/>
        <v>0.93918262927853391</v>
      </c>
      <c r="J88">
        <f>J87+($I$7*(d*I87))</f>
        <v>0.81140524695074212</v>
      </c>
      <c r="K88">
        <f>a*I88-(a/b*I88^2)</f>
        <v>1.0698245767009951E-2</v>
      </c>
      <c r="L88">
        <f>d*I88</f>
        <v>1.606002296066293</v>
      </c>
    </row>
    <row r="89" spans="8:12" x14ac:dyDescent="0.45">
      <c r="H89">
        <v>0.79</v>
      </c>
      <c r="I89">
        <f t="shared" si="1"/>
        <v>0.93928961173620396</v>
      </c>
      <c r="J89">
        <f>J88+($I$7*(d*I88))</f>
        <v>0.82746526991140501</v>
      </c>
      <c r="K89">
        <f>a*I89-(a/b*I89^2)</f>
        <v>9.2990533467300907E-3</v>
      </c>
      <c r="L89">
        <f>d*I89</f>
        <v>1.6061852360689088</v>
      </c>
    </row>
    <row r="90" spans="8:12" x14ac:dyDescent="0.45">
      <c r="H90">
        <v>0.8</v>
      </c>
      <c r="I90">
        <f t="shared" si="1"/>
        <v>0.9393826022696713</v>
      </c>
      <c r="J90">
        <f>J89+($I$7*(d*I89))</f>
        <v>0.84352712227209414</v>
      </c>
      <c r="K90">
        <f>a*I90-(a/b*I90^2)</f>
        <v>8.0825980785377283E-3</v>
      </c>
      <c r="L90">
        <f>d*I90</f>
        <v>1.6063442498811378</v>
      </c>
    </row>
    <row r="91" spans="8:12" x14ac:dyDescent="0.45">
      <c r="H91">
        <v>0.81</v>
      </c>
      <c r="I91">
        <f t="shared" si="1"/>
        <v>0.9394634282504567</v>
      </c>
      <c r="J91">
        <f>J90+($I$7*(d*I90))</f>
        <v>0.85959056477090556</v>
      </c>
      <c r="K91">
        <f>a*I91-(a/b*I91^2)</f>
        <v>7.0250775668085907E-3</v>
      </c>
      <c r="L91">
        <f>d*I91</f>
        <v>1.606482462308281</v>
      </c>
    </row>
    <row r="92" spans="8:12" x14ac:dyDescent="0.45">
      <c r="H92">
        <v>0.82</v>
      </c>
      <c r="I92">
        <f t="shared" si="1"/>
        <v>0.93953367902612483</v>
      </c>
      <c r="J92">
        <f>J91+($I$7*(d*I91))</f>
        <v>0.87565538939398835</v>
      </c>
      <c r="K92">
        <f>a*I92-(a/b*I92^2)</f>
        <v>6.105774264376862E-3</v>
      </c>
      <c r="L92">
        <f>d*I92</f>
        <v>1.6066025911346735</v>
      </c>
    </row>
    <row r="93" spans="8:12" x14ac:dyDescent="0.45">
      <c r="H93">
        <v>0.83</v>
      </c>
      <c r="I93">
        <f t="shared" si="1"/>
        <v>0.93959473676876859</v>
      </c>
      <c r="J93">
        <f>J92+($I$7*(d*I92))</f>
        <v>0.89172141530533511</v>
      </c>
      <c r="K93">
        <f>a*I93-(a/b*I93^2)</f>
        <v>5.3066594764121788E-3</v>
      </c>
      <c r="L93">
        <f>d*I93</f>
        <v>1.6067069998745942</v>
      </c>
    </row>
    <row r="94" spans="8:12" x14ac:dyDescent="0.45">
      <c r="H94">
        <v>0.84</v>
      </c>
      <c r="I94">
        <f t="shared" si="1"/>
        <v>0.93964780336353271</v>
      </c>
      <c r="J94">
        <f>J93+($I$7*(d*I93))</f>
        <v>0.90778848530408107</v>
      </c>
      <c r="K94">
        <f>a*I94-(a/b*I94^2)</f>
        <v>4.6120472607338314E-3</v>
      </c>
      <c r="L94">
        <f>d*I94</f>
        <v>1.606797743751641</v>
      </c>
    </row>
    <row r="95" spans="8:12" x14ac:dyDescent="0.45">
      <c r="H95">
        <v>0.85</v>
      </c>
      <c r="I95">
        <f t="shared" si="1"/>
        <v>0.93969392383614003</v>
      </c>
      <c r="J95">
        <f>J94+($I$7*(d*I94))</f>
        <v>0.9238564627415975</v>
      </c>
      <c r="K95">
        <f>a*I95-(a/b*I95^2)</f>
        <v>4.0082921696527052E-3</v>
      </c>
      <c r="L95">
        <f>d*I95</f>
        <v>1.6068766097597995</v>
      </c>
    </row>
    <row r="96" spans="8:12" x14ac:dyDescent="0.45">
      <c r="H96">
        <v>0.86</v>
      </c>
      <c r="I96">
        <f t="shared" si="1"/>
        <v>0.93973400675783658</v>
      </c>
      <c r="J96">
        <f>J95+($I$7*(d*I95))</f>
        <v>0.93992522883919549</v>
      </c>
      <c r="K96">
        <f>a*I96-(a/b*I96^2)</f>
        <v>3.4835254547829209E-3</v>
      </c>
      <c r="L96">
        <f>d*I96</f>
        <v>1.6069451515559006</v>
      </c>
    </row>
    <row r="97" spans="8:12" x14ac:dyDescent="0.45">
      <c r="H97">
        <v>0.87</v>
      </c>
      <c r="I97">
        <f t="shared" si="1"/>
        <v>0.93976884201238442</v>
      </c>
      <c r="J97">
        <f>J96+($I$7*(d*I96))</f>
        <v>0.95599468035475454</v>
      </c>
      <c r="K97">
        <f>a*I97-(a/b*I97^2)</f>
        <v>3.0274249722328506E-3</v>
      </c>
      <c r="L97">
        <f>d*I97</f>
        <v>1.6070047198411774</v>
      </c>
    </row>
    <row r="98" spans="8:12" x14ac:dyDescent="0.45">
      <c r="H98">
        <v>0.88</v>
      </c>
      <c r="I98">
        <f t="shared" si="1"/>
        <v>0.93979911626210677</v>
      </c>
      <c r="J98">
        <f>J97+($I$7*(d*I97))</f>
        <v>0.97206472755316631</v>
      </c>
      <c r="K98">
        <f>a*I98-(a/b*I98^2)</f>
        <v>2.6310145823398301E-3</v>
      </c>
      <c r="L98">
        <f>d*I98</f>
        <v>1.6070564888082026</v>
      </c>
    </row>
    <row r="99" spans="8:12" x14ac:dyDescent="0.45">
      <c r="H99">
        <v>0.89</v>
      </c>
      <c r="I99">
        <f t="shared" si="1"/>
        <v>0.93982542640793021</v>
      </c>
      <c r="J99">
        <f>J98+($I$7*(d*I98))</f>
        <v>0.98813529244124831</v>
      </c>
      <c r="K99">
        <f>a*I99-(a/b*I99^2)</f>
        <v>2.2864893382390505E-3</v>
      </c>
      <c r="L99">
        <f>d*I99</f>
        <v>1.6071014791575606</v>
      </c>
    </row>
    <row r="100" spans="8:12" x14ac:dyDescent="0.45">
      <c r="H100">
        <v>0.9</v>
      </c>
      <c r="I100">
        <f t="shared" si="1"/>
        <v>0.93984829130131264</v>
      </c>
      <c r="J100">
        <f>J99+($I$7*(d*I99))</f>
        <v>1.004206307232824</v>
      </c>
      <c r="K100">
        <f>a*I100-(a/b*I100^2)</f>
        <v>1.9870632044689529E-3</v>
      </c>
      <c r="L100">
        <f>d*I100</f>
        <v>1.6071405781252446</v>
      </c>
    </row>
    <row r="101" spans="8:12" x14ac:dyDescent="0.45">
      <c r="H101">
        <v>0.91</v>
      </c>
      <c r="I101">
        <f t="shared" si="1"/>
        <v>0.93986816193335732</v>
      </c>
      <c r="J101">
        <f>J100+($I$7*(d*I100))</f>
        <v>1.0202777130140765</v>
      </c>
      <c r="K101">
        <f>a*I101-(a/b*I101^2)</f>
        <v>1.7268364446003659E-3</v>
      </c>
      <c r="L101">
        <f>d*I101</f>
        <v>1.6071745569060409</v>
      </c>
    </row>
    <row r="102" spans="8:12" x14ac:dyDescent="0.45">
      <c r="H102">
        <v>0.92</v>
      </c>
      <c r="I102">
        <f t="shared" si="1"/>
        <v>0.93988543029780336</v>
      </c>
      <c r="J102">
        <f>J101+($I$7*(d*I101))</f>
        <v>1.036349458583137</v>
      </c>
      <c r="K102">
        <f>a*I102-(a/b*I102^2)</f>
        <v>1.500680169586488E-3</v>
      </c>
      <c r="L102">
        <f>d*I102</f>
        <v>1.6072040858092438</v>
      </c>
    </row>
    <row r="103" spans="8:12" x14ac:dyDescent="0.45">
      <c r="H103">
        <v>0.93</v>
      </c>
      <c r="I103">
        <f t="shared" si="1"/>
        <v>0.93990043709949922</v>
      </c>
      <c r="J103">
        <f>J102+($I$7*(d*I102))</f>
        <v>1.0524214994412293</v>
      </c>
      <c r="K103">
        <f>a*I103-(a/b*I103^2)</f>
        <v>1.3041358504946032E-3</v>
      </c>
      <c r="L103">
        <f>d*I103</f>
        <v>1.6072297474401436</v>
      </c>
    </row>
    <row r="104" spans="8:12" x14ac:dyDescent="0.45">
      <c r="H104">
        <v>0.94</v>
      </c>
      <c r="I104">
        <f t="shared" si="1"/>
        <v>0.93991347845800421</v>
      </c>
      <c r="J104">
        <f>J103+($I$7*(d*I103))</f>
        <v>1.0684937969156307</v>
      </c>
      <c r="K104">
        <f>a*I104-(a/b*I104^2)</f>
        <v>1.1333278742906572E-3</v>
      </c>
      <c r="L104">
        <f>d*I104</f>
        <v>1.6072520481631871</v>
      </c>
    </row>
    <row r="105" spans="8:12" x14ac:dyDescent="0.45">
      <c r="H105">
        <v>0.95</v>
      </c>
      <c r="I105">
        <f t="shared" si="1"/>
        <v>0.93992481173674713</v>
      </c>
      <c r="J105">
        <f>J104+($I$7*(d*I104))</f>
        <v>1.0845663173972626</v>
      </c>
      <c r="K105">
        <f>a*I105-(a/b*I105^2)</f>
        <v>9.8488746360914092E-4</v>
      </c>
      <c r="L105">
        <f>d*I105</f>
        <v>1.6072714280698375</v>
      </c>
    </row>
    <row r="106" spans="8:12" x14ac:dyDescent="0.45">
      <c r="H106">
        <v>0.96</v>
      </c>
      <c r="I106">
        <f t="shared" si="1"/>
        <v>0.9399346606113832</v>
      </c>
      <c r="J106">
        <f>J105+($I$7*(d*I105))</f>
        <v>1.1006390316779611</v>
      </c>
      <c r="K106">
        <f>a*I106-(a/b*I106^2)</f>
        <v>8.5588649408308015E-4</v>
      </c>
      <c r="L106">
        <f>d*I106</f>
        <v>1.6072882696454653</v>
      </c>
    </row>
    <row r="107" spans="8:12" x14ac:dyDescent="0.45">
      <c r="H107">
        <v>0.97</v>
      </c>
      <c r="I107">
        <f t="shared" si="1"/>
        <v>0.93994321947632398</v>
      </c>
      <c r="J107">
        <f>J106+($I$7*(d*I106))</f>
        <v>1.1167119143744157</v>
      </c>
      <c r="K107">
        <f>a*I107-(a/b*I107^2)</f>
        <v>7.437799295519909E-4</v>
      </c>
      <c r="L107">
        <f>d*I107</f>
        <v>1.607302905304514</v>
      </c>
    </row>
    <row r="108" spans="8:12" x14ac:dyDescent="0.45">
      <c r="H108">
        <v>0.98</v>
      </c>
      <c r="I108">
        <f t="shared" si="1"/>
        <v>0.93995065727561955</v>
      </c>
      <c r="J108">
        <f>J107+($I$7*(d*I107))</f>
        <v>1.1327849434274608</v>
      </c>
      <c r="K108">
        <f>a*I108-(a/b*I108^2)</f>
        <v>6.4635575892602048E-4</v>
      </c>
      <c r="L108">
        <f>d*I108</f>
        <v>1.6073156239413093</v>
      </c>
    </row>
    <row r="109" spans="8:12" x14ac:dyDescent="0.45">
      <c r="H109">
        <v>0.99</v>
      </c>
      <c r="I109">
        <f t="shared" si="1"/>
        <v>0.93995712083320881</v>
      </c>
      <c r="J109">
        <f>J108+($I$7*(d*I108))</f>
        <v>1.148858099666874</v>
      </c>
      <c r="K109">
        <f>a*I109-(a/b*I109^2)</f>
        <v>5.6169146160023331E-4</v>
      </c>
      <c r="L109">
        <f>d*I109</f>
        <v>1.6073266766247871</v>
      </c>
    </row>
    <row r="110" spans="8:12" x14ac:dyDescent="0.45">
      <c r="H110">
        <v>1</v>
      </c>
      <c r="I110">
        <f t="shared" si="1"/>
        <v>0.93996273774782479</v>
      </c>
      <c r="J110">
        <f>J109+($I$7*(d*I109))</f>
        <v>1.1649313664331218</v>
      </c>
      <c r="K110">
        <f>a*I110-(a/b*I110^2)</f>
        <v>4.8811615346444626E-4</v>
      </c>
      <c r="L110">
        <f>d*I110</f>
        <v>1.6073362815487804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3D52-64C3-45E1-8EB8-324E37309EA8}">
  <sheetPr codeName="Sheet2"/>
  <dimension ref="A1:S110"/>
  <sheetViews>
    <sheetView topLeftCell="A3" workbookViewId="0">
      <selection activeCell="E10" sqref="E10"/>
    </sheetView>
  </sheetViews>
  <sheetFormatPr defaultRowHeight="14.25" x14ac:dyDescent="0.45"/>
  <sheetData>
    <row r="1" spans="1:19" x14ac:dyDescent="0.45">
      <c r="A1" t="s">
        <v>0</v>
      </c>
    </row>
    <row r="2" spans="1:19" x14ac:dyDescent="0.45">
      <c r="A2" t="s">
        <v>2</v>
      </c>
    </row>
    <row r="4" spans="1:19" x14ac:dyDescent="0.45">
      <c r="A4" t="s">
        <v>11</v>
      </c>
      <c r="B4">
        <f>h</f>
        <v>0.05</v>
      </c>
    </row>
    <row r="5" spans="1:19" x14ac:dyDescent="0.45">
      <c r="A5" t="s">
        <v>12</v>
      </c>
      <c r="B5">
        <f>a</f>
        <v>13.1</v>
      </c>
    </row>
    <row r="6" spans="1:19" x14ac:dyDescent="0.45">
      <c r="A6" t="s">
        <v>13</v>
      </c>
      <c r="B6">
        <f>b</f>
        <v>0.94</v>
      </c>
    </row>
    <row r="7" spans="1:19" x14ac:dyDescent="0.45">
      <c r="A7" t="s">
        <v>14</v>
      </c>
      <c r="B7">
        <f>d</f>
        <v>1.71</v>
      </c>
      <c r="M7" t="s">
        <v>11</v>
      </c>
      <c r="N7">
        <v>0.01</v>
      </c>
    </row>
    <row r="8" spans="1:19" x14ac:dyDescent="0.45">
      <c r="A8" t="s">
        <v>15</v>
      </c>
      <c r="D8" t="s">
        <v>6</v>
      </c>
      <c r="F8" t="s">
        <v>7</v>
      </c>
      <c r="P8" t="s">
        <v>6</v>
      </c>
      <c r="R8" t="s">
        <v>7</v>
      </c>
    </row>
    <row r="9" spans="1:19" x14ac:dyDescent="0.45">
      <c r="A9" t="s">
        <v>5</v>
      </c>
      <c r="B9" t="s">
        <v>6</v>
      </c>
      <c r="C9" t="s">
        <v>7</v>
      </c>
      <c r="D9" t="s">
        <v>27</v>
      </c>
      <c r="E9" t="s">
        <v>28</v>
      </c>
      <c r="F9" t="s">
        <v>27</v>
      </c>
      <c r="G9" t="s">
        <v>28</v>
      </c>
      <c r="M9" t="s">
        <v>5</v>
      </c>
      <c r="N9" t="s">
        <v>6</v>
      </c>
      <c r="O9" t="s">
        <v>7</v>
      </c>
      <c r="P9" t="s">
        <v>27</v>
      </c>
      <c r="Q9" t="s">
        <v>28</v>
      </c>
      <c r="R9" t="s">
        <v>27</v>
      </c>
      <c r="S9" t="s">
        <v>28</v>
      </c>
    </row>
    <row r="10" spans="1:19" x14ac:dyDescent="0.45">
      <c r="A10">
        <v>0</v>
      </c>
      <c r="B10">
        <v>0.03</v>
      </c>
      <c r="C10">
        <v>0</v>
      </c>
      <c r="D10">
        <f>h*(a*B10-(a/b*B10^2))</f>
        <v>1.9022872340425531E-2</v>
      </c>
      <c r="E10">
        <f>h*(a*(B10+D10)-(a/b*(B10+D10)^2))</f>
        <v>3.0435381895541264E-2</v>
      </c>
      <c r="F10">
        <f>h*d*B10</f>
        <v>2.565E-3</v>
      </c>
      <c r="G10">
        <f>h*d*(B10+F10)</f>
        <v>2.7843074999999999E-3</v>
      </c>
      <c r="M10">
        <v>0</v>
      </c>
      <c r="N10">
        <v>0.03</v>
      </c>
      <c r="O10">
        <v>0</v>
      </c>
      <c r="P10">
        <f>$N$7*(a*N10-(a/b*N10^2))</f>
        <v>3.8045744680851065E-3</v>
      </c>
      <c r="Q10">
        <f>$N$7*(a*(N10+P10)-(a/b*(N10+P10)^2))</f>
        <v>4.2691437740416498E-3</v>
      </c>
      <c r="R10">
        <f>$N$7*d*N10</f>
        <v>5.13E-4</v>
      </c>
      <c r="S10">
        <f>$N$7*d*(N10+R10)</f>
        <v>5.2177229999999998E-4</v>
      </c>
    </row>
    <row r="11" spans="1:19" x14ac:dyDescent="0.45">
      <c r="A11">
        <f>A10+h</f>
        <v>0.05</v>
      </c>
      <c r="B11">
        <f>B10+0.5*(D10+E10)</f>
        <v>5.4729127117983396E-2</v>
      </c>
      <c r="C11">
        <f>C10+0.5*(F10+G10)</f>
        <v>2.67465375E-3</v>
      </c>
      <c r="D11">
        <f>h*(a*B11-(a/b*B11^2))</f>
        <v>3.3760443509525791E-2</v>
      </c>
      <c r="E11">
        <f>h*(a*(B11+D11)-(a/b*(B11+D11)^2))</f>
        <v>5.2504376535544253E-2</v>
      </c>
      <c r="F11">
        <f>h*d*B11</f>
        <v>4.6793403685875803E-3</v>
      </c>
      <c r="G11">
        <f>h*d*(B11+F11)</f>
        <v>5.0794239701018188E-3</v>
      </c>
      <c r="M11">
        <v>0.01</v>
      </c>
      <c r="N11">
        <f>N10+0.5*(P10+Q10)</f>
        <v>3.4036859121063377E-2</v>
      </c>
      <c r="O11">
        <f>O10+0.5*(R10+S10)</f>
        <v>5.1738614999999994E-4</v>
      </c>
      <c r="P11">
        <f>$N$7*(a*N11-(a/b*N11^2))</f>
        <v>4.2973769288738211E-3</v>
      </c>
      <c r="Q11">
        <f>$N$7*(a*(N11+P11)-(a/b*(N11+P11)^2))</f>
        <v>4.8169909984856754E-3</v>
      </c>
      <c r="R11">
        <f>$N$7*d*N11</f>
        <v>5.820302909701838E-4</v>
      </c>
      <c r="S11">
        <f>$N$7*d*(N11+R11)</f>
        <v>5.9198300894577395E-4</v>
      </c>
    </row>
    <row r="12" spans="1:19" x14ac:dyDescent="0.45">
      <c r="A12">
        <f>A11+h</f>
        <v>0.1</v>
      </c>
      <c r="B12">
        <f t="shared" ref="B12:B30" si="0">B11+0.5*(D11+E11)</f>
        <v>9.7861537140518429E-2</v>
      </c>
      <c r="C12">
        <f t="shared" ref="C12:C30" si="1">C11+0.5*(F11+G11)</f>
        <v>7.5540359193446999E-3</v>
      </c>
      <c r="D12">
        <f>h*(a*B12-(a/b*B12^2))</f>
        <v>5.7426055023065296E-2</v>
      </c>
      <c r="E12">
        <f>h*(a*(B12+D12)-(a/b*(B12+D12)^2))</f>
        <v>8.4910367799725966E-2</v>
      </c>
      <c r="F12">
        <f>h*d*B12</f>
        <v>8.3671614255143266E-3</v>
      </c>
      <c r="G12">
        <f>h*d*(B12+F12)</f>
        <v>9.0825537273958017E-3</v>
      </c>
      <c r="M12">
        <v>0.02</v>
      </c>
      <c r="N12">
        <f t="shared" ref="N12:N75" si="2">N11+0.5*(P11+Q11)</f>
        <v>3.8594043084743124E-2</v>
      </c>
      <c r="O12">
        <f t="shared" ref="O12:O75" si="3">O11+0.5*(R11+S11)</f>
        <v>1.1043927999579788E-3</v>
      </c>
      <c r="P12">
        <f>$N$7*(a*N12-(a/b*N12^2))</f>
        <v>4.8482403662575852E-3</v>
      </c>
      <c r="Q12">
        <f>$N$7*(a*(N12+P12)-(a/b*(N12+P12)^2))</f>
        <v>5.4279312694446467E-3</v>
      </c>
      <c r="R12">
        <f>$N$7*d*N12</f>
        <v>6.5995813674910747E-4</v>
      </c>
      <c r="S12">
        <f>$N$7*d*(N12+R12)</f>
        <v>6.7124342088751719E-4</v>
      </c>
    </row>
    <row r="13" spans="1:19" x14ac:dyDescent="0.45">
      <c r="A13">
        <f>A12+h</f>
        <v>0.15000000000000002</v>
      </c>
      <c r="B13">
        <f t="shared" si="0"/>
        <v>0.16902974855191405</v>
      </c>
      <c r="C13">
        <f t="shared" si="1"/>
        <v>1.6278893495799765E-2</v>
      </c>
      <c r="D13">
        <f>h*(a*B13-(a/b*B13^2))</f>
        <v>9.0805930395580547E-2</v>
      </c>
      <c r="E13">
        <f>h*(a*(B13+D13)-(a/b*(B13+D13)^2))</f>
        <v>0.12314763573673758</v>
      </c>
      <c r="F13">
        <f>h*d*B13</f>
        <v>1.4452043501188653E-2</v>
      </c>
      <c r="G13">
        <f>h*d*(B13+F13)</f>
        <v>1.5687693220540283E-2</v>
      </c>
      <c r="M13">
        <v>0.03</v>
      </c>
      <c r="N13">
        <f t="shared" si="2"/>
        <v>4.3732128902594238E-2</v>
      </c>
      <c r="O13">
        <f t="shared" si="3"/>
        <v>1.7699935787762911E-3</v>
      </c>
      <c r="P13">
        <f>$N$7*(a*N13-(a/b*N13^2))</f>
        <v>5.4623797565757403E-3</v>
      </c>
      <c r="Q13">
        <f>$N$7*(a*(N13+P13)-(a/b*(N13+P13)^2))</f>
        <v>6.1072114233188769E-3</v>
      </c>
      <c r="R13">
        <f>$N$7*d*N13</f>
        <v>7.4781940423436152E-4</v>
      </c>
      <c r="S13">
        <f>$N$7*d*(N13+R13)</f>
        <v>7.6060711604676904E-4</v>
      </c>
    </row>
    <row r="14" spans="1:19" x14ac:dyDescent="0.45">
      <c r="A14">
        <f>A13+h</f>
        <v>0.2</v>
      </c>
      <c r="B14">
        <f t="shared" si="0"/>
        <v>0.27600653161807309</v>
      </c>
      <c r="C14">
        <f t="shared" si="1"/>
        <v>3.1348761856664228E-2</v>
      </c>
      <c r="D14">
        <f>h*(a*B14-(a/b*B14^2))</f>
        <v>0.12770168076326965</v>
      </c>
      <c r="E14">
        <f>h*(a*(B14+D14)-(a/b*(B14+D14)^2))</f>
        <v>0.15086280454870366</v>
      </c>
      <c r="F14">
        <f>h*d*B14</f>
        <v>2.3598558453345252E-2</v>
      </c>
      <c r="G14">
        <f>h*d*(B14+F14)</f>
        <v>2.5616235201106268E-2</v>
      </c>
      <c r="M14">
        <v>0.04</v>
      </c>
      <c r="N14">
        <f t="shared" si="2"/>
        <v>4.9516924492541546E-2</v>
      </c>
      <c r="O14">
        <f t="shared" si="3"/>
        <v>2.5242068389168563E-3</v>
      </c>
      <c r="P14">
        <f>$N$7*(a*N14-(a/b*N14^2))</f>
        <v>6.1450125539833601E-3</v>
      </c>
      <c r="Q14">
        <f>$N$7*(a*(N14+P14)-(a/b*(N14+P14)^2))</f>
        <v>6.8599361872585486E-3</v>
      </c>
      <c r="R14">
        <f>$N$7*d*N14</f>
        <v>8.4673940882246048E-4</v>
      </c>
      <c r="S14">
        <f>$N$7*d*(N14+R14)</f>
        <v>8.6121865271332454E-4</v>
      </c>
    </row>
    <row r="15" spans="1:19" x14ac:dyDescent="0.45">
      <c r="A15">
        <f>A14+h</f>
        <v>0.25</v>
      </c>
      <c r="B15">
        <f t="shared" si="0"/>
        <v>0.41528877427405975</v>
      </c>
      <c r="C15">
        <f t="shared" si="1"/>
        <v>5.5956158683889992E-2</v>
      </c>
      <c r="D15">
        <f>h*(a*B15-(a/b*B15^2))</f>
        <v>0.15183923038895236</v>
      </c>
      <c r="E15">
        <f>h*(a*(B15+D15)-(a/b*(B15+D15)^2))</f>
        <v>0.14735141352677569</v>
      </c>
      <c r="F15">
        <f>h*d*B15</f>
        <v>3.5507190200432109E-2</v>
      </c>
      <c r="G15">
        <f>h*d*(B15+F15)</f>
        <v>3.8543054962569059E-2</v>
      </c>
      <c r="M15">
        <v>0.05</v>
      </c>
      <c r="N15">
        <f t="shared" si="2"/>
        <v>5.6019398863162498E-2</v>
      </c>
      <c r="O15">
        <f t="shared" si="3"/>
        <v>3.3781858696847488E-3</v>
      </c>
      <c r="P15">
        <f>$N$7*(a*N15-(a/b*N15^2))</f>
        <v>6.9012001133958809E-3</v>
      </c>
      <c r="Q15">
        <f>$N$7*(a*(N15+P15)-(a/b*(N15+P15)^2))</f>
        <v>7.6908652397594422E-3</v>
      </c>
      <c r="R15">
        <f>$N$7*d*N15</f>
        <v>9.579317205600787E-4</v>
      </c>
      <c r="S15">
        <f>$N$7*d*(N15+R15)</f>
        <v>9.7431235298165613E-4</v>
      </c>
    </row>
    <row r="16" spans="1:19" x14ac:dyDescent="0.45">
      <c r="A16">
        <f>A15+h</f>
        <v>0.3</v>
      </c>
      <c r="B16">
        <f t="shared" si="0"/>
        <v>0.5648840962319237</v>
      </c>
      <c r="C16">
        <f t="shared" si="1"/>
        <v>9.298128126539057E-2</v>
      </c>
      <c r="D16">
        <f>h*(a*B16-(a/b*B16^2))</f>
        <v>0.14765163874986639</v>
      </c>
      <c r="E16">
        <f>h*(a*(B16+D16)-(a/b*(B16+D16)^2))</f>
        <v>0.11293622691833197</v>
      </c>
      <c r="F16">
        <f>h*d*B16</f>
        <v>4.8297590227829479E-2</v>
      </c>
      <c r="G16">
        <f>h*d*(B16+F16)</f>
        <v>5.2427034192308909E-2</v>
      </c>
      <c r="M16">
        <v>0.06</v>
      </c>
      <c r="N16">
        <f t="shared" si="2"/>
        <v>6.3315431539740161E-2</v>
      </c>
      <c r="O16">
        <f t="shared" si="3"/>
        <v>4.3443079064556158E-3</v>
      </c>
      <c r="P16">
        <f>$N$7*(a*N16-(a/b*N16^2))</f>
        <v>7.7356422262705119E-3</v>
      </c>
      <c r="Q16">
        <f>$N$7*(a*(N16+P16)-(a/b*(N16+P16)^2))</f>
        <v>8.6041572421636705E-3</v>
      </c>
      <c r="R16">
        <f>$N$7*d*N16</f>
        <v>1.0826938793295569E-3</v>
      </c>
      <c r="S16">
        <f>$N$7*d*(N16+R16)</f>
        <v>1.1012079446660924E-3</v>
      </c>
    </row>
    <row r="17" spans="1:19" x14ac:dyDescent="0.45">
      <c r="A17">
        <f>A16+h</f>
        <v>0.35</v>
      </c>
      <c r="B17">
        <f t="shared" si="0"/>
        <v>0.69517802906602288</v>
      </c>
      <c r="C17">
        <f t="shared" si="1"/>
        <v>0.14334359347545977</v>
      </c>
      <c r="D17">
        <f>h*(a*B17-(a/b*B17^2))</f>
        <v>0.11859322358828886</v>
      </c>
      <c r="E17">
        <f>h*(a*(B17+D17)-(a/b*(B17+D17)^2))</f>
        <v>7.1577094075274336E-2</v>
      </c>
      <c r="F17">
        <f>h*d*B17</f>
        <v>5.9437721485144958E-2</v>
      </c>
      <c r="G17">
        <f>h*d*(B17+F17)</f>
        <v>6.4519646672124856E-2</v>
      </c>
      <c r="M17">
        <v>7.0000000000000007E-2</v>
      </c>
      <c r="N17">
        <f t="shared" si="2"/>
        <v>7.1485331273957259E-2</v>
      </c>
      <c r="O17">
        <f t="shared" si="3"/>
        <v>5.4362588184534407E-3</v>
      </c>
      <c r="P17">
        <f>$N$7*(a*N17-(a/b*N17^2))</f>
        <v>8.6524188341836027E-3</v>
      </c>
      <c r="Q17">
        <f>$N$7*(a*(N17+P17)-(a/b*(N17+P17)^2))</f>
        <v>9.6030561918220674E-3</v>
      </c>
      <c r="R17">
        <f>$N$7*d*N17</f>
        <v>1.2223991647846691E-3</v>
      </c>
      <c r="S17">
        <f>$N$7*d*(N17+R17)</f>
        <v>1.243302190502487E-3</v>
      </c>
    </row>
    <row r="18" spans="1:19" x14ac:dyDescent="0.45">
      <c r="A18">
        <f>A17+h</f>
        <v>0.39999999999999997</v>
      </c>
      <c r="B18">
        <f t="shared" si="0"/>
        <v>0.79026318789780448</v>
      </c>
      <c r="C18">
        <f t="shared" si="1"/>
        <v>0.20532227755409468</v>
      </c>
      <c r="D18">
        <f>h*(a*B18-(a/b*B18^2))</f>
        <v>8.2454389641261464E-2</v>
      </c>
      <c r="E18">
        <f>h*(a*(B18+D18)-(a/b*(B18+D18)^2))</f>
        <v>4.0915587282338711E-2</v>
      </c>
      <c r="F18">
        <f>h*d*B18</f>
        <v>6.7567502565262283E-2</v>
      </c>
      <c r="G18">
        <f>h*d*(B18+F18)</f>
        <v>7.3344524034592212E-2</v>
      </c>
      <c r="M18">
        <v>0.08</v>
      </c>
      <c r="N18">
        <f t="shared" si="2"/>
        <v>8.061306878696009E-2</v>
      </c>
      <c r="O18">
        <f t="shared" si="3"/>
        <v>6.6691094960970188E-3</v>
      </c>
      <c r="P18">
        <f>$N$7*(a*N18-(a/b*N18^2))</f>
        <v>9.6546746083663454E-3</v>
      </c>
      <c r="Q18">
        <f>$N$7*(a*(N18+P18)-(a/b*(N18+P18)^2))</f>
        <v>1.068951823564237E-2</v>
      </c>
      <c r="R18">
        <f>$N$7*d*N18</f>
        <v>1.3784834762570176E-3</v>
      </c>
      <c r="S18">
        <f>$N$7*d*(N18+R18)</f>
        <v>1.4020555437010127E-3</v>
      </c>
    </row>
    <row r="19" spans="1:19" x14ac:dyDescent="0.45">
      <c r="A19">
        <f>A18+h</f>
        <v>0.44999999999999996</v>
      </c>
      <c r="B19">
        <f t="shared" si="0"/>
        <v>0.85194817635960451</v>
      </c>
      <c r="C19">
        <f t="shared" si="1"/>
        <v>0.27577829085402195</v>
      </c>
      <c r="D19">
        <f>h*(a*B19-(a/b*B19^2))</f>
        <v>5.2271501943616898E-2</v>
      </c>
      <c r="E19">
        <f>h*(a*(B19+D19)-(a/b*(B19+D19)^2))</f>
        <v>2.2544034561842174E-2</v>
      </c>
      <c r="F19">
        <f>h*d*B19</f>
        <v>7.2841569078746185E-2</v>
      </c>
      <c r="G19">
        <f>h*d*(B19+F19)</f>
        <v>7.9069523234978983E-2</v>
      </c>
      <c r="M19">
        <v>0.09</v>
      </c>
      <c r="N19">
        <f t="shared" si="2"/>
        <v>9.0785165208964444E-2</v>
      </c>
      <c r="O19">
        <f t="shared" si="3"/>
        <v>8.059379006076034E-3</v>
      </c>
      <c r="P19">
        <f>$N$7*(a*N19-(a/b*N19^2))</f>
        <v>1.0744244988029143E-2</v>
      </c>
      <c r="Q19">
        <f>$N$7*(a*(N19+P19)-(a/b*(N19+P19)^2))</f>
        <v>1.1863781492531297E-2</v>
      </c>
      <c r="R19">
        <f>$N$7*d*N19</f>
        <v>1.552426325073292E-3</v>
      </c>
      <c r="S19">
        <f>$N$7*d*(N19+R19)</f>
        <v>1.5789728152320454E-3</v>
      </c>
    </row>
    <row r="20" spans="1:19" x14ac:dyDescent="0.45">
      <c r="A20">
        <f>A19+h</f>
        <v>0.49999999999999994</v>
      </c>
      <c r="B20">
        <f t="shared" si="0"/>
        <v>0.88935594461233403</v>
      </c>
      <c r="C20">
        <f t="shared" si="1"/>
        <v>0.35173383701088456</v>
      </c>
      <c r="D20">
        <f>h*(a*B20-(a/b*B20^2))</f>
        <v>3.1384667633494255E-2</v>
      </c>
      <c r="E20">
        <f>h*(a*(B20+D20)-(a/b*(B20+D20)^2))</f>
        <v>1.2356435967369794E-2</v>
      </c>
      <c r="F20">
        <f>h*d*B20</f>
        <v>7.603993326435457E-2</v>
      </c>
      <c r="G20">
        <f>h*d*(B20+F20)</f>
        <v>8.2541347558456879E-2</v>
      </c>
      <c r="M20">
        <v>0.1</v>
      </c>
      <c r="N20">
        <f t="shared" si="2"/>
        <v>0.10208917844924467</v>
      </c>
      <c r="O20">
        <f t="shared" si="3"/>
        <v>9.6250785762287024E-3</v>
      </c>
      <c r="P20">
        <f>$N$7*(a*N20-(a/b*N20^2))</f>
        <v>1.1921226795261836E-2</v>
      </c>
      <c r="Q20">
        <f>$N$7*(a*(N20+P20)-(a/b*(N20+P20)^2))</f>
        <v>1.3123887769981231E-2</v>
      </c>
      <c r="R20">
        <f>$N$7*d*N20</f>
        <v>1.745724951482084E-3</v>
      </c>
      <c r="S20">
        <f>$N$7*d*(N20+R20)</f>
        <v>1.7755768481524275E-3</v>
      </c>
    </row>
    <row r="21" spans="1:19" x14ac:dyDescent="0.45">
      <c r="A21">
        <f>A20+h</f>
        <v>0.54999999999999993</v>
      </c>
      <c r="B21">
        <f t="shared" si="0"/>
        <v>0.9112264964127661</v>
      </c>
      <c r="C21">
        <f t="shared" si="1"/>
        <v>0.43102447742229028</v>
      </c>
      <c r="D21">
        <f>h*(a*B21-(a/b*B21^2))</f>
        <v>1.8269746973905845E-2</v>
      </c>
      <c r="E21">
        <f>h*(a*(B21+D21)-(a/b*(B21+D21)^2))</f>
        <v>6.8030824631556191E-3</v>
      </c>
      <c r="F21">
        <f>h*d*B21</f>
        <v>7.7909865443291509E-2</v>
      </c>
      <c r="G21">
        <f>h*d*(B21+F21)</f>
        <v>8.4571158938692922E-2</v>
      </c>
      <c r="M21">
        <v>0.11</v>
      </c>
      <c r="N21">
        <f t="shared" si="2"/>
        <v>0.1146117357318662</v>
      </c>
      <c r="O21">
        <f t="shared" si="3"/>
        <v>1.1385729476045959E-2</v>
      </c>
      <c r="P21">
        <f>$N$7*(a*N21-(a/b*N21^2))</f>
        <v>1.3183502970514134E-2</v>
      </c>
      <c r="Q21">
        <f>$N$7*(a*(N21+P21)-(a/b*(N21+P21)^2))</f>
        <v>1.4465173485347156E-2</v>
      </c>
      <c r="R21">
        <f>$N$7*d*N21</f>
        <v>1.9598606810149119E-3</v>
      </c>
      <c r="S21">
        <f>$N$7*d*(N21+R21)</f>
        <v>1.9933742986602671E-3</v>
      </c>
    </row>
    <row r="22" spans="1:19" x14ac:dyDescent="0.45">
      <c r="A22">
        <f>A21+h</f>
        <v>0.6</v>
      </c>
      <c r="B22">
        <f t="shared" si="0"/>
        <v>0.92376291113129683</v>
      </c>
      <c r="C22">
        <f t="shared" si="1"/>
        <v>0.51226498961328248</v>
      </c>
      <c r="D22">
        <f>h*(a*B22-(a/b*B22^2))</f>
        <v>1.0451584484554478E-2</v>
      </c>
      <c r="E22">
        <f>h*(a*(B22+D22)-(a/b*(B22+D22)^2))</f>
        <v>3.766181754658593E-3</v>
      </c>
      <c r="F22">
        <f>h*d*B22</f>
        <v>7.8981728901725889E-2</v>
      </c>
      <c r="G22">
        <f>h*d*(B22+F22)</f>
        <v>8.5734666722823441E-2</v>
      </c>
      <c r="M22">
        <v>0.12</v>
      </c>
      <c r="N22">
        <f t="shared" si="2"/>
        <v>0.12843607395979684</v>
      </c>
      <c r="O22">
        <f t="shared" si="3"/>
        <v>1.3362346965883547E-2</v>
      </c>
      <c r="P22">
        <f>$N$7*(a*N22-(a/b*N22^2))</f>
        <v>1.4526239425604619E-2</v>
      </c>
      <c r="Q22">
        <f>$N$7*(a*(N22+P22)-(a/b*(N22+P22)^2))</f>
        <v>1.5879757500983069E-2</v>
      </c>
      <c r="R22">
        <f>$N$7*d*N22</f>
        <v>2.1962568647125261E-3</v>
      </c>
      <c r="S22">
        <f>$N$7*d*(N22+R22)</f>
        <v>2.2338128570991104E-3</v>
      </c>
    </row>
    <row r="23" spans="1:19" x14ac:dyDescent="0.45">
      <c r="A23">
        <f>A22+h</f>
        <v>0.65</v>
      </c>
      <c r="B23">
        <f t="shared" si="0"/>
        <v>0.93087179425090338</v>
      </c>
      <c r="C23">
        <f t="shared" si="1"/>
        <v>0.5946231874255572</v>
      </c>
      <c r="D23">
        <f>h*(a*B23-(a/b*B23^2))</f>
        <v>5.9209137956266929E-3</v>
      </c>
      <c r="E23">
        <f>h*(a*(B23+D23)-(a/b*(B23+D23)^2))</f>
        <v>2.0936083543132257E-3</v>
      </c>
      <c r="F23">
        <f>h*d*B23</f>
        <v>7.9589538408452246E-2</v>
      </c>
      <c r="G23">
        <f>h*d*(B23+F23)</f>
        <v>8.6394443942374916E-2</v>
      </c>
      <c r="M23">
        <v>0.13</v>
      </c>
      <c r="N23">
        <f t="shared" si="2"/>
        <v>0.14363907242309068</v>
      </c>
      <c r="O23">
        <f t="shared" si="3"/>
        <v>1.5577381826789366E-2</v>
      </c>
      <c r="P23">
        <f>$N$7*(a*N23-(a/b*N23^2))</f>
        <v>1.5941382328297081E-2</v>
      </c>
      <c r="Q23">
        <f>$N$7*(a*(N23+P23)-(a/b*(N23+P23)^2))</f>
        <v>1.7356065400554753E-2</v>
      </c>
      <c r="R23">
        <f>$N$7*d*N23</f>
        <v>2.4562281384348508E-3</v>
      </c>
      <c r="S23">
        <f>$N$7*d*(N23+R23)</f>
        <v>2.4982296396020868E-3</v>
      </c>
    </row>
    <row r="24" spans="1:19" x14ac:dyDescent="0.45">
      <c r="A24">
        <f>A23+h</f>
        <v>0.70000000000000007</v>
      </c>
      <c r="B24">
        <f t="shared" si="0"/>
        <v>0.93487905532587334</v>
      </c>
      <c r="C24">
        <f t="shared" si="1"/>
        <v>0.67761517860097076</v>
      </c>
      <c r="D24">
        <f>h*(a*B24-(a/b*B24^2))</f>
        <v>3.3359456033584148E-3</v>
      </c>
      <c r="E24">
        <f>h*(a*(B24+D24)-(a/b*(B24+D24)^2))</f>
        <v>1.1669542049679293E-3</v>
      </c>
      <c r="F24">
        <f>h*d*B24</f>
        <v>7.9932159230362176E-2</v>
      </c>
      <c r="G24">
        <f>h*d*(B24+F24)</f>
        <v>8.6766358844558147E-2</v>
      </c>
      <c r="M24">
        <v>0.14000000000000001</v>
      </c>
      <c r="N24">
        <f t="shared" si="2"/>
        <v>0.1602877962875166</v>
      </c>
      <c r="O24">
        <f t="shared" si="3"/>
        <v>1.8054610715807835E-2</v>
      </c>
      <c r="P24">
        <f>$N$7*(a*N24-(a/b*N24^2))</f>
        <v>1.7417195706568075E-2</v>
      </c>
      <c r="Q24">
        <f>$N$7*(a*(N24+P24)-(a/b*(N24+P24)^2))</f>
        <v>1.8878441815554967E-2</v>
      </c>
      <c r="R24">
        <f>$N$7*d*N24</f>
        <v>2.7409213165165342E-3</v>
      </c>
      <c r="S24">
        <f>$N$7*d*(N24+R24)</f>
        <v>2.787791071028967E-3</v>
      </c>
    </row>
    <row r="25" spans="1:19" x14ac:dyDescent="0.45">
      <c r="A25">
        <f>A24+h</f>
        <v>0.75000000000000011</v>
      </c>
      <c r="B25">
        <f t="shared" si="0"/>
        <v>0.93713050523003649</v>
      </c>
      <c r="C25">
        <f t="shared" si="1"/>
        <v>0.76096443763843091</v>
      </c>
      <c r="D25">
        <f>h*(a*B25-(a/b*B25^2))</f>
        <v>1.8737815528858449E-3</v>
      </c>
      <c r="E25">
        <f>h*(a*(B25+D25)-(a/b*(B25+D25)^2))</f>
        <v>6.5150131000386586E-4</v>
      </c>
      <c r="F25">
        <f>h*d*B25</f>
        <v>8.012465819716813E-2</v>
      </c>
      <c r="G25">
        <f>h*d*(B25+F25)</f>
        <v>8.6975316473026004E-2</v>
      </c>
      <c r="M25">
        <v>0.15</v>
      </c>
      <c r="N25">
        <f t="shared" si="2"/>
        <v>0.17843561504857813</v>
      </c>
      <c r="O25">
        <f t="shared" si="3"/>
        <v>2.0818966909580586E-2</v>
      </c>
      <c r="P25">
        <f>$N$7*(a*N25-(a/b*N25^2))</f>
        <v>1.8937890888356148E-2</v>
      </c>
      <c r="Q25">
        <f>$N$7*(a*(N25+P25)-(a/b*(N25+P25)^2))</f>
        <v>2.0426912883265362E-2</v>
      </c>
      <c r="R25">
        <f>$N$7*d*N25</f>
        <v>3.0512490173306862E-3</v>
      </c>
      <c r="S25">
        <f>$N$7*d*(N25+R25)</f>
        <v>3.1034253755270413E-3</v>
      </c>
    </row>
    <row r="26" spans="1:19" x14ac:dyDescent="0.45">
      <c r="A26">
        <f>A25+h</f>
        <v>0.80000000000000016</v>
      </c>
      <c r="B26">
        <f t="shared" si="0"/>
        <v>0.93839314666148133</v>
      </c>
      <c r="C26">
        <f t="shared" si="1"/>
        <v>0.84451442497352802</v>
      </c>
      <c r="D26">
        <f>h*(a*B26-(a/b*B26^2))</f>
        <v>1.0506897927278658E-3</v>
      </c>
      <c r="E26">
        <f>h*(a*(B26+D26)-(a/b*(B26+D26)^2))</f>
        <v>3.6407158715494607E-4</v>
      </c>
      <c r="F26">
        <f>h*d*B26</f>
        <v>8.0232614039556657E-2</v>
      </c>
      <c r="G26">
        <f>h*d*(B26+F26)</f>
        <v>8.7092502539938763E-2</v>
      </c>
      <c r="M26">
        <v>0.16</v>
      </c>
      <c r="N26">
        <f t="shared" si="2"/>
        <v>0.19811801693438888</v>
      </c>
      <c r="O26">
        <f t="shared" si="3"/>
        <v>2.3896304106009451E-2</v>
      </c>
      <c r="P26">
        <f>$N$7*(a*N26-(a/b*N26^2))</f>
        <v>2.0483409078983734E-2</v>
      </c>
      <c r="Q26">
        <f>$N$7*(a*(N26+P26)-(a/b*(N26+P26)^2))</f>
        <v>2.1977167198586407E-2</v>
      </c>
      <c r="R26">
        <f>$N$7*d*N26</f>
        <v>3.3878180895780502E-3</v>
      </c>
      <c r="S26">
        <f>$N$7*d*(N26+R26)</f>
        <v>3.4457497789098348E-3</v>
      </c>
    </row>
    <row r="27" spans="1:19" x14ac:dyDescent="0.45">
      <c r="A27">
        <f>A26+h</f>
        <v>0.8500000000000002</v>
      </c>
      <c r="B27">
        <f t="shared" si="0"/>
        <v>0.93910052735142269</v>
      </c>
      <c r="C27">
        <f t="shared" si="1"/>
        <v>0.92817698326327569</v>
      </c>
      <c r="D27">
        <f>h*(a*B27-(a/b*B27^2))</f>
        <v>5.8859083116402644E-4</v>
      </c>
      <c r="E27">
        <f>h*(a*(B27+D27)-(a/b*(B27+D27)^2))</f>
        <v>2.0356024560204135E-4</v>
      </c>
      <c r="F27">
        <f>h*d*B27</f>
        <v>8.0293095088546651E-2</v>
      </c>
      <c r="G27">
        <f>h*d*(B27+F27)</f>
        <v>8.7158154718617389E-2</v>
      </c>
      <c r="M27">
        <v>0.17</v>
      </c>
      <c r="N27">
        <f t="shared" si="2"/>
        <v>0.21934830507317396</v>
      </c>
      <c r="O27">
        <f t="shared" si="3"/>
        <v>2.7313088040253394E-2</v>
      </c>
      <c r="P27">
        <f>$N$7*(a*N27-(a/b*N27^2))</f>
        <v>2.2029423772096299E-2</v>
      </c>
      <c r="Q27">
        <f>$N$7*(a*(N27+P27)-(a/b*(N27+P27)^2))</f>
        <v>2.3500822642871247E-2</v>
      </c>
      <c r="R27">
        <f>$N$7*d*N27</f>
        <v>3.7508560167512747E-3</v>
      </c>
      <c r="S27">
        <f>$N$7*d*(N27+R27)</f>
        <v>3.8149956546377215E-3</v>
      </c>
    </row>
    <row r="28" spans="1:19" x14ac:dyDescent="0.45">
      <c r="A28">
        <f>A27+h</f>
        <v>0.90000000000000024</v>
      </c>
      <c r="B28">
        <f t="shared" si="0"/>
        <v>0.93949660288980574</v>
      </c>
      <c r="C28">
        <f t="shared" si="1"/>
        <v>1.0119026081668576</v>
      </c>
      <c r="D28">
        <f>h*(a*B28-(a/b*B28^2))</f>
        <v>3.2954852987279184E-4</v>
      </c>
      <c r="E28">
        <f>h*(a*(B28+D28)-(a/b*(B28+D28)^2))</f>
        <v>1.1384976023771644E-4</v>
      </c>
      <c r="F28">
        <f>h*d*B28</f>
        <v>8.03269595470784E-2</v>
      </c>
      <c r="G28">
        <f>h*d*(B28+F28)</f>
        <v>8.71949145883536E-2</v>
      </c>
      <c r="M28">
        <v>0.18</v>
      </c>
      <c r="N28">
        <f t="shared" si="2"/>
        <v>0.24211342828065774</v>
      </c>
      <c r="O28">
        <f t="shared" si="3"/>
        <v>3.1096013875947893E-2</v>
      </c>
      <c r="P28">
        <f>$N$7*(a*N28-(a/b*N28^2))</f>
        <v>2.3547627730139006E-2</v>
      </c>
      <c r="Q28">
        <f>$N$7*(a*(N28+P28)-(a/b*(N28+P28)^2))</f>
        <v>2.4966035182966403E-2</v>
      </c>
      <c r="R28">
        <f>$N$7*d*N28</f>
        <v>4.1401396235992479E-3</v>
      </c>
      <c r="S28">
        <f>$N$7*d*(N28+R28)</f>
        <v>4.2109360111627948E-3</v>
      </c>
    </row>
    <row r="29" spans="1:19" x14ac:dyDescent="0.45">
      <c r="A29">
        <f>A28+h</f>
        <v>0.95000000000000029</v>
      </c>
      <c r="B29">
        <f t="shared" si="0"/>
        <v>0.93971830203486095</v>
      </c>
      <c r="C29">
        <f t="shared" si="1"/>
        <v>1.0956635452345735</v>
      </c>
      <c r="D29">
        <f>h*(a*B29-(a/b*B29^2))</f>
        <v>1.844568728022189E-4</v>
      </c>
      <c r="E29">
        <f>h*(a*(B29+D29)-(a/b*(B29+D29)^2))</f>
        <v>6.3686326577716557E-5</v>
      </c>
      <c r="F29">
        <f>h*d*B29</f>
        <v>8.0345914823980624E-2</v>
      </c>
      <c r="G29">
        <f>h*d*(B29+F29)</f>
        <v>8.7215490541430962E-2</v>
      </c>
      <c r="M29">
        <v>0.19</v>
      </c>
      <c r="N29">
        <f t="shared" si="2"/>
        <v>0.26637025973721046</v>
      </c>
      <c r="O29">
        <f t="shared" si="3"/>
        <v>3.5271551693328913E-2</v>
      </c>
      <c r="P29">
        <f>$N$7*(a*N29-(a/b*N29^2))</f>
        <v>2.5006357109943256E-2</v>
      </c>
      <c r="Q29">
        <f>$N$7*(a*(N29+P29)-(a/b*(N29+P29)^2))</f>
        <v>2.6338481910452256E-2</v>
      </c>
      <c r="R29">
        <f>$N$7*d*N29</f>
        <v>4.5549314415062993E-3</v>
      </c>
      <c r="S29">
        <f>$N$7*d*(N29+R29)</f>
        <v>4.6328207691560567E-3</v>
      </c>
    </row>
    <row r="30" spans="1:19" x14ac:dyDescent="0.45">
      <c r="A30">
        <f>A29+h</f>
        <v>1.0000000000000002</v>
      </c>
      <c r="B30">
        <f t="shared" si="0"/>
        <v>0.93984237363455092</v>
      </c>
      <c r="C30">
        <f t="shared" si="1"/>
        <v>1.1794442479172793</v>
      </c>
      <c r="D30">
        <f>h*(a*B30-(a/b*B30^2))</f>
        <v>1.0322795641526383E-4</v>
      </c>
      <c r="E30">
        <f>h*(a*(B30+D30)-(a/b*(B30+D30)^2))</f>
        <v>3.5628895930361894E-5</v>
      </c>
      <c r="F30">
        <f>h*d*B30</f>
        <v>8.0356522945754114E-2</v>
      </c>
      <c r="G30">
        <f>h*d*(B30+F30)</f>
        <v>8.7227005657616083E-2</v>
      </c>
      <c r="M30">
        <v>0.2</v>
      </c>
      <c r="N30">
        <f t="shared" si="2"/>
        <v>0.29204267924740823</v>
      </c>
      <c r="O30">
        <f t="shared" si="3"/>
        <v>3.9865427798660091E-2</v>
      </c>
      <c r="P30">
        <f>$N$7*(a*N30-(a/b*N30^2))</f>
        <v>2.6371581011450269E-2</v>
      </c>
      <c r="Q30">
        <f>$N$7*(a*(N30+P30)-(a/b*(N30+P30)^2))</f>
        <v>2.7582713850461866E-2</v>
      </c>
      <c r="R30">
        <f>$N$7*d*N30</f>
        <v>4.9939298151306811E-3</v>
      </c>
      <c r="S30">
        <f>$N$7*d*(N30+R30)</f>
        <v>5.0793260149694158E-3</v>
      </c>
    </row>
    <row r="31" spans="1:19" x14ac:dyDescent="0.45">
      <c r="M31">
        <v>0.21</v>
      </c>
      <c r="N31">
        <f t="shared" si="2"/>
        <v>0.31901982667836432</v>
      </c>
      <c r="O31">
        <f t="shared" si="3"/>
        <v>4.4902055713710143E-2</v>
      </c>
      <c r="P31">
        <f>$N$7*(a*N31-(a/b*N31^2))</f>
        <v>2.7608248225057145E-2</v>
      </c>
      <c r="Q31">
        <f>$N$7*(a*(N31+P31)-(a/b*(N31+P31)^2))</f>
        <v>2.8663826830673735E-2</v>
      </c>
      <c r="R31">
        <f>$N$7*d*N31</f>
        <v>5.4552390362000297E-3</v>
      </c>
      <c r="S31">
        <f>$N$7*d*(N31+R31)</f>
        <v>5.5485236237190509E-3</v>
      </c>
    </row>
    <row r="32" spans="1:19" x14ac:dyDescent="0.45">
      <c r="M32">
        <v>0.22</v>
      </c>
      <c r="N32">
        <f t="shared" si="2"/>
        <v>0.34715586420622974</v>
      </c>
      <c r="O32">
        <f t="shared" si="3"/>
        <v>5.0403937043669682E-2</v>
      </c>
      <c r="P32">
        <f>$N$7*(a*N32-(a/b*N32^2))</f>
        <v>2.8681936912172024E-2</v>
      </c>
      <c r="Q32">
        <f>$N$7*(a*(N32+P32)-(a/b*(N32+P32)^2))</f>
        <v>2.9549346722907967E-2</v>
      </c>
      <c r="R32">
        <f>$N$7*d*N32</f>
        <v>5.9363652779265289E-3</v>
      </c>
      <c r="S32">
        <f>$N$7*d*(N32+R32)</f>
        <v>6.0378771241790721E-3</v>
      </c>
    </row>
    <row r="33" spans="13:19" x14ac:dyDescent="0.45">
      <c r="M33">
        <v>0.23</v>
      </c>
      <c r="N33">
        <f t="shared" si="2"/>
        <v>0.37627150602376974</v>
      </c>
      <c r="O33">
        <f t="shared" si="3"/>
        <v>5.6391058244722486E-2</v>
      </c>
      <c r="P33">
        <f>$N$7*(a*N33-(a/b*N33^2))</f>
        <v>2.9560703184702292E-2</v>
      </c>
      <c r="Q33">
        <f>$N$7*(a*(N33+P33)-(a/b*(N33+P33)^2))</f>
        <v>3.0211177442411113E-2</v>
      </c>
      <c r="R33">
        <f>$N$7*d*N33</f>
        <v>6.4342427530064625E-3</v>
      </c>
      <c r="S33">
        <f>$N$7*d*(N33+R33)</f>
        <v>6.5442683040828733E-3</v>
      </c>
    </row>
    <row r="34" spans="13:19" x14ac:dyDescent="0.45">
      <c r="M34">
        <v>0.24</v>
      </c>
      <c r="N34">
        <f t="shared" si="2"/>
        <v>0.40615744633732642</v>
      </c>
      <c r="O34">
        <f t="shared" si="3"/>
        <v>6.2880313773267152E-2</v>
      </c>
      <c r="P34">
        <f>$N$7*(a*N34-(a/b*N34^2))</f>
        <v>3.0216979588063356E-2</v>
      </c>
      <c r="Q34">
        <f>$N$7*(a*(N34+P34)-(a/b*(N34+P34)^2))</f>
        <v>3.0627426617689388E-2</v>
      </c>
      <c r="R34">
        <f>$N$7*d*N34</f>
        <v>6.9452923323682818E-3</v>
      </c>
      <c r="S34">
        <f>$N$7*d*(N34+R34)</f>
        <v>7.0640568312517801E-3</v>
      </c>
    </row>
    <row r="35" spans="13:19" x14ac:dyDescent="0.45">
      <c r="M35">
        <v>0.25</v>
      </c>
      <c r="N35">
        <f t="shared" si="2"/>
        <v>0.43657964944020278</v>
      </c>
      <c r="O35">
        <f t="shared" si="3"/>
        <v>6.9884988355077185E-2</v>
      </c>
      <c r="P35">
        <f>$N$7*(a*N35-(a/b*N35^2))</f>
        <v>3.0629344151136488E-2</v>
      </c>
      <c r="Q35">
        <f>$N$7*(a*(N35+P35)-(a/b*(N35+P35)^2))</f>
        <v>3.078391441181139E-2</v>
      </c>
      <c r="R35">
        <f>$N$7*d*N35</f>
        <v>7.465512005427468E-3</v>
      </c>
      <c r="S35">
        <f>$N$7*d*(N35+R35)</f>
        <v>7.5931722607202774E-3</v>
      </c>
    </row>
    <row r="36" spans="13:19" x14ac:dyDescent="0.45">
      <c r="M36">
        <v>0.26</v>
      </c>
      <c r="N36">
        <f t="shared" si="2"/>
        <v>0.46728627872167672</v>
      </c>
      <c r="O36">
        <f t="shared" si="3"/>
        <v>7.7414330488151051E-2</v>
      </c>
      <c r="P36">
        <f>$N$7*(a*N36-(a/b*N36^2))</f>
        <v>3.078397370096158E-2</v>
      </c>
      <c r="Q36">
        <f>$N$7*(a*(N36+P36)-(a/b*(N36+P36)^2))</f>
        <v>3.067519146988271E-2</v>
      </c>
      <c r="R36">
        <f>$N$7*d*N36</f>
        <v>7.990595366140673E-3</v>
      </c>
      <c r="S36">
        <f>$N$7*d*(N36+R36)</f>
        <v>8.1272345469016773E-3</v>
      </c>
    </row>
    <row r="37" spans="13:19" x14ac:dyDescent="0.45">
      <c r="M37">
        <v>0.27</v>
      </c>
      <c r="N37">
        <f t="shared" si="2"/>
        <v>0.49801586130709885</v>
      </c>
      <c r="O37">
        <f t="shared" si="3"/>
        <v>8.5473245444672219E-2</v>
      </c>
      <c r="P37">
        <f>$N$7*(a*N37-(a/b*N37^2))</f>
        <v>3.0675616604780857E-2</v>
      </c>
      <c r="Q37">
        <f>$N$7*(a*(N37+P37)-(a/b*(N37+P37)^2))</f>
        <v>3.0304942196902156E-2</v>
      </c>
      <c r="R37">
        <f>$N$7*d*N37</f>
        <v>8.5160712283513899E-3</v>
      </c>
      <c r="S37">
        <f>$N$7*d*(N37+R37)</f>
        <v>8.6616960463562001E-3</v>
      </c>
    </row>
    <row r="38" spans="13:19" x14ac:dyDescent="0.45">
      <c r="M38">
        <v>0.28000000000000003</v>
      </c>
      <c r="N38">
        <f t="shared" si="2"/>
        <v>0.52850614070794033</v>
      </c>
      <c r="O38">
        <f t="shared" si="3"/>
        <v>9.4062129082026019E-2</v>
      </c>
      <c r="P38">
        <f>$N$7*(a*N38-(a/b*N38^2))</f>
        <v>3.0307969283435755E-2</v>
      </c>
      <c r="Q38">
        <f>$N$7*(a*(N38+P38)-(a/b*(N38+P38)^2))</f>
        <v>2.9685722400535752E-2</v>
      </c>
      <c r="R38">
        <f>$N$7*d*N38</f>
        <v>9.0374550061057806E-3</v>
      </c>
      <c r="S38">
        <f>$N$7*d*(N38+R38)</f>
        <v>9.1919954867101892E-3</v>
      </c>
    </row>
    <row r="39" spans="13:19" x14ac:dyDescent="0.45">
      <c r="M39">
        <v>0.28999999999999998</v>
      </c>
      <c r="N39">
        <f t="shared" si="2"/>
        <v>0.55850298654992603</v>
      </c>
      <c r="O39">
        <f t="shared" si="3"/>
        <v>0.103176854328434</v>
      </c>
      <c r="P39">
        <f>$N$7*(a*N39-(a/b*N39^2))</f>
        <v>2.9693410637977039E-2</v>
      </c>
      <c r="Q39">
        <f>$N$7*(a*(N39+P39)-(a/b*(N39+P39)^2))</f>
        <v>2.8838062905984813E-2</v>
      </c>
      <c r="R39">
        <f>$N$7*d*N39</f>
        <v>9.5504010700037355E-3</v>
      </c>
      <c r="S39">
        <f>$N$7*d*(N39+R39)</f>
        <v>9.7137129283007984E-3</v>
      </c>
    </row>
    <row r="40" spans="13:19" x14ac:dyDescent="0.45">
      <c r="M40">
        <v>0.3</v>
      </c>
      <c r="N40">
        <f t="shared" si="2"/>
        <v>0.58776872332190699</v>
      </c>
      <c r="O40">
        <f t="shared" si="3"/>
        <v>0.11280891132758628</v>
      </c>
      <c r="P40">
        <f>$N$7*(a*N40-(a/b*N40^2))</f>
        <v>2.8852126747589128E-2</v>
      </c>
      <c r="Q40">
        <f>$N$7*(a*(N40+P40)-(a/b*(N40+P40)^2))</f>
        <v>2.7789047604852846E-2</v>
      </c>
      <c r="R40">
        <f>$N$7*d*N40</f>
        <v>1.005084516880461E-2</v>
      </c>
      <c r="S40">
        <f>$N$7*d*(N40+R40)</f>
        <v>1.0222714621191169E-2</v>
      </c>
    </row>
    <row r="41" spans="13:19" x14ac:dyDescent="0.45">
      <c r="M41">
        <v>0.31</v>
      </c>
      <c r="N41">
        <f t="shared" si="2"/>
        <v>0.61608931049812798</v>
      </c>
      <c r="O41">
        <f t="shared" si="3"/>
        <v>0.12294569122258417</v>
      </c>
      <c r="P41">
        <f>$N$7*(a*N41-(a/b*N41^2))</f>
        <v>2.7810730478640196E-2</v>
      </c>
      <c r="Q41">
        <f>$N$7*(a*(N41+P41)-(a/b*(N41+P41)^2))</f>
        <v>2.65705315138558E-2</v>
      </c>
      <c r="R41">
        <f>$N$7*d*N41</f>
        <v>1.0535127209517988E-2</v>
      </c>
      <c r="S41">
        <f>$N$7*d*(N41+R41)</f>
        <v>1.0715277884800747E-2</v>
      </c>
    </row>
    <row r="42" spans="13:19" x14ac:dyDescent="0.45">
      <c r="M42">
        <v>0.32</v>
      </c>
      <c r="N42">
        <f t="shared" si="2"/>
        <v>0.64327994149437595</v>
      </c>
      <c r="O42">
        <f t="shared" si="3"/>
        <v>0.13357089376974354</v>
      </c>
      <c r="P42">
        <f>$N$7*(a*N42-(a/b*N42^2))</f>
        <v>2.6600534155018538E-2</v>
      </c>
      <c r="Q42">
        <f>$N$7*(a*(N42+P42)-(a/b*(N42+P42)^2))</f>
        <v>2.5217192770740953E-2</v>
      </c>
      <c r="R42">
        <f>$N$7*d*N42</f>
        <v>1.100008699955383E-2</v>
      </c>
      <c r="S42">
        <f>$N$7*d*(N42+R42)</f>
        <v>1.1188188487246198E-2</v>
      </c>
    </row>
    <row r="43" spans="13:19" x14ac:dyDescent="0.45">
      <c r="M43">
        <v>0.33</v>
      </c>
      <c r="N43">
        <f t="shared" si="2"/>
        <v>0.66918880495725575</v>
      </c>
      <c r="O43">
        <f t="shared" si="3"/>
        <v>0.14466503151314355</v>
      </c>
      <c r="P43">
        <f>$N$7*(a*N43-(a/b*N43^2))</f>
        <v>2.5255660018447586E-2</v>
      </c>
      <c r="Q43">
        <f>$N$7*(a*(N43+P43)-(a/b*(N43+P43)^2))</f>
        <v>2.3764609958055207E-2</v>
      </c>
      <c r="R43">
        <f>$N$7*d*N43</f>
        <v>1.1443128564769074E-2</v>
      </c>
      <c r="S43">
        <f>$N$7*d*(N43+R43)</f>
        <v>1.1638806063226623E-2</v>
      </c>
    </row>
    <row r="44" spans="13:19" x14ac:dyDescent="0.45">
      <c r="M44">
        <v>0.34</v>
      </c>
      <c r="N44">
        <f t="shared" si="2"/>
        <v>0.69369893994550713</v>
      </c>
      <c r="O44">
        <f t="shared" si="3"/>
        <v>0.1562059988271414</v>
      </c>
      <c r="P44">
        <f>$N$7*(a*N44-(a/b*N44^2))</f>
        <v>2.3811170998947421E-2</v>
      </c>
      <c r="Q44">
        <f>$N$7*(a*(N44+P44)-(a/b*(N44+P44)^2))</f>
        <v>2.2247527225972927E-2</v>
      </c>
      <c r="R44">
        <f>$N$7*d*N44</f>
        <v>1.1862251873068172E-2</v>
      </c>
      <c r="S44">
        <f>$N$7*d*(N44+R44)</f>
        <v>1.2065096380097638E-2</v>
      </c>
    </row>
    <row r="45" spans="13:19" x14ac:dyDescent="0.45">
      <c r="M45">
        <v>0.35</v>
      </c>
      <c r="N45">
        <f t="shared" si="2"/>
        <v>0.71672828905796726</v>
      </c>
      <c r="O45">
        <f t="shared" si="3"/>
        <v>0.16816967295372431</v>
      </c>
      <c r="P45">
        <f>$N$7*(a*N45-(a/b*N45^2))</f>
        <v>2.2301377479348076E-2</v>
      </c>
      <c r="Q45">
        <f>$N$7*(a*(N45+P45)-(a/b*(N45+P45)^2))</f>
        <v>2.0698423453712252E-2</v>
      </c>
      <c r="R45">
        <f>$N$7*d*N45</f>
        <v>1.2256053742891241E-2</v>
      </c>
      <c r="S45">
        <f>$N$7*d*(N45+R45)</f>
        <v>1.2465632261894682E-2</v>
      </c>
    </row>
    <row r="46" spans="13:19" x14ac:dyDescent="0.45">
      <c r="M46">
        <v>0.36</v>
      </c>
      <c r="N46">
        <f t="shared" si="2"/>
        <v>0.73822818952449742</v>
      </c>
      <c r="O46">
        <f t="shared" si="3"/>
        <v>0.18053051595611727</v>
      </c>
      <c r="P46">
        <f>$N$7*(a*N46-(a/b*N46^2))</f>
        <v>2.075843257778482E-2</v>
      </c>
      <c r="Q46">
        <f>$N$7*(a*(N46+P46)-(a/b*(N46+P46)^2))</f>
        <v>1.9146448855547397E-2</v>
      </c>
      <c r="R46">
        <f>$N$7*d*N46</f>
        <v>1.2623702040868906E-2</v>
      </c>
      <c r="S46">
        <f>$N$7*d*(N46+R46)</f>
        <v>1.2839567345767765E-2</v>
      </c>
    </row>
    <row r="47" spans="13:19" x14ac:dyDescent="0.45">
      <c r="M47">
        <v>0.37</v>
      </c>
      <c r="N47">
        <f t="shared" si="2"/>
        <v>0.75818063024116356</v>
      </c>
      <c r="O47">
        <f t="shared" si="3"/>
        <v>0.19326215064943561</v>
      </c>
      <c r="P47">
        <f>$N$7*(a*N47-(a/b*N47^2))</f>
        <v>1.9211278819519732E-2</v>
      </c>
      <c r="Q47">
        <f>$N$7*(a*(N47+P47)-(a/b*(N47+P47)^2))</f>
        <v>1.7616742623369923E-2</v>
      </c>
      <c r="R47">
        <f>$N$7*d*N47</f>
        <v>1.2964888777123897E-2</v>
      </c>
      <c r="S47">
        <f>$N$7*d*(N47+R47)</f>
        <v>1.3186588375212716E-2</v>
      </c>
    </row>
    <row r="48" spans="13:19" x14ac:dyDescent="0.45">
      <c r="M48">
        <v>0.38</v>
      </c>
      <c r="N48">
        <f t="shared" si="2"/>
        <v>0.77659464096260833</v>
      </c>
      <c r="O48">
        <f t="shared" si="3"/>
        <v>0.20633788922560392</v>
      </c>
      <c r="P48">
        <f>$N$7*(a*N48-(a/b*N48^2))</f>
        <v>1.7684961833430018E-2</v>
      </c>
      <c r="Q48">
        <f>$N$7*(a*(N48+P48)-(a/b*(N48+P48)^2))</f>
        <v>1.613010514528522E-2</v>
      </c>
      <c r="R48">
        <f>$N$7*d*N48</f>
        <v>1.3279768360460603E-2</v>
      </c>
      <c r="S48">
        <f>$N$7*d*(N48+R48)</f>
        <v>1.3506852399424479E-2</v>
      </c>
    </row>
    <row r="49" spans="13:19" x14ac:dyDescent="0.45">
      <c r="M49">
        <v>0.39</v>
      </c>
      <c r="N49">
        <f t="shared" si="2"/>
        <v>0.79350217445196591</v>
      </c>
      <c r="O49">
        <f t="shared" si="3"/>
        <v>0.21973119960554646</v>
      </c>
      <c r="P49">
        <f>$N$7*(a*N49-(a/b*N49^2))</f>
        <v>1.6200288243995012E-2</v>
      </c>
      <c r="Q49">
        <f>$N$7*(a*(N49+P49)-(a/b*(N49+P49)^2))</f>
        <v>1.4702971304060846E-2</v>
      </c>
      <c r="R49">
        <f>$N$7*d*N49</f>
        <v>1.3568887183128618E-2</v>
      </c>
      <c r="S49">
        <f>$N$7*d*(N49+R49)</f>
        <v>1.3800915153960118E-2</v>
      </c>
    </row>
    <row r="50" spans="13:19" x14ac:dyDescent="0.45">
      <c r="M50">
        <v>0.4</v>
      </c>
      <c r="N50">
        <f t="shared" si="2"/>
        <v>0.80895380422599383</v>
      </c>
      <c r="O50">
        <f t="shared" si="3"/>
        <v>0.23341610077409083</v>
      </c>
      <c r="P50">
        <f>$N$7*(a*N50-(a/b*N50^2))</f>
        <v>1.4773778443292737E-2</v>
      </c>
      <c r="Q50">
        <f>$N$7*(a*(N50+P50)-(a/b*(N50+P50)^2))</f>
        <v>1.3347617490342056E-2</v>
      </c>
      <c r="R50">
        <f>$N$7*d*N50</f>
        <v>1.3833110052264496E-2</v>
      </c>
      <c r="S50">
        <f>$N$7*d*(N50+R50)</f>
        <v>1.4069656234158219E-2</v>
      </c>
    </row>
    <row r="51" spans="13:19" x14ac:dyDescent="0.45">
      <c r="M51">
        <v>0.41</v>
      </c>
      <c r="N51">
        <f t="shared" si="2"/>
        <v>0.82301450219281125</v>
      </c>
      <c r="O51">
        <f t="shared" si="3"/>
        <v>0.24736748391730218</v>
      </c>
      <c r="P51">
        <f>$N$7*(a*N51-(a/b*N51^2))</f>
        <v>1.3417850768770823E-2</v>
      </c>
      <c r="Q51">
        <f>$N$7*(a*(N51+P51)-(a/b*(N51+P51)^2))</f>
        <v>1.2072532257551102E-2</v>
      </c>
      <c r="R51">
        <f>$N$7*d*N51</f>
        <v>1.4073547987497072E-2</v>
      </c>
      <c r="S51">
        <f>$N$7*d*(N51+R51)</f>
        <v>1.4314205658083272E-2</v>
      </c>
    </row>
    <row r="52" spans="13:19" x14ac:dyDescent="0.45">
      <c r="M52">
        <v>0.42</v>
      </c>
      <c r="N52">
        <f t="shared" si="2"/>
        <v>0.83575969370597225</v>
      </c>
      <c r="O52">
        <f t="shared" si="3"/>
        <v>0.26156136074009234</v>
      </c>
      <c r="P52">
        <f>$N$7*(a*N52-(a/b*N52^2))</f>
        <v>1.2141170091781728E-2</v>
      </c>
      <c r="Q52">
        <f>$N$7*(a*(N52+P52)-(a/b*(N52+P52)^2))</f>
        <v>1.0882885920701461E-2</v>
      </c>
      <c r="R52">
        <f>$N$7*d*N52</f>
        <v>1.4291490762372126E-2</v>
      </c>
      <c r="S52">
        <f>$N$7*d*(N52+R52)</f>
        <v>1.4535875254408689E-2</v>
      </c>
    </row>
    <row r="53" spans="13:19" x14ac:dyDescent="0.45">
      <c r="M53">
        <v>0.43</v>
      </c>
      <c r="N53">
        <f t="shared" si="2"/>
        <v>0.84727172171221388</v>
      </c>
      <c r="O53">
        <f t="shared" si="3"/>
        <v>0.27597504374848275</v>
      </c>
      <c r="P53">
        <f>$N$7*(a*N53-(a/b*N53^2))</f>
        <v>1.0949098178208026E-2</v>
      </c>
      <c r="Q53">
        <f>$N$7*(a*(N53+P53)-(a/b*(N53+P53)^2))</f>
        <v>9.7810446228433351E-3</v>
      </c>
      <c r="R53">
        <f>$N$7*d*N53</f>
        <v>1.4488346441278858E-2</v>
      </c>
      <c r="S53">
        <f>$N$7*d*(N53+R53)</f>
        <v>1.4736097165424726E-2</v>
      </c>
    </row>
    <row r="54" spans="13:19" x14ac:dyDescent="0.45">
      <c r="M54">
        <v>0.44</v>
      </c>
      <c r="N54">
        <f t="shared" si="2"/>
        <v>0.85763679311273955</v>
      </c>
      <c r="O54">
        <f t="shared" si="3"/>
        <v>0.29058726555183456</v>
      </c>
      <c r="P54">
        <f>$N$7*(a*N54-(a/b*N54^2))</f>
        <v>9.8441924233090457E-3</v>
      </c>
      <c r="Q54">
        <f>$N$7*(a*(N54+P54)-(a/b*(N54+P54)^2))</f>
        <v>8.7670866638140232E-3</v>
      </c>
      <c r="R54">
        <f>$N$7*d*N54</f>
        <v>1.4665589162227847E-2</v>
      </c>
      <c r="S54">
        <f>$N$7*d*(N54+R54)</f>
        <v>1.4916370736901942E-2</v>
      </c>
    </row>
    <row r="55" spans="13:19" x14ac:dyDescent="0.45">
      <c r="M55">
        <v>0.45</v>
      </c>
      <c r="N55">
        <f t="shared" si="2"/>
        <v>0.86694243265630111</v>
      </c>
      <c r="O55">
        <f t="shared" si="3"/>
        <v>0.30537824550139947</v>
      </c>
      <c r="P55">
        <f>$N$7*(a*N55-(a/b*N55^2))</f>
        <v>8.8267110378229853E-3</v>
      </c>
      <c r="Q55">
        <f>$N$7*(a*(N55+P55)-(a/b*(N55+P55)^2))</f>
        <v>7.8392911333740045E-3</v>
      </c>
      <c r="R55">
        <f>$N$7*d*N55</f>
        <v>1.4824715598422749E-2</v>
      </c>
      <c r="S55">
        <f>$N$7*d*(N55+R55)</f>
        <v>1.5078218235155779E-2</v>
      </c>
    </row>
    <row r="56" spans="13:19" x14ac:dyDescent="0.45">
      <c r="M56">
        <v>0.46</v>
      </c>
      <c r="N56">
        <f t="shared" si="2"/>
        <v>0.87527543374189964</v>
      </c>
      <c r="O56">
        <f t="shared" si="3"/>
        <v>0.32032971241818875</v>
      </c>
      <c r="P56">
        <f>$N$7*(a*N56-(a/b*N56^2))</f>
        <v>7.8950944547832684E-3</v>
      </c>
      <c r="Q56">
        <f>$N$7*(a*(N56+P56)-(a/b*(N56+P56)^2))</f>
        <v>6.9945798047737111E-3</v>
      </c>
      <c r="R56">
        <f>$N$7*d*N56</f>
        <v>1.4967209916986484E-2</v>
      </c>
      <c r="S56">
        <f>$N$7*d*(N56+R56)</f>
        <v>1.5223149206566955E-2</v>
      </c>
    </row>
    <row r="57" spans="13:19" x14ac:dyDescent="0.45">
      <c r="M57">
        <v>0.47</v>
      </c>
      <c r="N57">
        <f t="shared" si="2"/>
        <v>0.88272027087167815</v>
      </c>
      <c r="O57">
        <f t="shared" si="3"/>
        <v>0.33542489197996544</v>
      </c>
      <c r="P57">
        <f>$N$7*(a*N57-(a/b*N57^2))</f>
        <v>7.0464033186390471E-3</v>
      </c>
      <c r="Q57">
        <f>$N$7*(a*(N57+P57)-(a/b*(N57+P57)^2))</f>
        <v>6.2289021705693769E-3</v>
      </c>
      <c r="R57">
        <f>$N$7*d*N57</f>
        <v>1.5094516631905697E-2</v>
      </c>
      <c r="S57">
        <f>$N$7*d*(N57+R57)</f>
        <v>1.5352632866311283E-2</v>
      </c>
    </row>
    <row r="58" spans="13:19" x14ac:dyDescent="0.45">
      <c r="M58">
        <v>0.48</v>
      </c>
      <c r="N58">
        <f t="shared" si="2"/>
        <v>0.88935792361628241</v>
      </c>
      <c r="O58">
        <f t="shared" si="3"/>
        <v>0.35064846672907396</v>
      </c>
      <c r="P58">
        <f>$N$7*(a*N58-(a/b*N58^2))</f>
        <v>6.2767022116292101E-3</v>
      </c>
      <c r="Q58">
        <f>$N$7*(a*(N58+P58)-(a/b*(N58+P58)^2))</f>
        <v>5.537560270020947E-3</v>
      </c>
      <c r="R58">
        <f>$N$7*d*N58</f>
        <v>1.5208020493838429E-2</v>
      </c>
      <c r="S58">
        <f>$N$7*d*(N58+R58)</f>
        <v>1.5468077644283066E-2</v>
      </c>
    </row>
    <row r="59" spans="13:19" x14ac:dyDescent="0.45">
      <c r="M59">
        <v>0.49</v>
      </c>
      <c r="N59">
        <f t="shared" si="2"/>
        <v>0.8952650548571075</v>
      </c>
      <c r="O59">
        <f t="shared" si="3"/>
        <v>0.36598651579813468</v>
      </c>
      <c r="P59">
        <f>$N$7*(a*N59-(a/b*N59^2))</f>
        <v>5.581385040826543E-3</v>
      </c>
      <c r="Q59">
        <f>$N$7*(a*(N59+P59)-(a/b*(N59+P59)^2))</f>
        <v>4.9154747072054587E-3</v>
      </c>
      <c r="R59">
        <f>$N$7*d*N59</f>
        <v>1.5309032438056539E-2</v>
      </c>
      <c r="S59">
        <f>$N$7*d*(N59+R59)</f>
        <v>1.5570816892747306E-2</v>
      </c>
    </row>
    <row r="60" spans="13:19" x14ac:dyDescent="0.45">
      <c r="M60">
        <v>0.5</v>
      </c>
      <c r="N60">
        <f t="shared" si="2"/>
        <v>0.90051348473112347</v>
      </c>
      <c r="O60">
        <f t="shared" si="3"/>
        <v>0.38142644046353658</v>
      </c>
      <c r="P60">
        <f>$N$7*(a*N60-(a/b*N60^2))</f>
        <v>4.955442840288384E-3</v>
      </c>
      <c r="Q60">
        <f>$N$7*(a*(N60+P60)-(a/b*(N60+P60)^2))</f>
        <v>4.3573962964833695E-3</v>
      </c>
      <c r="R60">
        <f>$N$7*d*N60</f>
        <v>1.5398780588902213E-2</v>
      </c>
      <c r="S60">
        <f>$N$7*d*(N60+R60)</f>
        <v>1.566209973697244E-2</v>
      </c>
    </row>
    <row r="61" spans="13:19" x14ac:dyDescent="0.45">
      <c r="M61">
        <v>0.51</v>
      </c>
      <c r="N61">
        <f t="shared" si="2"/>
        <v>0.90516990429950939</v>
      </c>
      <c r="O61">
        <f t="shared" si="3"/>
        <v>0.39695688062647388</v>
      </c>
      <c r="P61">
        <f>$N$7*(a*N61-(a/b*N61^2))</f>
        <v>4.3936778993044715E-3</v>
      </c>
      <c r="Q61">
        <f>$N$7*(a*(N61+P61)-(a/b*(N61+P61)^2))</f>
        <v>3.8580694614846855E-3</v>
      </c>
      <c r="R61">
        <f>$N$7*d*N61</f>
        <v>1.5478405363521611E-2</v>
      </c>
      <c r="S61">
        <f>$N$7*d*(N61+R61)</f>
        <v>1.5743086095237831E-2</v>
      </c>
    </row>
    <row r="62" spans="13:19" x14ac:dyDescent="0.45">
      <c r="M62">
        <v>0.52</v>
      </c>
      <c r="N62">
        <f t="shared" si="2"/>
        <v>0.90929577797990402</v>
      </c>
      <c r="O62">
        <f t="shared" si="3"/>
        <v>0.41256762635585359</v>
      </c>
      <c r="P62">
        <f>$N$7*(a*N62-(a/b*N62^2))</f>
        <v>3.8908699444925787E-3</v>
      </c>
      <c r="Q62">
        <f>$N$7*(a*(N62+P62)-(a/b*(N62+P62)^2))</f>
        <v>3.4123542109588635E-3</v>
      </c>
      <c r="R62">
        <f>$N$7*d*N62</f>
        <v>1.5548957803456359E-2</v>
      </c>
      <c r="S62">
        <f>$N$7*d*(N62+R62)</f>
        <v>1.5814844981895462E-2</v>
      </c>
    </row>
    <row r="63" spans="13:19" x14ac:dyDescent="0.45">
      <c r="M63">
        <v>0.53</v>
      </c>
      <c r="N63">
        <f t="shared" si="2"/>
        <v>0.9129473900576297</v>
      </c>
      <c r="O63">
        <f t="shared" si="3"/>
        <v>0.42824952774852948</v>
      </c>
      <c r="P63">
        <f>$N$7*(a*N63-(a/b*N63^2))</f>
        <v>3.4419009180729175E-3</v>
      </c>
      <c r="Q63">
        <f>$N$7*(a*(N63+P63)-(a/b*(N63+P63)^2))</f>
        <v>3.0153135299887525E-3</v>
      </c>
      <c r="R63">
        <f>$N$7*d*N63</f>
        <v>1.5611400369985469E-2</v>
      </c>
      <c r="S63">
        <f>$N$7*d*(N63+R63)</f>
        <v>1.587835531631222E-2</v>
      </c>
    </row>
    <row r="64" spans="13:19" x14ac:dyDescent="0.45">
      <c r="M64">
        <v>0.54</v>
      </c>
      <c r="N64">
        <f t="shared" si="2"/>
        <v>0.91617599728166055</v>
      </c>
      <c r="O64">
        <f t="shared" si="3"/>
        <v>0.4439944055916783</v>
      </c>
      <c r="P64">
        <f>$N$7*(a*N64-(a/b*N64^2))</f>
        <v>3.0418450084178164E-3</v>
      </c>
      <c r="Q64">
        <f>$N$7*(a*(N64+P64)-(a/b*(N64+P64)^2))</f>
        <v>2.6622726085534687E-3</v>
      </c>
      <c r="R64">
        <f>$N$7*d*N64</f>
        <v>1.5666609553516397E-2</v>
      </c>
      <c r="S64">
        <f>$N$7*d*(N64+R64)</f>
        <v>1.5934508576881525E-2</v>
      </c>
    </row>
    <row r="65" spans="13:19" x14ac:dyDescent="0.45">
      <c r="M65">
        <v>0.55000000000000004</v>
      </c>
      <c r="N65">
        <f t="shared" si="2"/>
        <v>0.91902805609014615</v>
      </c>
      <c r="O65">
        <f t="shared" si="3"/>
        <v>0.45979496465687725</v>
      </c>
      <c r="P65">
        <f>$N$7*(a*N65-(a/b*N65^2))</f>
        <v>2.6860302495228441E-3</v>
      </c>
      <c r="Q65">
        <f>$N$7*(a*(N65+P65)-(a/b*(N65+P65)^2))</f>
        <v>2.3488556707485665E-3</v>
      </c>
      <c r="R65">
        <f>$N$7*d*N65</f>
        <v>1.5715379759141501E-2</v>
      </c>
      <c r="S65">
        <f>$N$7*d*(N65+R65)</f>
        <v>1.5984112753022819E-2</v>
      </c>
    </row>
    <row r="66" spans="13:19" x14ac:dyDescent="0.45">
      <c r="M66">
        <v>0.56000000000000005</v>
      </c>
      <c r="N66">
        <f t="shared" si="2"/>
        <v>0.92154549905028182</v>
      </c>
      <c r="O66">
        <f t="shared" si="3"/>
        <v>0.4756447109129594</v>
      </c>
      <c r="P66">
        <f>$N$7*(a*N66-(a/b*N66^2))</f>
        <v>2.3700774038867855E-3</v>
      </c>
      <c r="Q66">
        <f>$N$7*(a*(N66+P66)-(a/b*(N66+P66)^2))</f>
        <v>2.0710054023921564E-3</v>
      </c>
      <c r="R66">
        <f>$N$7*d*N66</f>
        <v>1.5758428033759819E-2</v>
      </c>
      <c r="S66">
        <f>$N$7*d*(N66+R66)</f>
        <v>1.6027897153137113E-2</v>
      </c>
    </row>
    <row r="67" spans="13:19" x14ac:dyDescent="0.45">
      <c r="M67">
        <v>0.56999999999999995</v>
      </c>
      <c r="N67">
        <f t="shared" si="2"/>
        <v>0.92376604045342126</v>
      </c>
      <c r="O67">
        <f t="shared" si="3"/>
        <v>0.49153787350640787</v>
      </c>
      <c r="P67">
        <f>$N$7*(a*N67-(a/b*N67^2))</f>
        <v>2.0899211165854581E-3</v>
      </c>
      <c r="Q67">
        <f>$N$7*(a*(N67+P67)-(a/b*(N67+P67)^2))</f>
        <v>1.8249891930234696E-3</v>
      </c>
      <c r="R67">
        <f>$N$7*d*N67</f>
        <v>1.5796399291753502E-2</v>
      </c>
      <c r="S67">
        <f>$N$7*d*(N67+R67)</f>
        <v>1.6066517719642487E-2</v>
      </c>
    </row>
    <row r="68" spans="13:19" x14ac:dyDescent="0.45">
      <c r="M68">
        <v>0.57999999999999996</v>
      </c>
      <c r="N68">
        <f t="shared" si="2"/>
        <v>0.92572349560822575</v>
      </c>
      <c r="O68">
        <f t="shared" si="3"/>
        <v>0.50746933201210587</v>
      </c>
      <c r="P68">
        <f>$N$7*(a*N68-(a/b*N68^2))</f>
        <v>1.8418175714161045E-3</v>
      </c>
      <c r="Q68">
        <f>$N$7*(a*(N68+P68)-(a/b*(N68+P68)^2))</f>
        <v>1.607395666915874E-3</v>
      </c>
      <c r="R68">
        <f>$N$7*d*N68</f>
        <v>1.582987177490066E-2</v>
      </c>
      <c r="S68">
        <f>$N$7*d*(N68+R68)</f>
        <v>1.6100562582251461E-2</v>
      </c>
    </row>
    <row r="69" spans="13:19" x14ac:dyDescent="0.45">
      <c r="M69">
        <v>0.59</v>
      </c>
      <c r="N69">
        <f t="shared" si="2"/>
        <v>0.92744810222739171</v>
      </c>
      <c r="O69">
        <f t="shared" si="3"/>
        <v>0.52343454919068189</v>
      </c>
      <c r="P69">
        <f>$N$7*(a*N69-(a/b*N69^2))</f>
        <v>1.6223421528521876E-3</v>
      </c>
      <c r="Q69">
        <f>$N$7*(a*(N69+P69)-(a/b*(N69+P69)^2))</f>
        <v>1.4151243081327891E-3</v>
      </c>
      <c r="R69">
        <f>$N$7*d*N69</f>
        <v>1.5859362548088399E-2</v>
      </c>
      <c r="S69">
        <f>$N$7*d*(N69+R69)</f>
        <v>1.613055764766071E-2</v>
      </c>
    </row>
    <row r="70" spans="13:19" x14ac:dyDescent="0.45">
      <c r="M70">
        <v>0.6</v>
      </c>
      <c r="N70">
        <f t="shared" si="2"/>
        <v>0.92896683545788417</v>
      </c>
      <c r="O70">
        <f t="shared" si="3"/>
        <v>0.53942950928855649</v>
      </c>
      <c r="P70">
        <f>$N$7*(a*N70-(a/b*N70^2))</f>
        <v>1.4283799547027342E-3</v>
      </c>
      <c r="Q70">
        <f>$N$7*(a*(N70+P70)-(a/b*(N70+P70)^2))</f>
        <v>1.2453704009584145E-3</v>
      </c>
      <c r="R70">
        <f>$N$7*d*N70</f>
        <v>1.5885332886329821E-2</v>
      </c>
      <c r="S70">
        <f>$N$7*d*(N70+R70)</f>
        <v>1.615697207868606E-2</v>
      </c>
    </row>
    <row r="71" spans="13:19" x14ac:dyDescent="0.45">
      <c r="M71">
        <v>0.61</v>
      </c>
      <c r="N71">
        <f t="shared" si="2"/>
        <v>0.93030371063571471</v>
      </c>
      <c r="O71">
        <f t="shared" si="3"/>
        <v>0.55545066177106439</v>
      </c>
      <c r="P71">
        <f>$N$7*(a*N71-(a/b*N71^2))</f>
        <v>1.2571113943872093E-3</v>
      </c>
      <c r="Q71">
        <f>$N$7*(a*(N71+P71)-(a/b*(N71+P71)^2))</f>
        <v>1.0956070119823736E-3</v>
      </c>
      <c r="R71">
        <f>$N$7*d*N71</f>
        <v>1.5908193451870722E-2</v>
      </c>
      <c r="S71">
        <f>$N$7*d*(N71+R71)</f>
        <v>1.6180223559897712E-2</v>
      </c>
    </row>
    <row r="72" spans="13:19" x14ac:dyDescent="0.45">
      <c r="M72">
        <v>0.62</v>
      </c>
      <c r="N72">
        <f t="shared" si="2"/>
        <v>0.93148006983889953</v>
      </c>
      <c r="O72">
        <f t="shared" si="3"/>
        <v>0.57149487027694856</v>
      </c>
      <c r="P72">
        <f>$N$7*(a*N72-(a/b*N72^2))</f>
        <v>1.1059946952494037E-3</v>
      </c>
      <c r="Q72">
        <f>$N$7*(a*(N72+P72)-(a/b*(N72+P72)^2))</f>
        <v>9.6356532951475066E-4</v>
      </c>
      <c r="R72">
        <f>$N$7*d*N72</f>
        <v>1.5928309194245184E-2</v>
      </c>
      <c r="S72">
        <f>$N$7*d*(N72+R72)</f>
        <v>1.6200683281466774E-2</v>
      </c>
    </row>
    <row r="73" spans="13:19" x14ac:dyDescent="0.45">
      <c r="M73">
        <v>0.63</v>
      </c>
      <c r="N73">
        <f t="shared" si="2"/>
        <v>0.93251484985128164</v>
      </c>
      <c r="O73">
        <f t="shared" si="3"/>
        <v>0.58755936651480456</v>
      </c>
      <c r="P73">
        <f>$N$7*(a*N73-(a/b*N73^2))</f>
        <v>9.7274658551391722E-4</v>
      </c>
      <c r="Q73">
        <f>$N$7*(a*(N73+P73)-(a/b*(N73+P73)^2))</f>
        <v>8.4721434186246119E-4</v>
      </c>
      <c r="R73">
        <f>$N$7*d*N73</f>
        <v>1.5946003932456917E-2</v>
      </c>
      <c r="S73">
        <f>$N$7*d*(N73+R73)</f>
        <v>1.621868059970193E-2</v>
      </c>
    </row>
    <row r="74" spans="13:19" x14ac:dyDescent="0.45">
      <c r="M74">
        <v>0.64</v>
      </c>
      <c r="N74">
        <f t="shared" si="2"/>
        <v>0.93342483031496981</v>
      </c>
      <c r="O74">
        <f t="shared" si="3"/>
        <v>0.60364170878088397</v>
      </c>
      <c r="P74">
        <f>$N$7*(a*N74-(a/b*N74^2))</f>
        <v>8.5532222428502897E-4</v>
      </c>
      <c r="Q74">
        <f>$N$7*(a*(N74+P74)-(a/b*(N74+P74)^2))</f>
        <v>7.4474056863246926E-4</v>
      </c>
      <c r="R74">
        <f>$N$7*d*N74</f>
        <v>1.5961564598385984E-2</v>
      </c>
      <c r="S74">
        <f>$N$7*d*(N74+R74)</f>
        <v>1.6234507353018384E-2</v>
      </c>
    </row>
    <row r="75" spans="13:19" x14ac:dyDescent="0.45">
      <c r="M75">
        <v>0.65</v>
      </c>
      <c r="N75">
        <f t="shared" si="2"/>
        <v>0.9342248617114286</v>
      </c>
      <c r="O75">
        <f t="shared" si="3"/>
        <v>0.61973974475658611</v>
      </c>
      <c r="P75">
        <f>$N$7*(a*N75-(a/b*N75^2))</f>
        <v>7.5189509334006033E-4</v>
      </c>
      <c r="Q75">
        <f>$N$7*(a*(N75+P75)-(a/b*(N75+P75)^2))</f>
        <v>6.5452834861998708E-4</v>
      </c>
      <c r="R75">
        <f>$N$7*d*N75</f>
        <v>1.597524513526543E-2</v>
      </c>
      <c r="S75">
        <f>$N$7*d*(N75+R75)</f>
        <v>1.6248421827078467E-2</v>
      </c>
    </row>
    <row r="76" spans="13:19" x14ac:dyDescent="0.45">
      <c r="M76">
        <v>0.66</v>
      </c>
      <c r="N76">
        <f t="shared" ref="N76:N110" si="4">N75+0.5*(P75+Q75)</f>
        <v>0.93492807343240858</v>
      </c>
      <c r="O76">
        <f t="shared" ref="O76:O110" si="5">O75+0.5*(R75+S75)</f>
        <v>0.63585157823775806</v>
      </c>
      <c r="P76">
        <f>$N$7*(a*N76-(a/b*N76^2))</f>
        <v>6.6083737873423587E-4</v>
      </c>
      <c r="Q76">
        <f>$N$7*(a*(N76+P76)-(a/b*(N76+P76)^2))</f>
        <v>5.7514102445729517E-4</v>
      </c>
      <c r="R76">
        <f>$N$7*d*N76</f>
        <v>1.5987270055694187E-2</v>
      </c>
      <c r="S76">
        <f>$N$7*d*(N76+R76)</f>
        <v>1.6260652373646559E-2</v>
      </c>
    </row>
    <row r="77" spans="13:19" x14ac:dyDescent="0.45">
      <c r="M77">
        <v>0.67</v>
      </c>
      <c r="N77">
        <f t="shared" si="4"/>
        <v>0.93554606263400431</v>
      </c>
      <c r="O77">
        <f t="shared" si="5"/>
        <v>0.65197553945242848</v>
      </c>
      <c r="P77">
        <f>$N$7*(a*N77-(a/b*N77^2))</f>
        <v>5.8070119908808953E-4</v>
      </c>
      <c r="Q77">
        <f>$N$7*(a*(N77+P77)-(a/b*(N77+P77)^2))</f>
        <v>5.0530323940636281E-4</v>
      </c>
      <c r="R77">
        <f>$N$7*d*N77</f>
        <v>1.5997837671041473E-2</v>
      </c>
      <c r="S77">
        <f>$N$7*d*(N77+R77)</f>
        <v>1.6271400695216282E-2</v>
      </c>
    </row>
    <row r="78" spans="13:19" x14ac:dyDescent="0.45">
      <c r="M78">
        <v>0.68</v>
      </c>
      <c r="N78">
        <f t="shared" si="4"/>
        <v>0.9360890648532515</v>
      </c>
      <c r="O78">
        <f t="shared" si="5"/>
        <v>0.66811015863555734</v>
      </c>
      <c r="P78">
        <f>$N$7*(a*N78-(a/b*N78^2))</f>
        <v>5.1020090933297626E-4</v>
      </c>
      <c r="Q78">
        <f>$N$7*(a*(N78+P78)-(a/b*(N78+P78)^2))</f>
        <v>4.438844679425813E-4</v>
      </c>
      <c r="R78">
        <f>$N$7*d*N78</f>
        <v>1.6007123008990602E-2</v>
      </c>
      <c r="S78">
        <f>$N$7*d*(N78+R78)</f>
        <v>1.628084481244434E-2</v>
      </c>
    </row>
    <row r="79" spans="13:19" x14ac:dyDescent="0.45">
      <c r="M79">
        <v>0.69</v>
      </c>
      <c r="N79">
        <f t="shared" si="4"/>
        <v>0.93656610754188929</v>
      </c>
      <c r="O79">
        <f t="shared" si="5"/>
        <v>0.68425414254627481</v>
      </c>
      <c r="P79">
        <f>$N$7*(a*N79-(a/b*N79^2))</f>
        <v>4.4819661213884031E-4</v>
      </c>
      <c r="Q79">
        <f>$N$7*(a*(N79+P79)-(a/b*(N79+P79)^2))</f>
        <v>3.8988383269606075E-4</v>
      </c>
      <c r="R79">
        <f>$N$7*d*N79</f>
        <v>1.6015280438966308E-2</v>
      </c>
      <c r="S79">
        <f>$N$7*d*(N79+R79)</f>
        <v>1.6289141734472632E-2</v>
      </c>
    </row>
    <row r="80" spans="13:19" x14ac:dyDescent="0.45">
      <c r="M80">
        <v>0.7</v>
      </c>
      <c r="N80">
        <f t="shared" si="4"/>
        <v>0.93698514776430675</v>
      </c>
      <c r="O80">
        <f t="shared" si="5"/>
        <v>0.70040635363299431</v>
      </c>
      <c r="P80">
        <f>$N$7*(a*N80-(a/b*N80^2))</f>
        <v>3.9367893781793839E-4</v>
      </c>
      <c r="Q80">
        <f>$N$7*(a*(N80+P80)-(a/b*(N80+P80)^2))</f>
        <v>3.4241621055471685E-4</v>
      </c>
      <c r="R80">
        <f>$N$7*d*N80</f>
        <v>1.6022446026769645E-2</v>
      </c>
      <c r="S80">
        <f>$N$7*d*(N80+R80)</f>
        <v>1.6296429853827406E-2</v>
      </c>
    </row>
    <row r="81" spans="13:19" x14ac:dyDescent="0.45">
      <c r="M81">
        <v>0.71</v>
      </c>
      <c r="N81">
        <f t="shared" si="4"/>
        <v>0.93735319533849304</v>
      </c>
      <c r="O81">
        <f t="shared" si="5"/>
        <v>0.71656579157329281</v>
      </c>
      <c r="P81">
        <f>$N$7*(a*N81-(a/b*N81^2))</f>
        <v>3.4575510181269922E-4</v>
      </c>
      <c r="Q81">
        <f>$N$7*(a*(N81+P81)-(a/b*(N81+P81)^2))</f>
        <v>3.0069959592740505E-4</v>
      </c>
      <c r="R81">
        <f>$N$7*d*N81</f>
        <v>1.6028739640288232E-2</v>
      </c>
      <c r="S81">
        <f>$N$7*d*(N81+R81)</f>
        <v>1.6302831088137161E-2</v>
      </c>
    </row>
    <row r="82" spans="13:19" x14ac:dyDescent="0.45">
      <c r="M82">
        <v>0.72</v>
      </c>
      <c r="N82">
        <f t="shared" si="4"/>
        <v>0.93767642268736306</v>
      </c>
      <c r="O82">
        <f t="shared" si="5"/>
        <v>0.73273157693750546</v>
      </c>
      <c r="P82">
        <f>$N$7*(a*N82-(a/b*N82^2))</f>
        <v>3.0363621251911611E-4</v>
      </c>
      <c r="Q82">
        <f>$N$7*(a*(N82+P82)-(a/b*(N82+P82)^2))</f>
        <v>2.6404366578745451E-4</v>
      </c>
      <c r="R82">
        <f>$N$7*d*N82</f>
        <v>1.6034266827953909E-2</v>
      </c>
      <c r="S82">
        <f>$N$7*d*(N82+R82)</f>
        <v>1.6308452790711921E-2</v>
      </c>
    </row>
    <row r="83" spans="13:19" x14ac:dyDescent="0.45">
      <c r="M83">
        <v>0.73</v>
      </c>
      <c r="N83">
        <f t="shared" si="4"/>
        <v>0.93796026262651633</v>
      </c>
      <c r="O83">
        <f t="shared" si="5"/>
        <v>0.74890293674683839</v>
      </c>
      <c r="P83">
        <f>$N$7*(a*N83-(a/b*N83^2))</f>
        <v>2.6662577758548525E-4</v>
      </c>
      <c r="Q83">
        <f>$N$7*(a*(N83+P83)-(a/b*(N83+P83)^2))</f>
        <v>2.3183947636070456E-4</v>
      </c>
      <c r="R83">
        <f>$N$7*d*N83</f>
        <v>1.6039120490913428E-2</v>
      </c>
      <c r="S83">
        <f>$N$7*d*(N83+R83)</f>
        <v>1.6313389451308048E-2</v>
      </c>
    </row>
    <row r="84" spans="13:19" x14ac:dyDescent="0.45">
      <c r="M84">
        <v>0.74</v>
      </c>
      <c r="N84">
        <f t="shared" si="4"/>
        <v>0.9382094952534894</v>
      </c>
      <c r="O84">
        <f t="shared" si="5"/>
        <v>0.76507919171794914</v>
      </c>
      <c r="P84">
        <f>$N$7*(a*N84-(a/b*N84^2))</f>
        <v>2.3410934110202676E-4</v>
      </c>
      <c r="Q84">
        <f>$N$7*(a*(N84+P84)-(a/b*(N84+P84)^2))</f>
        <v>2.0355021296788678E-4</v>
      </c>
      <c r="R84">
        <f>$N$7*d*N84</f>
        <v>1.604338236883467E-2</v>
      </c>
      <c r="S84">
        <f>$N$7*d*(N84+R84)</f>
        <v>1.631772420734174E-2</v>
      </c>
    </row>
    <row r="85" spans="13:19" x14ac:dyDescent="0.45">
      <c r="M85">
        <v>0.75</v>
      </c>
      <c r="N85">
        <f t="shared" si="4"/>
        <v>0.93842832503052431</v>
      </c>
      <c r="O85">
        <f t="shared" si="5"/>
        <v>0.78125974500603734</v>
      </c>
      <c r="P85">
        <f>$N$7*(a*N85-(a/b*N85^2))</f>
        <v>2.055451749912507E-4</v>
      </c>
      <c r="Q85">
        <f>$N$7*(a*(N85+P85)-(a/b*(N85+P85)^2))</f>
        <v>1.7870291085337443E-4</v>
      </c>
      <c r="R85">
        <f>$N$7*d*N85</f>
        <v>1.6047124358021966E-2</v>
      </c>
      <c r="S85">
        <f>$N$7*d*(N85+R85)</f>
        <v>1.6321530184544141E-2</v>
      </c>
    </row>
    <row r="86" spans="13:19" x14ac:dyDescent="0.45">
      <c r="M86">
        <v>0.76</v>
      </c>
      <c r="N86">
        <f t="shared" si="4"/>
        <v>0.93862044907344666</v>
      </c>
      <c r="O86">
        <f t="shared" si="5"/>
        <v>0.79744407227732039</v>
      </c>
      <c r="P86">
        <f>$N$7*(a*N86-(a/b*N86^2))</f>
        <v>1.8045594365567296E-4</v>
      </c>
      <c r="Q86">
        <f>$N$7*(a*(N86+P86)-(a/b*(N86+P86)^2))</f>
        <v>1.568810644937102E-4</v>
      </c>
      <c r="R86">
        <f>$N$7*d*N86</f>
        <v>1.6050409679155938E-2</v>
      </c>
      <c r="S86">
        <f>$N$7*d*(N86+R86)</f>
        <v>1.6324871684669506E-2</v>
      </c>
    </row>
    <row r="87" spans="13:19" x14ac:dyDescent="0.45">
      <c r="M87">
        <v>0.77</v>
      </c>
      <c r="N87">
        <f t="shared" si="4"/>
        <v>0.93878911757752137</v>
      </c>
      <c r="O87">
        <f t="shared" si="5"/>
        <v>0.81363171295923309</v>
      </c>
      <c r="P87">
        <f>$N$7*(a*N87-(a/b*N87^2))</f>
        <v>1.5842126016641701E-4</v>
      </c>
      <c r="Q87">
        <f>$N$7*(a*(N87+P87)-(a/b*(N87+P87)^2))</f>
        <v>1.3771804485941176E-4</v>
      </c>
      <c r="R87">
        <f>$N$7*d*N87</f>
        <v>1.6053293910575615E-2</v>
      </c>
      <c r="S87">
        <f>$N$7*d*(N87+R87)</f>
        <v>1.632780523644646E-2</v>
      </c>
    </row>
    <row r="88" spans="13:19" x14ac:dyDescent="0.45">
      <c r="M88">
        <v>0.78</v>
      </c>
      <c r="N88">
        <f t="shared" si="4"/>
        <v>0.93893718723003428</v>
      </c>
      <c r="O88">
        <f t="shared" si="5"/>
        <v>0.82982226253274416</v>
      </c>
      <c r="P88">
        <f>$N$7*(a*N88-(a/b*N88^2))</f>
        <v>1.3907105393048624E-4</v>
      </c>
      <c r="Q88">
        <f>$N$7*(a*(N88+P88)-(a/b*(N88+P88)^2))</f>
        <v>1.2089124763326354E-4</v>
      </c>
      <c r="R88">
        <f>$N$7*d*N88</f>
        <v>1.6055825901633586E-2</v>
      </c>
      <c r="S88">
        <f>$N$7*d*(N88+R88)</f>
        <v>1.6330380524551522E-2</v>
      </c>
    </row>
    <row r="89" spans="13:19" x14ac:dyDescent="0.45">
      <c r="M89">
        <v>0.79</v>
      </c>
      <c r="N89">
        <f t="shared" si="4"/>
        <v>0.93906716838081616</v>
      </c>
      <c r="O89">
        <f t="shared" si="5"/>
        <v>0.84601536574583669</v>
      </c>
      <c r="P89">
        <f>$N$7*(a*N89-(a/b*N89^2))</f>
        <v>1.2207967306764544E-4</v>
      </c>
      <c r="Q89">
        <f>$N$7*(a*(N89+P89)-(a/b*(N89+P89)^2))</f>
        <v>1.0611689988580864E-4</v>
      </c>
      <c r="R89">
        <f>$N$7*d*N89</f>
        <v>1.6058048579311958E-2</v>
      </c>
      <c r="S89">
        <f>$N$7*d*(N89+R89)</f>
        <v>1.6332641210018192E-2</v>
      </c>
    </row>
    <row r="90" spans="13:19" x14ac:dyDescent="0.45">
      <c r="M90">
        <v>0.8</v>
      </c>
      <c r="N90">
        <f t="shared" si="4"/>
        <v>0.93918126666729285</v>
      </c>
      <c r="O90">
        <f t="shared" si="5"/>
        <v>0.86221071064050181</v>
      </c>
      <c r="P90">
        <f>$N$7*(a*N90-(a/b*N90^2))</f>
        <v>1.0716064905338386E-4</v>
      </c>
      <c r="Q90">
        <f>$N$7*(a*(N90+P90)-(a/b*(N90+P90)^2))</f>
        <v>9.3145457755863247E-5</v>
      </c>
      <c r="R90">
        <f>$N$7*d*N90</f>
        <v>1.6059999660010708E-2</v>
      </c>
      <c r="S90">
        <f>$N$7*d*(N90+R90)</f>
        <v>1.6334625654196893E-2</v>
      </c>
    </row>
    <row r="91" spans="13:19" x14ac:dyDescent="0.45">
      <c r="M91">
        <v>0.81</v>
      </c>
      <c r="N91">
        <f t="shared" si="4"/>
        <v>0.93928141972069745</v>
      </c>
      <c r="O91">
        <f t="shared" si="5"/>
        <v>0.87840802329760559</v>
      </c>
      <c r="P91">
        <f>$N$7*(a*N91-(a/b*N91^2))</f>
        <v>9.4062056112118595E-5</v>
      </c>
      <c r="Q91">
        <f>$N$7*(a*(N91+P91)-(a/b*(N91+P91)^2))</f>
        <v>8.1757532967241531E-5</v>
      </c>
      <c r="R91">
        <f>$N$7*d*N91</f>
        <v>1.6061712277223927E-2</v>
      </c>
      <c r="S91">
        <f>$N$7*d*(N91+R91)</f>
        <v>1.6336367557164458E-2</v>
      </c>
    </row>
    <row r="92" spans="13:19" x14ac:dyDescent="0.45">
      <c r="M92">
        <v>0.82</v>
      </c>
      <c r="N92">
        <f t="shared" si="4"/>
        <v>0.93936932951523711</v>
      </c>
      <c r="O92">
        <f t="shared" si="5"/>
        <v>0.89460706321479977</v>
      </c>
      <c r="P92">
        <f>$N$7*(a*N92-(a/b*N92^2))</f>
        <v>8.2562403047443673E-5</v>
      </c>
      <c r="Q92">
        <f>$N$7*(a*(N92+P92)-(a/b*(N92+P92)^2))</f>
        <v>7.1760291318039289E-5</v>
      </c>
      <c r="R92">
        <f>$N$7*d*N92</f>
        <v>1.6063215534710556E-2</v>
      </c>
      <c r="S92">
        <f>$N$7*d*(N92+R92)</f>
        <v>1.6337896520354105E-2</v>
      </c>
    </row>
    <row r="93" spans="13:19" x14ac:dyDescent="0.45">
      <c r="M93">
        <v>0.83</v>
      </c>
      <c r="N93">
        <f t="shared" si="4"/>
        <v>0.93944649086241983</v>
      </c>
      <c r="O93">
        <f t="shared" si="5"/>
        <v>0.91080761924233211</v>
      </c>
      <c r="P93">
        <f>$N$7*(a*N93-(a/b*N93^2))</f>
        <v>7.2467000448668279E-5</v>
      </c>
      <c r="Q93">
        <f>$N$7*(a*(N93+P93)-(a/b*(N93+P93)^2))</f>
        <v>6.2984271452037882E-5</v>
      </c>
      <c r="R93">
        <f>$N$7*d*N93</f>
        <v>1.6064534993747378E-2</v>
      </c>
      <c r="S93">
        <f>$N$7*d*(N93+R93)</f>
        <v>1.633923854214046E-2</v>
      </c>
    </row>
    <row r="94" spans="13:19" x14ac:dyDescent="0.45">
      <c r="M94">
        <v>0.84</v>
      </c>
      <c r="N94">
        <f t="shared" si="4"/>
        <v>0.93951421649837019</v>
      </c>
      <c r="O94">
        <f t="shared" si="5"/>
        <v>0.92700950601027599</v>
      </c>
      <c r="P94">
        <f>$N$7*(a*N94-(a/b*N94^2))</f>
        <v>6.3604751357146933E-5</v>
      </c>
      <c r="Q94">
        <f>$N$7*(a*(N94+P94)-(a/b*(N94+P94)^2))</f>
        <v>5.5280577167078351E-5</v>
      </c>
      <c r="R94">
        <f>$N$7*d*N94</f>
        <v>1.6065693102122129E-2</v>
      </c>
      <c r="S94">
        <f>$N$7*d*(N94+R94)</f>
        <v>1.6340416454168418E-2</v>
      </c>
    </row>
    <row r="95" spans="13:19" x14ac:dyDescent="0.45">
      <c r="M95">
        <v>0.85</v>
      </c>
      <c r="N95">
        <f t="shared" si="4"/>
        <v>0.93957365916263236</v>
      </c>
      <c r="O95">
        <f t="shared" si="5"/>
        <v>0.94321256078842131</v>
      </c>
      <c r="P95">
        <f>$N$7*(a*N95-(a/b*N95^2))</f>
        <v>5.5825318404991719E-5</v>
      </c>
      <c r="Q95">
        <f>$N$7*(a*(N95+P95)-(a/b*(N95+P95)^2))</f>
        <v>4.8518401165793535E-5</v>
      </c>
      <c r="R95">
        <f>$N$7*d*N95</f>
        <v>1.6066709571681013E-2</v>
      </c>
      <c r="S95">
        <f>$N$7*d*(N95+R95)</f>
        <v>1.6341450305356758E-2</v>
      </c>
    </row>
    <row r="96" spans="13:19" x14ac:dyDescent="0.45">
      <c r="M96">
        <v>0.86</v>
      </c>
      <c r="N96">
        <f t="shared" si="4"/>
        <v>0.9396258310224177</v>
      </c>
      <c r="O96">
        <f t="shared" si="5"/>
        <v>0.95941664072694022</v>
      </c>
      <c r="P96">
        <f>$N$7*(a*N96-(a/b*N96^2))</f>
        <v>4.8996625087180947E-5</v>
      </c>
      <c r="Q96">
        <f>$N$7*(a*(N96+P96)-(a/b*(N96+P96)^2))</f>
        <v>4.2582842480349826E-5</v>
      </c>
      <c r="R96">
        <f>$N$7*d*N96</f>
        <v>1.6067601710483343E-2</v>
      </c>
      <c r="S96">
        <f>$N$7*d*(N96+R96)</f>
        <v>1.634235769973261E-2</v>
      </c>
    </row>
    <row r="97" spans="13:19" x14ac:dyDescent="0.45">
      <c r="M97">
        <v>0.87</v>
      </c>
      <c r="N97">
        <f t="shared" si="4"/>
        <v>0.93967162075620148</v>
      </c>
      <c r="O97">
        <f t="shared" si="5"/>
        <v>0.97562162043204814</v>
      </c>
      <c r="P97">
        <f>$N$7*(a*N97-(a/b*N97^2))</f>
        <v>4.3002653157238059E-5</v>
      </c>
      <c r="Q97">
        <f>$N$7*(a*(N97+P97)-(a/b*(N97+P97)^2))</f>
        <v>3.7372983785051165E-5</v>
      </c>
      <c r="R97">
        <f>$N$7*d*N97</f>
        <v>1.6068384714931046E-2</v>
      </c>
      <c r="S97">
        <f>$N$7*d*(N97+R97)</f>
        <v>1.6343154093556366E-2</v>
      </c>
    </row>
    <row r="98" spans="13:19" x14ac:dyDescent="0.45">
      <c r="M98">
        <v>0.88</v>
      </c>
      <c r="N98">
        <f t="shared" si="4"/>
        <v>0.93971180857467262</v>
      </c>
      <c r="O98">
        <f t="shared" si="5"/>
        <v>0.99182738983629182</v>
      </c>
      <c r="P98">
        <f>$N$7*(a*N98-(a/b*N98^2))</f>
        <v>3.7741502129584606E-5</v>
      </c>
      <c r="Q98">
        <f>$N$7*(a*(N98+P98)-(a/b*(N98+P98)^2))</f>
        <v>3.280019845327331E-5</v>
      </c>
      <c r="R98">
        <f>$N$7*d*N98</f>
        <v>1.6069071926626901E-2</v>
      </c>
      <c r="S98">
        <f>$N$7*d*(N98+R98)</f>
        <v>1.6343853056572221E-2</v>
      </c>
    </row>
    <row r="99" spans="13:19" x14ac:dyDescent="0.45">
      <c r="M99">
        <v>0.89</v>
      </c>
      <c r="N99">
        <f t="shared" si="4"/>
        <v>0.93974707942496405</v>
      </c>
      <c r="O99">
        <f t="shared" si="5"/>
        <v>1.0080338523278913</v>
      </c>
      <c r="P99">
        <f>$N$7*(a*N99-(a/b*N99^2))</f>
        <v>3.3123680526436772E-5</v>
      </c>
      <c r="Q99">
        <f>$N$7*(a*(N99+P99)-(a/b*(N99+P99)^2))</f>
        <v>2.878666052287926E-5</v>
      </c>
      <c r="R99">
        <f>$N$7*d*N99</f>
        <v>1.6069675058166887E-2</v>
      </c>
      <c r="S99">
        <f>$N$7*d*(N99+R99)</f>
        <v>1.6344466501661541E-2</v>
      </c>
    </row>
    <row r="100" spans="13:19" x14ac:dyDescent="0.45">
      <c r="M100">
        <v>0.9</v>
      </c>
      <c r="N100">
        <f t="shared" si="4"/>
        <v>0.9397780345954887</v>
      </c>
      <c r="O100">
        <f t="shared" si="5"/>
        <v>1.0242409231078056</v>
      </c>
      <c r="P100">
        <f>$N$7*(a*N100-(a/b*N100^2))</f>
        <v>2.9070601829346288E-5</v>
      </c>
      <c r="Q100">
        <f>$N$7*(a*(N100+P100)-(a/b*(N100+P100)^2))</f>
        <v>2.5264033724692327E-5</v>
      </c>
      <c r="R100">
        <f>$N$7*d*N100</f>
        <v>1.6070204391582858E-2</v>
      </c>
      <c r="S100">
        <f>$N$7*d*(N100+R100)</f>
        <v>1.6345004886678925E-2</v>
      </c>
    </row>
    <row r="101" spans="13:19" x14ac:dyDescent="0.45">
      <c r="M101">
        <v>0.91</v>
      </c>
      <c r="N101">
        <f t="shared" si="4"/>
        <v>0.93980520191326566</v>
      </c>
      <c r="O101">
        <f t="shared" si="5"/>
        <v>1.0404485277469364</v>
      </c>
      <c r="P101">
        <f>$N$7*(a*N101-(a/b*N101^2))</f>
        <v>2.5513261101988149E-5</v>
      </c>
      <c r="Q101">
        <f>$N$7*(a*(N101+P101)-(a/b*(N101+P101)^2))</f>
        <v>2.2172318420441429E-5</v>
      </c>
      <c r="R101">
        <f>$N$7*d*N101</f>
        <v>1.6070668952716843E-2</v>
      </c>
      <c r="S101">
        <f>$N$7*d*(N101+R101)</f>
        <v>1.6345477391808302E-2</v>
      </c>
    </row>
    <row r="102" spans="13:19" x14ac:dyDescent="0.45">
      <c r="M102">
        <v>0.92</v>
      </c>
      <c r="N102">
        <f t="shared" si="4"/>
        <v>0.93982904470302686</v>
      </c>
      <c r="O102">
        <f t="shared" si="5"/>
        <v>1.0566566009191989</v>
      </c>
      <c r="P102">
        <f>$N$7*(a*N102-(a/b*N102^2))</f>
        <v>2.2391070958285298E-5</v>
      </c>
      <c r="Q102">
        <f>$N$7*(a*(N102+P102)-(a/b*(N102+P102)^2))</f>
        <v>1.9458837709915855E-5</v>
      </c>
      <c r="R102">
        <f>$N$7*d*N102</f>
        <v>1.6071076664421761E-2</v>
      </c>
      <c r="S102">
        <f>$N$7*d*(N102+R102)</f>
        <v>1.634589207538337E-2</v>
      </c>
    </row>
    <row r="103" spans="13:19" x14ac:dyDescent="0.45">
      <c r="M103">
        <v>0.93</v>
      </c>
      <c r="N103">
        <f t="shared" si="4"/>
        <v>0.93984996965736101</v>
      </c>
      <c r="O103">
        <f t="shared" si="5"/>
        <v>1.0728650852891015</v>
      </c>
      <c r="P103">
        <f>$N$7*(a*N103-(a/b*N103^2))</f>
        <v>1.9650837978666403E-5</v>
      </c>
      <c r="Q103">
        <f>$N$7*(a*(N103+P103)-(a/b*(N103+P103)^2))</f>
        <v>1.7077346126672665E-5</v>
      </c>
      <c r="R103">
        <f>$N$7*d*N103</f>
        <v>1.6071434481140873E-2</v>
      </c>
      <c r="S103">
        <f>$N$7*d*(N103+R103)</f>
        <v>1.6346256010768383E-2</v>
      </c>
    </row>
    <row r="104" spans="13:19" x14ac:dyDescent="0.45">
      <c r="M104">
        <v>0.94</v>
      </c>
      <c r="N104">
        <f t="shared" si="4"/>
        <v>0.9398683337494137</v>
      </c>
      <c r="O104">
        <f t="shared" si="5"/>
        <v>1.0890739305350561</v>
      </c>
      <c r="P104">
        <f>$N$7*(a*N104-(a/b*N104^2))</f>
        <v>1.7245862852117709E-5</v>
      </c>
      <c r="Q104">
        <f>$N$7*(a*(N104+P104)-(a/b*(N104+P104)^2))</f>
        <v>1.4987246266251475E-5</v>
      </c>
      <c r="R104">
        <f>$N$7*d*N104</f>
        <v>1.6071748507114975E-2</v>
      </c>
      <c r="S104">
        <f>$N$7*d*(N104+R104)</f>
        <v>1.6346575406586641E-2</v>
      </c>
    </row>
    <row r="105" spans="13:19" x14ac:dyDescent="0.45">
      <c r="M105">
        <v>0.95</v>
      </c>
      <c r="N105">
        <f t="shared" si="4"/>
        <v>0.93988445030397283</v>
      </c>
      <c r="O105">
        <f t="shared" si="5"/>
        <v>1.1052830924919068</v>
      </c>
      <c r="P105">
        <f>$N$7*(a*N105-(a/b*N105^2))</f>
        <v>1.5135149459428732E-5</v>
      </c>
      <c r="Q105">
        <f>$N$7*(a*(N105+P105)-(a/b*(N105+P105)^2))</f>
        <v>1.3152900405000168E-5</v>
      </c>
      <c r="R105">
        <f>$N$7*d*N105</f>
        <v>1.6072024100197937E-2</v>
      </c>
      <c r="S105">
        <f>$N$7*d*(N105+R105)</f>
        <v>1.6346855712311321E-2</v>
      </c>
    </row>
    <row r="106" spans="13:19" x14ac:dyDescent="0.45">
      <c r="M106">
        <v>0.96</v>
      </c>
      <c r="N106">
        <f t="shared" si="4"/>
        <v>0.93989859432890499</v>
      </c>
      <c r="O106">
        <f t="shared" si="5"/>
        <v>1.1214925323981615</v>
      </c>
      <c r="P106">
        <f>$N$7*(a*N106-(a/b*N106^2))</f>
        <v>1.3282709841710982E-5</v>
      </c>
      <c r="Q106">
        <f>$N$7*(a*(N106+P106)-(a/b*(N106+P106)^2))</f>
        <v>1.1543025689100262E-5</v>
      </c>
      <c r="R106">
        <f>$N$7*d*N106</f>
        <v>1.6072265963024277E-2</v>
      </c>
      <c r="S106">
        <f>$N$7*d*(N106+R106)</f>
        <v>1.634710171099199E-2</v>
      </c>
    </row>
    <row r="107" spans="13:19" x14ac:dyDescent="0.45">
      <c r="M107">
        <v>0.97</v>
      </c>
      <c r="N107">
        <f t="shared" si="4"/>
        <v>0.93991100719667042</v>
      </c>
      <c r="O107">
        <f t="shared" si="5"/>
        <v>1.1377022162351695</v>
      </c>
      <c r="P107">
        <f>$N$7*(a*N107-(a/b*N107^2))</f>
        <v>1.1656953530643223E-5</v>
      </c>
      <c r="Q107">
        <f>$N$7*(a*(N107+P107)-(a/b*(N107+P107)^2))</f>
        <v>1.0130162824477652E-5</v>
      </c>
      <c r="R107">
        <f>$N$7*d*N107</f>
        <v>1.6072478223063066E-2</v>
      </c>
      <c r="S107">
        <f>$N$7*d*(N107+R107)</f>
        <v>1.6347317600677442E-2</v>
      </c>
    </row>
    <row r="108" spans="13:19" x14ac:dyDescent="0.45">
      <c r="M108">
        <v>0.98</v>
      </c>
      <c r="N108">
        <f t="shared" si="4"/>
        <v>0.93992190075484794</v>
      </c>
      <c r="O108">
        <f t="shared" si="5"/>
        <v>1.1539121141470399</v>
      </c>
      <c r="P108">
        <f>$N$7*(a*N108-(a/b*N108^2))</f>
        <v>1.0230151079309025E-5</v>
      </c>
      <c r="Q108">
        <f>$N$7*(a*(N108+P108)-(a/b*(N108+P108)^2))</f>
        <v>8.8902093937193179E-6</v>
      </c>
      <c r="R108">
        <f>$N$7*d*N108</f>
        <v>1.60726645029079E-2</v>
      </c>
      <c r="S108">
        <f>$N$7*d*(N108+R108)</f>
        <v>1.6347507065907624E-2</v>
      </c>
    </row>
    <row r="109" spans="13:19" x14ac:dyDescent="0.45">
      <c r="M109">
        <v>0.99</v>
      </c>
      <c r="N109">
        <f t="shared" si="4"/>
        <v>0.93993146093508451</v>
      </c>
      <c r="O109">
        <f t="shared" si="5"/>
        <v>1.1701221999314477</v>
      </c>
      <c r="P109">
        <f>$N$7*(a*N109-(a/b*N109^2))</f>
        <v>8.9779628379105249E-6</v>
      </c>
      <c r="Q109">
        <f>$N$7*(a*(N109+P109)-(a/b*(N109+P109)^2))</f>
        <v>7.802009983048919E-6</v>
      </c>
      <c r="R109">
        <f>$N$7*d*N109</f>
        <v>1.6072827981989946E-2</v>
      </c>
      <c r="S109">
        <f>$N$7*d*(N109+R109)</f>
        <v>1.6347673340481973E-2</v>
      </c>
    </row>
    <row r="110" spans="13:19" x14ac:dyDescent="0.45">
      <c r="M110">
        <v>1</v>
      </c>
      <c r="N110">
        <f t="shared" si="4"/>
        <v>0.93993985092149501</v>
      </c>
      <c r="O110">
        <f t="shared" si="5"/>
        <v>1.1863324505926838</v>
      </c>
      <c r="P110">
        <f>$N$7*(a*N110-(a/b*N110^2))</f>
        <v>7.8790250858062912E-6</v>
      </c>
      <c r="Q110">
        <f>$N$7*(a*(N110+P110)-(a/b*(N110+P110)^2))</f>
        <v>6.8469962396378042E-6</v>
      </c>
      <c r="R110">
        <f>$N$7*d*N110</f>
        <v>1.6072971450757565E-2</v>
      </c>
      <c r="S110">
        <f>$N$7*d*(N110+R110)</f>
        <v>1.6347819262565521E-2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7CD03-02D3-4BA9-85D7-8020E8E3BF1E}">
  <sheetPr codeName="Sheet3"/>
  <dimension ref="A1:F103"/>
  <sheetViews>
    <sheetView tabSelected="1" topLeftCell="A82" workbookViewId="0">
      <selection activeCell="F100" sqref="F100"/>
    </sheetView>
  </sheetViews>
  <sheetFormatPr defaultRowHeight="14.25" x14ac:dyDescent="0.45"/>
  <sheetData>
    <row r="1" spans="1:6" x14ac:dyDescent="0.45">
      <c r="A1">
        <v>2</v>
      </c>
      <c r="B1" t="s">
        <v>16</v>
      </c>
      <c r="C1">
        <v>0.01</v>
      </c>
      <c r="D1" t="s">
        <v>11</v>
      </c>
      <c r="E1">
        <v>1</v>
      </c>
      <c r="F1" t="s">
        <v>17</v>
      </c>
    </row>
    <row r="2" spans="1:6" x14ac:dyDescent="0.45">
      <c r="A2" t="s">
        <v>18</v>
      </c>
      <c r="B2" t="s">
        <v>6</v>
      </c>
      <c r="C2" t="s">
        <v>7</v>
      </c>
    </row>
    <row r="3" spans="1:6" x14ac:dyDescent="0.45">
      <c r="A3">
        <v>0</v>
      </c>
      <c r="B3">
        <v>0.03</v>
      </c>
      <c r="C3">
        <v>0</v>
      </c>
    </row>
    <row r="4" spans="1:6" x14ac:dyDescent="0.45">
      <c r="A4">
        <v>0.01</v>
      </c>
      <c r="B4">
        <v>3.3804574468085102E-2</v>
      </c>
      <c r="C4">
        <v>5.13E-4</v>
      </c>
    </row>
    <row r="5" spans="1:6" x14ac:dyDescent="0.45">
      <c r="A5">
        <v>0.02</v>
      </c>
      <c r="B5">
        <v>3.8073718242126749E-2</v>
      </c>
      <c r="C5">
        <v>1.0910582234042552E-3</v>
      </c>
    </row>
    <row r="6" spans="1:6" x14ac:dyDescent="0.45">
      <c r="A6">
        <v>0.03</v>
      </c>
      <c r="B6">
        <v>4.2859355490651424E-2</v>
      </c>
      <c r="C6">
        <v>1.7421188053446226E-3</v>
      </c>
    </row>
    <row r="7" spans="1:6" x14ac:dyDescent="0.45">
      <c r="A7">
        <v>0.04</v>
      </c>
      <c r="B7">
        <v>4.8217934155402611E-2</v>
      </c>
      <c r="C7">
        <v>2.4750137842347616E-3</v>
      </c>
    </row>
    <row r="8" spans="1:6" x14ac:dyDescent="0.45">
      <c r="A8">
        <v>0.05</v>
      </c>
      <c r="B8">
        <v>5.4210471868247449E-2</v>
      </c>
      <c r="C8">
        <v>3.2995404582921461E-3</v>
      </c>
    </row>
    <row r="9" spans="1:6" x14ac:dyDescent="0.45">
      <c r="A9">
        <v>6.0000000000000005E-2</v>
      </c>
      <c r="B9">
        <v>6.0902490960558796E-2</v>
      </c>
      <c r="C9">
        <v>4.2265395272391773E-3</v>
      </c>
    </row>
    <row r="10" spans="1:6" x14ac:dyDescent="0.45">
      <c r="A10">
        <v>7.0000000000000007E-2</v>
      </c>
      <c r="B10">
        <v>6.8363808918858682E-2</v>
      </c>
      <c r="C10">
        <v>5.2679721226647326E-3</v>
      </c>
    </row>
    <row r="11" spans="1:6" x14ac:dyDescent="0.45">
      <c r="A11">
        <v>0.08</v>
      </c>
      <c r="B11">
        <v>7.6668145590999229E-2</v>
      </c>
      <c r="C11">
        <v>6.4369932551772164E-3</v>
      </c>
    </row>
    <row r="12" spans="1:6" x14ac:dyDescent="0.45">
      <c r="A12">
        <v>0.09</v>
      </c>
      <c r="B12">
        <v>8.5892503944446183E-2</v>
      </c>
      <c r="C12">
        <v>7.7480185447833033E-3</v>
      </c>
    </row>
    <row r="13" spans="1:6" x14ac:dyDescent="0.45">
      <c r="A13">
        <v>9.9999999999999992E-2</v>
      </c>
      <c r="B13">
        <v>9.6116277905175102E-2</v>
      </c>
      <c r="C13">
        <v>9.2167803622333327E-3</v>
      </c>
    </row>
    <row r="14" spans="1:6" x14ac:dyDescent="0.45">
      <c r="A14">
        <v>0.10999999999999999</v>
      </c>
      <c r="B14">
        <v>0.10742003967983477</v>
      </c>
      <c r="C14">
        <v>1.0860368714411827E-2</v>
      </c>
    </row>
    <row r="15" spans="1:6" x14ac:dyDescent="0.45">
      <c r="A15">
        <v>0.11999999999999998</v>
      </c>
      <c r="B15">
        <v>0.11988396114900901</v>
      </c>
      <c r="C15">
        <v>1.2697251392937002E-2</v>
      </c>
    </row>
    <row r="16" spans="1:6" x14ac:dyDescent="0.45">
      <c r="A16">
        <v>0.12999999999999998</v>
      </c>
      <c r="B16">
        <v>0.13358583080161238</v>
      </c>
      <c r="C16">
        <v>1.4747267128585055E-2</v>
      </c>
    </row>
    <row r="17" spans="1:3" x14ac:dyDescent="0.45">
      <c r="A17">
        <v>0.13999999999999999</v>
      </c>
      <c r="B17">
        <v>0.14859864078660726</v>
      </c>
      <c r="C17">
        <v>1.7031584835292626E-2</v>
      </c>
    </row>
    <row r="18" spans="1:3" x14ac:dyDescent="0.45">
      <c r="A18">
        <v>0.15</v>
      </c>
      <c r="B18">
        <v>0.16498773949378562</v>
      </c>
      <c r="C18">
        <v>1.957262159274361E-2</v>
      </c>
    </row>
    <row r="19" spans="1:3" x14ac:dyDescent="0.45">
      <c r="A19">
        <v>0.16</v>
      </c>
      <c r="B19">
        <v>0.18280757485895208</v>
      </c>
      <c r="C19">
        <v>2.2393911938087343E-2</v>
      </c>
    </row>
    <row r="20" spans="1:3" x14ac:dyDescent="0.45">
      <c r="A20">
        <v>0.17</v>
      </c>
      <c r="B20">
        <v>0.20209809287315428</v>
      </c>
      <c r="C20">
        <v>2.5519921468175423E-2</v>
      </c>
    </row>
    <row r="21" spans="1:3" x14ac:dyDescent="0.45">
      <c r="A21">
        <v>0.18000000000000002</v>
      </c>
      <c r="B21">
        <v>0.22288090396748583</v>
      </c>
      <c r="C21">
        <v>2.897579885630636E-2</v>
      </c>
    </row>
    <row r="22" spans="1:3" x14ac:dyDescent="0.45">
      <c r="A22">
        <v>0.19000000000000003</v>
      </c>
      <c r="B22">
        <v>0.24515538477734281</v>
      </c>
      <c r="C22">
        <v>3.2787062314150364E-2</v>
      </c>
    </row>
    <row r="23" spans="1:3" x14ac:dyDescent="0.45">
      <c r="A23">
        <v>0.20000000000000004</v>
      </c>
      <c r="B23">
        <v>0.26889493985149615</v>
      </c>
      <c r="C23">
        <v>3.6979219393842924E-2</v>
      </c>
    </row>
    <row r="24" spans="1:3" x14ac:dyDescent="0.45">
      <c r="A24">
        <v>0.21000000000000005</v>
      </c>
      <c r="B24">
        <v>0.29404370035844224</v>
      </c>
      <c r="C24">
        <v>4.1577322865303509E-2</v>
      </c>
    </row>
    <row r="25" spans="1:3" x14ac:dyDescent="0.45">
      <c r="A25">
        <v>0.22000000000000006</v>
      </c>
      <c r="B25">
        <v>0.32051397574222412</v>
      </c>
      <c r="C25">
        <v>4.6605470141432868E-2</v>
      </c>
    </row>
    <row r="26" spans="1:3" x14ac:dyDescent="0.45">
      <c r="A26">
        <v>0.23000000000000007</v>
      </c>
      <c r="B26">
        <v>0.34818478918930929</v>
      </c>
      <c r="C26">
        <v>5.2086259126624901E-2</v>
      </c>
    </row>
    <row r="27" spans="1:3" x14ac:dyDescent="0.45">
      <c r="A27">
        <v>0.24000000000000007</v>
      </c>
      <c r="B27">
        <v>0.37690180847482446</v>
      </c>
      <c r="C27">
        <v>5.8040219021762089E-2</v>
      </c>
    </row>
    <row r="28" spans="1:3" x14ac:dyDescent="0.45">
      <c r="A28">
        <v>0.25000000000000006</v>
      </c>
      <c r="B28">
        <v>0.40647892251977252</v>
      </c>
      <c r="C28">
        <v>6.4485239946681594E-2</v>
      </c>
    </row>
    <row r="29" spans="1:3" x14ac:dyDescent="0.45">
      <c r="A29">
        <v>0.26000000000000006</v>
      </c>
      <c r="B29">
        <v>0.43670160818547826</v>
      </c>
      <c r="C29">
        <v>7.1436029521769709E-2</v>
      </c>
    </row>
    <row r="30" spans="1:3" x14ac:dyDescent="0.45">
      <c r="A30">
        <v>0.27000000000000007</v>
      </c>
      <c r="B30">
        <v>0.4673320863136019</v>
      </c>
      <c r="C30">
        <v>7.890362702174139E-2</v>
      </c>
    </row>
    <row r="31" spans="1:3" x14ac:dyDescent="0.45">
      <c r="A31">
        <v>0.28000000000000008</v>
      </c>
      <c r="B31">
        <v>0.49811609436997384</v>
      </c>
      <c r="C31">
        <v>8.6895005697703989E-2</v>
      </c>
    </row>
    <row r="32" spans="1:3" x14ac:dyDescent="0.45">
      <c r="A32">
        <v>0.29000000000000009</v>
      </c>
      <c r="B32">
        <v>0.52879092688709795</v>
      </c>
      <c r="C32">
        <v>9.5412790911430539E-2</v>
      </c>
    </row>
    <row r="33" spans="1:3" x14ac:dyDescent="0.45">
      <c r="A33">
        <v>0.3000000000000001</v>
      </c>
      <c r="B33">
        <v>0.55909424085088943</v>
      </c>
      <c r="C33">
        <v>0.10445511576119991</v>
      </c>
    </row>
    <row r="34" spans="1:3" x14ac:dyDescent="0.45">
      <c r="A34">
        <v>0.31000000000000011</v>
      </c>
      <c r="B34">
        <v>0.58877301779597846</v>
      </c>
      <c r="C34">
        <v>0.11401562727975012</v>
      </c>
    </row>
    <row r="35" spans="1:3" x14ac:dyDescent="0.45">
      <c r="A35">
        <v>0.32000000000000012</v>
      </c>
      <c r="B35">
        <v>0.61759203811716601</v>
      </c>
      <c r="C35">
        <v>0.12408364588406134</v>
      </c>
    </row>
    <row r="36" spans="1:3" x14ac:dyDescent="0.45">
      <c r="A36">
        <v>0.33000000000000013</v>
      </c>
      <c r="B36">
        <v>0.64534126506105871</v>
      </c>
      <c r="C36">
        <v>0.13464446973586489</v>
      </c>
    </row>
    <row r="37" spans="1:3" x14ac:dyDescent="0.45">
      <c r="A37">
        <v>0.34000000000000014</v>
      </c>
      <c r="B37">
        <v>0.67184165095515358</v>
      </c>
      <c r="C37">
        <v>0.14567980536840899</v>
      </c>
    </row>
    <row r="38" spans="1:3" x14ac:dyDescent="0.45">
      <c r="A38">
        <v>0.35000000000000014</v>
      </c>
      <c r="B38">
        <v>0.69694904795526047</v>
      </c>
      <c r="C38">
        <v>0.15716829759974213</v>
      </c>
    </row>
    <row r="39" spans="1:3" x14ac:dyDescent="0.45">
      <c r="A39">
        <v>0.36000000000000015</v>
      </c>
      <c r="B39">
        <v>0.72055610219123734</v>
      </c>
      <c r="C39">
        <v>0.16908612631977707</v>
      </c>
    </row>
    <row r="40" spans="1:3" x14ac:dyDescent="0.45">
      <c r="A40">
        <v>0.37000000000000016</v>
      </c>
      <c r="B40">
        <v>0.74259220303673756</v>
      </c>
      <c r="C40">
        <v>0.18140763566724724</v>
      </c>
    </row>
    <row r="41" spans="1:3" x14ac:dyDescent="0.45">
      <c r="A41">
        <v>0.38000000000000017</v>
      </c>
      <c r="B41">
        <v>0.76302172144153402</v>
      </c>
      <c r="C41">
        <v>0.19410596233917546</v>
      </c>
    </row>
    <row r="42" spans="1:3" x14ac:dyDescent="0.45">
      <c r="A42">
        <v>0.39000000000000018</v>
      </c>
      <c r="B42">
        <v>0.78184088470750279</v>
      </c>
      <c r="C42">
        <v>0.20715363377582569</v>
      </c>
    </row>
    <row r="43" spans="1:3" x14ac:dyDescent="0.45">
      <c r="A43">
        <v>0.40000000000000019</v>
      </c>
      <c r="B43">
        <v>0.79907369258394356</v>
      </c>
      <c r="C43">
        <v>0.22052311290432397</v>
      </c>
    </row>
    <row r="44" spans="1:3" x14ac:dyDescent="0.45">
      <c r="A44">
        <v>0.4100000000000002</v>
      </c>
      <c r="B44">
        <v>0.8147672842171787</v>
      </c>
      <c r="C44">
        <v>0.23418727304750941</v>
      </c>
    </row>
    <row r="45" spans="1:3" x14ac:dyDescent="0.45">
      <c r="A45">
        <v>0.42000000000000021</v>
      </c>
      <c r="B45">
        <v>0.82898712792472118</v>
      </c>
      <c r="C45">
        <v>0.24811979360762318</v>
      </c>
    </row>
    <row r="46" spans="1:3" x14ac:dyDescent="0.45">
      <c r="A46">
        <v>0.43000000000000022</v>
      </c>
      <c r="B46">
        <v>0.84181234037147767</v>
      </c>
      <c r="C46">
        <v>0.26229547349513593</v>
      </c>
    </row>
    <row r="47" spans="1:3" x14ac:dyDescent="0.45">
      <c r="A47">
        <v>0.44000000000000022</v>
      </c>
      <c r="B47">
        <v>0.85333136318501002</v>
      </c>
      <c r="C47">
        <v>0.27669046451548818</v>
      </c>
    </row>
    <row r="48" spans="1:3" x14ac:dyDescent="0.45">
      <c r="A48">
        <v>0.45000000000000023</v>
      </c>
      <c r="B48">
        <v>0.86363814578695952</v>
      </c>
      <c r="C48">
        <v>0.29128243082595184</v>
      </c>
    </row>
    <row r="49" spans="1:3" x14ac:dyDescent="0.45">
      <c r="A49">
        <v>0.46000000000000024</v>
      </c>
      <c r="B49">
        <v>0.87282891209947433</v>
      </c>
      <c r="C49">
        <v>0.30605064311890884</v>
      </c>
    </row>
    <row r="50" spans="1:3" x14ac:dyDescent="0.45">
      <c r="A50">
        <v>0.47000000000000025</v>
      </c>
      <c r="B50">
        <v>0.88099953087878791</v>
      </c>
      <c r="C50">
        <v>0.32097601751580984</v>
      </c>
    </row>
    <row r="51" spans="1:3" x14ac:dyDescent="0.45">
      <c r="A51">
        <v>0.48000000000000026</v>
      </c>
      <c r="B51">
        <v>0.88824346653398101</v>
      </c>
      <c r="C51">
        <v>0.33604110949383709</v>
      </c>
    </row>
    <row r="52" spans="1:3" x14ac:dyDescent="0.45">
      <c r="A52">
        <v>0.49000000000000027</v>
      </c>
      <c r="B52">
        <v>0.89465025882537963</v>
      </c>
      <c r="C52">
        <v>0.35123007277156815</v>
      </c>
    </row>
    <row r="53" spans="1:3" x14ac:dyDescent="0.45">
      <c r="A53">
        <v>0.50000000000000022</v>
      </c>
      <c r="B53">
        <v>0.90030446377859186</v>
      </c>
      <c r="C53">
        <v>0.36652859219748213</v>
      </c>
    </row>
    <row r="54" spans="1:3" x14ac:dyDescent="0.45">
      <c r="A54">
        <v>0.51000000000000023</v>
      </c>
      <c r="B54">
        <v>0.90528498182884787</v>
      </c>
      <c r="C54">
        <v>0.38192379852809605</v>
      </c>
    </row>
    <row r="55" spans="1:3" x14ac:dyDescent="0.45">
      <c r="A55">
        <v>0.52000000000000024</v>
      </c>
      <c r="B55">
        <v>0.9096646998946436</v>
      </c>
      <c r="C55">
        <v>0.39740417171736936</v>
      </c>
    </row>
    <row r="56" spans="1:3" x14ac:dyDescent="0.45">
      <c r="A56">
        <v>0.53000000000000025</v>
      </c>
      <c r="B56">
        <v>0.9135103793290249</v>
      </c>
      <c r="C56">
        <v>0.41295943808556779</v>
      </c>
    </row>
    <row r="57" spans="1:3" x14ac:dyDescent="0.45">
      <c r="A57">
        <v>0.54000000000000026</v>
      </c>
      <c r="B57">
        <v>0.91688272953008088</v>
      </c>
      <c r="C57">
        <v>0.42858046557209412</v>
      </c>
    </row>
    <row r="58" spans="1:3" x14ac:dyDescent="0.45">
      <c r="A58">
        <v>0.55000000000000027</v>
      </c>
      <c r="B58">
        <v>0.91983661592609633</v>
      </c>
      <c r="C58">
        <v>0.44425916024705847</v>
      </c>
    </row>
    <row r="59" spans="1:3" x14ac:dyDescent="0.45">
      <c r="A59">
        <v>0.56000000000000028</v>
      </c>
      <c r="B59">
        <v>0.92242136005945019</v>
      </c>
      <c r="C59">
        <v>0.45998836637939472</v>
      </c>
    </row>
    <row r="60" spans="1:3" x14ac:dyDescent="0.45">
      <c r="A60">
        <v>0.57000000000000028</v>
      </c>
      <c r="B60">
        <v>0.92468109792968045</v>
      </c>
      <c r="C60">
        <v>0.47576177163641131</v>
      </c>
    </row>
    <row r="61" spans="1:3" x14ac:dyDescent="0.45">
      <c r="A61">
        <v>0.58000000000000029</v>
      </c>
      <c r="B61">
        <v>0.92665517026297328</v>
      </c>
      <c r="C61">
        <v>0.49157381841100883</v>
      </c>
    </row>
    <row r="62" spans="1:3" x14ac:dyDescent="0.45">
      <c r="A62">
        <v>0.5900000000000003</v>
      </c>
      <c r="B62">
        <v>0.92837852480216942</v>
      </c>
      <c r="C62">
        <v>0.50741962182250566</v>
      </c>
    </row>
    <row r="63" spans="1:3" x14ac:dyDescent="0.45">
      <c r="A63">
        <v>0.60000000000000031</v>
      </c>
      <c r="B63">
        <v>0.92988211604474869</v>
      </c>
      <c r="C63">
        <v>0.52329489459662271</v>
      </c>
    </row>
    <row r="64" spans="1:3" x14ac:dyDescent="0.45">
      <c r="A64">
        <v>0.61000000000000032</v>
      </c>
      <c r="B64">
        <v>0.93119329216584312</v>
      </c>
      <c r="C64">
        <v>0.53919587878098796</v>
      </c>
    </row>
    <row r="65" spans="1:3" x14ac:dyDescent="0.45">
      <c r="A65">
        <v>0.62000000000000033</v>
      </c>
      <c r="B65">
        <v>0.93233616226288707</v>
      </c>
      <c r="C65">
        <v>0.55511928407702382</v>
      </c>
    </row>
    <row r="66" spans="1:3" x14ac:dyDescent="0.45">
      <c r="A66">
        <v>0.63000000000000034</v>
      </c>
      <c r="B66">
        <v>0.93333193967925654</v>
      </c>
      <c r="C66">
        <v>0.57106223245171917</v>
      </c>
    </row>
    <row r="67" spans="1:3" x14ac:dyDescent="0.45">
      <c r="A67">
        <v>0.64000000000000035</v>
      </c>
      <c r="B67">
        <v>0.93419925913794866</v>
      </c>
      <c r="C67">
        <v>0.58702220862023446</v>
      </c>
    </row>
    <row r="68" spans="1:3" x14ac:dyDescent="0.45">
      <c r="A68">
        <v>0.65000000000000036</v>
      </c>
      <c r="B68">
        <v>0.9349544668654669</v>
      </c>
      <c r="C68">
        <v>0.60299701595149335</v>
      </c>
    </row>
    <row r="69" spans="1:3" x14ac:dyDescent="0.45">
      <c r="A69">
        <v>0.66000000000000036</v>
      </c>
      <c r="B69">
        <v>0.93561188391885231</v>
      </c>
      <c r="C69">
        <v>0.61898473733489279</v>
      </c>
    </row>
    <row r="70" spans="1:3" x14ac:dyDescent="0.45">
      <c r="A70">
        <v>0.67000000000000037</v>
      </c>
      <c r="B70">
        <v>0.93618404363748353</v>
      </c>
      <c r="C70">
        <v>0.63498370054990516</v>
      </c>
    </row>
    <row r="71" spans="1:3" x14ac:dyDescent="0.45">
      <c r="A71">
        <v>0.68000000000000038</v>
      </c>
      <c r="B71">
        <v>0.93668190460234779</v>
      </c>
      <c r="C71">
        <v>0.65099244769610609</v>
      </c>
    </row>
    <row r="72" spans="1:3" x14ac:dyDescent="0.45">
      <c r="A72">
        <v>0.69000000000000039</v>
      </c>
      <c r="B72">
        <v>0.9371150407609552</v>
      </c>
      <c r="C72">
        <v>0.66700970826480621</v>
      </c>
    </row>
    <row r="73" spans="1:3" x14ac:dyDescent="0.45">
      <c r="A73">
        <v>0.7000000000000004</v>
      </c>
      <c r="B73">
        <v>0.93749181051524322</v>
      </c>
      <c r="C73">
        <v>0.68303437546181855</v>
      </c>
    </row>
    <row r="74" spans="1:3" x14ac:dyDescent="0.45">
      <c r="A74">
        <v>0.71000000000000041</v>
      </c>
      <c r="B74">
        <v>0.93781950661125868</v>
      </c>
      <c r="C74">
        <v>0.69906548542162916</v>
      </c>
    </row>
    <row r="75" spans="1:3" x14ac:dyDescent="0.45">
      <c r="A75">
        <v>0.72000000000000042</v>
      </c>
      <c r="B75">
        <v>0.93810448864280527</v>
      </c>
      <c r="C75">
        <v>0.71510219898468164</v>
      </c>
    </row>
    <row r="76" spans="1:3" x14ac:dyDescent="0.45">
      <c r="A76">
        <v>0.73000000000000043</v>
      </c>
      <c r="B76">
        <v>0.93835229990911584</v>
      </c>
      <c r="C76">
        <v>0.73114378574047356</v>
      </c>
    </row>
    <row r="77" spans="1:3" x14ac:dyDescent="0.45">
      <c r="A77">
        <v>0.74000000000000044</v>
      </c>
      <c r="B77">
        <v>0.93856777026576399</v>
      </c>
      <c r="C77">
        <v>0.74718961006891949</v>
      </c>
    </row>
    <row r="78" spans="1:3" x14ac:dyDescent="0.45">
      <c r="A78">
        <v>0.75000000000000044</v>
      </c>
      <c r="B78">
        <v>0.93875510649079619</v>
      </c>
      <c r="C78">
        <v>0.76323911894046403</v>
      </c>
    </row>
    <row r="79" spans="1:3" x14ac:dyDescent="0.45">
      <c r="A79">
        <v>0.76000000000000045</v>
      </c>
      <c r="B79">
        <v>0.93891797156333145</v>
      </c>
      <c r="C79">
        <v>0.77929183126145662</v>
      </c>
    </row>
    <row r="80" spans="1:3" x14ac:dyDescent="0.45">
      <c r="A80">
        <v>0.77000000000000046</v>
      </c>
      <c r="B80">
        <v>0.93905955412586961</v>
      </c>
      <c r="C80">
        <v>0.79534732857518964</v>
      </c>
    </row>
    <row r="81" spans="1:3" x14ac:dyDescent="0.45">
      <c r="A81">
        <v>0.78000000000000047</v>
      </c>
      <c r="B81">
        <v>0.93918262927853391</v>
      </c>
      <c r="C81">
        <v>0.81140524695074201</v>
      </c>
    </row>
    <row r="82" spans="1:3" x14ac:dyDescent="0.45">
      <c r="A82">
        <v>0.79000000000000048</v>
      </c>
      <c r="B82">
        <v>0.93928961173620396</v>
      </c>
      <c r="C82">
        <v>0.8274652699114049</v>
      </c>
    </row>
    <row r="83" spans="1:3" x14ac:dyDescent="0.45">
      <c r="A83">
        <v>0.80000000000000049</v>
      </c>
      <c r="B83">
        <v>0.9393826022696713</v>
      </c>
      <c r="C83">
        <v>0.84352712227209403</v>
      </c>
    </row>
    <row r="84" spans="1:3" x14ac:dyDescent="0.45">
      <c r="A84">
        <v>0.8100000000000005</v>
      </c>
      <c r="B84">
        <v>0.9394634282504567</v>
      </c>
      <c r="C84">
        <v>0.85959056477090545</v>
      </c>
    </row>
    <row r="85" spans="1:3" x14ac:dyDescent="0.45">
      <c r="A85">
        <v>0.82000000000000051</v>
      </c>
      <c r="B85">
        <v>0.93953367902612483</v>
      </c>
      <c r="C85">
        <v>0.87565538939398824</v>
      </c>
    </row>
    <row r="86" spans="1:3" x14ac:dyDescent="0.45">
      <c r="A86">
        <v>0.83000000000000052</v>
      </c>
      <c r="B86">
        <v>0.93959473676876859</v>
      </c>
      <c r="C86">
        <v>0.891721415305335</v>
      </c>
    </row>
    <row r="87" spans="1:3" x14ac:dyDescent="0.45">
      <c r="A87">
        <v>0.84000000000000052</v>
      </c>
      <c r="B87">
        <v>0.93964780336353271</v>
      </c>
      <c r="C87">
        <v>0.90778848530408096</v>
      </c>
    </row>
    <row r="88" spans="1:3" x14ac:dyDescent="0.45">
      <c r="A88">
        <v>0.85000000000000053</v>
      </c>
      <c r="B88">
        <v>0.93969392383614003</v>
      </c>
      <c r="C88">
        <v>0.92385646274159738</v>
      </c>
    </row>
    <row r="89" spans="1:3" x14ac:dyDescent="0.45">
      <c r="A89">
        <v>0.86000000000000054</v>
      </c>
      <c r="B89">
        <v>0.93973400675783658</v>
      </c>
      <c r="C89">
        <v>0.93992522883919538</v>
      </c>
    </row>
    <row r="90" spans="1:3" x14ac:dyDescent="0.45">
      <c r="A90">
        <v>0.87000000000000055</v>
      </c>
      <c r="B90">
        <v>0.93976884201238442</v>
      </c>
      <c r="C90">
        <v>0.95599468035475443</v>
      </c>
    </row>
    <row r="91" spans="1:3" x14ac:dyDescent="0.45">
      <c r="A91">
        <v>0.88000000000000056</v>
      </c>
      <c r="B91">
        <v>0.93979911626210677</v>
      </c>
      <c r="C91">
        <v>0.9720647275531662</v>
      </c>
    </row>
    <row r="92" spans="1:3" x14ac:dyDescent="0.45">
      <c r="A92">
        <v>0.89000000000000057</v>
      </c>
      <c r="B92">
        <v>0.93982542640793021</v>
      </c>
      <c r="C92">
        <v>0.9881352924412482</v>
      </c>
    </row>
    <row r="93" spans="1:3" x14ac:dyDescent="0.45">
      <c r="A93">
        <v>0.90000000000000058</v>
      </c>
      <c r="B93">
        <v>0.93984829130131264</v>
      </c>
      <c r="C93">
        <v>1.0042063072328238</v>
      </c>
    </row>
    <row r="94" spans="1:3" x14ac:dyDescent="0.45">
      <c r="A94">
        <v>0.91000000000000059</v>
      </c>
      <c r="B94">
        <v>0.93986816193335732</v>
      </c>
      <c r="C94">
        <v>1.0202777130140763</v>
      </c>
    </row>
    <row r="95" spans="1:3" x14ac:dyDescent="0.45">
      <c r="A95">
        <v>0.9200000000000006</v>
      </c>
      <c r="B95">
        <v>0.93988543029780336</v>
      </c>
      <c r="C95">
        <v>1.0363494585831368</v>
      </c>
    </row>
    <row r="96" spans="1:3" x14ac:dyDescent="0.45">
      <c r="A96">
        <v>0.9300000000000006</v>
      </c>
      <c r="B96">
        <v>0.93990043709949922</v>
      </c>
      <c r="C96">
        <v>1.0524214994412291</v>
      </c>
    </row>
    <row r="97" spans="1:3" x14ac:dyDescent="0.45">
      <c r="A97">
        <v>0.94000000000000061</v>
      </c>
      <c r="B97">
        <v>0.93991347845800421</v>
      </c>
      <c r="C97">
        <v>1.0684937969156305</v>
      </c>
    </row>
    <row r="98" spans="1:3" x14ac:dyDescent="0.45">
      <c r="A98">
        <v>0.95000000000000062</v>
      </c>
      <c r="B98">
        <v>0.93992481173674713</v>
      </c>
      <c r="C98">
        <v>1.0845663173972624</v>
      </c>
    </row>
    <row r="99" spans="1:3" x14ac:dyDescent="0.45">
      <c r="A99">
        <v>0.96000000000000063</v>
      </c>
      <c r="B99">
        <v>0.9399346606113832</v>
      </c>
      <c r="C99">
        <v>1.1006390316779608</v>
      </c>
    </row>
    <row r="100" spans="1:3" x14ac:dyDescent="0.45">
      <c r="A100">
        <v>0.97000000000000064</v>
      </c>
      <c r="B100">
        <v>0.93994321947632398</v>
      </c>
      <c r="C100">
        <v>1.1167119143744155</v>
      </c>
    </row>
    <row r="101" spans="1:3" x14ac:dyDescent="0.45">
      <c r="A101">
        <v>0.98000000000000065</v>
      </c>
      <c r="B101">
        <v>0.93995065727561955</v>
      </c>
      <c r="C101">
        <v>1.1327849434274606</v>
      </c>
    </row>
    <row r="102" spans="1:3" x14ac:dyDescent="0.45">
      <c r="A102">
        <v>0.99000000000000066</v>
      </c>
      <c r="B102">
        <v>0.93995712083320881</v>
      </c>
      <c r="C102">
        <v>1.1488580996668738</v>
      </c>
    </row>
    <row r="103" spans="1:3" x14ac:dyDescent="0.45">
      <c r="A103">
        <v>1.0000000000000007</v>
      </c>
      <c r="B103">
        <v>0.93996273774782479</v>
      </c>
      <c r="C103">
        <v>1.1649313664331216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1828D-393B-491D-8406-172AD91B476F}">
  <sheetPr codeName="Sheet4"/>
  <dimension ref="A1:F103"/>
  <sheetViews>
    <sheetView topLeftCell="A80" workbookViewId="0">
      <selection activeCell="H101" sqref="H101"/>
    </sheetView>
  </sheetViews>
  <sheetFormatPr defaultRowHeight="14.25" x14ac:dyDescent="0.45"/>
  <sheetData>
    <row r="1" spans="1:6" x14ac:dyDescent="0.45">
      <c r="A1">
        <v>2</v>
      </c>
      <c r="B1" t="s">
        <v>16</v>
      </c>
      <c r="C1">
        <v>0.01</v>
      </c>
      <c r="D1" t="s">
        <v>11</v>
      </c>
      <c r="E1">
        <v>1</v>
      </c>
      <c r="F1" t="s">
        <v>17</v>
      </c>
    </row>
    <row r="2" spans="1:6" x14ac:dyDescent="0.45">
      <c r="A2" t="s">
        <v>18</v>
      </c>
      <c r="B2" t="s">
        <v>6</v>
      </c>
      <c r="C2" t="s">
        <v>7</v>
      </c>
    </row>
    <row r="3" spans="1:6" x14ac:dyDescent="0.45">
      <c r="A3">
        <v>0</v>
      </c>
      <c r="B3">
        <v>0.03</v>
      </c>
      <c r="C3">
        <v>0</v>
      </c>
    </row>
    <row r="4" spans="1:6" x14ac:dyDescent="0.45">
      <c r="A4">
        <v>0.01</v>
      </c>
      <c r="B4">
        <v>3.2025052714318242E-2</v>
      </c>
      <c r="C4">
        <v>5.1738614999999994E-4</v>
      </c>
    </row>
    <row r="5" spans="1:6" x14ac:dyDescent="0.45">
      <c r="A5">
        <v>0.02</v>
      </c>
      <c r="B5">
        <v>3.418162151878483E-2</v>
      </c>
      <c r="C5">
        <v>1.0696967742469387E-3</v>
      </c>
    </row>
    <row r="6" spans="1:6" x14ac:dyDescent="0.45">
      <c r="A6">
        <v>0.03</v>
      </c>
      <c r="B6">
        <v>3.6477528315655705E-2</v>
      </c>
      <c r="C6">
        <v>1.6592000261923133E-3</v>
      </c>
    </row>
    <row r="7" spans="1:6" x14ac:dyDescent="0.45">
      <c r="A7">
        <v>0.04</v>
      </c>
      <c r="B7">
        <v>3.8920960593524186E-2</v>
      </c>
      <c r="C7">
        <v>2.2882989574174164E-3</v>
      </c>
    </row>
    <row r="8" spans="1:6" x14ac:dyDescent="0.45">
      <c r="A8">
        <v>0.05</v>
      </c>
      <c r="B8">
        <v>4.1520474356712023E-2</v>
      </c>
      <c r="C8">
        <v>2.9595378226102563E-3</v>
      </c>
    </row>
    <row r="9" spans="1:6" x14ac:dyDescent="0.45">
      <c r="A9">
        <v>6.0000000000000005E-2</v>
      </c>
      <c r="B9">
        <v>4.428499471091845E-2</v>
      </c>
      <c r="C9">
        <v>3.675608435063355E-3</v>
      </c>
    </row>
    <row r="10" spans="1:6" x14ac:dyDescent="0.45">
      <c r="A10">
        <v>7.0000000000000007E-2</v>
      </c>
      <c r="B10">
        <v>4.7223813712573053E-2</v>
      </c>
      <c r="C10">
        <v>4.4393565322717703E-3</v>
      </c>
    </row>
    <row r="11" spans="1:6" x14ac:dyDescent="0.45">
      <c r="A11">
        <v>0.08</v>
      </c>
      <c r="B11">
        <v>5.0346585053968482E-2</v>
      </c>
      <c r="C11">
        <v>5.2537881044406164E-3</v>
      </c>
    </row>
    <row r="12" spans="1:6" x14ac:dyDescent="0.45">
      <c r="A12">
        <v>0.09</v>
      </c>
      <c r="B12">
        <v>5.3663315121251609E-2</v>
      </c>
      <c r="C12">
        <v>6.1220756313312931E-3</v>
      </c>
    </row>
    <row r="13" spans="1:6" x14ac:dyDescent="0.45">
      <c r="A13">
        <v>9.9999999999999992E-2</v>
      </c>
      <c r="B13">
        <v>5.7184349928649333E-2</v>
      </c>
      <c r="C13">
        <v>7.0475641648919986E-3</v>
      </c>
    </row>
    <row r="14" spans="1:6" x14ac:dyDescent="0.45">
      <c r="A14">
        <v>0.10999999999999999</v>
      </c>
      <c r="B14">
        <v>6.0920357401027657E-2</v>
      </c>
      <c r="C14">
        <v>8.0337771865532197E-3</v>
      </c>
    </row>
    <row r="15" spans="1:6" x14ac:dyDescent="0.45">
      <c r="A15">
        <v>0.11999999999999998</v>
      </c>
      <c r="B15">
        <v>6.4882304449391387E-2</v>
      </c>
      <c r="C15">
        <v>9.0844221589646106E-3</v>
      </c>
    </row>
    <row r="16" spans="1:6" x14ac:dyDescent="0.45">
      <c r="A16">
        <v>0.12999999999999998</v>
      </c>
      <c r="B16">
        <v>6.9081428261834082E-2</v>
      </c>
      <c r="C16">
        <v>1.0203395682371226E-2</v>
      </c>
    </row>
    <row r="17" spans="1:3" x14ac:dyDescent="0.45">
      <c r="A17">
        <v>0.13999999999999999</v>
      </c>
      <c r="B17">
        <v>7.3529201217611986E-2</v>
      </c>
      <c r="C17">
        <v>1.139478815586761E-2</v>
      </c>
    </row>
    <row r="18" spans="1:3" x14ac:dyDescent="0.45">
      <c r="A18">
        <v>0.15</v>
      </c>
      <c r="B18">
        <v>7.8237288826572285E-2</v>
      </c>
      <c r="C18">
        <v>1.2662887833552796E-2</v>
      </c>
    </row>
    <row r="19" spans="1:3" x14ac:dyDescent="0.45">
      <c r="A19">
        <v>0.16</v>
      </c>
      <c r="B19">
        <v>8.3217500102505101E-2</v>
      </c>
      <c r="C19">
        <v>1.401218415530007E-2</v>
      </c>
    </row>
    <row r="20" spans="1:3" x14ac:dyDescent="0.45">
      <c r="A20">
        <v>0.17</v>
      </c>
      <c r="B20">
        <v>8.8481729799733677E-2</v>
      </c>
      <c r="C20">
        <v>1.5447370221655394E-2</v>
      </c>
    </row>
    <row r="21" spans="1:3" x14ac:dyDescent="0.45">
      <c r="A21">
        <v>0.18000000000000002</v>
      </c>
      <c r="B21">
        <v>9.4041891980232523E-2</v>
      </c>
      <c r="C21">
        <v>1.697334427253621E-2</v>
      </c>
    </row>
    <row r="22" spans="1:3" x14ac:dyDescent="0.45">
      <c r="A22">
        <v>0.19000000000000003</v>
      </c>
      <c r="B22">
        <v>9.9909844436725695E-2</v>
      </c>
      <c r="C22">
        <v>1.8595210020215157E-2</v>
      </c>
    </row>
    <row r="23" spans="1:3" x14ac:dyDescent="0.45">
      <c r="A23">
        <v>0.20000000000000004</v>
      </c>
      <c r="B23">
        <v>0.10609730357857586</v>
      </c>
      <c r="C23">
        <v>2.0318275678889039E-2</v>
      </c>
    </row>
    <row r="24" spans="1:3" x14ac:dyDescent="0.45">
      <c r="A24">
        <v>0.21000000000000005</v>
      </c>
      <c r="B24">
        <v>0.11261574949476769</v>
      </c>
      <c r="C24">
        <v>2.2148051526352391E-2</v>
      </c>
    </row>
    <row r="25" spans="1:3" x14ac:dyDescent="0.45">
      <c r="A25">
        <v>0.22000000000000006</v>
      </c>
      <c r="B25">
        <v>0.1194763210446384</v>
      </c>
      <c r="C25">
        <v>2.4090245828367801E-2</v>
      </c>
    </row>
    <row r="26" spans="1:3" x14ac:dyDescent="0.45">
      <c r="A26">
        <v>0.23000000000000007</v>
      </c>
      <c r="B26">
        <v>0.12668970099453145</v>
      </c>
      <c r="C26">
        <v>2.6150758953749451E-2</v>
      </c>
    </row>
    <row r="27" spans="1:3" x14ac:dyDescent="0.45">
      <c r="A27">
        <v>0.24000000000000007</v>
      </c>
      <c r="B27">
        <v>0.13426599141894552</v>
      </c>
      <c r="C27">
        <v>2.8335675508489845E-2</v>
      </c>
    </row>
    <row r="28" spans="1:3" x14ac:dyDescent="0.45">
      <c r="A28">
        <v>0.25000000000000006</v>
      </c>
      <c r="B28">
        <v>0.14221457981884467</v>
      </c>
      <c r="C28">
        <v>3.065125432102922E-2</v>
      </c>
    </row>
    <row r="29" spans="1:3" x14ac:dyDescent="0.45">
      <c r="A29">
        <v>0.26000000000000006</v>
      </c>
      <c r="B29">
        <v>0.15054399667726759</v>
      </c>
      <c r="C29">
        <v>3.3103916118573877E-2</v>
      </c>
    </row>
    <row r="30" spans="1:3" x14ac:dyDescent="0.45">
      <c r="A30">
        <v>0.27000000000000007</v>
      </c>
      <c r="B30">
        <v>0.15926176547146692</v>
      </c>
      <c r="C30">
        <v>3.5700228746789353E-2</v>
      </c>
    </row>
    <row r="31" spans="1:3" x14ac:dyDescent="0.45">
      <c r="A31">
        <v>0.28000000000000008</v>
      </c>
      <c r="B31">
        <v>0.16837424648803931</v>
      </c>
      <c r="C31">
        <v>3.8446889802772194E-2</v>
      </c>
    </row>
    <row r="32" spans="1:3" x14ac:dyDescent="0.45">
      <c r="A32">
        <v>0.29000000000000009</v>
      </c>
      <c r="B32">
        <v>0.17788647613739469</v>
      </c>
      <c r="C32">
        <v>4.1350706574425453E-2</v>
      </c>
    </row>
    <row r="33" spans="1:3" x14ac:dyDescent="0.45">
      <c r="A33">
        <v>0.3000000000000001</v>
      </c>
      <c r="B33">
        <v>0.18780200382875709</v>
      </c>
      <c r="C33">
        <v>4.441857320861857E-2</v>
      </c>
    </row>
    <row r="34" spans="1:3" x14ac:dyDescent="0.45">
      <c r="A34">
        <v>0.31000000000000011</v>
      </c>
      <c r="B34">
        <v>0.19812272883662024</v>
      </c>
      <c r="C34">
        <v>4.7657445066060102E-2</v>
      </c>
    </row>
    <row r="35" spans="1:3" x14ac:dyDescent="0.45">
      <c r="A35">
        <v>0.32000000000000012</v>
      </c>
      <c r="B35">
        <v>0.20884873995171935</v>
      </c>
      <c r="C35">
        <v>5.1074310262735866E-2</v>
      </c>
    </row>
    <row r="36" spans="1:3" x14ac:dyDescent="0.45">
      <c r="A36">
        <v>0.33000000000000013</v>
      </c>
      <c r="B36">
        <v>0.21997816104933582</v>
      </c>
      <c r="C36">
        <v>5.467615844593491E-2</v>
      </c>
    </row>
    <row r="37" spans="1:3" x14ac:dyDescent="0.45">
      <c r="A37">
        <v>0.34000000000000014</v>
      </c>
      <c r="B37">
        <v>0.2315070060083016</v>
      </c>
      <c r="C37">
        <v>5.8469946906914767E-2</v>
      </c>
    </row>
    <row r="38" spans="1:3" x14ac:dyDescent="0.45">
      <c r="A38">
        <v>0.35000000000000014</v>
      </c>
      <c r="B38">
        <v>0.2434290466570336</v>
      </c>
      <c r="C38">
        <v>6.2462564191470171E-2</v>
      </c>
    </row>
    <row r="39" spans="1:3" x14ac:dyDescent="0.45">
      <c r="A39">
        <v>0.36000000000000015</v>
      </c>
      <c r="B39">
        <v>0.25573569758905934</v>
      </c>
      <c r="C39">
        <v>6.6660791433071936E-2</v>
      </c>
    </row>
    <row r="40" spans="1:3" x14ac:dyDescent="0.45">
      <c r="A40">
        <v>0.37000000000000016</v>
      </c>
      <c r="B40">
        <v>0.26841592176059398</v>
      </c>
      <c r="C40">
        <v>7.1071261699510863E-2</v>
      </c>
    </row>
    <row r="41" spans="1:3" x14ac:dyDescent="0.45">
      <c r="A41">
        <v>0.38000000000000017</v>
      </c>
      <c r="B41">
        <v>0.28145616073875501</v>
      </c>
      <c r="C41">
        <v>7.5700417711458023E-2</v>
      </c>
    </row>
    <row r="42" spans="1:3" x14ac:dyDescent="0.45">
      <c r="A42">
        <v>0.39000000000000018</v>
      </c>
      <c r="B42">
        <v>0.29484029329534511</v>
      </c>
      <c r="C42">
        <v>8.0554468358071549E-2</v>
      </c>
    </row>
    <row r="43" spans="1:3" x14ac:dyDescent="0.45">
      <c r="A43">
        <v>0.40000000000000019</v>
      </c>
      <c r="B43">
        <v>0.30854962572598177</v>
      </c>
      <c r="C43">
        <v>8.5639344498503189E-2</v>
      </c>
    </row>
    <row r="44" spans="1:3" x14ac:dyDescent="0.45">
      <c r="A44">
        <v>0.4100000000000002</v>
      </c>
      <c r="B44">
        <v>0.32256291681106314</v>
      </c>
      <c r="C44">
        <v>9.0960654596446741E-2</v>
      </c>
    </row>
    <row r="45" spans="1:3" x14ac:dyDescent="0.45">
      <c r="A45">
        <v>0.42000000000000021</v>
      </c>
      <c r="B45">
        <v>0.33685643972341012</v>
      </c>
      <c r="C45">
        <v>9.6523640785168285E-2</v>
      </c>
    </row>
    <row r="46" spans="1:3" x14ac:dyDescent="0.45">
      <c r="A46">
        <v>0.43000000000000022</v>
      </c>
      <c r="B46">
        <v>0.3514040824346627</v>
      </c>
      <c r="C46">
        <v>0.10233313600020837</v>
      </c>
    </row>
    <row r="47" spans="1:3" x14ac:dyDescent="0.45">
      <c r="A47">
        <v>0.44000000000000022</v>
      </c>
      <c r="B47">
        <v>0.36617748729399219</v>
      </c>
      <c r="C47">
        <v>0.10839352284371345</v>
      </c>
    </row>
    <row r="48" spans="1:3" x14ac:dyDescent="0.45">
      <c r="A48">
        <v>0.45000000000000023</v>
      </c>
      <c r="B48">
        <v>0.38114622947209131</v>
      </c>
      <c r="C48">
        <v>0.11470869485597053</v>
      </c>
    </row>
    <row r="49" spans="1:3" x14ac:dyDescent="0.45">
      <c r="A49">
        <v>0.46000000000000024</v>
      </c>
      <c r="B49">
        <v>0.39627803291230662</v>
      </c>
      <c r="C49">
        <v>0.12128202086442326</v>
      </c>
    </row>
    <row r="50" spans="1:3" x14ac:dyDescent="0.45">
      <c r="A50">
        <v>0.47000000000000025</v>
      </c>
      <c r="B50">
        <v>0.41153902134765613</v>
      </c>
      <c r="C50">
        <v>0.12811631305702564</v>
      </c>
    </row>
    <row r="51" spans="1:3" x14ac:dyDescent="0.45">
      <c r="A51">
        <v>0.48000000000000026</v>
      </c>
      <c r="B51">
        <v>0.42689400087105001</v>
      </c>
      <c r="C51">
        <v>0.13521379938468669</v>
      </c>
    </row>
    <row r="52" spans="1:3" x14ac:dyDescent="0.45">
      <c r="A52">
        <v>0.49000000000000027</v>
      </c>
      <c r="B52">
        <v>0.44230676953303255</v>
      </c>
      <c r="C52">
        <v>0.142576100836979</v>
      </c>
    </row>
    <row r="53" spans="1:3" x14ac:dyDescent="0.45">
      <c r="A53">
        <v>0.50000000000000022</v>
      </c>
      <c r="B53">
        <v>0.45774044853388574</v>
      </c>
      <c r="C53">
        <v>0.15020421405723344</v>
      </c>
    </row>
    <row r="54" spans="1:3" x14ac:dyDescent="0.45">
      <c r="A54">
        <v>0.51000000000000023</v>
      </c>
      <c r="B54">
        <v>0.47315782881948398</v>
      </c>
      <c r="C54">
        <v>0.15809849966944078</v>
      </c>
    </row>
    <row r="55" spans="1:3" x14ac:dyDescent="0.45">
      <c r="A55">
        <v>0.52000000000000024</v>
      </c>
      <c r="B55">
        <v>0.48852172632185925</v>
      </c>
      <c r="C55">
        <v>0.1662586765826165</v>
      </c>
    </row>
    <row r="56" spans="1:3" x14ac:dyDescent="0.45">
      <c r="A56">
        <v>0.53000000000000025</v>
      </c>
      <c r="B56">
        <v>0.50379533873673032</v>
      </c>
      <c r="C56">
        <v>0.17468382242171718</v>
      </c>
    </row>
    <row r="57" spans="1:3" x14ac:dyDescent="0.45">
      <c r="A57">
        <v>0.54000000000000026</v>
      </c>
      <c r="B57">
        <v>0.51894259662145237</v>
      </c>
      <c r="C57">
        <v>0.18337238011161527</v>
      </c>
    </row>
    <row r="58" spans="1:3" x14ac:dyDescent="0.45">
      <c r="A58">
        <v>0.55000000000000027</v>
      </c>
      <c r="B58">
        <v>0.53392850173599782</v>
      </c>
      <c r="C58">
        <v>0.19232217051618114</v>
      </c>
    </row>
    <row r="59" spans="1:3" x14ac:dyDescent="0.45">
      <c r="A59">
        <v>0.56000000000000028</v>
      </c>
      <c r="B59">
        <v>0.54871944593189215</v>
      </c>
      <c r="C59">
        <v>0.20153041091246301</v>
      </c>
    </row>
    <row r="60" spans="1:3" x14ac:dyDescent="0.45">
      <c r="A60">
        <v>0.57000000000000028</v>
      </c>
      <c r="B60">
        <v>0.5632835045020248</v>
      </c>
      <c r="C60">
        <v>0.21099373896449083</v>
      </c>
    </row>
    <row r="61" spans="1:3" x14ac:dyDescent="0.45">
      <c r="A61">
        <v>0.58000000000000029</v>
      </c>
      <c r="B61">
        <v>0.57759069870895208</v>
      </c>
      <c r="C61">
        <v>0.22070824175625117</v>
      </c>
    </row>
    <row r="62" spans="1:3" x14ac:dyDescent="0.45">
      <c r="A62">
        <v>0.5900000000000003</v>
      </c>
      <c r="B62">
        <v>0.59161322317210685</v>
      </c>
      <c r="C62">
        <v>0.23066948935227899</v>
      </c>
    </row>
    <row r="63" spans="1:3" x14ac:dyDescent="0.45">
      <c r="A63">
        <v>0.60000000000000031</v>
      </c>
      <c r="B63">
        <v>0.60532563486968671</v>
      </c>
      <c r="C63">
        <v>0.2408725722798159</v>
      </c>
    </row>
    <row r="64" spans="1:3" x14ac:dyDescent="0.45">
      <c r="A64">
        <v>0.61000000000000032</v>
      </c>
      <c r="B64">
        <v>0.61870500164938236</v>
      </c>
      <c r="C64">
        <v>0.25131214227053367</v>
      </c>
    </row>
    <row r="65" spans="1:3" x14ac:dyDescent="0.45">
      <c r="A65">
        <v>0.62000000000000033</v>
      </c>
      <c r="B65">
        <v>0.63173100929325354</v>
      </c>
      <c r="C65">
        <v>0.26198245556350425</v>
      </c>
    </row>
    <row r="66" spans="1:3" x14ac:dyDescent="0.45">
      <c r="A66">
        <v>0.63000000000000034</v>
      </c>
      <c r="B66">
        <v>0.64438602729795613</v>
      </c>
      <c r="C66">
        <v>0.27287741805463261</v>
      </c>
    </row>
    <row r="67" spans="1:3" x14ac:dyDescent="0.45">
      <c r="A67">
        <v>0.64000000000000035</v>
      </c>
      <c r="B67">
        <v>0.65665513456914681</v>
      </c>
      <c r="C67">
        <v>0.28399063158054877</v>
      </c>
    </row>
    <row r="68" spans="1:3" x14ac:dyDescent="0.45">
      <c r="A68">
        <v>0.65000000000000036</v>
      </c>
      <c r="B68">
        <v>0.66852610715236216</v>
      </c>
      <c r="C68">
        <v>0.29531544064563087</v>
      </c>
    </row>
    <row r="69" spans="1:3" x14ac:dyDescent="0.45">
      <c r="A69">
        <v>0.66000000000000036</v>
      </c>
      <c r="B69">
        <v>0.67998937090469758</v>
      </c>
      <c r="C69">
        <v>0.30684497893743246</v>
      </c>
    </row>
    <row r="70" spans="1:3" x14ac:dyDescent="0.45">
      <c r="A70">
        <v>0.67000000000000037</v>
      </c>
      <c r="B70">
        <v>0.69103792263427144</v>
      </c>
      <c r="C70">
        <v>0.3185722150258759</v>
      </c>
    </row>
    <row r="71" spans="1:3" x14ac:dyDescent="0.45">
      <c r="A71">
        <v>0.68000000000000038</v>
      </c>
      <c r="B71">
        <v>0.70166722368920698</v>
      </c>
      <c r="C71">
        <v>0.3304899967024007</v>
      </c>
    </row>
    <row r="72" spans="1:3" x14ac:dyDescent="0.45">
      <c r="A72">
        <v>0.69000000000000039</v>
      </c>
      <c r="B72">
        <v>0.71187507026496122</v>
      </c>
      <c r="C72">
        <v>0.34259109348392563</v>
      </c>
    </row>
    <row r="73" spans="1:3" x14ac:dyDescent="0.45">
      <c r="A73">
        <v>0.7000000000000004</v>
      </c>
      <c r="B73">
        <v>0.72166144482625338</v>
      </c>
      <c r="C73">
        <v>0.35486823688010455</v>
      </c>
    </row>
    <row r="74" spans="1:3" x14ac:dyDescent="0.45">
      <c r="A74">
        <v>0.71000000000000041</v>
      </c>
      <c r="B74">
        <v>0.73102835302183389</v>
      </c>
      <c r="C74">
        <v>0.3673141580981743</v>
      </c>
    </row>
    <row r="75" spans="1:3" x14ac:dyDescent="0.45">
      <c r="A75">
        <v>0.72000000000000042</v>
      </c>
      <c r="B75">
        <v>0.73997965032578694</v>
      </c>
      <c r="C75">
        <v>0.37992162293520121</v>
      </c>
    </row>
    <row r="76" spans="1:3" x14ac:dyDescent="0.45">
      <c r="A76">
        <v>0.73000000000000043</v>
      </c>
      <c r="B76">
        <v>0.74852086238981608</v>
      </c>
      <c r="C76">
        <v>0.39268346368054807</v>
      </c>
    </row>
    <row r="77" spans="1:3" x14ac:dyDescent="0.45">
      <c r="A77">
        <v>0.74000000000000044</v>
      </c>
      <c r="B77">
        <v>0.75665900276025577</v>
      </c>
      <c r="C77">
        <v>0.40559260792009966</v>
      </c>
    </row>
    <row r="78" spans="1:3" x14ac:dyDescent="0.45">
      <c r="A78">
        <v>0.75000000000000044</v>
      </c>
      <c r="B78">
        <v>0.76440239122456055</v>
      </c>
      <c r="C78">
        <v>0.41864210419679859</v>
      </c>
    </row>
    <row r="79" spans="1:3" x14ac:dyDescent="0.45">
      <c r="A79">
        <v>0.76000000000000045</v>
      </c>
      <c r="B79">
        <v>0.77176047562673988</v>
      </c>
      <c r="C79">
        <v>0.43182514453834758</v>
      </c>
    </row>
    <row r="80" spans="1:3" x14ac:dyDescent="0.45">
      <c r="A80">
        <v>0.77000000000000046</v>
      </c>
      <c r="B80">
        <v>0.7787436595495294</v>
      </c>
      <c r="C80">
        <v>0.44513508391190382</v>
      </c>
    </row>
    <row r="81" spans="1:3" x14ac:dyDescent="0.45">
      <c r="A81">
        <v>0.78000000000000047</v>
      </c>
      <c r="B81">
        <v>0.78536313782024125</v>
      </c>
      <c r="C81">
        <v>0.45856545670694521</v>
      </c>
    </row>
    <row r="82" spans="1:3" x14ac:dyDescent="0.45">
      <c r="A82">
        <v>0.79000000000000048</v>
      </c>
      <c r="B82">
        <v>0.79163074137143152</v>
      </c>
      <c r="C82">
        <v>0.47210999038123636</v>
      </c>
    </row>
    <row r="83" spans="1:3" x14ac:dyDescent="0.45">
      <c r="A83">
        <v>0.80000000000000049</v>
      </c>
      <c r="B83">
        <v>0.79755879258785611</v>
      </c>
      <c r="C83">
        <v>0.48576261643123003</v>
      </c>
    </row>
    <row r="84" spans="1:3" x14ac:dyDescent="0.45">
      <c r="A84">
        <v>0.8100000000000005</v>
      </c>
      <c r="B84">
        <v>0.80315997190574306</v>
      </c>
      <c r="C84">
        <v>0.49951747886775266</v>
      </c>
    </row>
    <row r="85" spans="1:3" x14ac:dyDescent="0.45">
      <c r="A85">
        <v>0.82000000000000051</v>
      </c>
      <c r="B85">
        <v>0.80844719610448346</v>
      </c>
      <c r="C85">
        <v>0.51336894039103331</v>
      </c>
    </row>
    <row r="86" spans="1:3" x14ac:dyDescent="0.45">
      <c r="A86">
        <v>0.83000000000000052</v>
      </c>
      <c r="B86">
        <v>0.81343350844726725</v>
      </c>
      <c r="C86">
        <v>0.52731158646672649</v>
      </c>
    </row>
    <row r="87" spans="1:3" x14ac:dyDescent="0.45">
      <c r="A87">
        <v>0.84000000000000052</v>
      </c>
      <c r="B87">
        <v>0.81813198058673164</v>
      </c>
      <c r="C87">
        <v>0.54134022750727728</v>
      </c>
    </row>
    <row r="88" spans="1:3" x14ac:dyDescent="0.45">
      <c r="A88">
        <v>0.85000000000000053</v>
      </c>
      <c r="B88">
        <v>0.82255562595343368</v>
      </c>
      <c r="C88">
        <v>0.55544989936153211</v>
      </c>
    </row>
    <row r="89" spans="1:3" x14ac:dyDescent="0.45">
      <c r="A89">
        <v>0.86000000000000054</v>
      </c>
      <c r="B89">
        <v>0.82671732418671484</v>
      </c>
      <c r="C89">
        <v>0.56963586231062835</v>
      </c>
    </row>
    <row r="90" spans="1:3" x14ac:dyDescent="0.45">
      <c r="A90">
        <v>0.87000000000000055</v>
      </c>
      <c r="B90">
        <v>0.83062975604619571</v>
      </c>
      <c r="C90">
        <v>0.58389359876060387</v>
      </c>
    </row>
    <row r="91" spans="1:3" x14ac:dyDescent="0.45">
      <c r="A91">
        <v>0.88000000000000056</v>
      </c>
      <c r="B91">
        <v>0.83430534815401902</v>
      </c>
      <c r="C91">
        <v>0.59821880981247655</v>
      </c>
    </row>
    <row r="92" spans="1:3" x14ac:dyDescent="0.45">
      <c r="A92">
        <v>0.89000000000000057</v>
      </c>
      <c r="B92">
        <v>0.83775622685905171</v>
      </c>
      <c r="C92">
        <v>0.61260741087933712</v>
      </c>
    </row>
    <row r="93" spans="1:3" x14ac:dyDescent="0.45">
      <c r="A93">
        <v>0.90000000000000058</v>
      </c>
      <c r="B93">
        <v>0.84099418048044916</v>
      </c>
      <c r="C93">
        <v>0.62705552650777485</v>
      </c>
    </row>
    <row r="94" spans="1:3" x14ac:dyDescent="0.45">
      <c r="A94">
        <v>0.91000000000000059</v>
      </c>
      <c r="B94">
        <v>0.84403062917526095</v>
      </c>
      <c r="C94">
        <v>0.64155948454814771</v>
      </c>
    </row>
    <row r="95" spans="1:3" x14ac:dyDescent="0.45">
      <c r="A95">
        <v>0.9200000000000006</v>
      </c>
      <c r="B95">
        <v>0.84687660167931189</v>
      </c>
      <c r="C95">
        <v>0.65611580980518325</v>
      </c>
    </row>
    <row r="96" spans="1:3" x14ac:dyDescent="0.45">
      <c r="A96">
        <v>0.9300000000000006</v>
      </c>
      <c r="B96">
        <v>0.84954271818890215</v>
      </c>
      <c r="C96">
        <v>0.67072121728744805</v>
      </c>
    </row>
    <row r="97" spans="1:3" x14ac:dyDescent="0.45">
      <c r="A97">
        <v>0.94000000000000061</v>
      </c>
      <c r="B97">
        <v>0.85203917867978918</v>
      </c>
      <c r="C97">
        <v>0.68537260516159104</v>
      </c>
    </row>
    <row r="98" spans="1:3" x14ac:dyDescent="0.45">
      <c r="A98">
        <v>0.95000000000000062</v>
      </c>
      <c r="B98">
        <v>0.85437575599665316</v>
      </c>
      <c r="C98">
        <v>0.70006704750513427</v>
      </c>
    </row>
    <row r="99" spans="1:3" x14ac:dyDescent="0.45">
      <c r="A99">
        <v>0.96000000000000063</v>
      </c>
      <c r="B99">
        <v>0.85656179308841374</v>
      </c>
      <c r="C99">
        <v>0.71480178694008256</v>
      </c>
    </row>
    <row r="100" spans="1:3" x14ac:dyDescent="0.45">
      <c r="A100">
        <v>0.97000000000000064</v>
      </c>
      <c r="B100">
        <v>0.85860620381033215</v>
      </c>
      <c r="C100">
        <v>0.7295742272188529</v>
      </c>
    </row>
    <row r="101" spans="1:3" x14ac:dyDescent="0.45">
      <c r="A101">
        <v>0.98000000000000065</v>
      </c>
      <c r="B101">
        <v>0.86051747676113421</v>
      </c>
      <c r="C101">
        <v>0.74438192582403762</v>
      </c>
    </row>
    <row r="102" spans="1:3" x14ac:dyDescent="0.45">
      <c r="A102">
        <v>0.99000000000000066</v>
      </c>
      <c r="B102">
        <v>0.86230368167105687</v>
      </c>
      <c r="C102">
        <v>0.75922258663434283</v>
      </c>
    </row>
    <row r="103" spans="1:3" x14ac:dyDescent="0.45">
      <c r="A103">
        <v>1.0000000000000007</v>
      </c>
      <c r="B103">
        <v>0.86397247790370413</v>
      </c>
      <c r="C103">
        <v>0.77409405270069664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42E0C-F9E1-4110-9184-9296048EC65D}">
  <sheetPr codeName="Sheet5"/>
  <dimension ref="A1:M132"/>
  <sheetViews>
    <sheetView topLeftCell="A10" workbookViewId="0">
      <selection activeCell="H37" sqref="H37"/>
    </sheetView>
  </sheetViews>
  <sheetFormatPr defaultRowHeight="14.25" x14ac:dyDescent="0.45"/>
  <sheetData>
    <row r="1" spans="1:13" x14ac:dyDescent="0.45">
      <c r="A1" t="s">
        <v>0</v>
      </c>
    </row>
    <row r="2" spans="1:13" x14ac:dyDescent="0.45">
      <c r="A2" t="s">
        <v>2</v>
      </c>
    </row>
    <row r="4" spans="1:13" x14ac:dyDescent="0.45">
      <c r="A4" t="s">
        <v>8</v>
      </c>
      <c r="B4">
        <f>a</f>
        <v>13.1</v>
      </c>
    </row>
    <row r="5" spans="1:13" x14ac:dyDescent="0.45">
      <c r="A5" t="s">
        <v>9</v>
      </c>
      <c r="B5">
        <f>b</f>
        <v>0.94</v>
      </c>
    </row>
    <row r="6" spans="1:13" x14ac:dyDescent="0.45">
      <c r="A6" t="s">
        <v>10</v>
      </c>
      <c r="B6">
        <f>d</f>
        <v>1.71</v>
      </c>
    </row>
    <row r="7" spans="1:13" x14ac:dyDescent="0.45">
      <c r="A7" t="s">
        <v>11</v>
      </c>
      <c r="B7">
        <f>h</f>
        <v>0.05</v>
      </c>
      <c r="F7" t="s">
        <v>6</v>
      </c>
      <c r="J7" t="s">
        <v>7</v>
      </c>
    </row>
    <row r="8" spans="1:13" x14ac:dyDescent="0.45">
      <c r="A8" t="s">
        <v>5</v>
      </c>
      <c r="B8" t="s">
        <v>6</v>
      </c>
      <c r="C8" t="s">
        <v>7</v>
      </c>
      <c r="D8" t="s">
        <v>25</v>
      </c>
      <c r="E8" t="s">
        <v>26</v>
      </c>
      <c r="F8" t="s">
        <v>19</v>
      </c>
      <c r="G8" t="s">
        <v>20</v>
      </c>
      <c r="H8" t="s">
        <v>21</v>
      </c>
      <c r="I8" t="s">
        <v>22</v>
      </c>
      <c r="J8" t="s">
        <v>19</v>
      </c>
      <c r="K8" t="s">
        <v>20</v>
      </c>
      <c r="L8" t="s">
        <v>21</v>
      </c>
      <c r="M8" t="s">
        <v>22</v>
      </c>
    </row>
    <row r="9" spans="1:13" x14ac:dyDescent="0.45">
      <c r="A9">
        <v>0</v>
      </c>
      <c r="B9">
        <v>0.03</v>
      </c>
      <c r="C9">
        <v>0</v>
      </c>
      <c r="D9">
        <f>a*B9-(a/b*B9^2)</f>
        <v>0.38045744680851062</v>
      </c>
      <c r="E9">
        <f>d*B9</f>
        <v>5.1299999999999998E-2</v>
      </c>
      <c r="F9">
        <f>h*(a*B9-(a/b*B9^2))</f>
        <v>1.9022872340425531E-2</v>
      </c>
      <c r="G9">
        <f>h*(a*(B9+(F9/2)-(a/b*(B9+(F9/2))^2)))</f>
        <v>1.1629481793796255E-2</v>
      </c>
      <c r="H9">
        <f>h*(a*(B9+(G9/2))-(a/b*(B9+(G9/2))^2))</f>
        <v>2.2564862031180688E-2</v>
      </c>
      <c r="I9">
        <f>h*(a*(B9+H9)-(a/b*(B9+H9)^2))</f>
        <v>3.2504657617834123E-2</v>
      </c>
      <c r="J9">
        <f>h*E9</f>
        <v>2.565E-3</v>
      </c>
      <c r="K9">
        <f>h*(d*(B9+(J9/2)))</f>
        <v>2.67465375E-3</v>
      </c>
      <c r="L9">
        <f>h*(d*(B9+(K9/2)))</f>
        <v>2.6793414478125002E-3</v>
      </c>
      <c r="M9">
        <f>h*(d*(B9+L9))</f>
        <v>2.7940836937879686E-3</v>
      </c>
    </row>
    <row r="10" spans="1:13" x14ac:dyDescent="0.45">
      <c r="A10">
        <f>A9+h</f>
        <v>0.05</v>
      </c>
      <c r="B10">
        <f>B9+(1/6)*(F9+(2*G9)+(2*H9)+I9)</f>
        <v>4.9986036268035591E-2</v>
      </c>
      <c r="C10">
        <f>C9+(1/6)*(J9+(2*K9)+(2*L9)+M9)</f>
        <v>2.6778456815688277E-3</v>
      </c>
      <c r="D10">
        <f>a*B10-(a/b*B10^2)</f>
        <v>0.61999610695654195</v>
      </c>
      <c r="E10">
        <f>d*B10</f>
        <v>8.5476122018340858E-2</v>
      </c>
      <c r="F10">
        <f>h*(a*B10-(a/b*B10^2))</f>
        <v>3.0999805347827099E-2</v>
      </c>
      <c r="G10">
        <f>h*(a*(B10+(F10/2)-(a/b*(B10+(F10/2))^2)))</f>
        <v>3.7478787809637941E-3</v>
      </c>
      <c r="H10">
        <f>h*(a*(B10+(G10/2))-(a/b*(B10+(G10/2))^2))</f>
        <v>3.2094247477262118E-2</v>
      </c>
      <c r="I10">
        <f>h*(a*(B10+H10)-(a/b*(B10+H10)^2))</f>
        <v>4.9068066383266676E-2</v>
      </c>
      <c r="J10">
        <f>h*E10</f>
        <v>4.2738061009170427E-3</v>
      </c>
      <c r="K10">
        <f>h*(d*(B10+(J10/2)))</f>
        <v>4.4565113117312474E-3</v>
      </c>
      <c r="L10">
        <f>h*(d*(B10+(K10/2)))</f>
        <v>4.4643219594935534E-3</v>
      </c>
      <c r="M10">
        <f>h*(d*(B10+L10))</f>
        <v>4.6555056284537421E-3</v>
      </c>
    </row>
    <row r="11" spans="1:13" x14ac:dyDescent="0.45">
      <c r="A11">
        <f>A10+h</f>
        <v>0.1</v>
      </c>
      <c r="B11">
        <f t="shared" ref="B11:B74" si="0">B10+((1/6)*(F10+(2*G10)+(2*H10)+I10))</f>
        <v>7.5278056975959851E-2</v>
      </c>
      <c r="C11">
        <f t="shared" ref="C11:C74" si="1">C10+(1/6)*(J10+(2*K10)+(2*L10)+M10)</f>
        <v>7.1396753935388906E-3</v>
      </c>
      <c r="D11">
        <f>a*B11-(a/b*B11^2)</f>
        <v>0.9071692540518892</v>
      </c>
      <c r="E11">
        <f>d*B11</f>
        <v>0.12872547742889134</v>
      </c>
      <c r="F11">
        <f>h*(a*B11-(a/b*B11^2))</f>
        <v>4.5358462702594464E-2</v>
      </c>
      <c r="G11">
        <f>h*(a*(B11+(F11/2)-(a/b*(B11+(F11/2))^2)))</f>
        <v>-2.3428727317702219E-2</v>
      </c>
      <c r="H11">
        <f>h*(a*(B11+(G11/2))-(a/b*(B11+(G11/2))^2))</f>
        <v>3.8818873659075381E-2</v>
      </c>
      <c r="I11">
        <f>h*(a*(B11+H11)-(a/b*(B11+H11)^2))</f>
        <v>6.5662360017947966E-2</v>
      </c>
      <c r="J11">
        <f>h*E11</f>
        <v>6.4362738714445677E-3</v>
      </c>
      <c r="K11">
        <f>h*(d*(B11+(J11/2)))</f>
        <v>6.7114245794488228E-3</v>
      </c>
      <c r="L11">
        <f>h*(d*(B11+(K11/2)))</f>
        <v>6.7231872722160043E-3</v>
      </c>
      <c r="M11">
        <f>h*(d*(B11+L11))</f>
        <v>7.011106383219036E-3</v>
      </c>
    </row>
    <row r="12" spans="1:13" x14ac:dyDescent="0.45">
      <c r="A12">
        <f>A11+h</f>
        <v>0.15000000000000002</v>
      </c>
      <c r="B12">
        <f t="shared" si="0"/>
        <v>9.8911576209841312E-2</v>
      </c>
      <c r="C12">
        <f t="shared" si="1"/>
        <v>1.3859109386537767E-2</v>
      </c>
      <c r="D12">
        <f>a*B12-(a/b*B12^2)</f>
        <v>1.1593971283500599</v>
      </c>
      <c r="E12">
        <f>d*B12</f>
        <v>0.16913879531882864</v>
      </c>
      <c r="F12">
        <f>h*(a*B12-(a/b*B12^2))</f>
        <v>5.7969856417502998E-2</v>
      </c>
      <c r="G12">
        <f>h*(a*(B12+(F12/2)-(a/b*(B12+(F12/2))^2)))</f>
        <v>-6.5542326506385001E-2</v>
      </c>
      <c r="H12">
        <f>h*(a*(B12+(G12/2))-(a/b*(B12+(G12/2))^2))</f>
        <v>4.0273743871626459E-2</v>
      </c>
      <c r="I12">
        <f>h*(a*(B12+H12)-(a/b*(B12+H12)^2))</f>
        <v>7.7667424622884451E-2</v>
      </c>
      <c r="J12">
        <f>h*E12</f>
        <v>8.4569397659414319E-3</v>
      </c>
      <c r="K12">
        <f>h*(d*(B12+(J12/2)))</f>
        <v>8.8184739409354271E-3</v>
      </c>
      <c r="L12">
        <f>h*(d*(B12+(K12/2)))</f>
        <v>8.8339295269164227E-3</v>
      </c>
      <c r="M12">
        <f>h*(d*(B12+L12))</f>
        <v>9.2122407404927869E-3</v>
      </c>
    </row>
    <row r="13" spans="1:13" x14ac:dyDescent="0.45">
      <c r="A13">
        <f>A12+h</f>
        <v>0.2</v>
      </c>
      <c r="B13">
        <f t="shared" si="0"/>
        <v>0.1130949288383197</v>
      </c>
      <c r="C13">
        <f t="shared" si="1"/>
        <v>2.2688107293560751E-2</v>
      </c>
      <c r="D13">
        <f>a*B13-(a/b*B13^2)</f>
        <v>1.3032934993041432</v>
      </c>
      <c r="E13">
        <f>d*B13</f>
        <v>0.19339232831352668</v>
      </c>
      <c r="F13">
        <f>h*(a*B13-(a/b*B13^2))</f>
        <v>6.5164674965207156E-2</v>
      </c>
      <c r="G13">
        <f>h*(a*(B13+(F13/2)-(a/b*(B13+(F13/2))^2)))</f>
        <v>-9.8298646464100192E-2</v>
      </c>
      <c r="H13">
        <f>h*(a*(B13+(G13/2))-(a/b*(B13+(G13/2))^2))</f>
        <v>3.9035093467839635E-2</v>
      </c>
      <c r="I13">
        <f>h*(a*(B13+H13)-(a/b*(B13+H13)^2))</f>
        <v>8.351854640319234E-2</v>
      </c>
      <c r="J13">
        <f>h*E13</f>
        <v>9.6696164156763343E-3</v>
      </c>
      <c r="K13">
        <f>h*(d*(B13+(J13/2)))</f>
        <v>1.00829925174465E-2</v>
      </c>
      <c r="L13">
        <f>h*(d*(B13+(K13/2)))</f>
        <v>1.0100664345797173E-2</v>
      </c>
      <c r="M13">
        <f>h*(d*(B13+L13))</f>
        <v>1.0533223217241995E-2</v>
      </c>
    </row>
    <row r="14" spans="1:13" x14ac:dyDescent="0.45">
      <c r="A14">
        <f>A13+h</f>
        <v>0.25</v>
      </c>
      <c r="B14">
        <f t="shared" si="0"/>
        <v>0.11812094806763276</v>
      </c>
      <c r="C14">
        <f t="shared" si="1"/>
        <v>3.2783132853461697E-2</v>
      </c>
      <c r="D14">
        <f>a*B14-(a/b*B14^2)</f>
        <v>1.3529391913047202</v>
      </c>
      <c r="E14">
        <f>d*B14</f>
        <v>0.20198682119565203</v>
      </c>
      <c r="F14">
        <f>h*(a*B14-(a/b*B14^2))</f>
        <v>6.7646959565236017E-2</v>
      </c>
      <c r="G14">
        <f>h*(a*(B14+(F14/2)-(a/b*(B14+(F14/2))^2)))</f>
        <v>-0.1112199530583487</v>
      </c>
      <c r="H14">
        <f>h*(a*(B14+(G14/2))-(a/b*(B14+(G14/2))^2))</f>
        <v>3.8221822396459749E-2</v>
      </c>
      <c r="I14">
        <f>h*(a*(B14+H14)-(a/b*(B14+H14)^2))</f>
        <v>8.5372381112454987E-2</v>
      </c>
      <c r="J14">
        <f>h*E14</f>
        <v>1.0099341059782602E-2</v>
      </c>
      <c r="K14">
        <f>h*(d*(B14+(J14/2)))</f>
        <v>1.0531087890088308E-2</v>
      </c>
      <c r="L14">
        <f>h*(d*(B14+(K14/2)))</f>
        <v>1.0549545067083877E-2</v>
      </c>
      <c r="M14">
        <f>h*(d*(B14+L14))</f>
        <v>1.1001327163018274E-2</v>
      </c>
    </row>
    <row r="15" spans="1:13" x14ac:dyDescent="0.45">
      <c r="A15">
        <f>A14+h</f>
        <v>0.3</v>
      </c>
      <c r="B15">
        <f t="shared" si="0"/>
        <v>0.11929146129328495</v>
      </c>
      <c r="C15">
        <f t="shared" si="1"/>
        <v>4.3326788542985904E-2</v>
      </c>
      <c r="D15">
        <f>a*B15-(a/b*B15^2)</f>
        <v>1.3644001313876886</v>
      </c>
      <c r="E15">
        <f>d*B15</f>
        <v>0.20398839881151726</v>
      </c>
      <c r="F15">
        <f>h*(a*B15-(a/b*B15^2))</f>
        <v>6.8220006569384428E-2</v>
      </c>
      <c r="G15">
        <f>h*(a*(B15+(F15/2)-(a/b*(B15+(F15/2))^2)))</f>
        <v>-0.11432672803772503</v>
      </c>
      <c r="H15">
        <f>h*(a*(B15+(G15/2))-(a/b*(B15+(G15/2))^2))</f>
        <v>3.8004292216378861E-2</v>
      </c>
      <c r="I15">
        <f>h*(a*(B15+H15)-(a/b*(B15+H15)^2))</f>
        <v>8.5788314381517822E-2</v>
      </c>
      <c r="J15">
        <f>h*E15</f>
        <v>1.0199419940575863E-2</v>
      </c>
      <c r="K15">
        <f>h*(d*(B15+(J15/2)))</f>
        <v>1.0635445143035481E-2</v>
      </c>
      <c r="L15">
        <f>h*(d*(B15+(K15/2)))</f>
        <v>1.0654085220440632E-2</v>
      </c>
      <c r="M15">
        <f>h*(d*(B15+L15))</f>
        <v>1.1110344226923537E-2</v>
      </c>
    </row>
    <row r="16" spans="1:13" x14ac:dyDescent="0.45">
      <c r="A16">
        <f>A15+h</f>
        <v>0.35</v>
      </c>
      <c r="B16">
        <f t="shared" si="0"/>
        <v>0.11951870284465327</v>
      </c>
      <c r="C16">
        <f t="shared" si="1"/>
        <v>5.3974926025394512E-2</v>
      </c>
      <c r="D16">
        <f>a*B16-(a/b*B16^2)</f>
        <v>1.366620713308939</v>
      </c>
      <c r="E16">
        <f>d*B16</f>
        <v>0.20437698186435707</v>
      </c>
      <c r="F16">
        <f>h*(a*B16-(a/b*B16^2))</f>
        <v>6.8331035665446946E-2</v>
      </c>
      <c r="G16">
        <f>h*(a*(B16+(F16/2)-(a/b*(B16+(F16/2))^2)))</f>
        <v>-0.11493412685947464</v>
      </c>
      <c r="H16">
        <f>h*(a*(B16+(G16/2))-(a/b*(B16+(G16/2))^2))</f>
        <v>3.7960828178555506E-2</v>
      </c>
      <c r="I16">
        <f>h*(a*(B16+H16)-(a/b*(B16+H16)^2))</f>
        <v>8.5868379242760473E-2</v>
      </c>
      <c r="J16">
        <f>h*E16</f>
        <v>1.0218849093217854E-2</v>
      </c>
      <c r="K16">
        <f>h*(d*(B16+(J16/2)))</f>
        <v>1.0655704891952918E-2</v>
      </c>
      <c r="L16">
        <f>h*(d*(B16+(K16/2)))</f>
        <v>1.0674380477348842E-2</v>
      </c>
      <c r="M16">
        <f>h*(d*(B16+L16))</f>
        <v>1.1131508624031181E-2</v>
      </c>
    </row>
    <row r="17" spans="1:13" x14ac:dyDescent="0.45">
      <c r="A17">
        <f>A16+h</f>
        <v>0.39999999999999997</v>
      </c>
      <c r="B17">
        <f t="shared" si="0"/>
        <v>0.11956083910238145</v>
      </c>
      <c r="C17">
        <f t="shared" si="1"/>
        <v>6.4643347434703277E-2</v>
      </c>
      <c r="D17">
        <f>a*B17-(a/b*B17^2)</f>
        <v>1.3670323064604113</v>
      </c>
      <c r="E17">
        <f>d*B17</f>
        <v>0.20444903486507229</v>
      </c>
      <c r="F17">
        <f>h*(a*B17-(a/b*B17^2))</f>
        <v>6.8351615323020573E-2</v>
      </c>
      <c r="G17">
        <f>h*(a*(B17+(F17/2)-(a/b*(B17+(F17/2))^2)))</f>
        <v>-0.11504690567569704</v>
      </c>
      <c r="H17">
        <f>h*(a*(B17+(G17/2))-(a/b*(B17+(G17/2))^2))</f>
        <v>3.795272478207723E-2</v>
      </c>
      <c r="I17">
        <f>h*(a*(B17+H17)-(a/b*(B17+H17)^2))</f>
        <v>8.5883200898610706E-2</v>
      </c>
      <c r="J17">
        <f>h*E17</f>
        <v>1.0222451743253615E-2</v>
      </c>
      <c r="K17">
        <f>h*(d*(B17+(J17/2)))</f>
        <v>1.0659461555277708E-2</v>
      </c>
      <c r="L17">
        <f>h*(d*(B17+(K17/2)))</f>
        <v>1.0678143724741738E-2</v>
      </c>
      <c r="M17">
        <f>h*(d*(B17+L17))</f>
        <v>1.1135433031719032E-2</v>
      </c>
    </row>
    <row r="18" spans="1:13" x14ac:dyDescent="0.45">
      <c r="A18">
        <f>A17+h</f>
        <v>0.44999999999999996</v>
      </c>
      <c r="B18">
        <f t="shared" si="0"/>
        <v>0.11956858150811339</v>
      </c>
      <c r="C18">
        <f t="shared" si="1"/>
        <v>7.5315529990538532E-2</v>
      </c>
      <c r="D18">
        <f>a*B18-(a/b*B18^2)</f>
        <v>1.3671079300343738</v>
      </c>
      <c r="E18">
        <f>d*B18</f>
        <v>0.2044622743788739</v>
      </c>
      <c r="F18">
        <f>h*(a*B18-(a/b*B18^2))</f>
        <v>6.8355396501718693E-2</v>
      </c>
      <c r="G18">
        <f>h*(a*(B18+(F18/2)-(a/b*(B18+(F18/2))^2)))</f>
        <v>-0.11506763359840949</v>
      </c>
      <c r="H18">
        <f>h*(a*(B18+(G18/2))-(a/b*(B18+(G18/2))^2))</f>
        <v>3.7951234308504604E-2</v>
      </c>
      <c r="I18">
        <f>h*(a*(B18+H18)-(a/b*(B18+H18)^2))</f>
        <v>8.588592350290572E-2</v>
      </c>
      <c r="J18">
        <f>h*E18</f>
        <v>1.0223113718943695E-2</v>
      </c>
      <c r="K18">
        <f>h*(d*(B18+(J18/2)))</f>
        <v>1.0660151830428538E-2</v>
      </c>
      <c r="L18">
        <f>h*(d*(B18+(K18/2)))</f>
        <v>1.0678835209694516E-2</v>
      </c>
      <c r="M18">
        <f>h*(d*(B18+L18))</f>
        <v>1.1136154129372576E-2</v>
      </c>
    </row>
    <row r="19" spans="1:13" x14ac:dyDescent="0.45">
      <c r="A19">
        <f>A18+h</f>
        <v>0.49999999999999994</v>
      </c>
      <c r="B19">
        <f t="shared" si="0"/>
        <v>0.11957000174558249</v>
      </c>
      <c r="C19">
        <f t="shared" si="1"/>
        <v>8.598840364529893E-2</v>
      </c>
      <c r="D19">
        <f>a*B19-(a/b*B19^2)</f>
        <v>1.3671218019538907</v>
      </c>
      <c r="E19">
        <f>d*B19</f>
        <v>0.20446470298494607</v>
      </c>
      <c r="F19">
        <f>h*(a*B19-(a/b*B19^2))</f>
        <v>6.8356090097694541E-2</v>
      </c>
      <c r="G19">
        <f>h*(a*(B19+(F19/2)-(a/b*(B19+(F19/2))^2)))</f>
        <v>-0.11507143602386463</v>
      </c>
      <c r="H19">
        <f>h*(a*(B19+(G19/2))-(a/b*(B19+(G19/2))^2))</f>
        <v>3.7950960851160766E-2</v>
      </c>
      <c r="I19">
        <f>h*(a*(B19+H19)-(a/b*(B19+H19)^2))</f>
        <v>8.5886422899164691E-2</v>
      </c>
      <c r="J19">
        <f>h*E19</f>
        <v>1.0223235149247304E-2</v>
      </c>
      <c r="K19">
        <f>h*(d*(B19+(J19/2)))</f>
        <v>1.0660278451877626E-2</v>
      </c>
      <c r="L19">
        <f>h*(d*(B19+(K19/2)))</f>
        <v>1.0678962053065072E-2</v>
      </c>
      <c r="M19">
        <f>h*(d*(B19+L19))</f>
        <v>1.1136286404784368E-2</v>
      </c>
    </row>
    <row r="20" spans="1:13" x14ac:dyDescent="0.45">
      <c r="A20">
        <f>A19+h</f>
        <v>0.54999999999999993</v>
      </c>
      <c r="B20">
        <f t="shared" si="0"/>
        <v>0.11957026218749107</v>
      </c>
      <c r="C20">
        <f t="shared" si="1"/>
        <v>9.6661404072618445E-2</v>
      </c>
      <c r="D20">
        <f>a*B20-(a/b*B20^2)</f>
        <v>1.3671243457682947</v>
      </c>
      <c r="E20">
        <f>d*B20</f>
        <v>0.20446514834060972</v>
      </c>
      <c r="F20">
        <f>h*(a*B20-(a/b*B20^2))</f>
        <v>6.8356217288414733E-2</v>
      </c>
      <c r="G20">
        <f>h*(a*(B20+(F20/2)-(a/b*(B20+(F20/2))^2)))</f>
        <v>-0.11507213331518569</v>
      </c>
      <c r="H20">
        <f>h*(a*(B20+(G20/2))-(a/b*(B20+(G20/2))^2))</f>
        <v>3.7950910703091555E-2</v>
      </c>
      <c r="I20">
        <f>h*(a*(B20+H20)-(a/b*(B20+H20)^2))</f>
        <v>8.5886514477076015E-2</v>
      </c>
      <c r="J20">
        <f>h*E20</f>
        <v>1.0223257417030486E-2</v>
      </c>
      <c r="K20">
        <f>h*(d*(B20+(J20/2)))</f>
        <v>1.066030167160854E-2</v>
      </c>
      <c r="L20">
        <f>h*(d*(B20+(K20/2)))</f>
        <v>1.0678985313491752E-2</v>
      </c>
      <c r="M20">
        <f>h*(d*(B20+L20))</f>
        <v>1.1136310661334033E-2</v>
      </c>
    </row>
    <row r="21" spans="1:13" x14ac:dyDescent="0.45">
      <c r="A21">
        <f>A20+h</f>
        <v>0.6</v>
      </c>
      <c r="B21">
        <f t="shared" si="0"/>
        <v>0.11957030994437481</v>
      </c>
      <c r="C21">
        <f t="shared" si="1"/>
        <v>0.10733442774737929</v>
      </c>
      <c r="D21">
        <f>a*B21-(a/b*B21^2)</f>
        <v>1.3671248122239277</v>
      </c>
      <c r="E21">
        <f>d*B21</f>
        <v>0.20446523000488093</v>
      </c>
      <c r="F21">
        <f>h*(a*B21-(a/b*B21^2))</f>
        <v>6.8356240611196384E-2</v>
      </c>
      <c r="G21">
        <f>h*(a*(B21+(F21/2)-(a/b*(B21+(F21/2))^2)))</f>
        <v>-0.11507226117675767</v>
      </c>
      <c r="H21">
        <f>h*(a*(B21+(G21/2))-(a/b*(B21+(G21/2))^2))</f>
        <v>3.7950901507450154E-2</v>
      </c>
      <c r="I21">
        <f>h*(a*(B21+H21)-(a/b*(B21+H21)^2))</f>
        <v>8.5886531269563304E-2</v>
      </c>
      <c r="J21">
        <f>h*E21</f>
        <v>1.0223261500244047E-2</v>
      </c>
      <c r="K21">
        <f>h*(d*(B21+(J21/2)))</f>
        <v>1.066030592937948E-2</v>
      </c>
      <c r="L21">
        <f>h*(d*(B21+(K21/2)))</f>
        <v>1.0678989578725019E-2</v>
      </c>
      <c r="M21">
        <f>h*(d*(B21+L21))</f>
        <v>1.1136315109225036E-2</v>
      </c>
    </row>
    <row r="22" spans="1:13" x14ac:dyDescent="0.45">
      <c r="A22">
        <f>A21+h</f>
        <v>0.65</v>
      </c>
      <c r="B22">
        <f t="shared" si="0"/>
        <v>0.11957031870139892</v>
      </c>
      <c r="C22">
        <f t="shared" si="1"/>
        <v>0.11800745568499231</v>
      </c>
      <c r="D22">
        <f>a*B22-(a/b*B22^2)</f>
        <v>1.3671248977563697</v>
      </c>
      <c r="E22">
        <f>d*B22</f>
        <v>0.20446524497939214</v>
      </c>
      <c r="F22">
        <f>h*(a*B22-(a/b*B22^2))</f>
        <v>6.8356244887818482E-2</v>
      </c>
      <c r="G22">
        <f>h*(a*(B22+(F22/2)-(a/b*(B22+(F22/2))^2)))</f>
        <v>-0.11507228462232398</v>
      </c>
      <c r="H22">
        <f>h*(a*(B22+(G22/2))-(a/b*(B22+(G22/2))^2))</f>
        <v>3.7950899821273441E-2</v>
      </c>
      <c r="I22">
        <f>h*(a*(B22+H22)-(a/b*(B22+H22)^2))</f>
        <v>8.5886534348745922E-2</v>
      </c>
      <c r="J22">
        <f>h*E22</f>
        <v>1.0223262248969607E-2</v>
      </c>
      <c r="K22">
        <f>h*(d*(B22+(J22/2)))</f>
        <v>1.066030671011306E-2</v>
      </c>
      <c r="L22">
        <f>h*(d*(B22+(K22/2)))</f>
        <v>1.0678990360826942E-2</v>
      </c>
      <c r="M22">
        <f>h*(d*(B22+L22))</f>
        <v>1.1136315924820311E-2</v>
      </c>
    </row>
    <row r="23" spans="1:13" x14ac:dyDescent="0.45">
      <c r="A23">
        <f>A22+h</f>
        <v>0.70000000000000007</v>
      </c>
      <c r="B23">
        <f t="shared" si="0"/>
        <v>0.11957032030714281</v>
      </c>
      <c r="C23">
        <f t="shared" si="1"/>
        <v>0.12868048440427063</v>
      </c>
      <c r="D23">
        <f>a*B23-(a/b*B23^2)</f>
        <v>1.3671249134401444</v>
      </c>
      <c r="E23">
        <f>d*B23</f>
        <v>0.20446524772521418</v>
      </c>
      <c r="F23">
        <f>h*(a*B23-(a/b*B23^2))</f>
        <v>6.8356245672007224E-2</v>
      </c>
      <c r="G23">
        <f>h*(a*(B23+(F23/2)-(a/b*(B23+(F23/2))^2)))</f>
        <v>-0.11507228892145301</v>
      </c>
      <c r="H23">
        <f>h*(a*(B23+(G23/2))-(a/b*(B23+(G23/2))^2))</f>
        <v>3.7950899512085245E-2</v>
      </c>
      <c r="I23">
        <f>h*(a*(B23+H23)-(a/b*(B23+H23)^2))</f>
        <v>8.5886534913364496E-2</v>
      </c>
      <c r="J23">
        <f>h*E23</f>
        <v>1.022326238626071E-2</v>
      </c>
      <c r="K23">
        <f>h*(d*(B23+(J23/2)))</f>
        <v>1.0660306853273356E-2</v>
      </c>
      <c r="L23">
        <f>h*(d*(B23+(K23/2)))</f>
        <v>1.0678990504238145E-2</v>
      </c>
      <c r="M23">
        <f>h*(d*(B23+L23))</f>
        <v>1.113631607437307E-2</v>
      </c>
    </row>
    <row r="24" spans="1:13" x14ac:dyDescent="0.45">
      <c r="A24">
        <f>A23+h</f>
        <v>0.75000000000000011</v>
      </c>
      <c r="B24">
        <f t="shared" si="0"/>
        <v>0.11957032060158218</v>
      </c>
      <c r="C24">
        <f t="shared" si="1"/>
        <v>0.13935351326688009</v>
      </c>
      <c r="D24">
        <f>a*B24-(a/b*B24^2)</f>
        <v>1.3671249163160208</v>
      </c>
      <c r="E24">
        <f>d*B24</f>
        <v>0.20446524822870552</v>
      </c>
      <c r="F24">
        <f>h*(a*B24-(a/b*B24^2))</f>
        <v>6.8356245815801048E-2</v>
      </c>
      <c r="G24">
        <f>h*(a*(B24+(F24/2)-(a/b*(B24+(F24/2))^2)))</f>
        <v>-0.11507228970976856</v>
      </c>
      <c r="H24">
        <f>h*(a*(B24+(G24/2))-(a/b*(B24+(G24/2))^2))</f>
        <v>3.7950899455390541E-2</v>
      </c>
      <c r="I24">
        <f>h*(a*(B24+H24)-(a/b*(B24+H24)^2))</f>
        <v>8.5886535016896526E-2</v>
      </c>
      <c r="J24">
        <f>h*E24</f>
        <v>1.0223262411435277E-2</v>
      </c>
      <c r="K24">
        <f>h*(d*(B24+(J24/2)))</f>
        <v>1.0660306879524135E-2</v>
      </c>
      <c r="L24">
        <f>h*(d*(B24+(K24/2)))</f>
        <v>1.0678990530534935E-2</v>
      </c>
      <c r="M24">
        <f>h*(d*(B24+L24))</f>
        <v>1.1136316101796016E-2</v>
      </c>
    </row>
    <row r="25" spans="1:13" x14ac:dyDescent="0.45">
      <c r="A25">
        <f>A24+h</f>
        <v>0.80000000000000016</v>
      </c>
      <c r="B25">
        <f t="shared" si="0"/>
        <v>0.11957032065557244</v>
      </c>
      <c r="C25">
        <f t="shared" si="1"/>
        <v>0.15002654215577166</v>
      </c>
      <c r="D25">
        <f>a*B25-(a/b*B25^2)</f>
        <v>1.3671249168433595</v>
      </c>
      <c r="E25">
        <f>d*B25</f>
        <v>0.20446524832102886</v>
      </c>
      <c r="F25">
        <f>h*(a*B25-(a/b*B25^2))</f>
        <v>6.835624584216797E-2</v>
      </c>
      <c r="G25">
        <f>h*(a*(B25+(F25/2)-(a/b*(B25+(F25/2))^2)))</f>
        <v>-0.11507228985431905</v>
      </c>
      <c r="H25">
        <f>h*(a*(B25+(G25/2))-(a/b*(B25+(G25/2))^2))</f>
        <v>3.7950899444994642E-2</v>
      </c>
      <c r="I25">
        <f>h*(a*(B25+H25)-(a/b*(B25+H25)^2))</f>
        <v>8.5886535035880784E-2</v>
      </c>
      <c r="J25">
        <f>h*E25</f>
        <v>1.0223262416051444E-2</v>
      </c>
      <c r="K25">
        <f>h*(d*(B25+(J25/2)))</f>
        <v>1.0660306884337644E-2</v>
      </c>
      <c r="L25">
        <f>h*(d*(B25+(K25/2)))</f>
        <v>1.0678990535356878E-2</v>
      </c>
      <c r="M25">
        <f>h*(d*(B25+L25))</f>
        <v>1.1136316106824456E-2</v>
      </c>
    </row>
    <row r="26" spans="1:13" x14ac:dyDescent="0.45">
      <c r="A26">
        <f>A25+h</f>
        <v>0.8500000000000002</v>
      </c>
      <c r="B26">
        <f t="shared" si="0"/>
        <v>0.11957032066547243</v>
      </c>
      <c r="C26">
        <f t="shared" si="1"/>
        <v>0.16069957104948249</v>
      </c>
      <c r="D26">
        <f>a*B26-(a/b*B26^2)</f>
        <v>1.3671249169400557</v>
      </c>
      <c r="E26">
        <f>d*B26</f>
        <v>0.20446524833795787</v>
      </c>
      <c r="F26">
        <f>h*(a*B26-(a/b*B26^2))</f>
        <v>6.8356245847002783E-2</v>
      </c>
      <c r="G26">
        <f>h*(a*(B26+(F26/2)-(a/b*(B26+(F26/2))^2)))</f>
        <v>-0.11507228988082474</v>
      </c>
      <c r="H26">
        <f>h*(a*(B26+(G26/2))-(a/b*(B26+(G26/2))^2))</f>
        <v>3.7950899443088389E-2</v>
      </c>
      <c r="I26">
        <f>h*(a*(B26+H26)-(a/b*(B26+H26)^2))</f>
        <v>8.5886535039361875E-2</v>
      </c>
      <c r="J26">
        <f>h*E26</f>
        <v>1.0223262416897895E-2</v>
      </c>
      <c r="K26">
        <f>h*(d*(B26+(J26/2)))</f>
        <v>1.0660306885220279E-2</v>
      </c>
      <c r="L26">
        <f>h*(d*(B26+(K26/2)))</f>
        <v>1.067899053624106E-2</v>
      </c>
      <c r="M26">
        <f>h*(d*(B26+L26))</f>
        <v>1.1136316107746503E-2</v>
      </c>
    </row>
    <row r="27" spans="1:13" x14ac:dyDescent="0.45">
      <c r="A27">
        <f>A26+h</f>
        <v>0.90000000000000024</v>
      </c>
      <c r="B27">
        <f t="shared" si="0"/>
        <v>0.11957032066728776</v>
      </c>
      <c r="C27">
        <f t="shared" si="1"/>
        <v>0.171372599944077</v>
      </c>
      <c r="D27">
        <f>a*B27-(a/b*B27^2)</f>
        <v>1.3671249169577866</v>
      </c>
      <c r="E27">
        <f>d*B27</f>
        <v>0.20446524834106206</v>
      </c>
      <c r="F27">
        <f>h*(a*B27-(a/b*B27^2))</f>
        <v>6.8356245847889338E-2</v>
      </c>
      <c r="G27">
        <f>h*(a*(B27+(F27/2)-(a/b*(B27+(F27/2))^2)))</f>
        <v>-0.11507228988568502</v>
      </c>
      <c r="H27">
        <f>h*(a*(B27+(G27/2))-(a/b*(B27+(G27/2))^2))</f>
        <v>3.7950899442738835E-2</v>
      </c>
      <c r="I27">
        <f>h*(a*(B27+H27)-(a/b*(B27+H27)^2))</f>
        <v>8.5886535040000198E-2</v>
      </c>
      <c r="J27">
        <f>h*E27</f>
        <v>1.0223262417053104E-2</v>
      </c>
      <c r="K27">
        <f>h*(d*(B27+(J27/2)))</f>
        <v>1.0660306885382123E-2</v>
      </c>
      <c r="L27">
        <f>h*(d*(B27+(K27/2)))</f>
        <v>1.0678990536403189E-2</v>
      </c>
      <c r="M27">
        <f>h*(d*(B27+L27))</f>
        <v>1.1136316107915578E-2</v>
      </c>
    </row>
    <row r="28" spans="1:13" x14ac:dyDescent="0.45">
      <c r="A28">
        <f>A27+h</f>
        <v>0.95000000000000029</v>
      </c>
      <c r="B28">
        <f t="shared" si="0"/>
        <v>0.11957032066762062</v>
      </c>
      <c r="C28">
        <f t="shared" si="1"/>
        <v>0.18204562883883355</v>
      </c>
      <c r="D28">
        <f>a*B28-(a/b*B28^2)</f>
        <v>1.3671249169610378</v>
      </c>
      <c r="E28">
        <f>d*B28</f>
        <v>0.20446524834163127</v>
      </c>
      <c r="F28">
        <f>h*(a*B28-(a/b*B28^2))</f>
        <v>6.8356245848051889E-2</v>
      </c>
      <c r="G28">
        <f>h*(a*(B28+(F28/2)-(a/b*(B28+(F28/2))^2)))</f>
        <v>-0.11507228988657621</v>
      </c>
      <c r="H28">
        <f>h*(a*(B28+(G28/2))-(a/b*(B28+(G28/2))^2))</f>
        <v>3.795089944267474E-2</v>
      </c>
      <c r="I28">
        <f>h*(a*(B28+H28)-(a/b*(B28+H28)^2))</f>
        <v>8.5886535040117215E-2</v>
      </c>
      <c r="J28">
        <f>h*E28</f>
        <v>1.0223262417081564E-2</v>
      </c>
      <c r="K28">
        <f>h*(d*(B28+(J28/2)))</f>
        <v>1.0660306885411801E-2</v>
      </c>
      <c r="L28">
        <f>h*(d*(B28+(K28/2)))</f>
        <v>1.0678990536432918E-2</v>
      </c>
      <c r="M28">
        <f>h*(d*(B28+L28))</f>
        <v>1.1136316107946577E-2</v>
      </c>
    </row>
    <row r="29" spans="1:13" x14ac:dyDescent="0.45">
      <c r="A29">
        <f>A28+h</f>
        <v>1.0000000000000002</v>
      </c>
      <c r="B29">
        <f t="shared" si="0"/>
        <v>0.11957032066768164</v>
      </c>
      <c r="C29">
        <f t="shared" si="1"/>
        <v>0.19271865773361982</v>
      </c>
      <c r="D29">
        <f>a*B29-(a/b*B29^2)</f>
        <v>1.3671249169616337</v>
      </c>
      <c r="E29">
        <f>d*B29</f>
        <v>0.2044652483417356</v>
      </c>
      <c r="F29">
        <f>h*(a*B29-(a/b*B29^2))</f>
        <v>6.8356245848081684E-2</v>
      </c>
      <c r="G29">
        <f>h*(a*(B29+(F29/2)-(a/b*(B29+(F29/2))^2)))</f>
        <v>-0.11507228988673956</v>
      </c>
      <c r="H29">
        <f>h*(a*(B29+(G29/2))-(a/b*(B29+(G29/2))^2))</f>
        <v>3.7950899442663E-2</v>
      </c>
      <c r="I29">
        <f>h*(a*(B29+H29)-(a/b*(B29+H29)^2))</f>
        <v>8.5886535040138712E-2</v>
      </c>
      <c r="J29">
        <f>h*E29</f>
        <v>1.022326241708678E-2</v>
      </c>
      <c r="K29">
        <f>h*(d*(B29+(J29/2)))</f>
        <v>1.0660306885417241E-2</v>
      </c>
      <c r="L29">
        <f>h*(d*(B29+(K29/2)))</f>
        <v>1.0678990536438367E-2</v>
      </c>
      <c r="M29">
        <f>h*(d*(B29+L29))</f>
        <v>1.113631610795226E-2</v>
      </c>
    </row>
    <row r="32" spans="1:13" x14ac:dyDescent="0.45">
      <c r="L32">
        <f>h*(d*(B32+(K32/2)))</f>
        <v>0</v>
      </c>
      <c r="M32">
        <f>h*(d*(B32+L32))</f>
        <v>0</v>
      </c>
    </row>
    <row r="33" spans="12:13" x14ac:dyDescent="0.45">
      <c r="L33">
        <f>h*(d*(B33+(K33/2)))</f>
        <v>0</v>
      </c>
      <c r="M33">
        <f>h*(d*(B33+L33))</f>
        <v>0</v>
      </c>
    </row>
    <row r="34" spans="12:13" x14ac:dyDescent="0.45">
      <c r="L34">
        <f>h*(d*(B34+(K34/2)))</f>
        <v>0</v>
      </c>
      <c r="M34">
        <f>h*(d*(B34+L34))</f>
        <v>0</v>
      </c>
    </row>
    <row r="35" spans="12:13" x14ac:dyDescent="0.45">
      <c r="L35">
        <f>h*(d*(B35+(K35/2)))</f>
        <v>0</v>
      </c>
      <c r="M35">
        <f>h*(d*(B35+L35))</f>
        <v>0</v>
      </c>
    </row>
    <row r="36" spans="12:13" x14ac:dyDescent="0.45">
      <c r="L36">
        <f>h*(d*(B36+(K36/2)))</f>
        <v>0</v>
      </c>
      <c r="M36">
        <f>h*(d*(B36+L36))</f>
        <v>0</v>
      </c>
    </row>
    <row r="37" spans="12:13" x14ac:dyDescent="0.45">
      <c r="L37">
        <f>h*(d*(B37+(K37/2)))</f>
        <v>0</v>
      </c>
      <c r="M37">
        <f>h*(d*(B37+L37))</f>
        <v>0</v>
      </c>
    </row>
    <row r="38" spans="12:13" x14ac:dyDescent="0.45">
      <c r="L38">
        <f>h*(d*(B38+(K38/2)))</f>
        <v>0</v>
      </c>
      <c r="M38">
        <f>h*(d*(B38+L38))</f>
        <v>0</v>
      </c>
    </row>
    <row r="39" spans="12:13" x14ac:dyDescent="0.45">
      <c r="L39">
        <f>h*(d*(B39+(K39/2)))</f>
        <v>0</v>
      </c>
      <c r="M39">
        <f>h*(d*(B39+L39))</f>
        <v>0</v>
      </c>
    </row>
    <row r="40" spans="12:13" x14ac:dyDescent="0.45">
      <c r="L40">
        <f>h*(d*(B40+(K40/2)))</f>
        <v>0</v>
      </c>
      <c r="M40">
        <f>h*(d*(B40+L40))</f>
        <v>0</v>
      </c>
    </row>
    <row r="41" spans="12:13" x14ac:dyDescent="0.45">
      <c r="L41">
        <f>h*(d*(B41+(K41/2)))</f>
        <v>0</v>
      </c>
      <c r="M41">
        <f>h*(d*(B41+L41))</f>
        <v>0</v>
      </c>
    </row>
    <row r="42" spans="12:13" x14ac:dyDescent="0.45">
      <c r="L42">
        <f>h*(d*(B42+(K42/2)))</f>
        <v>0</v>
      </c>
      <c r="M42">
        <f>h*(d*(B42+L42))</f>
        <v>0</v>
      </c>
    </row>
    <row r="43" spans="12:13" x14ac:dyDescent="0.45">
      <c r="L43">
        <f>h*(d*(B43+(K43/2)))</f>
        <v>0</v>
      </c>
      <c r="M43">
        <f>h*(d*(B43+L43))</f>
        <v>0</v>
      </c>
    </row>
    <row r="44" spans="12:13" x14ac:dyDescent="0.45">
      <c r="L44">
        <f>h*(d*(B44+(K44/2)))</f>
        <v>0</v>
      </c>
      <c r="M44">
        <f>h*(d*(B44+L44))</f>
        <v>0</v>
      </c>
    </row>
    <row r="45" spans="12:13" x14ac:dyDescent="0.45">
      <c r="L45">
        <f>h*(d*(B45+(K45/2)))</f>
        <v>0</v>
      </c>
      <c r="M45">
        <f>h*(d*(B45+L45))</f>
        <v>0</v>
      </c>
    </row>
    <row r="46" spans="12:13" x14ac:dyDescent="0.45">
      <c r="L46">
        <f>h*(d*(B46+(K46/2)))</f>
        <v>0</v>
      </c>
      <c r="M46">
        <f>h*(d*(B46+L46))</f>
        <v>0</v>
      </c>
    </row>
    <row r="47" spans="12:13" x14ac:dyDescent="0.45">
      <c r="L47">
        <f>h*(d*(B47+(K47/2)))</f>
        <v>0</v>
      </c>
      <c r="M47">
        <f>h*(d*(B47+L47))</f>
        <v>0</v>
      </c>
    </row>
    <row r="48" spans="12:13" x14ac:dyDescent="0.45">
      <c r="L48">
        <f>h*(d*(B48+(K48/2)))</f>
        <v>0</v>
      </c>
      <c r="M48">
        <f>h*(d*(B48+L48))</f>
        <v>0</v>
      </c>
    </row>
    <row r="49" spans="12:13" x14ac:dyDescent="0.45">
      <c r="L49">
        <f>h*(d*(B49+(K49/2)))</f>
        <v>0</v>
      </c>
      <c r="M49">
        <f>h*(d*(B49+L49))</f>
        <v>0</v>
      </c>
    </row>
    <row r="50" spans="12:13" x14ac:dyDescent="0.45">
      <c r="L50">
        <f>h*(d*(B50+(K50/2)))</f>
        <v>0</v>
      </c>
      <c r="M50">
        <f>h*(d*(B50+L50))</f>
        <v>0</v>
      </c>
    </row>
    <row r="51" spans="12:13" x14ac:dyDescent="0.45">
      <c r="L51">
        <f>h*(d*(B51+(K51/2)))</f>
        <v>0</v>
      </c>
      <c r="M51">
        <f>h*(d*(B51+L51))</f>
        <v>0</v>
      </c>
    </row>
    <row r="52" spans="12:13" x14ac:dyDescent="0.45">
      <c r="L52">
        <f>h*(d*(B52+(K52/2)))</f>
        <v>0</v>
      </c>
      <c r="M52">
        <f>h*(d*(B52+L52))</f>
        <v>0</v>
      </c>
    </row>
    <row r="53" spans="12:13" x14ac:dyDescent="0.45">
      <c r="L53">
        <f>h*(d*(B53+(K53/2)))</f>
        <v>0</v>
      </c>
      <c r="M53">
        <f>h*(d*(B53+L53))</f>
        <v>0</v>
      </c>
    </row>
    <row r="54" spans="12:13" x14ac:dyDescent="0.45">
      <c r="L54">
        <f>h*(d*(B54+(K54/2)))</f>
        <v>0</v>
      </c>
      <c r="M54">
        <f>h*(d*(B54+L54))</f>
        <v>0</v>
      </c>
    </row>
    <row r="55" spans="12:13" x14ac:dyDescent="0.45">
      <c r="L55">
        <f>h*(d*(B55+(K55/2)))</f>
        <v>0</v>
      </c>
      <c r="M55">
        <f>h*(d*(B55+L55))</f>
        <v>0</v>
      </c>
    </row>
    <row r="56" spans="12:13" x14ac:dyDescent="0.45">
      <c r="L56">
        <f>h*(d*(B56+(K56/2)))</f>
        <v>0</v>
      </c>
      <c r="M56">
        <f>h*(d*(B56+L56))</f>
        <v>0</v>
      </c>
    </row>
    <row r="57" spans="12:13" x14ac:dyDescent="0.45">
      <c r="L57">
        <f>h*(d*(B57+(K57/2)))</f>
        <v>0</v>
      </c>
      <c r="M57">
        <f>h*(d*(B57+L57))</f>
        <v>0</v>
      </c>
    </row>
    <row r="58" spans="12:13" x14ac:dyDescent="0.45">
      <c r="L58">
        <f>h*(d*(B58+(K58/2)))</f>
        <v>0</v>
      </c>
      <c r="M58">
        <f>h*(d*(B58+L58))</f>
        <v>0</v>
      </c>
    </row>
    <row r="59" spans="12:13" x14ac:dyDescent="0.45">
      <c r="L59">
        <f>h*(d*(B59+(K59/2)))</f>
        <v>0</v>
      </c>
      <c r="M59">
        <f>h*(d*(B59+L59))</f>
        <v>0</v>
      </c>
    </row>
    <row r="60" spans="12:13" x14ac:dyDescent="0.45">
      <c r="L60">
        <f>h*(d*(B60+(K60/2)))</f>
        <v>0</v>
      </c>
      <c r="M60">
        <f>h*(d*(B60+L60))</f>
        <v>0</v>
      </c>
    </row>
    <row r="61" spans="12:13" x14ac:dyDescent="0.45">
      <c r="L61">
        <f>h*(d*(B61+(K61/2)))</f>
        <v>0</v>
      </c>
      <c r="M61">
        <f>h*(d*(B61+L61))</f>
        <v>0</v>
      </c>
    </row>
    <row r="62" spans="12:13" x14ac:dyDescent="0.45">
      <c r="L62">
        <f>h*(d*(B62+(K62/2)))</f>
        <v>0</v>
      </c>
      <c r="M62">
        <f>h*(d*(B62+L62))</f>
        <v>0</v>
      </c>
    </row>
    <row r="63" spans="12:13" x14ac:dyDescent="0.45">
      <c r="L63">
        <f>h*(d*(B63+(K63/2)))</f>
        <v>0</v>
      </c>
      <c r="M63">
        <f>h*(d*(B63+L63))</f>
        <v>0</v>
      </c>
    </row>
    <row r="64" spans="12:13" x14ac:dyDescent="0.45">
      <c r="L64">
        <f>h*(d*(B64+(K64/2)))</f>
        <v>0</v>
      </c>
      <c r="M64">
        <f>h*(d*(B64+L64))</f>
        <v>0</v>
      </c>
    </row>
    <row r="65" spans="12:13" x14ac:dyDescent="0.45">
      <c r="L65">
        <f>h*(d*(B65+(K65/2)))</f>
        <v>0</v>
      </c>
      <c r="M65">
        <f>h*(d*(B65+L65))</f>
        <v>0</v>
      </c>
    </row>
    <row r="66" spans="12:13" x14ac:dyDescent="0.45">
      <c r="L66">
        <f>h*(d*(B66+(K66/2)))</f>
        <v>0</v>
      </c>
      <c r="M66">
        <f>h*(d*(B66+L66))</f>
        <v>0</v>
      </c>
    </row>
    <row r="67" spans="12:13" x14ac:dyDescent="0.45">
      <c r="L67">
        <f>h*(d*(B67+(K67/2)))</f>
        <v>0</v>
      </c>
      <c r="M67">
        <f>h*(d*(B67+L67))</f>
        <v>0</v>
      </c>
    </row>
    <row r="68" spans="12:13" x14ac:dyDescent="0.45">
      <c r="L68">
        <f>h*(d*(B68+(K68/2)))</f>
        <v>0</v>
      </c>
      <c r="M68">
        <f>h*(d*(B68+L68))</f>
        <v>0</v>
      </c>
    </row>
    <row r="69" spans="12:13" x14ac:dyDescent="0.45">
      <c r="L69">
        <f>h*(d*(B69+(K69/2)))</f>
        <v>0</v>
      </c>
      <c r="M69">
        <f>h*(d*(B69+L69))</f>
        <v>0</v>
      </c>
    </row>
    <row r="70" spans="12:13" x14ac:dyDescent="0.45">
      <c r="L70">
        <f>h*(d*(B70+(K70/2)))</f>
        <v>0</v>
      </c>
      <c r="M70">
        <f>h*(d*(B70+L70))</f>
        <v>0</v>
      </c>
    </row>
    <row r="71" spans="12:13" x14ac:dyDescent="0.45">
      <c r="L71">
        <f>h*(d*(B71+(K71/2)))</f>
        <v>0</v>
      </c>
      <c r="M71">
        <f>h*(d*(B71+L71))</f>
        <v>0</v>
      </c>
    </row>
    <row r="72" spans="12:13" x14ac:dyDescent="0.45">
      <c r="L72">
        <f>h*(d*(B72+(K72/2)))</f>
        <v>0</v>
      </c>
      <c r="M72">
        <f>h*(d*(B72+L72))</f>
        <v>0</v>
      </c>
    </row>
    <row r="73" spans="12:13" x14ac:dyDescent="0.45">
      <c r="L73">
        <f>h*(d*(B73+(K73/2)))</f>
        <v>0</v>
      </c>
      <c r="M73">
        <f>h*(d*(B73+L73))</f>
        <v>0</v>
      </c>
    </row>
    <row r="74" spans="12:13" x14ac:dyDescent="0.45">
      <c r="L74">
        <f>h*(d*(B74+(K74/2)))</f>
        <v>0</v>
      </c>
      <c r="M74">
        <f>h*(d*(B74+L74))</f>
        <v>0</v>
      </c>
    </row>
    <row r="75" spans="12:13" x14ac:dyDescent="0.45">
      <c r="L75">
        <f>h*(d*(B75+(K75/2)))</f>
        <v>0</v>
      </c>
      <c r="M75">
        <f>h*(d*(B75+L75))</f>
        <v>0</v>
      </c>
    </row>
    <row r="76" spans="12:13" x14ac:dyDescent="0.45">
      <c r="L76">
        <f>h*(d*(B76+(K76/2)))</f>
        <v>0</v>
      </c>
      <c r="M76">
        <f>h*(d*(B76+L76))</f>
        <v>0</v>
      </c>
    </row>
    <row r="77" spans="12:13" x14ac:dyDescent="0.45">
      <c r="L77">
        <f>h*(d*(B77+(K77/2)))</f>
        <v>0</v>
      </c>
      <c r="M77">
        <f>h*(d*(B77+L77))</f>
        <v>0</v>
      </c>
    </row>
    <row r="78" spans="12:13" x14ac:dyDescent="0.45">
      <c r="L78">
        <f>h*(d*(B78+(K78/2)))</f>
        <v>0</v>
      </c>
      <c r="M78">
        <f>h*(d*(B78+L78))</f>
        <v>0</v>
      </c>
    </row>
    <row r="79" spans="12:13" x14ac:dyDescent="0.45">
      <c r="L79">
        <f>h*(d*(B79+(K79/2)))</f>
        <v>0</v>
      </c>
      <c r="M79">
        <f>h*(d*(B79+L79))</f>
        <v>0</v>
      </c>
    </row>
    <row r="80" spans="12:13" x14ac:dyDescent="0.45">
      <c r="L80">
        <f>h*(d*(B80+(K80/2)))</f>
        <v>0</v>
      </c>
      <c r="M80">
        <f>h*(d*(B80+L80))</f>
        <v>0</v>
      </c>
    </row>
    <row r="81" spans="12:13" x14ac:dyDescent="0.45">
      <c r="L81">
        <f>h*(d*(B81+(K81/2)))</f>
        <v>0</v>
      </c>
      <c r="M81">
        <f>h*(d*(B81+L81))</f>
        <v>0</v>
      </c>
    </row>
    <row r="82" spans="12:13" x14ac:dyDescent="0.45">
      <c r="L82">
        <f>h*(d*(B82+(K82/2)))</f>
        <v>0</v>
      </c>
      <c r="M82">
        <f>h*(d*(B82+L82))</f>
        <v>0</v>
      </c>
    </row>
    <row r="83" spans="12:13" x14ac:dyDescent="0.45">
      <c r="L83">
        <f>h*(d*(B83+(K83/2)))</f>
        <v>0</v>
      </c>
      <c r="M83">
        <f>h*(d*(B83+L83))</f>
        <v>0</v>
      </c>
    </row>
    <row r="84" spans="12:13" x14ac:dyDescent="0.45">
      <c r="L84">
        <f>h*(d*(B84+(K84/2)))</f>
        <v>0</v>
      </c>
      <c r="M84">
        <f>h*(d*(B84+L84))</f>
        <v>0</v>
      </c>
    </row>
    <row r="85" spans="12:13" x14ac:dyDescent="0.45">
      <c r="L85">
        <f>h*(d*(B85+(K85/2)))</f>
        <v>0</v>
      </c>
      <c r="M85">
        <f>h*(d*(B85+L85))</f>
        <v>0</v>
      </c>
    </row>
    <row r="86" spans="12:13" x14ac:dyDescent="0.45">
      <c r="L86">
        <f>h*(d*(B86+(K86/2)))</f>
        <v>0</v>
      </c>
      <c r="M86">
        <f>h*(d*(B86+L86))</f>
        <v>0</v>
      </c>
    </row>
    <row r="87" spans="12:13" x14ac:dyDescent="0.45">
      <c r="L87">
        <f>h*(d*(B87+(K87/2)))</f>
        <v>0</v>
      </c>
      <c r="M87">
        <f>h*(d*(B87+L87))</f>
        <v>0</v>
      </c>
    </row>
    <row r="88" spans="12:13" x14ac:dyDescent="0.45">
      <c r="L88">
        <f>h*(d*(B88+(K88/2)))</f>
        <v>0</v>
      </c>
      <c r="M88">
        <f>h*(d*(B88+L88))</f>
        <v>0</v>
      </c>
    </row>
    <row r="89" spans="12:13" x14ac:dyDescent="0.45">
      <c r="L89">
        <f>h*(d*(B89+(K89/2)))</f>
        <v>0</v>
      </c>
      <c r="M89">
        <f>h*(d*(B89+L89))</f>
        <v>0</v>
      </c>
    </row>
    <row r="90" spans="12:13" x14ac:dyDescent="0.45">
      <c r="L90">
        <f>h*(d*(B90+(K90/2)))</f>
        <v>0</v>
      </c>
      <c r="M90">
        <f>h*(d*(B90+L90))</f>
        <v>0</v>
      </c>
    </row>
    <row r="91" spans="12:13" x14ac:dyDescent="0.45">
      <c r="L91">
        <f>h*(d*(B91+(K91/2)))</f>
        <v>0</v>
      </c>
      <c r="M91">
        <f>h*(d*(B91+L91))</f>
        <v>0</v>
      </c>
    </row>
    <row r="92" spans="12:13" x14ac:dyDescent="0.45">
      <c r="L92">
        <f>h*(d*(B92+(K92/2)))</f>
        <v>0</v>
      </c>
      <c r="M92">
        <f>h*(d*(B92+L92))</f>
        <v>0</v>
      </c>
    </row>
    <row r="93" spans="12:13" x14ac:dyDescent="0.45">
      <c r="L93">
        <f>h*(d*(B93+(K93/2)))</f>
        <v>0</v>
      </c>
      <c r="M93">
        <f>h*(d*(B93+L93))</f>
        <v>0</v>
      </c>
    </row>
    <row r="94" spans="12:13" x14ac:dyDescent="0.45">
      <c r="L94">
        <f>h*(d*(B94+(K94/2)))</f>
        <v>0</v>
      </c>
      <c r="M94">
        <f>h*(d*(B94+L94))</f>
        <v>0</v>
      </c>
    </row>
    <row r="95" spans="12:13" x14ac:dyDescent="0.45">
      <c r="L95">
        <f>h*(d*(B95+(K95/2)))</f>
        <v>0</v>
      </c>
      <c r="M95">
        <f>h*(d*(B95+L95))</f>
        <v>0</v>
      </c>
    </row>
    <row r="96" spans="12:13" x14ac:dyDescent="0.45">
      <c r="L96">
        <f>h*(d*(B96+(K96/2)))</f>
        <v>0</v>
      </c>
      <c r="M96">
        <f>h*(d*(B96+L96))</f>
        <v>0</v>
      </c>
    </row>
    <row r="97" spans="12:13" x14ac:dyDescent="0.45">
      <c r="L97">
        <f>h*(d*(B97+(K97/2)))</f>
        <v>0</v>
      </c>
      <c r="M97">
        <f>h*(d*(B97+L97))</f>
        <v>0</v>
      </c>
    </row>
    <row r="98" spans="12:13" x14ac:dyDescent="0.45">
      <c r="L98">
        <f>h*(d*(B98+(K98/2)))</f>
        <v>0</v>
      </c>
      <c r="M98">
        <f>h*(d*(B98+L98))</f>
        <v>0</v>
      </c>
    </row>
    <row r="99" spans="12:13" x14ac:dyDescent="0.45">
      <c r="L99">
        <f>h*(d*(B99+(K99/2)))</f>
        <v>0</v>
      </c>
      <c r="M99">
        <f>h*(d*(B99+L99))</f>
        <v>0</v>
      </c>
    </row>
    <row r="100" spans="12:13" x14ac:dyDescent="0.45">
      <c r="L100">
        <f>h*(d*(B100+(K100/2)))</f>
        <v>0</v>
      </c>
      <c r="M100">
        <f>h*(d*(B100+L100))</f>
        <v>0</v>
      </c>
    </row>
    <row r="101" spans="12:13" x14ac:dyDescent="0.45">
      <c r="L101">
        <f>h*(d*(B101+(K101/2)))</f>
        <v>0</v>
      </c>
      <c r="M101">
        <f>h*(d*(B101+L101))</f>
        <v>0</v>
      </c>
    </row>
    <row r="102" spans="12:13" x14ac:dyDescent="0.45">
      <c r="L102">
        <f>h*(d*(B102+(K102/2)))</f>
        <v>0</v>
      </c>
      <c r="M102">
        <f>h*(d*(B102+L102))</f>
        <v>0</v>
      </c>
    </row>
    <row r="103" spans="12:13" x14ac:dyDescent="0.45">
      <c r="L103">
        <f>h*(d*(B103+(K103/2)))</f>
        <v>0</v>
      </c>
      <c r="M103">
        <f>h*(d*(B103+L103))</f>
        <v>0</v>
      </c>
    </row>
    <row r="104" spans="12:13" x14ac:dyDescent="0.45">
      <c r="L104">
        <f>h*(d*(B104+(K104/2)))</f>
        <v>0</v>
      </c>
      <c r="M104">
        <f>h*(d*(B104+L104))</f>
        <v>0</v>
      </c>
    </row>
    <row r="105" spans="12:13" x14ac:dyDescent="0.45">
      <c r="L105">
        <f>h*(d*(B105+(K105/2)))</f>
        <v>0</v>
      </c>
      <c r="M105">
        <f>h*(d*(B105+L105))</f>
        <v>0</v>
      </c>
    </row>
    <row r="106" spans="12:13" x14ac:dyDescent="0.45">
      <c r="L106">
        <f>h*(d*(B106+(K106/2)))</f>
        <v>0</v>
      </c>
      <c r="M106">
        <f>h*(d*(B106+L106))</f>
        <v>0</v>
      </c>
    </row>
    <row r="107" spans="12:13" x14ac:dyDescent="0.45">
      <c r="L107">
        <f>h*(d*(B107+(K107/2)))</f>
        <v>0</v>
      </c>
      <c r="M107">
        <f>h*(d*(B107+L107))</f>
        <v>0</v>
      </c>
    </row>
    <row r="108" spans="12:13" x14ac:dyDescent="0.45">
      <c r="L108">
        <f>h*(d*(B108+(K108/2)))</f>
        <v>0</v>
      </c>
      <c r="M108">
        <f>h*(d*(B108+L108))</f>
        <v>0</v>
      </c>
    </row>
    <row r="109" spans="12:13" x14ac:dyDescent="0.45">
      <c r="L109">
        <f>h*(d*(B109+(K109/2)))</f>
        <v>0</v>
      </c>
      <c r="M109">
        <f>h*(d*(B109+L109))</f>
        <v>0</v>
      </c>
    </row>
    <row r="110" spans="12:13" x14ac:dyDescent="0.45">
      <c r="L110">
        <f>h*(d*(B110+(K110/2)))</f>
        <v>0</v>
      </c>
      <c r="M110">
        <f>h*(d*(B110+L110))</f>
        <v>0</v>
      </c>
    </row>
    <row r="111" spans="12:13" x14ac:dyDescent="0.45">
      <c r="L111">
        <f>h*(d*(B111+(K111/2)))</f>
        <v>0</v>
      </c>
      <c r="M111">
        <f>h*(d*(B111+L111))</f>
        <v>0</v>
      </c>
    </row>
    <row r="112" spans="12:13" x14ac:dyDescent="0.45">
      <c r="L112">
        <f>h*(d*(B112+(K112/2)))</f>
        <v>0</v>
      </c>
      <c r="M112">
        <f>h*(d*(B112+L112))</f>
        <v>0</v>
      </c>
    </row>
    <row r="113" spans="12:13" x14ac:dyDescent="0.45">
      <c r="L113">
        <f>h*(d*(B113+(K113/2)))</f>
        <v>0</v>
      </c>
      <c r="M113">
        <f>h*(d*(B113+L113))</f>
        <v>0</v>
      </c>
    </row>
    <row r="114" spans="12:13" x14ac:dyDescent="0.45">
      <c r="L114">
        <f>h*(d*(B114+(K114/2)))</f>
        <v>0</v>
      </c>
      <c r="M114">
        <f>h*(d*(B114+L114))</f>
        <v>0</v>
      </c>
    </row>
    <row r="115" spans="12:13" x14ac:dyDescent="0.45">
      <c r="L115">
        <f>h*(d*(B115+(K115/2)))</f>
        <v>0</v>
      </c>
      <c r="M115">
        <f>h*(d*(B115+L115))</f>
        <v>0</v>
      </c>
    </row>
    <row r="116" spans="12:13" x14ac:dyDescent="0.45">
      <c r="L116">
        <f>h*(d*(B116+(K116/2)))</f>
        <v>0</v>
      </c>
      <c r="M116">
        <f>h*(d*(B116+L116))</f>
        <v>0</v>
      </c>
    </row>
    <row r="117" spans="12:13" x14ac:dyDescent="0.45">
      <c r="L117">
        <f>h*(d*(B117+(K117/2)))</f>
        <v>0</v>
      </c>
      <c r="M117">
        <f>h*(d*(B117+L117))</f>
        <v>0</v>
      </c>
    </row>
    <row r="118" spans="12:13" x14ac:dyDescent="0.45">
      <c r="L118">
        <f>h*(d*(B118+(K118/2)))</f>
        <v>0</v>
      </c>
      <c r="M118">
        <f>h*(d*(B118+L118))</f>
        <v>0</v>
      </c>
    </row>
    <row r="119" spans="12:13" x14ac:dyDescent="0.45">
      <c r="L119">
        <f>h*(d*(B119+(K119/2)))</f>
        <v>0</v>
      </c>
      <c r="M119">
        <f>h*(d*(B119+L119))</f>
        <v>0</v>
      </c>
    </row>
    <row r="120" spans="12:13" x14ac:dyDescent="0.45">
      <c r="L120">
        <f>h*(d*(B120+(K120/2)))</f>
        <v>0</v>
      </c>
      <c r="M120">
        <f>h*(d*(B120+L120))</f>
        <v>0</v>
      </c>
    </row>
    <row r="121" spans="12:13" x14ac:dyDescent="0.45">
      <c r="L121">
        <f>h*(d*(B121+(K121/2)))</f>
        <v>0</v>
      </c>
      <c r="M121">
        <f>h*(d*(B121+L121))</f>
        <v>0</v>
      </c>
    </row>
    <row r="122" spans="12:13" x14ac:dyDescent="0.45">
      <c r="L122">
        <f>h*(d*(B122+(K122/2)))</f>
        <v>0</v>
      </c>
      <c r="M122">
        <f>h*(d*(B122+L122))</f>
        <v>0</v>
      </c>
    </row>
    <row r="123" spans="12:13" x14ac:dyDescent="0.45">
      <c r="L123">
        <f>h*(d*(B123+(K123/2)))</f>
        <v>0</v>
      </c>
      <c r="M123">
        <f>h*(d*(B123+L123))</f>
        <v>0</v>
      </c>
    </row>
    <row r="124" spans="12:13" x14ac:dyDescent="0.45">
      <c r="L124">
        <f>h*(d*(B124+(K124/2)))</f>
        <v>0</v>
      </c>
      <c r="M124">
        <f>h*(d*(B124+L124))</f>
        <v>0</v>
      </c>
    </row>
    <row r="125" spans="12:13" x14ac:dyDescent="0.45">
      <c r="L125">
        <f>h*(d*(B125+(K125/2)))</f>
        <v>0</v>
      </c>
      <c r="M125">
        <f>h*(d*(B125+L125))</f>
        <v>0</v>
      </c>
    </row>
    <row r="126" spans="12:13" x14ac:dyDescent="0.45">
      <c r="L126">
        <f>h*(d*(B126+(K126/2)))</f>
        <v>0</v>
      </c>
      <c r="M126">
        <f>h*(d*(B126+L126))</f>
        <v>0</v>
      </c>
    </row>
    <row r="127" spans="12:13" x14ac:dyDescent="0.45">
      <c r="L127">
        <f>h*(d*(B127+(K127/2)))</f>
        <v>0</v>
      </c>
      <c r="M127">
        <f>h*(d*(B127+L127))</f>
        <v>0</v>
      </c>
    </row>
    <row r="128" spans="12:13" x14ac:dyDescent="0.45">
      <c r="L128">
        <f>h*(d*(B128+(K128/2)))</f>
        <v>0</v>
      </c>
      <c r="M128">
        <f>h*(d*(B128+L128))</f>
        <v>0</v>
      </c>
    </row>
    <row r="129" spans="12:13" x14ac:dyDescent="0.45">
      <c r="L129">
        <f>h*(d*(B129+(K129/2)))</f>
        <v>0</v>
      </c>
      <c r="M129">
        <f>h*(d*(B129+L129))</f>
        <v>0</v>
      </c>
    </row>
    <row r="130" spans="12:13" x14ac:dyDescent="0.45">
      <c r="L130">
        <f>h*(d*(B130+(K130/2)))</f>
        <v>0</v>
      </c>
      <c r="M130">
        <f>h*(d*(B130+L130))</f>
        <v>0</v>
      </c>
    </row>
    <row r="131" spans="12:13" x14ac:dyDescent="0.45">
      <c r="L131">
        <f>h*(d*(B131+(K131/2)))</f>
        <v>0</v>
      </c>
      <c r="M131">
        <f>h*(d*(B131+L131))</f>
        <v>0</v>
      </c>
    </row>
    <row r="132" spans="12:13" x14ac:dyDescent="0.45">
      <c r="L132">
        <f>h*(d*(B132+(K132/2)))</f>
        <v>0</v>
      </c>
      <c r="M132">
        <f>h*(d*(B132+L132))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5.9a</vt:lpstr>
      <vt:lpstr>5.9b</vt:lpstr>
      <vt:lpstr>5.9c</vt:lpstr>
      <vt:lpstr>5.9d</vt:lpstr>
      <vt:lpstr>5.9e</vt:lpstr>
      <vt:lpstr>a</vt:lpstr>
      <vt:lpstr>b</vt:lpstr>
      <vt:lpstr>d</vt:lpstr>
      <vt:lpstr>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Pabilic</dc:creator>
  <cp:lastModifiedBy>Sarah Pabilic</cp:lastModifiedBy>
  <dcterms:created xsi:type="dcterms:W3CDTF">2020-04-03T16:41:00Z</dcterms:created>
  <dcterms:modified xsi:type="dcterms:W3CDTF">2020-04-05T21:07:21Z</dcterms:modified>
</cp:coreProperties>
</file>