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lfan_Alasam/Desktop/ChE 205/HW/"/>
    </mc:Choice>
  </mc:AlternateContent>
  <xr:revisionPtr revIDLastSave="0" documentId="13_ncr:1_{8E60496C-7ECB-7046-8E61-97EA9CEB085E}" xr6:coauthVersionLast="45" xr6:coauthVersionMax="45" xr10:uidLastSave="{00000000-0000-0000-0000-000000000000}"/>
  <bookViews>
    <workbookView xWindow="9340" yWindow="460" windowWidth="16180" windowHeight="14180" activeTab="2" xr2:uid="{34213216-BD68-A644-B5FB-78FFDC118D5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1" hidden="1">Sheet2!$J$15</definedName>
    <definedName name="solver_adj" localSheetId="2" hidden="1">Sheet3!$E$19:$E$20</definedName>
    <definedName name="solver_adj" localSheetId="3" hidden="1">Sheet4!$E$9:$E$10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1" hidden="1">Sheet2!$J$15</definedName>
    <definedName name="solver_lhs1" localSheetId="2" hidden="1">Sheet3!$B$21</definedName>
    <definedName name="solver_lhs1" localSheetId="3" hidden="1">Sheet4!$C$11</definedName>
    <definedName name="solver_lhs2" localSheetId="1" hidden="1">Sheet2!$J$15</definedName>
    <definedName name="solver_lhs2" localSheetId="2" hidden="1">Sheet3!$C$21</definedName>
    <definedName name="solver_lhs2" localSheetId="3" hidden="1">Sheet4!$D$11</definedName>
    <definedName name="solver_lhs3" localSheetId="2" hidden="1">Sheet3!$D$21</definedName>
    <definedName name="solver_lhs3" localSheetId="3" hidden="1">Sheet4!$E$10</definedName>
    <definedName name="solver_lhs4" localSheetId="2" hidden="1">Sheet3!$E$19</definedName>
    <definedName name="solver_lhs4" localSheetId="3" hidden="1">Sheet4!$E$9</definedName>
    <definedName name="solver_lhs5" localSheetId="2" hidden="1">Sheet3!$E$20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2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1" hidden="1">2</definedName>
    <definedName name="solver_num" localSheetId="2" hidden="1">5</definedName>
    <definedName name="solver_num" localSheetId="3" hidden="1">4</definedName>
    <definedName name="solver_opt" localSheetId="1" hidden="1">Sheet2!$L$15</definedName>
    <definedName name="solver_opt" localSheetId="2" hidden="1">Sheet3!$F$21</definedName>
    <definedName name="solver_opt" localSheetId="3" hidden="1">Sheet4!$F$11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1" hidden="1">3</definedName>
    <definedName name="solver_rel2" localSheetId="2" hidden="1">1</definedName>
    <definedName name="solver_rel2" localSheetId="3" hidden="1">1</definedName>
    <definedName name="solver_rel3" localSheetId="2" hidden="1">1</definedName>
    <definedName name="solver_rel3" localSheetId="3" hidden="1">4</definedName>
    <definedName name="solver_rel4" localSheetId="2" hidden="1">4</definedName>
    <definedName name="solver_rel4" localSheetId="3" hidden="1">4</definedName>
    <definedName name="solver_rel5" localSheetId="2" hidden="1">4</definedName>
    <definedName name="solver_rhs1" localSheetId="1" hidden="1">10</definedName>
    <definedName name="solver_rhs1" localSheetId="2" hidden="1">Sheet3!$B$22</definedName>
    <definedName name="solver_rhs1" localSheetId="3" hidden="1">77</definedName>
    <definedName name="solver_rhs2" localSheetId="1" hidden="1">0</definedName>
    <definedName name="solver_rhs2" localSheetId="2" hidden="1">Sheet3!$C$22</definedName>
    <definedName name="solver_rhs2" localSheetId="3" hidden="1">80</definedName>
    <definedName name="solver_rhs3" localSheetId="2" hidden="1">Sheet3!$D$22</definedName>
    <definedName name="solver_rhs3" localSheetId="3" hidden="1">integer</definedName>
    <definedName name="solver_rhs4" localSheetId="2" hidden="1">integer</definedName>
    <definedName name="solver_rhs4" localSheetId="3" hidden="1">integer</definedName>
    <definedName name="solver_rhs5" localSheetId="2" hidden="1">integer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4" l="1"/>
  <c r="D9" i="4"/>
  <c r="C10" i="4"/>
  <c r="C9" i="4"/>
  <c r="F10" i="4"/>
  <c r="F9" i="4"/>
  <c r="L15" i="2"/>
  <c r="L13" i="2"/>
  <c r="L7" i="2"/>
  <c r="L5" i="2"/>
  <c r="F20" i="3"/>
  <c r="F19" i="3"/>
  <c r="D20" i="3"/>
  <c r="C20" i="3"/>
  <c r="B20" i="3"/>
  <c r="B19" i="3"/>
  <c r="D19" i="3"/>
  <c r="C19" i="3"/>
  <c r="C21" i="3" s="1"/>
  <c r="F11" i="4" l="1"/>
  <c r="D11" i="4"/>
  <c r="C11" i="4"/>
  <c r="D21" i="3"/>
  <c r="B21" i="3"/>
  <c r="F21" i="3"/>
  <c r="S2" i="1"/>
  <c r="Z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3" i="1"/>
  <c r="L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" i="1"/>
  <c r="G7" i="2"/>
  <c r="B6" i="2" l="1"/>
  <c r="B7" i="2"/>
  <c r="B8" i="2"/>
  <c r="B9" i="2"/>
  <c r="B10" i="2"/>
  <c r="B11" i="2"/>
  <c r="B12" i="2"/>
  <c r="B13" i="2"/>
  <c r="B14" i="2"/>
  <c r="B15" i="2"/>
  <c r="B16" i="2"/>
  <c r="G15" i="2" s="1"/>
  <c r="B17" i="2"/>
  <c r="B18" i="2"/>
  <c r="B19" i="2"/>
  <c r="B20" i="2"/>
  <c r="B21" i="2"/>
  <c r="B22" i="2"/>
  <c r="B23" i="2"/>
  <c r="B24" i="2"/>
  <c r="B25" i="2"/>
  <c r="B5" i="2"/>
  <c r="G5" i="2" s="1"/>
  <c r="E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  <c r="G13" i="2" l="1"/>
</calcChain>
</file>

<file path=xl/sharedStrings.xml><?xml version="1.0" encoding="utf-8"?>
<sst xmlns="http://schemas.openxmlformats.org/spreadsheetml/2006/main" count="120" uniqueCount="64">
  <si>
    <t>x</t>
  </si>
  <si>
    <t>y</t>
  </si>
  <si>
    <t>f(x)</t>
  </si>
  <si>
    <t>root of f(x) =</t>
  </si>
  <si>
    <t>f(x) =</t>
  </si>
  <si>
    <t>x-x^(1/3)-2</t>
  </si>
  <si>
    <t>using Goal seek and setting the intial point to 3.</t>
  </si>
  <si>
    <t xml:space="preserve">since we can see from the graph that the root is </t>
  </si>
  <si>
    <t>around 3</t>
  </si>
  <si>
    <t>e^(-0.3x)*sin(x+1)</t>
  </si>
  <si>
    <t>A) The min and max from [-10,10] is</t>
  </si>
  <si>
    <t>x =</t>
  </si>
  <si>
    <t>Minimum</t>
  </si>
  <si>
    <t>y =</t>
  </si>
  <si>
    <t>Maximum</t>
  </si>
  <si>
    <t xml:space="preserve">y = </t>
  </si>
  <si>
    <t>B) The min and max for x&gt;0</t>
  </si>
  <si>
    <t xml:space="preserve">x = </t>
  </si>
  <si>
    <t xml:space="preserve">Using min and max fuction to find the lowest </t>
  </si>
  <si>
    <t>value in the y</t>
  </si>
  <si>
    <t>xtan(x)-1</t>
  </si>
  <si>
    <t>using Goal seek and setting the intial point to 0.</t>
  </si>
  <si>
    <t>around 0.</t>
  </si>
  <si>
    <t>x^4 - e^x + 1</t>
  </si>
  <si>
    <t>x^2*e^x-1</t>
  </si>
  <si>
    <t>using Goal seek and setting the intial point to 1.</t>
  </si>
  <si>
    <t>around 1.</t>
  </si>
  <si>
    <t>Initial material:-</t>
  </si>
  <si>
    <t>Corn in pounds</t>
  </si>
  <si>
    <t>hops in oz</t>
  </si>
  <si>
    <t>malt in pounds</t>
  </si>
  <si>
    <t>The profit of selling one barrel:-</t>
  </si>
  <si>
    <t>ChE Yellow ($/barrel)</t>
  </si>
  <si>
    <t>ChE Orange ($/barrel)</t>
  </si>
  <si>
    <t>Yellow</t>
  </si>
  <si>
    <t>Ratio to produce 1 barrel:-</t>
  </si>
  <si>
    <t>Orange</t>
  </si>
  <si>
    <t>corn in pound</t>
  </si>
  <si>
    <t>malt in pound</t>
  </si>
  <si>
    <t>Max material used</t>
  </si>
  <si>
    <t xml:space="preserve">To find out how many barrel of each beer should be produced we will need </t>
  </si>
  <si>
    <t xml:space="preserve">to find the maximum profit with the given intial conditions </t>
  </si>
  <si>
    <t># of barrels</t>
  </si>
  <si>
    <t>profit in $</t>
  </si>
  <si>
    <t>Material used for both Y and O</t>
  </si>
  <si>
    <t>Yellow (Y)</t>
  </si>
  <si>
    <t>Orange (O)</t>
  </si>
  <si>
    <t>^^-- total profit</t>
  </si>
  <si>
    <t>using solver to find the min and max</t>
  </si>
  <si>
    <t>profit in $/metric ton</t>
  </si>
  <si>
    <t>gas quality</t>
  </si>
  <si>
    <t>regular</t>
  </si>
  <si>
    <t>premium</t>
  </si>
  <si>
    <t xml:space="preserve">restrictions:- </t>
  </si>
  <si>
    <t>Max storage capacity (in metric tons)</t>
  </si>
  <si>
    <t>material constraints</t>
  </si>
  <si>
    <t xml:space="preserve">Workers schedule </t>
  </si>
  <si>
    <t xml:space="preserve">^^-- total should be </t>
  </si>
  <si>
    <t>&lt;=77</t>
  </si>
  <si>
    <t>&lt;=80</t>
  </si>
  <si>
    <t>produced material in metric ton</t>
  </si>
  <si>
    <t>Note: I set the materials to be integers when</t>
  </si>
  <si>
    <t>the constraints were specified in solver</t>
  </si>
  <si>
    <t>Note: I set the barrel to be integers 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</si>
</sst>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Sheet1!$B$3:$B$23</c:f>
              <c:numCache>
                <c:formatCode>General</c:formatCode>
                <c:ptCount val="21"/>
                <c:pt idx="0">
                  <c:v>-9.8455653099681157</c:v>
                </c:pt>
                <c:pt idx="1">
                  <c:v>-8.9199161769480959</c:v>
                </c:pt>
                <c:pt idx="2">
                  <c:v>-8</c:v>
                </c:pt>
                <c:pt idx="3">
                  <c:v>-7.0870688172276113</c:v>
                </c:pt>
                <c:pt idx="4">
                  <c:v>-6.1828794071678601</c:v>
                </c:pt>
                <c:pt idx="5">
                  <c:v>-5.2900240533233029</c:v>
                </c:pt>
                <c:pt idx="6">
                  <c:v>-4.4125989480318006</c:v>
                </c:pt>
                <c:pt idx="7">
                  <c:v>-3.5577504296925917</c:v>
                </c:pt>
                <c:pt idx="8">
                  <c:v>-2.7400789501051266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-1.2599210498948732</c:v>
                </c:pt>
                <c:pt idx="13">
                  <c:v>-0.4422495703074083</c:v>
                </c:pt>
                <c:pt idx="14">
                  <c:v>0.41259894803180064</c:v>
                </c:pt>
                <c:pt idx="15">
                  <c:v>1.2900240533233029</c:v>
                </c:pt>
                <c:pt idx="16">
                  <c:v>2.1828794071678601</c:v>
                </c:pt>
                <c:pt idx="17">
                  <c:v>3.0870688172276113</c:v>
                </c:pt>
                <c:pt idx="18">
                  <c:v>4</c:v>
                </c:pt>
                <c:pt idx="19">
                  <c:v>4.9199161769480959</c:v>
                </c:pt>
                <c:pt idx="20">
                  <c:v>5.8455653099681157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D-254D-9C65-7B882244B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928784"/>
        <c:axId val="1443149104"/>
      </c:scatterChart>
      <c:valAx>
        <c:axId val="14429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49104"/>
        <c:crosses val="autoZero"/>
        <c:crossBetween val="midCat"/>
      </c:valAx>
      <c:valAx>
        <c:axId val="144314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Sheet1!$I$3:$I$23</c:f>
              <c:numCache>
                <c:formatCode>General</c:formatCode>
                <c:ptCount val="21"/>
                <c:pt idx="0">
                  <c:v>5.4836082745908659</c:v>
                </c:pt>
                <c:pt idx="1">
                  <c:v>-5.0708409349762888</c:v>
                </c:pt>
                <c:pt idx="2">
                  <c:v>-55.397691641763032</c:v>
                </c:pt>
                <c:pt idx="3">
                  <c:v>5.1001358790702316</c:v>
                </c:pt>
                <c:pt idx="4">
                  <c:v>-2.7460371483084947</c:v>
                </c:pt>
                <c:pt idx="5">
                  <c:v>-17.902575031232928</c:v>
                </c:pt>
                <c:pt idx="6">
                  <c:v>3.6312851293983099</c:v>
                </c:pt>
                <c:pt idx="7">
                  <c:v>-1.4276396292228335</c:v>
                </c:pt>
                <c:pt idx="8">
                  <c:v>-5.3700797265230378</c:v>
                </c:pt>
                <c:pt idx="9">
                  <c:v>0.55740772465490229</c:v>
                </c:pt>
                <c:pt idx="10">
                  <c:v>-1</c:v>
                </c:pt>
                <c:pt idx="11">
                  <c:v>0.55740772465490229</c:v>
                </c:pt>
                <c:pt idx="12">
                  <c:v>-5.3700797265230378</c:v>
                </c:pt>
                <c:pt idx="13">
                  <c:v>-1.4276396292228335</c:v>
                </c:pt>
                <c:pt idx="14">
                  <c:v>3.6312851293983099</c:v>
                </c:pt>
                <c:pt idx="15">
                  <c:v>-17.902575031232928</c:v>
                </c:pt>
                <c:pt idx="16">
                  <c:v>-2.7460371483084947</c:v>
                </c:pt>
                <c:pt idx="17">
                  <c:v>5.1001358790702316</c:v>
                </c:pt>
                <c:pt idx="18">
                  <c:v>-55.397691641763032</c:v>
                </c:pt>
                <c:pt idx="19">
                  <c:v>-5.0708409349762888</c:v>
                </c:pt>
                <c:pt idx="20">
                  <c:v>5.4836082745908659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36-DE46-B91E-D87964C9A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534960"/>
        <c:axId val="977209200"/>
      </c:scatterChart>
      <c:valAx>
        <c:axId val="9805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209200"/>
        <c:crosses val="autoZero"/>
        <c:crossBetween val="midCat"/>
      </c:valAx>
      <c:valAx>
        <c:axId val="97720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Sheet1!$O$3:$O$23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Sheet1!$P$3:$P$23</c:f>
              <c:numCache>
                <c:formatCode>General</c:formatCode>
                <c:ptCount val="21"/>
                <c:pt idx="0">
                  <c:v>10000.999954600071</c:v>
                </c:pt>
                <c:pt idx="1">
                  <c:v>6561.9998765901955</c:v>
                </c:pt>
                <c:pt idx="2">
                  <c:v>4096.9996645373722</c:v>
                </c:pt>
                <c:pt idx="3">
                  <c:v>2401.9990881180343</c:v>
                </c:pt>
                <c:pt idx="4">
                  <c:v>1296.9975212478234</c:v>
                </c:pt>
                <c:pt idx="5">
                  <c:v>625.99326205300088</c:v>
                </c:pt>
                <c:pt idx="6">
                  <c:v>256.98168436111126</c:v>
                </c:pt>
                <c:pt idx="7">
                  <c:v>81.950212931632137</c:v>
                </c:pt>
                <c:pt idx="8">
                  <c:v>16.864664716763386</c:v>
                </c:pt>
                <c:pt idx="9">
                  <c:v>1.6321205588285577</c:v>
                </c:pt>
                <c:pt idx="10">
                  <c:v>0</c:v>
                </c:pt>
                <c:pt idx="11">
                  <c:v>-0.71828182845904509</c:v>
                </c:pt>
                <c:pt idx="12">
                  <c:v>9.6109439010693496</c:v>
                </c:pt>
                <c:pt idx="13">
                  <c:v>61.914463076812332</c:v>
                </c:pt>
                <c:pt idx="14">
                  <c:v>202.40184996685576</c:v>
                </c:pt>
                <c:pt idx="15">
                  <c:v>477.58684089742337</c:v>
                </c:pt>
                <c:pt idx="16">
                  <c:v>893.57120650726483</c:v>
                </c:pt>
                <c:pt idx="17">
                  <c:v>1305.3668415715415</c:v>
                </c:pt>
                <c:pt idx="18">
                  <c:v>1116.0420129582717</c:v>
                </c:pt>
                <c:pt idx="19">
                  <c:v>-1541.0839275753842</c:v>
                </c:pt>
                <c:pt idx="20">
                  <c:v>-12025.465794806718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1-D943-BAA7-803FD2D2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274480"/>
        <c:axId val="981183552"/>
      </c:scatterChart>
      <c:valAx>
        <c:axId val="9812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83552"/>
        <c:crosses val="autoZero"/>
        <c:crossBetween val="midCat"/>
      </c:valAx>
      <c:valAx>
        <c:axId val="9811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Sheet1!$V$3:$V$23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Sheet1!$W$3:$W$23</c:f>
              <c:numCache>
                <c:formatCode>General</c:formatCode>
                <c:ptCount val="21"/>
                <c:pt idx="0">
                  <c:v>-0.99546000702375148</c:v>
                </c:pt>
                <c:pt idx="1">
                  <c:v>-0.99000380586897896</c:v>
                </c:pt>
                <c:pt idx="2">
                  <c:v>-0.97853039181423929</c:v>
                </c:pt>
                <c:pt idx="3">
                  <c:v>-0.95531778368782871</c:v>
                </c:pt>
                <c:pt idx="4">
                  <c:v>-0.9107649216400111</c:v>
                </c:pt>
                <c:pt idx="5">
                  <c:v>-0.83155132502286333</c:v>
                </c:pt>
                <c:pt idx="6">
                  <c:v>-0.70694977778025314</c:v>
                </c:pt>
                <c:pt idx="7">
                  <c:v>-0.55191638468922455</c:v>
                </c:pt>
                <c:pt idx="8">
                  <c:v>-0.45865886705354919</c:v>
                </c:pt>
                <c:pt idx="9">
                  <c:v>-0.63212055882855767</c:v>
                </c:pt>
                <c:pt idx="10">
                  <c:v>-1</c:v>
                </c:pt>
                <c:pt idx="11">
                  <c:v>1.7182818284590451</c:v>
                </c:pt>
                <c:pt idx="12">
                  <c:v>28.556224395722602</c:v>
                </c:pt>
                <c:pt idx="13">
                  <c:v>179.76983230868902</c:v>
                </c:pt>
                <c:pt idx="14">
                  <c:v>872.57040053030778</c:v>
                </c:pt>
                <c:pt idx="15">
                  <c:v>3709.3289775644148</c:v>
                </c:pt>
                <c:pt idx="16">
                  <c:v>14522.436565738464</c:v>
                </c:pt>
                <c:pt idx="17">
                  <c:v>53734.024762994464</c:v>
                </c:pt>
                <c:pt idx="18">
                  <c:v>190780.31117067061</c:v>
                </c:pt>
                <c:pt idx="19">
                  <c:v>656348.79813360609</c:v>
                </c:pt>
                <c:pt idx="20">
                  <c:v>2202645.5794806718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E-5C45-8150-C25A5054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551600"/>
        <c:axId val="1016553232"/>
      </c:scatterChart>
      <c:valAx>
        <c:axId val="10165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53232"/>
        <c:crosses val="autoZero"/>
        <c:crossBetween val="midCat"/>
      </c:valAx>
      <c:valAx>
        <c:axId val="1016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5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Sheet2!$A$5:$A$25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Sheet2!$B$5:$B$25</c:f>
              <c:numCache>
                <c:formatCode>General</c:formatCode>
                <c:ptCount val="21"/>
                <c:pt idx="0">
                  <c:v>-8.2776210520514741</c:v>
                </c:pt>
                <c:pt idx="1">
                  <c:v>-14.721385289546491</c:v>
                </c:pt>
                <c:pt idx="2">
                  <c:v>-7.2420791573950174</c:v>
                </c:pt>
                <c:pt idx="3">
                  <c:v>2.2817544344971692</c:v>
                </c:pt>
                <c:pt idx="4">
                  <c:v>5.8011538067798778</c:v>
                </c:pt>
                <c:pt idx="5">
                  <c:v>3.3917534716261164</c:v>
                </c:pt>
                <c:pt idx="6">
                  <c:v>-0.46853492689628307</c:v>
                </c:pt>
                <c:pt idx="7">
                  <c:v>-2.2365107799874551</c:v>
                </c:pt>
                <c:pt idx="8">
                  <c:v>-1.5332601014015845</c:v>
                </c:pt>
                <c:pt idx="9">
                  <c:v>0</c:v>
                </c:pt>
                <c:pt idx="10">
                  <c:v>0.8414709848078965</c:v>
                </c:pt>
                <c:pt idx="11">
                  <c:v>0.67362410181146604</c:v>
                </c:pt>
                <c:pt idx="12">
                  <c:v>7.7448302508937916E-2</c:v>
                </c:pt>
                <c:pt idx="13">
                  <c:v>-0.30769293300818079</c:v>
                </c:pt>
                <c:pt idx="14">
                  <c:v>-0.28882244119064404</c:v>
                </c:pt>
                <c:pt idx="15">
                  <c:v>-6.2346024861079631E-2</c:v>
                </c:pt>
                <c:pt idx="16">
                  <c:v>0.10859915434469745</c:v>
                </c:pt>
                <c:pt idx="17">
                  <c:v>0.12115327714413213</c:v>
                </c:pt>
                <c:pt idx="18">
                  <c:v>3.7386545493865116E-2</c:v>
                </c:pt>
                <c:pt idx="19">
                  <c:v>-3.656121769856837E-2</c:v>
                </c:pt>
                <c:pt idx="20">
                  <c:v>-4.9786580780734259E-2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7-E149-BBB3-030D98E21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432784"/>
        <c:axId val="1407815600"/>
      </c:scatterChart>
      <c:valAx>
        <c:axId val="140743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15600"/>
        <c:crosses val="autoZero"/>
        <c:crossBetween val="midCat"/>
      </c:valAx>
      <c:valAx>
        <c:axId val="14078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3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9</xdr:row>
      <xdr:rowOff>114300</xdr:rowOff>
    </xdr:from>
    <xdr:to>
      <xdr:col>6</xdr:col>
      <xdr:colOff>736600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F40BC-4926-DE4C-8D0C-442B12A3F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167471</xdr:colOff>
      <xdr:row>11</xdr:row>
      <xdr:rowOff>79828</xdr:rowOff>
    </xdr:from>
    <xdr:to>
      <xdr:col>13</xdr:col>
      <xdr:colOff>544286</xdr:colOff>
      <xdr:row>24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92278-7636-164A-8C4B-06819625F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79550</xdr:colOff>
      <xdr:row>11</xdr:row>
      <xdr:rowOff>135653</xdr:rowOff>
    </xdr:from>
    <xdr:to>
      <xdr:col>20</xdr:col>
      <xdr:colOff>725714</xdr:colOff>
      <xdr:row>24</xdr:row>
      <xdr:rowOff>157424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4DF27A-973D-0E47-98D7-4332C14AA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51638</xdr:colOff>
      <xdr:row>11</xdr:row>
      <xdr:rowOff>121696</xdr:rowOff>
    </xdr:from>
    <xdr:to>
      <xdr:col>27</xdr:col>
      <xdr:colOff>725714</xdr:colOff>
      <xdr:row>24</xdr:row>
      <xdr:rowOff>143467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C594B1-A874-9A4A-AF11-3C7ED243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17</xdr:row>
      <xdr:rowOff>139700</xdr:rowOff>
    </xdr:from>
    <xdr:to>
      <xdr:col>6</xdr:col>
      <xdr:colOff>635000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F4C35-8690-E545-8BF3-3D57D65EC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5BFF-ADE9-BE43-B28F-AB785A082733}">
  <dimension ref="A1:Z23"/>
  <sheetViews>
    <sheetView zoomScale="91" workbookViewId="0">
      <selection activeCell="AA9" sqref="AA9"/>
    </sheetView>
  </sheetViews>
  <sheetFormatPr baseColWidth="10" defaultRowHeight="16" x14ac:dyDescent="0.2"/>
  <cols>
    <col min="4" max="4" width="10.83203125" customWidth="1"/>
    <col min="5" max="5" width="13.1640625" bestFit="1" customWidth="1"/>
    <col min="8" max="9" width="11" bestFit="1" customWidth="1"/>
    <col min="12" max="12" width="11" bestFit="1" customWidth="1"/>
  </cols>
  <sheetData>
    <row r="1" spans="1:26" x14ac:dyDescent="0.2">
      <c r="D1" t="s">
        <v>4</v>
      </c>
      <c r="E1" s="1" t="s">
        <v>5</v>
      </c>
      <c r="K1" t="s">
        <v>4</v>
      </c>
      <c r="L1" t="s">
        <v>20</v>
      </c>
      <c r="R1" t="s">
        <v>4</v>
      </c>
      <c r="S1" t="s">
        <v>23</v>
      </c>
      <c r="Y1" t="s">
        <v>4</v>
      </c>
      <c r="Z1" t="s">
        <v>24</v>
      </c>
    </row>
    <row r="2" spans="1:26" x14ac:dyDescent="0.2">
      <c r="A2" t="s">
        <v>0</v>
      </c>
      <c r="B2" t="s">
        <v>1</v>
      </c>
      <c r="D2" t="s">
        <v>2</v>
      </c>
      <c r="E2" s="1">
        <f>E3-E3^(1/3)-2</f>
        <v>-4.5814255962284278E-6</v>
      </c>
      <c r="H2" t="s">
        <v>0</v>
      </c>
      <c r="I2" t="s">
        <v>1</v>
      </c>
      <c r="K2" t="s">
        <v>4</v>
      </c>
      <c r="L2">
        <f>L3*TAN(L3)-1</f>
        <v>-1.4164579399067456E-5</v>
      </c>
      <c r="O2" t="s">
        <v>0</v>
      </c>
      <c r="P2" t="s">
        <v>1</v>
      </c>
      <c r="R2" t="s">
        <v>4</v>
      </c>
      <c r="S2">
        <f>S3^4-EXP(S3)+1</f>
        <v>1.3278258777793539E-4</v>
      </c>
      <c r="V2" t="s">
        <v>0</v>
      </c>
      <c r="W2" t="s">
        <v>1</v>
      </c>
      <c r="Y2" t="s">
        <v>4</v>
      </c>
      <c r="Z2">
        <f>(Z3^2)*EXP(Z3)-1</f>
        <v>-1.6793246751933832E-4</v>
      </c>
    </row>
    <row r="3" spans="1:26" x14ac:dyDescent="0.2">
      <c r="A3">
        <v>-10</v>
      </c>
      <c r="B3">
        <f>A3-A3^(1/3)-2</f>
        <v>-9.8455653099681157</v>
      </c>
      <c r="D3" t="s">
        <v>3</v>
      </c>
      <c r="E3">
        <v>3.5213743545863694</v>
      </c>
      <c r="H3">
        <v>-10</v>
      </c>
      <c r="I3">
        <f>H3*TAN(H3)-1</f>
        <v>5.4836082745908659</v>
      </c>
      <c r="K3" t="s">
        <v>3</v>
      </c>
      <c r="L3">
        <v>0.86032914173101216</v>
      </c>
      <c r="O3">
        <v>-10</v>
      </c>
      <c r="P3">
        <f>O3^4-EXP(O3)+1</f>
        <v>10000.999954600071</v>
      </c>
      <c r="R3" t="s">
        <v>3</v>
      </c>
      <c r="S3">
        <v>1.261132807920323</v>
      </c>
      <c r="V3">
        <v>-10</v>
      </c>
      <c r="W3">
        <f>(V3^2)*EXP(V3)-1</f>
        <v>-0.99546000702375148</v>
      </c>
      <c r="Y3" t="s">
        <v>3</v>
      </c>
      <c r="Z3">
        <v>0.70342372223970395</v>
      </c>
    </row>
    <row r="4" spans="1:26" x14ac:dyDescent="0.2">
      <c r="A4">
        <v>-9</v>
      </c>
      <c r="B4">
        <f t="shared" ref="B4:B23" si="0">A4-A4^(1/3)-2</f>
        <v>-8.9199161769480959</v>
      </c>
      <c r="D4" t="s">
        <v>6</v>
      </c>
      <c r="H4">
        <v>-9</v>
      </c>
      <c r="I4">
        <f t="shared" ref="I4:I23" si="1">H4*TAN(H4)-1</f>
        <v>-5.0708409349762888</v>
      </c>
      <c r="K4" t="s">
        <v>21</v>
      </c>
      <c r="O4">
        <v>-9</v>
      </c>
      <c r="P4">
        <f t="shared" ref="P4:P23" si="2">O4^4-EXP(O4)+1</f>
        <v>6561.9998765901955</v>
      </c>
      <c r="R4" t="s">
        <v>25</v>
      </c>
      <c r="V4">
        <v>-9</v>
      </c>
      <c r="W4">
        <f t="shared" ref="W4:W23" si="3">(V4^2)*EXP(V4)-1</f>
        <v>-0.99000380586897896</v>
      </c>
      <c r="Y4" t="s">
        <v>21</v>
      </c>
    </row>
    <row r="5" spans="1:26" x14ac:dyDescent="0.2">
      <c r="A5">
        <v>-8</v>
      </c>
      <c r="B5">
        <f t="shared" si="0"/>
        <v>-8</v>
      </c>
      <c r="D5" t="s">
        <v>7</v>
      </c>
      <c r="H5">
        <v>-8</v>
      </c>
      <c r="I5">
        <f t="shared" si="1"/>
        <v>-55.397691641763032</v>
      </c>
      <c r="K5" t="s">
        <v>7</v>
      </c>
      <c r="O5">
        <v>-8</v>
      </c>
      <c r="P5">
        <f t="shared" si="2"/>
        <v>4096.9996645373722</v>
      </c>
      <c r="R5" t="s">
        <v>7</v>
      </c>
      <c r="V5">
        <v>-8</v>
      </c>
      <c r="W5">
        <f t="shared" si="3"/>
        <v>-0.97853039181423929</v>
      </c>
      <c r="Y5" t="s">
        <v>7</v>
      </c>
    </row>
    <row r="6" spans="1:26" x14ac:dyDescent="0.2">
      <c r="A6">
        <v>-7</v>
      </c>
      <c r="B6">
        <f t="shared" si="0"/>
        <v>-7.0870688172276113</v>
      </c>
      <c r="D6" t="s">
        <v>8</v>
      </c>
      <c r="H6">
        <v>-7</v>
      </c>
      <c r="I6">
        <f t="shared" si="1"/>
        <v>5.1001358790702316</v>
      </c>
      <c r="K6" t="s">
        <v>22</v>
      </c>
      <c r="O6">
        <v>-7</v>
      </c>
      <c r="P6">
        <f t="shared" si="2"/>
        <v>2401.9990881180343</v>
      </c>
      <c r="R6" t="s">
        <v>26</v>
      </c>
      <c r="V6">
        <v>-7</v>
      </c>
      <c r="W6">
        <f t="shared" si="3"/>
        <v>-0.95531778368782871</v>
      </c>
      <c r="Y6" t="s">
        <v>22</v>
      </c>
    </row>
    <row r="7" spans="1:26" x14ac:dyDescent="0.2">
      <c r="A7">
        <v>-6</v>
      </c>
      <c r="B7">
        <f t="shared" si="0"/>
        <v>-6.1828794071678601</v>
      </c>
      <c r="H7">
        <v>-6</v>
      </c>
      <c r="I7">
        <f t="shared" si="1"/>
        <v>-2.7460371483084947</v>
      </c>
      <c r="O7">
        <v>-6</v>
      </c>
      <c r="P7">
        <f t="shared" si="2"/>
        <v>1296.9975212478234</v>
      </c>
      <c r="V7">
        <v>-6</v>
      </c>
      <c r="W7">
        <f t="shared" si="3"/>
        <v>-0.9107649216400111</v>
      </c>
    </row>
    <row r="8" spans="1:26" x14ac:dyDescent="0.2">
      <c r="A8">
        <v>-5</v>
      </c>
      <c r="B8">
        <f t="shared" si="0"/>
        <v>-5.2900240533233029</v>
      </c>
      <c r="H8">
        <v>-5</v>
      </c>
      <c r="I8">
        <f t="shared" si="1"/>
        <v>-17.902575031232928</v>
      </c>
      <c r="O8">
        <v>-5</v>
      </c>
      <c r="P8">
        <f t="shared" si="2"/>
        <v>625.99326205300088</v>
      </c>
      <c r="V8">
        <v>-5</v>
      </c>
      <c r="W8">
        <f t="shared" si="3"/>
        <v>-0.83155132502286333</v>
      </c>
    </row>
    <row r="9" spans="1:26" x14ac:dyDescent="0.2">
      <c r="A9">
        <v>-4</v>
      </c>
      <c r="B9">
        <f t="shared" si="0"/>
        <v>-4.4125989480318006</v>
      </c>
      <c r="H9">
        <v>-4</v>
      </c>
      <c r="I9">
        <f t="shared" si="1"/>
        <v>3.6312851293983099</v>
      </c>
      <c r="O9">
        <v>-4</v>
      </c>
      <c r="P9">
        <f t="shared" si="2"/>
        <v>256.98168436111126</v>
      </c>
      <c r="V9">
        <v>-4</v>
      </c>
      <c r="W9">
        <f t="shared" si="3"/>
        <v>-0.70694977778025314</v>
      </c>
    </row>
    <row r="10" spans="1:26" x14ac:dyDescent="0.2">
      <c r="A10">
        <v>-3</v>
      </c>
      <c r="B10">
        <f t="shared" si="0"/>
        <v>-3.5577504296925917</v>
      </c>
      <c r="H10">
        <v>-3</v>
      </c>
      <c r="I10">
        <f t="shared" si="1"/>
        <v>-1.4276396292228335</v>
      </c>
      <c r="O10">
        <v>-3</v>
      </c>
      <c r="P10">
        <f t="shared" si="2"/>
        <v>81.950212931632137</v>
      </c>
      <c r="V10">
        <v>-3</v>
      </c>
      <c r="W10">
        <f t="shared" si="3"/>
        <v>-0.55191638468922455</v>
      </c>
    </row>
    <row r="11" spans="1:26" x14ac:dyDescent="0.2">
      <c r="A11">
        <v>-2</v>
      </c>
      <c r="B11">
        <f t="shared" si="0"/>
        <v>-2.7400789501051266</v>
      </c>
      <c r="H11">
        <v>-2</v>
      </c>
      <c r="I11">
        <f t="shared" si="1"/>
        <v>-5.3700797265230378</v>
      </c>
      <c r="O11">
        <v>-2</v>
      </c>
      <c r="P11">
        <f t="shared" si="2"/>
        <v>16.864664716763386</v>
      </c>
      <c r="V11">
        <v>-2</v>
      </c>
      <c r="W11">
        <f t="shared" si="3"/>
        <v>-0.45865886705354919</v>
      </c>
    </row>
    <row r="12" spans="1:26" x14ac:dyDescent="0.2">
      <c r="A12">
        <v>-1</v>
      </c>
      <c r="B12">
        <f t="shared" si="0"/>
        <v>-2</v>
      </c>
      <c r="H12">
        <v>-1</v>
      </c>
      <c r="I12">
        <f t="shared" si="1"/>
        <v>0.55740772465490229</v>
      </c>
      <c r="O12">
        <v>-1</v>
      </c>
      <c r="P12">
        <f t="shared" si="2"/>
        <v>1.6321205588285577</v>
      </c>
      <c r="V12">
        <v>-1</v>
      </c>
      <c r="W12">
        <f t="shared" si="3"/>
        <v>-0.63212055882855767</v>
      </c>
    </row>
    <row r="13" spans="1:26" x14ac:dyDescent="0.2">
      <c r="A13">
        <v>0</v>
      </c>
      <c r="B13">
        <f t="shared" si="0"/>
        <v>-2</v>
      </c>
      <c r="H13">
        <v>0</v>
      </c>
      <c r="I13">
        <f t="shared" si="1"/>
        <v>-1</v>
      </c>
      <c r="O13">
        <v>0</v>
      </c>
      <c r="P13">
        <f t="shared" si="2"/>
        <v>0</v>
      </c>
      <c r="V13">
        <v>0</v>
      </c>
      <c r="W13">
        <f t="shared" si="3"/>
        <v>-1</v>
      </c>
    </row>
    <row r="14" spans="1:26" x14ac:dyDescent="0.2">
      <c r="A14">
        <v>1</v>
      </c>
      <c r="B14">
        <f t="shared" si="0"/>
        <v>-2</v>
      </c>
      <c r="H14">
        <v>1</v>
      </c>
      <c r="I14">
        <f t="shared" si="1"/>
        <v>0.55740772465490229</v>
      </c>
      <c r="O14">
        <v>1</v>
      </c>
      <c r="P14">
        <f t="shared" si="2"/>
        <v>-0.71828182845904509</v>
      </c>
      <c r="V14">
        <v>1</v>
      </c>
      <c r="W14">
        <f t="shared" si="3"/>
        <v>1.7182818284590451</v>
      </c>
    </row>
    <row r="15" spans="1:26" x14ac:dyDescent="0.2">
      <c r="A15">
        <v>2</v>
      </c>
      <c r="B15">
        <f t="shared" si="0"/>
        <v>-1.2599210498948732</v>
      </c>
      <c r="H15">
        <v>2</v>
      </c>
      <c r="I15">
        <f t="shared" si="1"/>
        <v>-5.3700797265230378</v>
      </c>
      <c r="O15">
        <v>2</v>
      </c>
      <c r="P15">
        <f t="shared" si="2"/>
        <v>9.6109439010693496</v>
      </c>
      <c r="V15">
        <v>2</v>
      </c>
      <c r="W15">
        <f t="shared" si="3"/>
        <v>28.556224395722602</v>
      </c>
    </row>
    <row r="16" spans="1:26" x14ac:dyDescent="0.2">
      <c r="A16">
        <v>3</v>
      </c>
      <c r="B16">
        <f t="shared" si="0"/>
        <v>-0.4422495703074083</v>
      </c>
      <c r="H16">
        <v>3</v>
      </c>
      <c r="I16">
        <f t="shared" si="1"/>
        <v>-1.4276396292228335</v>
      </c>
      <c r="O16">
        <v>3</v>
      </c>
      <c r="P16">
        <f t="shared" si="2"/>
        <v>61.914463076812332</v>
      </c>
      <c r="V16">
        <v>3</v>
      </c>
      <c r="W16">
        <f t="shared" si="3"/>
        <v>179.76983230868902</v>
      </c>
    </row>
    <row r="17" spans="1:23" x14ac:dyDescent="0.2">
      <c r="A17">
        <v>4</v>
      </c>
      <c r="B17">
        <f t="shared" si="0"/>
        <v>0.41259894803180064</v>
      </c>
      <c r="H17">
        <v>4</v>
      </c>
      <c r="I17">
        <f t="shared" si="1"/>
        <v>3.6312851293983099</v>
      </c>
      <c r="O17">
        <v>4</v>
      </c>
      <c r="P17">
        <f t="shared" si="2"/>
        <v>202.40184996685576</v>
      </c>
      <c r="V17">
        <v>4</v>
      </c>
      <c r="W17">
        <f t="shared" si="3"/>
        <v>872.57040053030778</v>
      </c>
    </row>
    <row r="18" spans="1:23" x14ac:dyDescent="0.2">
      <c r="A18">
        <v>5</v>
      </c>
      <c r="B18">
        <f t="shared" si="0"/>
        <v>1.2900240533233029</v>
      </c>
      <c r="H18">
        <v>5</v>
      </c>
      <c r="I18">
        <f t="shared" si="1"/>
        <v>-17.902575031232928</v>
      </c>
      <c r="O18">
        <v>5</v>
      </c>
      <c r="P18">
        <f t="shared" si="2"/>
        <v>477.58684089742337</v>
      </c>
      <c r="V18">
        <v>5</v>
      </c>
      <c r="W18">
        <f t="shared" si="3"/>
        <v>3709.3289775644148</v>
      </c>
    </row>
    <row r="19" spans="1:23" x14ac:dyDescent="0.2">
      <c r="A19">
        <v>6</v>
      </c>
      <c r="B19">
        <f t="shared" si="0"/>
        <v>2.1828794071678601</v>
      </c>
      <c r="H19">
        <v>6</v>
      </c>
      <c r="I19">
        <f t="shared" si="1"/>
        <v>-2.7460371483084947</v>
      </c>
      <c r="O19">
        <v>6</v>
      </c>
      <c r="P19">
        <f t="shared" si="2"/>
        <v>893.57120650726483</v>
      </c>
      <c r="V19">
        <v>6</v>
      </c>
      <c r="W19">
        <f t="shared" si="3"/>
        <v>14522.436565738464</v>
      </c>
    </row>
    <row r="20" spans="1:23" x14ac:dyDescent="0.2">
      <c r="A20">
        <v>7</v>
      </c>
      <c r="B20">
        <f t="shared" si="0"/>
        <v>3.0870688172276113</v>
      </c>
      <c r="H20">
        <v>7</v>
      </c>
      <c r="I20">
        <f t="shared" si="1"/>
        <v>5.1001358790702316</v>
      </c>
      <c r="O20">
        <v>7</v>
      </c>
      <c r="P20">
        <f t="shared" si="2"/>
        <v>1305.3668415715415</v>
      </c>
      <c r="V20">
        <v>7</v>
      </c>
      <c r="W20">
        <f t="shared" si="3"/>
        <v>53734.024762994464</v>
      </c>
    </row>
    <row r="21" spans="1:23" x14ac:dyDescent="0.2">
      <c r="A21">
        <v>8</v>
      </c>
      <c r="B21">
        <f t="shared" si="0"/>
        <v>4</v>
      </c>
      <c r="H21">
        <v>8</v>
      </c>
      <c r="I21">
        <f t="shared" si="1"/>
        <v>-55.397691641763032</v>
      </c>
      <c r="O21">
        <v>8</v>
      </c>
      <c r="P21">
        <f t="shared" si="2"/>
        <v>1116.0420129582717</v>
      </c>
      <c r="V21">
        <v>8</v>
      </c>
      <c r="W21">
        <f t="shared" si="3"/>
        <v>190780.31117067061</v>
      </c>
    </row>
    <row r="22" spans="1:23" x14ac:dyDescent="0.2">
      <c r="A22">
        <v>9</v>
      </c>
      <c r="B22">
        <f t="shared" si="0"/>
        <v>4.9199161769480959</v>
      </c>
      <c r="H22">
        <v>9</v>
      </c>
      <c r="I22">
        <f t="shared" si="1"/>
        <v>-5.0708409349762888</v>
      </c>
      <c r="O22">
        <v>9</v>
      </c>
      <c r="P22">
        <f t="shared" si="2"/>
        <v>-1541.0839275753842</v>
      </c>
      <c r="V22">
        <v>9</v>
      </c>
      <c r="W22">
        <f t="shared" si="3"/>
        <v>656348.79813360609</v>
      </c>
    </row>
    <row r="23" spans="1:23" x14ac:dyDescent="0.2">
      <c r="A23">
        <v>10</v>
      </c>
      <c r="B23">
        <f t="shared" si="0"/>
        <v>5.8455653099681157</v>
      </c>
      <c r="H23">
        <v>10</v>
      </c>
      <c r="I23">
        <f t="shared" si="1"/>
        <v>5.4836082745908659</v>
      </c>
      <c r="O23">
        <v>10</v>
      </c>
      <c r="P23">
        <f t="shared" si="2"/>
        <v>-12025.465794806718</v>
      </c>
      <c r="V23">
        <v>10</v>
      </c>
      <c r="W23">
        <f t="shared" si="3"/>
        <v>2202645.5794806718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C952-B1CC-D24C-A5E3-0574C3378BF9}">
  <dimension ref="A2:L25"/>
  <sheetViews>
    <sheetView workbookViewId="0">
      <selection activeCell="L15" sqref="L15"/>
    </sheetView>
  </sheetViews>
  <sheetFormatPr baseColWidth="10" defaultRowHeight="16" x14ac:dyDescent="0.2"/>
  <sheetData>
    <row r="2" spans="1:12" x14ac:dyDescent="0.2">
      <c r="A2" t="s">
        <v>4</v>
      </c>
      <c r="B2" t="s">
        <v>9</v>
      </c>
    </row>
    <row r="3" spans="1:12" x14ac:dyDescent="0.2">
      <c r="D3" t="s">
        <v>10</v>
      </c>
      <c r="I3" t="s">
        <v>10</v>
      </c>
    </row>
    <row r="4" spans="1:12" x14ac:dyDescent="0.2">
      <c r="A4" t="s">
        <v>0</v>
      </c>
      <c r="B4" t="s">
        <v>1</v>
      </c>
      <c r="D4" t="s">
        <v>12</v>
      </c>
      <c r="I4" t="s">
        <v>12</v>
      </c>
    </row>
    <row r="5" spans="1:12" x14ac:dyDescent="0.2">
      <c r="A5">
        <v>-10</v>
      </c>
      <c r="B5">
        <f>EXP(-0.3*A5)*SIN(A5+1)</f>
        <v>-8.2776210520514741</v>
      </c>
      <c r="D5" t="s">
        <v>11</v>
      </c>
      <c r="E5">
        <v>-9</v>
      </c>
      <c r="F5" t="s">
        <v>13</v>
      </c>
      <c r="G5">
        <f>MIN(B5:B25)</f>
        <v>-14.721385289546491</v>
      </c>
      <c r="I5" t="s">
        <v>17</v>
      </c>
      <c r="J5">
        <v>-9.1454384416166334</v>
      </c>
      <c r="K5" t="s">
        <v>13</v>
      </c>
      <c r="L5">
        <f>EXP(-0.3*J5)*SIN(J5+1)</f>
        <v>-14.887808855315059</v>
      </c>
    </row>
    <row r="6" spans="1:12" x14ac:dyDescent="0.2">
      <c r="A6">
        <v>-9</v>
      </c>
      <c r="B6">
        <f t="shared" ref="B6:B25" si="0">EXP(-0.3*A6)*SIN(A6+1)</f>
        <v>-14.721385289546491</v>
      </c>
      <c r="D6" t="s">
        <v>14</v>
      </c>
      <c r="I6" t="s">
        <v>14</v>
      </c>
    </row>
    <row r="7" spans="1:12" x14ac:dyDescent="0.2">
      <c r="A7">
        <v>-8</v>
      </c>
      <c r="B7">
        <f t="shared" si="0"/>
        <v>-7.2420791573950174</v>
      </c>
      <c r="D7" t="s">
        <v>11</v>
      </c>
      <c r="E7">
        <v>-6</v>
      </c>
      <c r="F7" t="s">
        <v>15</v>
      </c>
      <c r="G7">
        <f>MAX(B5:B25)</f>
        <v>5.8011538067798778</v>
      </c>
      <c r="I7" t="s">
        <v>17</v>
      </c>
      <c r="J7">
        <v>-6.0038457865690749</v>
      </c>
      <c r="K7" t="s">
        <v>13</v>
      </c>
      <c r="L7">
        <f>EXP(-0.3*J7)*SIN(J7+1)</f>
        <v>5.801200531588826</v>
      </c>
    </row>
    <row r="8" spans="1:12" x14ac:dyDescent="0.2">
      <c r="A8">
        <v>-7</v>
      </c>
      <c r="B8">
        <f t="shared" si="0"/>
        <v>2.2817544344971692</v>
      </c>
      <c r="D8" t="s">
        <v>18</v>
      </c>
    </row>
    <row r="9" spans="1:12" x14ac:dyDescent="0.2">
      <c r="A9">
        <v>-6</v>
      </c>
      <c r="B9">
        <f t="shared" si="0"/>
        <v>5.8011538067798778</v>
      </c>
      <c r="D9" t="s">
        <v>19</v>
      </c>
    </row>
    <row r="10" spans="1:12" x14ac:dyDescent="0.2">
      <c r="A10">
        <v>-5</v>
      </c>
      <c r="B10">
        <f t="shared" si="0"/>
        <v>3.3917534716261164</v>
      </c>
    </row>
    <row r="11" spans="1:12" x14ac:dyDescent="0.2">
      <c r="A11">
        <v>-4</v>
      </c>
      <c r="B11">
        <f t="shared" si="0"/>
        <v>-0.46853492689628307</v>
      </c>
      <c r="D11" t="s">
        <v>16</v>
      </c>
      <c r="I11" t="s">
        <v>16</v>
      </c>
    </row>
    <row r="12" spans="1:12" x14ac:dyDescent="0.2">
      <c r="A12">
        <v>-3</v>
      </c>
      <c r="B12">
        <f t="shared" si="0"/>
        <v>-2.2365107799874551</v>
      </c>
      <c r="D12" t="s">
        <v>12</v>
      </c>
      <c r="I12" t="s">
        <v>12</v>
      </c>
    </row>
    <row r="13" spans="1:12" x14ac:dyDescent="0.2">
      <c r="A13">
        <v>-2</v>
      </c>
      <c r="B13">
        <f t="shared" si="0"/>
        <v>-1.5332601014015845</v>
      </c>
      <c r="D13" t="s">
        <v>11</v>
      </c>
      <c r="E13">
        <v>3</v>
      </c>
      <c r="F13" t="s">
        <v>13</v>
      </c>
      <c r="G13">
        <f>MIN(B16:B25)</f>
        <v>-0.30769293300818079</v>
      </c>
      <c r="I13" t="s">
        <v>17</v>
      </c>
      <c r="J13">
        <v>3.4209321787488651</v>
      </c>
      <c r="K13" t="s">
        <v>13</v>
      </c>
      <c r="L13">
        <f>EXP(-0.3*J13)*SIN(J13+1)</f>
        <v>-0.34322519437039606</v>
      </c>
    </row>
    <row r="14" spans="1:12" x14ac:dyDescent="0.2">
      <c r="A14">
        <v>-1</v>
      </c>
      <c r="B14">
        <f t="shared" si="0"/>
        <v>0</v>
      </c>
      <c r="D14" t="s">
        <v>14</v>
      </c>
      <c r="I14" t="s">
        <v>14</v>
      </c>
    </row>
    <row r="15" spans="1:12" x14ac:dyDescent="0.2">
      <c r="A15">
        <v>0</v>
      </c>
      <c r="B15">
        <f t="shared" si="0"/>
        <v>0.8414709848078965</v>
      </c>
      <c r="D15" t="s">
        <v>17</v>
      </c>
      <c r="E15">
        <v>1</v>
      </c>
      <c r="F15" t="s">
        <v>13</v>
      </c>
      <c r="G15">
        <f>MAX(B16:B25)</f>
        <v>0.67362410181146604</v>
      </c>
      <c r="I15" t="s">
        <v>17</v>
      </c>
      <c r="J15">
        <v>0.27933953231645903</v>
      </c>
      <c r="K15" t="s">
        <v>13</v>
      </c>
      <c r="L15">
        <f>EXP(-0.3*J15)*SIN(J15+1)</f>
        <v>0.88082993516435615</v>
      </c>
    </row>
    <row r="16" spans="1:12" x14ac:dyDescent="0.2">
      <c r="A16">
        <v>1</v>
      </c>
      <c r="B16">
        <f t="shared" si="0"/>
        <v>0.67362410181146604</v>
      </c>
      <c r="D16" t="s">
        <v>18</v>
      </c>
      <c r="I16" t="s">
        <v>48</v>
      </c>
    </row>
    <row r="17" spans="1:4" x14ac:dyDescent="0.2">
      <c r="A17">
        <v>2</v>
      </c>
      <c r="B17">
        <f t="shared" si="0"/>
        <v>7.7448302508937916E-2</v>
      </c>
      <c r="D17" t="s">
        <v>19</v>
      </c>
    </row>
    <row r="18" spans="1:4" x14ac:dyDescent="0.2">
      <c r="A18">
        <v>3</v>
      </c>
      <c r="B18">
        <f t="shared" si="0"/>
        <v>-0.30769293300818079</v>
      </c>
    </row>
    <row r="19" spans="1:4" x14ac:dyDescent="0.2">
      <c r="A19">
        <v>4</v>
      </c>
      <c r="B19">
        <f t="shared" si="0"/>
        <v>-0.28882244119064404</v>
      </c>
    </row>
    <row r="20" spans="1:4" x14ac:dyDescent="0.2">
      <c r="A20">
        <v>5</v>
      </c>
      <c r="B20">
        <f t="shared" si="0"/>
        <v>-6.2346024861079631E-2</v>
      </c>
    </row>
    <row r="21" spans="1:4" x14ac:dyDescent="0.2">
      <c r="A21">
        <v>6</v>
      </c>
      <c r="B21">
        <f t="shared" si="0"/>
        <v>0.10859915434469745</v>
      </c>
    </row>
    <row r="22" spans="1:4" x14ac:dyDescent="0.2">
      <c r="A22">
        <v>7</v>
      </c>
      <c r="B22">
        <f t="shared" si="0"/>
        <v>0.12115327714413213</v>
      </c>
    </row>
    <row r="23" spans="1:4" x14ac:dyDescent="0.2">
      <c r="A23">
        <v>8</v>
      </c>
      <c r="B23">
        <f t="shared" si="0"/>
        <v>3.7386545493865116E-2</v>
      </c>
    </row>
    <row r="24" spans="1:4" x14ac:dyDescent="0.2">
      <c r="A24">
        <v>9</v>
      </c>
      <c r="B24">
        <f t="shared" si="0"/>
        <v>-3.656121769856837E-2</v>
      </c>
    </row>
    <row r="25" spans="1:4" x14ac:dyDescent="0.2">
      <c r="A25">
        <v>10</v>
      </c>
      <c r="B25">
        <f t="shared" si="0"/>
        <v>-4.9786580780734259E-2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3D25-543C-D647-A3D0-AFCDFC902F3B}">
  <dimension ref="A2:F22"/>
  <sheetViews>
    <sheetView tabSelected="1" workbookViewId="0">
      <selection activeCell="F10" sqref="F10"/>
    </sheetView>
  </sheetViews>
  <sheetFormatPr baseColWidth="10" defaultRowHeight="16" x14ac:dyDescent="0.2"/>
  <cols>
    <col min="1" max="1" width="26.6640625" customWidth="1"/>
    <col min="2" max="4" width="12" customWidth="1"/>
    <col min="5" max="5" width="10.33203125" customWidth="1"/>
    <col min="6" max="6" width="13.5" customWidth="1"/>
  </cols>
  <sheetData>
    <row r="2" spans="1:4" x14ac:dyDescent="0.2">
      <c r="A2" t="s">
        <v>27</v>
      </c>
    </row>
    <row r="3" spans="1:4" x14ac:dyDescent="0.2">
      <c r="A3" t="s">
        <v>28</v>
      </c>
      <c r="B3">
        <v>500</v>
      </c>
    </row>
    <row r="4" spans="1:4" x14ac:dyDescent="0.2">
      <c r="A4" t="s">
        <v>29</v>
      </c>
      <c r="B4">
        <v>60</v>
      </c>
      <c r="D4" t="s">
        <v>63</v>
      </c>
    </row>
    <row r="5" spans="1:4" x14ac:dyDescent="0.2">
      <c r="A5" t="s">
        <v>30</v>
      </c>
      <c r="B5">
        <v>900</v>
      </c>
      <c r="D5" t="s">
        <v>62</v>
      </c>
    </row>
    <row r="8" spans="1:4" x14ac:dyDescent="0.2">
      <c r="A8" t="s">
        <v>31</v>
      </c>
    </row>
    <row r="9" spans="1:4" x14ac:dyDescent="0.2">
      <c r="A9" t="s">
        <v>32</v>
      </c>
      <c r="B9">
        <v>30</v>
      </c>
    </row>
    <row r="10" spans="1:4" x14ac:dyDescent="0.2">
      <c r="A10" t="s">
        <v>33</v>
      </c>
      <c r="B10">
        <v>20</v>
      </c>
    </row>
    <row r="12" spans="1:4" x14ac:dyDescent="0.2">
      <c r="A12" t="s">
        <v>35</v>
      </c>
      <c r="B12" t="s">
        <v>37</v>
      </c>
      <c r="C12" t="s">
        <v>29</v>
      </c>
      <c r="D12" t="s">
        <v>38</v>
      </c>
    </row>
    <row r="13" spans="1:4" x14ac:dyDescent="0.2">
      <c r="A13" t="s">
        <v>34</v>
      </c>
      <c r="B13">
        <v>0</v>
      </c>
      <c r="C13">
        <v>1</v>
      </c>
      <c r="D13">
        <v>25</v>
      </c>
    </row>
    <row r="14" spans="1:4" x14ac:dyDescent="0.2">
      <c r="A14" t="s">
        <v>36</v>
      </c>
      <c r="B14">
        <v>25</v>
      </c>
      <c r="C14">
        <v>2</v>
      </c>
      <c r="D14">
        <v>8</v>
      </c>
    </row>
    <row r="16" spans="1:4" x14ac:dyDescent="0.2">
      <c r="A16" t="s">
        <v>40</v>
      </c>
    </row>
    <row r="17" spans="1:6" x14ac:dyDescent="0.2">
      <c r="A17" t="s">
        <v>41</v>
      </c>
    </row>
    <row r="18" spans="1:6" x14ac:dyDescent="0.2">
      <c r="B18" t="s">
        <v>37</v>
      </c>
      <c r="C18" t="s">
        <v>29</v>
      </c>
      <c r="D18" t="s">
        <v>38</v>
      </c>
      <c r="E18" s="2" t="s">
        <v>42</v>
      </c>
      <c r="F18" t="s">
        <v>43</v>
      </c>
    </row>
    <row r="19" spans="1:6" x14ac:dyDescent="0.2">
      <c r="A19" t="s">
        <v>45</v>
      </c>
      <c r="B19">
        <f>0*E19</f>
        <v>0</v>
      </c>
      <c r="C19">
        <f>1*E19</f>
        <v>31</v>
      </c>
      <c r="D19">
        <f>25*E19</f>
        <v>775</v>
      </c>
      <c r="E19" s="2">
        <v>31</v>
      </c>
      <c r="F19">
        <f>E19*30</f>
        <v>930</v>
      </c>
    </row>
    <row r="20" spans="1:6" x14ac:dyDescent="0.2">
      <c r="A20" t="s">
        <v>46</v>
      </c>
      <c r="B20">
        <f>25*E20</f>
        <v>350</v>
      </c>
      <c r="C20">
        <f>2*E20</f>
        <v>28</v>
      </c>
      <c r="D20">
        <f>8*E20</f>
        <v>112</v>
      </c>
      <c r="E20" s="2">
        <v>14</v>
      </c>
      <c r="F20">
        <f>E20*20</f>
        <v>280</v>
      </c>
    </row>
    <row r="21" spans="1:6" x14ac:dyDescent="0.2">
      <c r="A21" t="s">
        <v>44</v>
      </c>
      <c r="B21">
        <f>B19+B20</f>
        <v>350</v>
      </c>
      <c r="C21">
        <f>C19+C20</f>
        <v>59</v>
      </c>
      <c r="D21">
        <f>D19+D20</f>
        <v>887</v>
      </c>
      <c r="F21">
        <f>F19+F20</f>
        <v>1210</v>
      </c>
    </row>
    <row r="22" spans="1:6" x14ac:dyDescent="0.2">
      <c r="A22" t="s">
        <v>39</v>
      </c>
      <c r="B22">
        <v>500</v>
      </c>
      <c r="C22">
        <v>60</v>
      </c>
      <c r="D22">
        <v>900</v>
      </c>
      <c r="F22" t="s">
        <v>47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5B36-4550-3B42-9C84-8672F5D4D28C}">
  <dimension ref="A2:F13"/>
  <sheetViews>
    <sheetView topLeftCell="C1" workbookViewId="0">
      <selection activeCell="E4" sqref="E4"/>
    </sheetView>
  </sheetViews>
  <sheetFormatPr baseColWidth="10" defaultRowHeight="16" x14ac:dyDescent="0.2"/>
  <cols>
    <col min="2" max="2" width="31.1640625" customWidth="1"/>
    <col min="3" max="3" width="17.5" customWidth="1"/>
    <col min="4" max="4" width="16.6640625" customWidth="1"/>
    <col min="5" max="5" width="27.5" customWidth="1"/>
    <col min="6" max="6" width="18.33203125" customWidth="1"/>
  </cols>
  <sheetData>
    <row r="2" spans="1:6" x14ac:dyDescent="0.2">
      <c r="A2" t="s">
        <v>50</v>
      </c>
      <c r="B2" t="s">
        <v>49</v>
      </c>
    </row>
    <row r="3" spans="1:6" x14ac:dyDescent="0.2">
      <c r="A3" t="s">
        <v>51</v>
      </c>
      <c r="B3">
        <v>125</v>
      </c>
      <c r="E3" t="s">
        <v>61</v>
      </c>
    </row>
    <row r="4" spans="1:6" x14ac:dyDescent="0.2">
      <c r="A4" t="s">
        <v>52</v>
      </c>
      <c r="B4">
        <v>150</v>
      </c>
      <c r="E4" t="s">
        <v>62</v>
      </c>
    </row>
    <row r="7" spans="1:6" x14ac:dyDescent="0.2">
      <c r="A7" t="s">
        <v>53</v>
      </c>
    </row>
    <row r="8" spans="1:6" x14ac:dyDescent="0.2">
      <c r="A8" t="s">
        <v>50</v>
      </c>
      <c r="B8" t="s">
        <v>54</v>
      </c>
      <c r="C8" t="s">
        <v>55</v>
      </c>
      <c r="D8" t="s">
        <v>56</v>
      </c>
      <c r="E8" s="2" t="s">
        <v>60</v>
      </c>
      <c r="F8" t="s">
        <v>49</v>
      </c>
    </row>
    <row r="9" spans="1:6" x14ac:dyDescent="0.2">
      <c r="A9" t="s">
        <v>51</v>
      </c>
      <c r="B9">
        <v>9</v>
      </c>
      <c r="C9">
        <f>7*E9</f>
        <v>21</v>
      </c>
      <c r="D9">
        <f>10*E9</f>
        <v>30</v>
      </c>
      <c r="E9" s="2">
        <v>3</v>
      </c>
      <c r="F9">
        <f>E9*120</f>
        <v>360</v>
      </c>
    </row>
    <row r="10" spans="1:6" x14ac:dyDescent="0.2">
      <c r="A10" t="s">
        <v>52</v>
      </c>
      <c r="B10">
        <v>7</v>
      </c>
      <c r="C10">
        <f>11*E10</f>
        <v>55</v>
      </c>
      <c r="D10">
        <f>8*E10</f>
        <v>40</v>
      </c>
      <c r="E10" s="2">
        <v>5</v>
      </c>
      <c r="F10">
        <f>E10*150</f>
        <v>750</v>
      </c>
    </row>
    <row r="11" spans="1:6" x14ac:dyDescent="0.2">
      <c r="C11">
        <f>C9+C10</f>
        <v>76</v>
      </c>
      <c r="D11">
        <f>D9+D10</f>
        <v>70</v>
      </c>
      <c r="F11" s="3">
        <f>F9+F10</f>
        <v>1110</v>
      </c>
    </row>
    <row r="12" spans="1:6" x14ac:dyDescent="0.2">
      <c r="C12" t="s">
        <v>57</v>
      </c>
      <c r="D12" t="s">
        <v>57</v>
      </c>
      <c r="F12" s="3" t="s">
        <v>47</v>
      </c>
    </row>
    <row r="13" spans="1:6" x14ac:dyDescent="0.2">
      <c r="C13" t="s">
        <v>58</v>
      </c>
      <c r="D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2020-01-23T16:20:42Z</dcterms:created>
  <dcterms:modified xsi:type="dcterms:W3CDTF">2020-01-24T21:45:18Z</dcterms:modified>
</cp:coreProperties>
</file>