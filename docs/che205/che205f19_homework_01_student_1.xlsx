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weak/hw1/"/>
    </mc:Choice>
  </mc:AlternateContent>
  <xr:revisionPtr revIDLastSave="0" documentId="13_ncr:1_{5C26851E-B3EC-DE4B-A7D0-BADCD8EB3E2B}" xr6:coauthVersionLast="41" xr6:coauthVersionMax="44" xr10:uidLastSave="{00000000-0000-0000-0000-000000000000}"/>
  <bookViews>
    <workbookView xWindow="-30880" yWindow="-2240" windowWidth="24380" windowHeight="15540" activeTab="3" xr2:uid="{68212DF9-CD72-4B02-B6ED-1803F08FC13F}"/>
  </bookViews>
  <sheets>
    <sheet name="E 1.1" sheetId="2" r:id="rId1"/>
    <sheet name="E 1.2" sheetId="3" r:id="rId2"/>
    <sheet name="E 1.3" sheetId="4" r:id="rId3"/>
    <sheet name="E 1.6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3" i="5" l="1"/>
  <c r="C54" i="5"/>
  <c r="C55" i="5"/>
  <c r="C56" i="5"/>
  <c r="C50" i="4"/>
  <c r="C51" i="4"/>
  <c r="C52" i="4"/>
  <c r="C53" i="4"/>
  <c r="C54" i="4"/>
  <c r="C55" i="4"/>
  <c r="C56" i="4"/>
  <c r="C98" i="3"/>
  <c r="C64" i="3"/>
  <c r="C63" i="3"/>
  <c r="C43" i="2"/>
  <c r="C44" i="2"/>
  <c r="C79" i="5" l="1"/>
  <c r="B79" i="5"/>
  <c r="D79" i="5" s="1"/>
  <c r="A80" i="5" s="1"/>
  <c r="C76" i="5"/>
  <c r="C75" i="5"/>
  <c r="C74" i="5"/>
  <c r="C73" i="5"/>
  <c r="C72" i="5"/>
  <c r="C71" i="5"/>
  <c r="C70" i="5"/>
  <c r="C69" i="5"/>
  <c r="C68" i="5"/>
  <c r="C59" i="5"/>
  <c r="B59" i="5"/>
  <c r="D59" i="5" s="1"/>
  <c r="A60" i="5" s="1"/>
  <c r="C52" i="5"/>
  <c r="C51" i="5"/>
  <c r="C50" i="5"/>
  <c r="C49" i="5"/>
  <c r="C48" i="5"/>
  <c r="C47" i="5"/>
  <c r="C46" i="5"/>
  <c r="C35" i="5"/>
  <c r="B35" i="5"/>
  <c r="D35" i="5" s="1"/>
  <c r="A36" i="5" s="1"/>
  <c r="C32" i="5"/>
  <c r="C31" i="5"/>
  <c r="C30" i="5"/>
  <c r="C29" i="5"/>
  <c r="C28" i="5"/>
  <c r="C27" i="5"/>
  <c r="C26" i="5"/>
  <c r="C25" i="5"/>
  <c r="C24" i="5"/>
  <c r="C23" i="5"/>
  <c r="C22" i="5"/>
  <c r="C14" i="5"/>
  <c r="B14" i="5"/>
  <c r="D14" i="5" s="1"/>
  <c r="C11" i="5"/>
  <c r="C10" i="5"/>
  <c r="C9" i="5"/>
  <c r="C8" i="5"/>
  <c r="C7" i="5"/>
  <c r="C6" i="5"/>
  <c r="C5" i="5"/>
  <c r="C4" i="5"/>
  <c r="C3" i="5"/>
  <c r="B80" i="5" l="1"/>
  <c r="C80" i="5"/>
  <c r="D80" i="5" s="1"/>
  <c r="A81" i="5" s="1"/>
  <c r="B60" i="5"/>
  <c r="C60" i="5"/>
  <c r="B36" i="5"/>
  <c r="C36" i="5"/>
  <c r="B15" i="5"/>
  <c r="C15" i="5"/>
  <c r="A81" i="4"/>
  <c r="C81" i="4" s="1"/>
  <c r="D80" i="4"/>
  <c r="C80" i="4"/>
  <c r="C77" i="4"/>
  <c r="C76" i="4"/>
  <c r="C75" i="4"/>
  <c r="C74" i="4"/>
  <c r="C73" i="4"/>
  <c r="C72" i="4"/>
  <c r="C71" i="4"/>
  <c r="C70" i="4"/>
  <c r="C69" i="4"/>
  <c r="A60" i="4"/>
  <c r="C60" i="4" s="1"/>
  <c r="D59" i="4"/>
  <c r="C59" i="4"/>
  <c r="C49" i="4"/>
  <c r="C48" i="4"/>
  <c r="C47" i="4"/>
  <c r="C46" i="4"/>
  <c r="A37" i="4"/>
  <c r="C37" i="4" s="1"/>
  <c r="D36" i="4"/>
  <c r="C36" i="4"/>
  <c r="C33" i="4"/>
  <c r="C32" i="4"/>
  <c r="C31" i="4"/>
  <c r="C30" i="4"/>
  <c r="C29" i="4"/>
  <c r="C28" i="4"/>
  <c r="C27" i="4"/>
  <c r="C26" i="4"/>
  <c r="C25" i="4"/>
  <c r="C24" i="4"/>
  <c r="C23" i="4"/>
  <c r="A15" i="4"/>
  <c r="C15" i="4" s="1"/>
  <c r="D14" i="4"/>
  <c r="C14" i="4"/>
  <c r="C11" i="4"/>
  <c r="C10" i="4"/>
  <c r="C9" i="4"/>
  <c r="C8" i="4"/>
  <c r="C7" i="4"/>
  <c r="C6" i="4"/>
  <c r="C5" i="4"/>
  <c r="C4" i="4"/>
  <c r="C3" i="4"/>
  <c r="C102" i="3"/>
  <c r="D102" i="3"/>
  <c r="E102" i="3"/>
  <c r="F102" i="3" s="1"/>
  <c r="C101" i="3"/>
  <c r="D101" i="3"/>
  <c r="E101" i="3"/>
  <c r="F101" i="3" s="1"/>
  <c r="C100" i="3"/>
  <c r="D100" i="3"/>
  <c r="E100" i="3"/>
  <c r="F100" i="3" s="1"/>
  <c r="D98" i="3"/>
  <c r="E98" i="3"/>
  <c r="F98" i="3" s="1"/>
  <c r="A99" i="3" s="1"/>
  <c r="C93" i="3"/>
  <c r="E93" i="3"/>
  <c r="F93" i="3" s="1"/>
  <c r="B94" i="3" s="1"/>
  <c r="D94" i="3" s="1"/>
  <c r="D93" i="3"/>
  <c r="C89" i="3"/>
  <c r="C88" i="3"/>
  <c r="C87" i="3"/>
  <c r="C86" i="3"/>
  <c r="C85" i="3"/>
  <c r="C84" i="3"/>
  <c r="C83" i="3"/>
  <c r="C82" i="3"/>
  <c r="C81" i="3"/>
  <c r="E67" i="3"/>
  <c r="F67" i="3" s="1"/>
  <c r="D67" i="3"/>
  <c r="C67" i="3"/>
  <c r="C62" i="3"/>
  <c r="C61" i="3"/>
  <c r="C60" i="3"/>
  <c r="C59" i="3"/>
  <c r="C58" i="3"/>
  <c r="C57" i="3"/>
  <c r="C56" i="3"/>
  <c r="C55" i="3"/>
  <c r="C54" i="3"/>
  <c r="E45" i="3"/>
  <c r="F45" i="3" s="1"/>
  <c r="D45" i="3"/>
  <c r="C45" i="3"/>
  <c r="C42" i="3"/>
  <c r="C41" i="3"/>
  <c r="C40" i="3"/>
  <c r="C39" i="3"/>
  <c r="C38" i="3"/>
  <c r="C37" i="3"/>
  <c r="C36" i="3"/>
  <c r="C35" i="3"/>
  <c r="C34" i="3"/>
  <c r="C33" i="3"/>
  <c r="C32" i="3"/>
  <c r="E14" i="3"/>
  <c r="F14" i="3" s="1"/>
  <c r="D14" i="3"/>
  <c r="C14" i="3"/>
  <c r="B81" i="5" l="1"/>
  <c r="D81" i="5" s="1"/>
  <c r="A82" i="5" s="1"/>
  <c r="C81" i="5"/>
  <c r="D60" i="5"/>
  <c r="A61" i="5" s="1"/>
  <c r="D36" i="5"/>
  <c r="A37" i="5" s="1"/>
  <c r="D15" i="5"/>
  <c r="C16" i="5"/>
  <c r="B16" i="5"/>
  <c r="D16" i="5" s="1"/>
  <c r="E80" i="4"/>
  <c r="B81" i="4" s="1"/>
  <c r="A82" i="4"/>
  <c r="C82" i="4" s="1"/>
  <c r="D81" i="4"/>
  <c r="E81" i="4" s="1"/>
  <c r="B82" i="4" s="1"/>
  <c r="E59" i="4"/>
  <c r="B60" i="4" s="1"/>
  <c r="A61" i="4" s="1"/>
  <c r="C61" i="4" s="1"/>
  <c r="E36" i="4"/>
  <c r="B37" i="4" s="1"/>
  <c r="D37" i="4" s="1"/>
  <c r="E37" i="4" s="1"/>
  <c r="B38" i="4" s="1"/>
  <c r="D38" i="4" s="1"/>
  <c r="A38" i="4"/>
  <c r="C38" i="4" s="1"/>
  <c r="E14" i="4"/>
  <c r="B15" i="4" s="1"/>
  <c r="D15" i="4" s="1"/>
  <c r="E15" i="4" s="1"/>
  <c r="B16" i="4" s="1"/>
  <c r="D16" i="4" s="1"/>
  <c r="A94" i="3"/>
  <c r="B15" i="3"/>
  <c r="D15" i="3" s="1"/>
  <c r="A15" i="3"/>
  <c r="E15" i="3" s="1"/>
  <c r="F15" i="3" s="1"/>
  <c r="C99" i="3"/>
  <c r="B99" i="3"/>
  <c r="D99" i="3" s="1"/>
  <c r="C94" i="3"/>
  <c r="E94" i="3"/>
  <c r="F94" i="3" s="1"/>
  <c r="A68" i="3"/>
  <c r="C68" i="3" s="1"/>
  <c r="B68" i="3"/>
  <c r="D68" i="3" s="1"/>
  <c r="B46" i="3"/>
  <c r="D46" i="3" s="1"/>
  <c r="A46" i="3"/>
  <c r="C11" i="3"/>
  <c r="C10" i="3"/>
  <c r="C9" i="3"/>
  <c r="C8" i="3"/>
  <c r="C7" i="3"/>
  <c r="C6" i="3"/>
  <c r="C5" i="3"/>
  <c r="C4" i="3"/>
  <c r="C3" i="3"/>
  <c r="C61" i="2"/>
  <c r="C51" i="2"/>
  <c r="C52" i="2"/>
  <c r="C53" i="2"/>
  <c r="C54" i="2"/>
  <c r="C55" i="2"/>
  <c r="C56" i="2"/>
  <c r="C57" i="2"/>
  <c r="C58" i="2"/>
  <c r="C50" i="2"/>
  <c r="C35" i="2"/>
  <c r="C36" i="2"/>
  <c r="C37" i="2"/>
  <c r="C38" i="2"/>
  <c r="C39" i="2"/>
  <c r="C40" i="2"/>
  <c r="C41" i="2"/>
  <c r="C42" i="2"/>
  <c r="C34" i="2"/>
  <c r="C47" i="2"/>
  <c r="C31" i="2"/>
  <c r="C19" i="2"/>
  <c r="C20" i="2"/>
  <c r="C21" i="2"/>
  <c r="C22" i="2"/>
  <c r="C23" i="2"/>
  <c r="C24" i="2"/>
  <c r="C25" i="2"/>
  <c r="C26" i="2"/>
  <c r="C27" i="2"/>
  <c r="C28" i="2"/>
  <c r="C18" i="2"/>
  <c r="C15" i="2"/>
  <c r="C4" i="2"/>
  <c r="C5" i="2"/>
  <c r="C6" i="2"/>
  <c r="C7" i="2"/>
  <c r="C8" i="2"/>
  <c r="C9" i="2"/>
  <c r="C10" i="2"/>
  <c r="C11" i="2"/>
  <c r="C3" i="2"/>
  <c r="B82" i="5" l="1"/>
  <c r="C82" i="5"/>
  <c r="B61" i="5"/>
  <c r="C61" i="5"/>
  <c r="D61" i="5" s="1"/>
  <c r="A62" i="5" s="1"/>
  <c r="B37" i="5"/>
  <c r="C37" i="5"/>
  <c r="C17" i="5"/>
  <c r="B17" i="5"/>
  <c r="A16" i="4"/>
  <c r="C16" i="4" s="1"/>
  <c r="D60" i="4"/>
  <c r="E60" i="4" s="1"/>
  <c r="B61" i="4" s="1"/>
  <c r="D61" i="4"/>
  <c r="E61" i="4" s="1"/>
  <c r="B62" i="4" s="1"/>
  <c r="A62" i="4"/>
  <c r="C62" i="4" s="1"/>
  <c r="A39" i="4"/>
  <c r="C39" i="4" s="1"/>
  <c r="E38" i="4"/>
  <c r="B39" i="4" s="1"/>
  <c r="A40" i="4" s="1"/>
  <c r="C40" i="4" s="1"/>
  <c r="E16" i="4"/>
  <c r="B17" i="4" s="1"/>
  <c r="D17" i="4" s="1"/>
  <c r="A17" i="4"/>
  <c r="C17" i="4" s="1"/>
  <c r="C15" i="3"/>
  <c r="B16" i="3"/>
  <c r="D16" i="3" s="1"/>
  <c r="A16" i="3"/>
  <c r="B18" i="5"/>
  <c r="D82" i="4"/>
  <c r="E82" i="4" s="1"/>
  <c r="B83" i="4" s="1"/>
  <c r="A83" i="4"/>
  <c r="C83" i="4" s="1"/>
  <c r="E99" i="3"/>
  <c r="F99" i="3" s="1"/>
  <c r="A95" i="3"/>
  <c r="B95" i="3"/>
  <c r="D95" i="3" s="1"/>
  <c r="E68" i="3"/>
  <c r="F68" i="3" s="1"/>
  <c r="B69" i="3" s="1"/>
  <c r="D69" i="3" s="1"/>
  <c r="E46" i="3"/>
  <c r="F46" i="3" s="1"/>
  <c r="B47" i="3" s="1"/>
  <c r="D47" i="3" s="1"/>
  <c r="C46" i="3"/>
  <c r="D82" i="5" l="1"/>
  <c r="A83" i="5" s="1"/>
  <c r="B62" i="5"/>
  <c r="D62" i="5" s="1"/>
  <c r="A63" i="5" s="1"/>
  <c r="C62" i="5"/>
  <c r="D37" i="5"/>
  <c r="A38" i="5" s="1"/>
  <c r="B38" i="5"/>
  <c r="C38" i="5"/>
  <c r="D17" i="5"/>
  <c r="C18" i="5" s="1"/>
  <c r="D18" i="5" s="1"/>
  <c r="B19" i="5"/>
  <c r="C19" i="5"/>
  <c r="D39" i="4"/>
  <c r="E39" i="4" s="1"/>
  <c r="B40" i="4" s="1"/>
  <c r="A18" i="4"/>
  <c r="C18" i="4" s="1"/>
  <c r="A69" i="3"/>
  <c r="C69" i="3" s="1"/>
  <c r="A63" i="4"/>
  <c r="C63" i="4" s="1"/>
  <c r="D62" i="4"/>
  <c r="E62" i="4" s="1"/>
  <c r="B63" i="4" s="1"/>
  <c r="E17" i="4"/>
  <c r="B18" i="4" s="1"/>
  <c r="A41" i="4"/>
  <c r="C41" i="4" s="1"/>
  <c r="D40" i="4"/>
  <c r="E40" i="4" s="1"/>
  <c r="B41" i="4" s="1"/>
  <c r="A42" i="4" s="1"/>
  <c r="C42" i="4" s="1"/>
  <c r="A47" i="3"/>
  <c r="C47" i="3" s="1"/>
  <c r="E16" i="3"/>
  <c r="F16" i="3" s="1"/>
  <c r="B17" i="3" s="1"/>
  <c r="D17" i="3" s="1"/>
  <c r="C16" i="3"/>
  <c r="A84" i="4"/>
  <c r="C84" i="4" s="1"/>
  <c r="D83" i="4"/>
  <c r="E83" i="4" s="1"/>
  <c r="B84" i="4" s="1"/>
  <c r="C95" i="3"/>
  <c r="E95" i="3"/>
  <c r="F95" i="3" s="1"/>
  <c r="C83" i="5" l="1"/>
  <c r="B83" i="5"/>
  <c r="D83" i="5" s="1"/>
  <c r="A84" i="5" s="1"/>
  <c r="B63" i="5"/>
  <c r="C63" i="5"/>
  <c r="D63" i="5" s="1"/>
  <c r="A64" i="5" s="1"/>
  <c r="D38" i="5"/>
  <c r="A39" i="5" s="1"/>
  <c r="D19" i="5"/>
  <c r="E69" i="3"/>
  <c r="F69" i="3" s="1"/>
  <c r="A70" i="3" s="1"/>
  <c r="C70" i="3" s="1"/>
  <c r="E47" i="3"/>
  <c r="F47" i="3" s="1"/>
  <c r="B48" i="3" s="1"/>
  <c r="D48" i="3" s="1"/>
  <c r="D63" i="4"/>
  <c r="E63" i="4" s="1"/>
  <c r="B64" i="4" s="1"/>
  <c r="A64" i="4"/>
  <c r="C64" i="4" s="1"/>
  <c r="D18" i="4"/>
  <c r="E18" i="4" s="1"/>
  <c r="B19" i="4" s="1"/>
  <c r="A19" i="4"/>
  <c r="C19" i="4" s="1"/>
  <c r="D41" i="4"/>
  <c r="E41" i="4" s="1"/>
  <c r="B42" i="4" s="1"/>
  <c r="D42" i="4" s="1"/>
  <c r="E42" i="4" s="1"/>
  <c r="B43" i="4" s="1"/>
  <c r="A17" i="3"/>
  <c r="C17" i="3" s="1"/>
  <c r="A85" i="4"/>
  <c r="C85" i="4" s="1"/>
  <c r="D84" i="4"/>
  <c r="E84" i="4" s="1"/>
  <c r="B85" i="4" s="1"/>
  <c r="A96" i="3"/>
  <c r="B96" i="3"/>
  <c r="D96" i="3" s="1"/>
  <c r="B84" i="5" l="1"/>
  <c r="D84" i="5" s="1"/>
  <c r="A85" i="5" s="1"/>
  <c r="C84" i="5"/>
  <c r="B64" i="5"/>
  <c r="C64" i="5"/>
  <c r="D64" i="5" s="1"/>
  <c r="A65" i="5" s="1"/>
  <c r="B39" i="5"/>
  <c r="C39" i="5"/>
  <c r="B70" i="3"/>
  <c r="D70" i="3" s="1"/>
  <c r="A48" i="3"/>
  <c r="E48" i="3" s="1"/>
  <c r="F48" i="3" s="1"/>
  <c r="B49" i="3" s="1"/>
  <c r="D49" i="3" s="1"/>
  <c r="A65" i="4"/>
  <c r="C65" i="4" s="1"/>
  <c r="D64" i="4"/>
  <c r="E64" i="4" s="1"/>
  <c r="B65" i="4" s="1"/>
  <c r="A20" i="4"/>
  <c r="C20" i="4" s="1"/>
  <c r="D19" i="4"/>
  <c r="E19" i="4" s="1"/>
  <c r="B20" i="4" s="1"/>
  <c r="D20" i="4" s="1"/>
  <c r="A43" i="4"/>
  <c r="C43" i="4" s="1"/>
  <c r="D43" i="4"/>
  <c r="E17" i="3"/>
  <c r="F17" i="3" s="1"/>
  <c r="B18" i="3" s="1"/>
  <c r="D18" i="3" s="1"/>
  <c r="D85" i="4"/>
  <c r="A86" i="4"/>
  <c r="C86" i="4" s="1"/>
  <c r="E85" i="4"/>
  <c r="B86" i="4" s="1"/>
  <c r="C96" i="3"/>
  <c r="E96" i="3"/>
  <c r="F96" i="3" s="1"/>
  <c r="C85" i="5" l="1"/>
  <c r="B85" i="5"/>
  <c r="B65" i="5"/>
  <c r="C65" i="5"/>
  <c r="D39" i="5"/>
  <c r="A40" i="5" s="1"/>
  <c r="D86" i="4"/>
  <c r="E86" i="4" s="1"/>
  <c r="B87" i="4" s="1"/>
  <c r="A87" i="4"/>
  <c r="C87" i="4" s="1"/>
  <c r="E20" i="4"/>
  <c r="E70" i="3"/>
  <c r="F70" i="3" s="1"/>
  <c r="B71" i="3" s="1"/>
  <c r="D71" i="3" s="1"/>
  <c r="C48" i="3"/>
  <c r="A49" i="3" s="1"/>
  <c r="E49" i="3" s="1"/>
  <c r="F49" i="3" s="1"/>
  <c r="B50" i="3" s="1"/>
  <c r="D50" i="3" s="1"/>
  <c r="A66" i="4"/>
  <c r="C66" i="4" s="1"/>
  <c r="D65" i="4"/>
  <c r="E65" i="4" s="1"/>
  <c r="B66" i="4" s="1"/>
  <c r="D66" i="4" s="1"/>
  <c r="E66" i="4" s="1"/>
  <c r="E43" i="4"/>
  <c r="A71" i="3"/>
  <c r="E71" i="3" s="1"/>
  <c r="F71" i="3" s="1"/>
  <c r="B72" i="3" s="1"/>
  <c r="D72" i="3" s="1"/>
  <c r="A18" i="3"/>
  <c r="E18" i="3" s="1"/>
  <c r="F18" i="3" s="1"/>
  <c r="B19" i="3" s="1"/>
  <c r="D19" i="3" s="1"/>
  <c r="B97" i="3"/>
  <c r="D97" i="3" s="1"/>
  <c r="A97" i="3"/>
  <c r="C71" i="3"/>
  <c r="D85" i="5" l="1"/>
  <c r="D65" i="5"/>
  <c r="B40" i="5"/>
  <c r="C40" i="5"/>
  <c r="D40" i="5" s="1"/>
  <c r="A41" i="5" s="1"/>
  <c r="D87" i="4"/>
  <c r="A88" i="4"/>
  <c r="C88" i="4" s="1"/>
  <c r="E87" i="4"/>
  <c r="B88" i="4" s="1"/>
  <c r="C49" i="3"/>
  <c r="A50" i="3" s="1"/>
  <c r="C18" i="3"/>
  <c r="A19" i="3" s="1"/>
  <c r="E19" i="3" s="1"/>
  <c r="F19" i="3" s="1"/>
  <c r="B20" i="3" s="1"/>
  <c r="D20" i="3" s="1"/>
  <c r="E97" i="3"/>
  <c r="F97" i="3" s="1"/>
  <c r="C97" i="3"/>
  <c r="A72" i="3"/>
  <c r="B41" i="5" l="1"/>
  <c r="C41" i="5"/>
  <c r="A89" i="4"/>
  <c r="C89" i="4" s="1"/>
  <c r="D88" i="4"/>
  <c r="E88" i="4" s="1"/>
  <c r="B89" i="4" s="1"/>
  <c r="C50" i="3"/>
  <c r="A51" i="3" s="1"/>
  <c r="C51" i="3" s="1"/>
  <c r="E50" i="3"/>
  <c r="F50" i="3" s="1"/>
  <c r="B51" i="3" s="1"/>
  <c r="D51" i="3" s="1"/>
  <c r="C19" i="3"/>
  <c r="A20" i="3" s="1"/>
  <c r="E20" i="3" s="1"/>
  <c r="F20" i="3" s="1"/>
  <c r="B21" i="3" s="1"/>
  <c r="D21" i="3" s="1"/>
  <c r="C72" i="3"/>
  <c r="E72" i="3"/>
  <c r="F72" i="3" s="1"/>
  <c r="B73" i="3" s="1"/>
  <c r="D73" i="3" s="1"/>
  <c r="D41" i="5" l="1"/>
  <c r="A42" i="5" s="1"/>
  <c r="D89" i="4"/>
  <c r="E89" i="4" s="1"/>
  <c r="C20" i="3"/>
  <c r="A21" i="3" s="1"/>
  <c r="C21" i="3" s="1"/>
  <c r="E51" i="3"/>
  <c r="F51" i="3" s="1"/>
  <c r="A73" i="3"/>
  <c r="E73" i="3" s="1"/>
  <c r="F73" i="3" s="1"/>
  <c r="B74" i="3" s="1"/>
  <c r="C73" i="3"/>
  <c r="B42" i="5" l="1"/>
  <c r="C42" i="5"/>
  <c r="E21" i="3"/>
  <c r="F21" i="3" s="1"/>
  <c r="B22" i="3" s="1"/>
  <c r="D22" i="3" s="1"/>
  <c r="D74" i="3"/>
  <c r="A74" i="3"/>
  <c r="C74" i="3" s="1"/>
  <c r="D42" i="5" l="1"/>
  <c r="A43" i="5" s="1"/>
  <c r="A22" i="3"/>
  <c r="E22" i="3" s="1"/>
  <c r="F22" i="3" s="1"/>
  <c r="B23" i="3" s="1"/>
  <c r="D23" i="3" s="1"/>
  <c r="E74" i="3"/>
  <c r="F74" i="3" s="1"/>
  <c r="A75" i="3" s="1"/>
  <c r="C75" i="3" s="1"/>
  <c r="C43" i="5" l="1"/>
  <c r="B43" i="5"/>
  <c r="C22" i="3"/>
  <c r="A23" i="3" s="1"/>
  <c r="C23" i="3" s="1"/>
  <c r="B75" i="3"/>
  <c r="D43" i="5" l="1"/>
  <c r="E23" i="3"/>
  <c r="F23" i="3" s="1"/>
  <c r="B24" i="3" s="1"/>
  <c r="D24" i="3" s="1"/>
  <c r="E75" i="3"/>
  <c r="F75" i="3" s="1"/>
  <c r="A76" i="3" s="1"/>
  <c r="D75" i="3"/>
  <c r="B76" i="3" l="1"/>
  <c r="D76" i="3" s="1"/>
  <c r="A24" i="3"/>
  <c r="E24" i="3" s="1"/>
  <c r="F24" i="3" s="1"/>
  <c r="B25" i="3" s="1"/>
  <c r="D25" i="3" s="1"/>
  <c r="C76" i="3"/>
  <c r="E76" i="3" l="1"/>
  <c r="F76" i="3" s="1"/>
  <c r="B77" i="3" s="1"/>
  <c r="D77" i="3" s="1"/>
  <c r="C24" i="3"/>
  <c r="A25" i="3" s="1"/>
  <c r="C25" i="3" s="1"/>
  <c r="A77" i="3" l="1"/>
  <c r="C77" i="3" s="1"/>
  <c r="E25" i="3"/>
  <c r="F25" i="3" s="1"/>
  <c r="B26" i="3" s="1"/>
  <c r="D26" i="3" s="1"/>
  <c r="E77" i="3" l="1"/>
  <c r="F77" i="3" s="1"/>
  <c r="B78" i="3" s="1"/>
  <c r="D78" i="3" s="1"/>
  <c r="A26" i="3"/>
  <c r="E26" i="3" s="1"/>
  <c r="F26" i="3" s="1"/>
  <c r="B27" i="3" s="1"/>
  <c r="D27" i="3" s="1"/>
  <c r="A78" i="3" l="1"/>
  <c r="C78" i="3" s="1"/>
  <c r="E78" i="3"/>
  <c r="F78" i="3" s="1"/>
  <c r="C26" i="3"/>
  <c r="A27" i="3" s="1"/>
  <c r="C27" i="3" s="1"/>
  <c r="E27" i="3" l="1"/>
  <c r="F27" i="3" s="1"/>
  <c r="B28" i="3" s="1"/>
  <c r="D28" i="3" s="1"/>
  <c r="A28" i="3" l="1"/>
  <c r="E28" i="3" s="1"/>
  <c r="F28" i="3" s="1"/>
  <c r="B29" i="3" s="1"/>
  <c r="D29" i="3" s="1"/>
  <c r="C28" i="3" l="1"/>
  <c r="A29" i="3" s="1"/>
  <c r="C29" i="3" s="1"/>
  <c r="E29" i="3" l="1"/>
  <c r="F29" i="3" s="1"/>
</calcChain>
</file>

<file path=xl/sharedStrings.xml><?xml version="1.0" encoding="utf-8"?>
<sst xmlns="http://schemas.openxmlformats.org/spreadsheetml/2006/main" count="121" uniqueCount="23">
  <si>
    <t>x</t>
  </si>
  <si>
    <t>f(x)</t>
  </si>
  <si>
    <t>a) f(x)=x-x^(1/3)-2</t>
  </si>
  <si>
    <t xml:space="preserve"> </t>
  </si>
  <si>
    <t>x=</t>
  </si>
  <si>
    <t>f(x)=</t>
  </si>
  <si>
    <t>b) f(x)=xtan(x)-1</t>
  </si>
  <si>
    <t>c) f(x)=x^4-e^x+1</t>
  </si>
  <si>
    <t>d) f(x)=x^2(exp(x))-1</t>
  </si>
  <si>
    <t>x1</t>
  </si>
  <si>
    <t>x2</t>
  </si>
  <si>
    <t>f(x1)</t>
  </si>
  <si>
    <t>f(x2)</t>
  </si>
  <si>
    <t>midpoint</t>
  </si>
  <si>
    <t>f(midpoint)</t>
  </si>
  <si>
    <t>x3</t>
  </si>
  <si>
    <t>x(old)</t>
  </si>
  <si>
    <t>f'(x)</t>
  </si>
  <si>
    <t>x(new)</t>
  </si>
  <si>
    <t>f'(x)=1-(1/3)x^(-2/3)</t>
  </si>
  <si>
    <t>f'(x)=tan(x)+x(sec^2(x))</t>
  </si>
  <si>
    <t>f'(x)=4x^3-e^x</t>
  </si>
  <si>
    <t>f'(x)=2xe^x+x^2e^x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</si>
</sst>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0000"/>
    <numFmt numFmtId="178" formatCode="0.0000000"/>
  </numFmts>
  <fonts count="3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2" fontId="0" fillId="0" borderId="0" xfId="0" applyNumberFormat="1" applyBorder="1"/>
    <xf numFmtId="176" fontId="0" fillId="0" borderId="0" xfId="0" applyNumberFormat="1"/>
    <xf numFmtId="0" fontId="0" fillId="0" borderId="1" xfId="0" applyBorder="1"/>
    <xf numFmtId="2" fontId="0" fillId="0" borderId="1" xfId="0" applyNumberFormat="1" applyBorder="1"/>
    <xf numFmtId="178" fontId="0" fillId="0" borderId="1" xfId="0" applyNumberFormat="1" applyBorder="1"/>
    <xf numFmtId="2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1.1'!$C$2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1.1'!$B$3:$B$11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'E 1.1'!$C$3:$C$11</c:f>
              <c:numCache>
                <c:formatCode>0.00</c:formatCode>
                <c:ptCount val="9"/>
                <c:pt idx="0">
                  <c:v>-3.5577504296925917</c:v>
                </c:pt>
                <c:pt idx="1">
                  <c:v>-2.7400789501051266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-1.2599210498948732</c:v>
                </c:pt>
                <c:pt idx="6">
                  <c:v>-0.4422495703074083</c:v>
                </c:pt>
                <c:pt idx="7">
                  <c:v>0.41259894803180064</c:v>
                </c:pt>
                <c:pt idx="8">
                  <c:v>1.2900240533233029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E1-4EAB-9257-2E6FC0780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424560"/>
        <c:axId val="570422320"/>
      </c:scatterChart>
      <c:valAx>
        <c:axId val="57042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422320"/>
        <c:crosses val="autoZero"/>
        <c:crossBetween val="midCat"/>
      </c:valAx>
      <c:valAx>
        <c:axId val="57042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42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1.1'!$C$17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 1.1'!$B$18:$B$28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'E 1.1'!$C$18:$C$28</c:f>
              <c:numCache>
                <c:formatCode>0.00</c:formatCode>
                <c:ptCount val="11"/>
                <c:pt idx="0">
                  <c:v>5.4836082745908659</c:v>
                </c:pt>
                <c:pt idx="1">
                  <c:v>-55.397691641763032</c:v>
                </c:pt>
                <c:pt idx="2">
                  <c:v>-2.7460371483084947</c:v>
                </c:pt>
                <c:pt idx="3">
                  <c:v>3.6312851293983099</c:v>
                </c:pt>
                <c:pt idx="4">
                  <c:v>-5.3700797265230378</c:v>
                </c:pt>
                <c:pt idx="5">
                  <c:v>-1</c:v>
                </c:pt>
                <c:pt idx="6">
                  <c:v>-5.3700797265230378</c:v>
                </c:pt>
                <c:pt idx="7">
                  <c:v>3.6312851293983099</c:v>
                </c:pt>
                <c:pt idx="8">
                  <c:v>-2.7460371483084947</c:v>
                </c:pt>
                <c:pt idx="9">
                  <c:v>-55.397691641763032</c:v>
                </c:pt>
                <c:pt idx="10">
                  <c:v>5.4836082745908659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F-4CB0-953E-134CDB46B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424880"/>
        <c:axId val="570424240"/>
      </c:scatterChart>
      <c:valAx>
        <c:axId val="57042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424240"/>
        <c:crosses val="autoZero"/>
        <c:crossBetween val="midCat"/>
      </c:valAx>
      <c:valAx>
        <c:axId val="5704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42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1.1'!$C$33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 1.1'!$B$34:$B$42</c:f>
              <c:numCache>
                <c:formatCode>General</c:formatCode>
                <c:ptCount val="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xVal>
          <c:yVal>
            <c:numRef>
              <c:f>'E 1.1'!$C$34:$C$42</c:f>
              <c:numCache>
                <c:formatCode>0.00</c:formatCode>
                <c:ptCount val="9"/>
                <c:pt idx="0">
                  <c:v>625.99326205300088</c:v>
                </c:pt>
                <c:pt idx="1">
                  <c:v>256.98168436111126</c:v>
                </c:pt>
                <c:pt idx="2">
                  <c:v>81.950212931632137</c:v>
                </c:pt>
                <c:pt idx="3">
                  <c:v>16.864664716763386</c:v>
                </c:pt>
                <c:pt idx="4">
                  <c:v>1.6321205588285577</c:v>
                </c:pt>
                <c:pt idx="5">
                  <c:v>0</c:v>
                </c:pt>
                <c:pt idx="6">
                  <c:v>-0.71828182845904509</c:v>
                </c:pt>
                <c:pt idx="7">
                  <c:v>9.6109439010693496</c:v>
                </c:pt>
                <c:pt idx="8">
                  <c:v>61.914463076812332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A5-4D8C-92FD-5C1E2886B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221688"/>
        <c:axId val="331974248"/>
      </c:scatterChart>
      <c:valAx>
        <c:axId val="60922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74248"/>
        <c:crosses val="autoZero"/>
        <c:crossBetween val="midCat"/>
      </c:valAx>
      <c:valAx>
        <c:axId val="33197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21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937445319335086E-2"/>
          <c:y val="0.17171296296296298"/>
          <c:w val="0.90972922134733158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 1.1'!$C$49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 1.1'!$B$50:$B$58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'E 1.1'!$C$50:$C$58</c:f>
              <c:numCache>
                <c:formatCode>0.00</c:formatCode>
                <c:ptCount val="9"/>
                <c:pt idx="0">
                  <c:v>-0.55191638468922455</c:v>
                </c:pt>
                <c:pt idx="1">
                  <c:v>-0.45865886705354919</c:v>
                </c:pt>
                <c:pt idx="2">
                  <c:v>-0.63212055882855767</c:v>
                </c:pt>
                <c:pt idx="3">
                  <c:v>-1</c:v>
                </c:pt>
                <c:pt idx="4">
                  <c:v>1.7182818284590451</c:v>
                </c:pt>
                <c:pt idx="5">
                  <c:v>28.556224395722602</c:v>
                </c:pt>
                <c:pt idx="6">
                  <c:v>179.76983230868902</c:v>
                </c:pt>
                <c:pt idx="7">
                  <c:v>872.57040053030778</c:v>
                </c:pt>
                <c:pt idx="8">
                  <c:v>3709.3289775644148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CF-4159-908E-63D1EBBC3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214968"/>
        <c:axId val="609215288"/>
      </c:scatterChart>
      <c:valAx>
        <c:axId val="60921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15288"/>
        <c:crosses val="autoZero"/>
        <c:crossBetween val="midCat"/>
      </c:valAx>
      <c:valAx>
        <c:axId val="60921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1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1.2'!$C$2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 1.2'!$B$3:$B$11</c:f>
              <c:numCache>
                <c:formatCode>General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'E 1.2'!$C$3:$C$11</c:f>
              <c:numCache>
                <c:formatCode>0.00</c:formatCode>
                <c:ptCount val="9"/>
                <c:pt idx="0">
                  <c:v>-3.5577504296925917</c:v>
                </c:pt>
                <c:pt idx="1">
                  <c:v>-2.7400789501051266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-1.2599210498948732</c:v>
                </c:pt>
                <c:pt idx="6">
                  <c:v>-0.4422495703074083</c:v>
                </c:pt>
                <c:pt idx="7">
                  <c:v>0.41259894803180064</c:v>
                </c:pt>
                <c:pt idx="8">
                  <c:v>1.2900240533233029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24-423F-B5EE-9837841DB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219768"/>
        <c:axId val="609220088"/>
      </c:scatterChart>
      <c:valAx>
        <c:axId val="60921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20088"/>
        <c:crosses val="autoZero"/>
        <c:crossBetween val="midCat"/>
      </c:valAx>
      <c:valAx>
        <c:axId val="60922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19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1.2'!$C$31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1.2'!$B$32:$B$42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'E 1.2'!$C$32:$C$42</c:f>
              <c:numCache>
                <c:formatCode>0.00</c:formatCode>
                <c:ptCount val="11"/>
                <c:pt idx="0">
                  <c:v>5.4836082745908659</c:v>
                </c:pt>
                <c:pt idx="1">
                  <c:v>-55.397691641763032</c:v>
                </c:pt>
                <c:pt idx="2">
                  <c:v>-2.7460371483084947</c:v>
                </c:pt>
                <c:pt idx="3">
                  <c:v>3.6312851293983099</c:v>
                </c:pt>
                <c:pt idx="4">
                  <c:v>-5.3700797265230378</c:v>
                </c:pt>
                <c:pt idx="5">
                  <c:v>-1</c:v>
                </c:pt>
                <c:pt idx="6">
                  <c:v>-5.3700797265230378</c:v>
                </c:pt>
                <c:pt idx="7">
                  <c:v>3.6312851293983099</c:v>
                </c:pt>
                <c:pt idx="8">
                  <c:v>-2.7460371483084947</c:v>
                </c:pt>
                <c:pt idx="9">
                  <c:v>-55.397691641763032</c:v>
                </c:pt>
                <c:pt idx="10">
                  <c:v>5.4836082745908659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F-49EF-88AE-65AECB213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122128"/>
        <c:axId val="609122448"/>
      </c:scatterChart>
      <c:valAx>
        <c:axId val="60912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22448"/>
        <c:crosses val="autoZero"/>
        <c:crossBetween val="midCat"/>
      </c:valAx>
      <c:valAx>
        <c:axId val="60912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2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1.2'!$C$53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 1.2'!$B$54:$B$62</c:f>
              <c:numCache>
                <c:formatCode>General</c:formatCode>
                <c:ptCount val="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xVal>
          <c:yVal>
            <c:numRef>
              <c:f>'E 1.2'!$C$54:$C$62</c:f>
              <c:numCache>
                <c:formatCode>0.00</c:formatCode>
                <c:ptCount val="9"/>
                <c:pt idx="0">
                  <c:v>625.99326205300088</c:v>
                </c:pt>
                <c:pt idx="1">
                  <c:v>256.98168436111126</c:v>
                </c:pt>
                <c:pt idx="2">
                  <c:v>81.950212931632137</c:v>
                </c:pt>
                <c:pt idx="3">
                  <c:v>16.864664716763386</c:v>
                </c:pt>
                <c:pt idx="4">
                  <c:v>1.6321205588285577</c:v>
                </c:pt>
                <c:pt idx="5">
                  <c:v>0</c:v>
                </c:pt>
                <c:pt idx="6">
                  <c:v>-0.71828182845904509</c:v>
                </c:pt>
                <c:pt idx="7">
                  <c:v>9.6109439010693496</c:v>
                </c:pt>
                <c:pt idx="8">
                  <c:v>61.914463076812332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FF-4A6A-B8F0-EB63FF3DE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112208"/>
        <c:axId val="609112528"/>
      </c:scatterChart>
      <c:valAx>
        <c:axId val="60911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12528"/>
        <c:crosses val="autoZero"/>
        <c:crossBetween val="midCat"/>
      </c:valAx>
      <c:valAx>
        <c:axId val="60911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1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1.2'!$C$80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1.2'!$B$81:$B$89</c:f>
              <c:numCache>
                <c:formatCode>0.00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'E 1.2'!$C$81:$C$89</c:f>
              <c:numCache>
                <c:formatCode>0.00</c:formatCode>
                <c:ptCount val="9"/>
                <c:pt idx="0">
                  <c:v>-0.55191638468922455</c:v>
                </c:pt>
                <c:pt idx="1">
                  <c:v>-0.45865886705354919</c:v>
                </c:pt>
                <c:pt idx="2">
                  <c:v>-0.63212055882855767</c:v>
                </c:pt>
                <c:pt idx="3">
                  <c:v>-1</c:v>
                </c:pt>
                <c:pt idx="4">
                  <c:v>1.7182818284590451</c:v>
                </c:pt>
                <c:pt idx="5">
                  <c:v>28.556224395722602</c:v>
                </c:pt>
                <c:pt idx="6">
                  <c:v>179.76983230868902</c:v>
                </c:pt>
                <c:pt idx="7">
                  <c:v>872.57040053030778</c:v>
                </c:pt>
                <c:pt idx="8">
                  <c:v>3709.3289775644148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57-405B-B03B-D42603642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375920"/>
        <c:axId val="617191672"/>
      </c:scatterChart>
      <c:valAx>
        <c:axId val="33537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91672"/>
        <c:crosses val="autoZero"/>
        <c:crossBetween val="midCat"/>
      </c:valAx>
      <c:valAx>
        <c:axId val="61719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1.3'!$C$2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1.3'!$B$3:$B$11</c:f>
              <c:numCache>
                <c:formatCode>0.00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'E 1.3'!$C$3:$C$11</c:f>
              <c:numCache>
                <c:formatCode>0.00</c:formatCode>
                <c:ptCount val="9"/>
                <c:pt idx="0">
                  <c:v>-3.5577504296925917</c:v>
                </c:pt>
                <c:pt idx="1">
                  <c:v>-2.7400789501051266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-1.2599210498948732</c:v>
                </c:pt>
                <c:pt idx="6">
                  <c:v>-0.4422495703074083</c:v>
                </c:pt>
                <c:pt idx="7">
                  <c:v>0.41259894803180064</c:v>
                </c:pt>
                <c:pt idx="8">
                  <c:v>1.2900240533233029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11-492E-A027-C4E896463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115728"/>
        <c:axId val="609113488"/>
      </c:scatterChart>
      <c:valAx>
        <c:axId val="60911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13488"/>
        <c:crosses val="autoZero"/>
        <c:crossBetween val="midCat"/>
      </c:valAx>
      <c:valAx>
        <c:axId val="60911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1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1.3'!$C$22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1.3'!$B$23:$B$33</c:f>
              <c:numCache>
                <c:formatCode>0.00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'E 1.3'!$C$23:$C$33</c:f>
              <c:numCache>
                <c:formatCode>0.00</c:formatCode>
                <c:ptCount val="11"/>
                <c:pt idx="0">
                  <c:v>5.4836082745908659</c:v>
                </c:pt>
                <c:pt idx="1">
                  <c:v>-55.397691641763032</c:v>
                </c:pt>
                <c:pt idx="2">
                  <c:v>-2.7460371483084947</c:v>
                </c:pt>
                <c:pt idx="3">
                  <c:v>3.6312851293983099</c:v>
                </c:pt>
                <c:pt idx="4">
                  <c:v>-5.3700797265230378</c:v>
                </c:pt>
                <c:pt idx="5">
                  <c:v>-1</c:v>
                </c:pt>
                <c:pt idx="6">
                  <c:v>-5.3700797265230378</c:v>
                </c:pt>
                <c:pt idx="7">
                  <c:v>3.6312851293983099</c:v>
                </c:pt>
                <c:pt idx="8">
                  <c:v>-2.7460371483084947</c:v>
                </c:pt>
                <c:pt idx="9">
                  <c:v>-55.397691641763032</c:v>
                </c:pt>
                <c:pt idx="10">
                  <c:v>5.4836082745908659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5-42C5-8F3B-0FE5C02E6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130872"/>
        <c:axId val="606134072"/>
      </c:scatterChart>
      <c:valAx>
        <c:axId val="60613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34072"/>
        <c:crosses val="autoZero"/>
        <c:crossBetween val="midCat"/>
      </c:valAx>
      <c:valAx>
        <c:axId val="60613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30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1.3'!$C$45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1.3'!$B$46:$B$54</c:f>
              <c:numCache>
                <c:formatCode>0.00</c:formatCode>
                <c:ptCount val="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xVal>
          <c:yVal>
            <c:numRef>
              <c:f>'E 1.3'!$C$46:$C$54</c:f>
              <c:numCache>
                <c:formatCode>0.00</c:formatCode>
                <c:ptCount val="9"/>
                <c:pt idx="0">
                  <c:v>625.99326205300088</c:v>
                </c:pt>
                <c:pt idx="1">
                  <c:v>256.98168436111126</c:v>
                </c:pt>
                <c:pt idx="2">
                  <c:v>81.950212931632137</c:v>
                </c:pt>
                <c:pt idx="3">
                  <c:v>16.864664716763386</c:v>
                </c:pt>
                <c:pt idx="4">
                  <c:v>1.6321205588285577</c:v>
                </c:pt>
                <c:pt idx="5">
                  <c:v>0</c:v>
                </c:pt>
                <c:pt idx="6">
                  <c:v>-0.71828182845904509</c:v>
                </c:pt>
                <c:pt idx="7">
                  <c:v>9.6109439010693496</c:v>
                </c:pt>
                <c:pt idx="8">
                  <c:v>61.914463076812332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6C-4BC3-8A8C-0604930B3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189752"/>
        <c:axId val="617190712"/>
      </c:scatterChart>
      <c:valAx>
        <c:axId val="61718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90712"/>
        <c:crosses val="autoZero"/>
        <c:crossBetween val="midCat"/>
      </c:valAx>
      <c:valAx>
        <c:axId val="61719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8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</a:t>
            </a:r>
          </a:p>
        </c:rich>
      </c:tx>
      <c:layout>
        <c:manualLayout>
          <c:xMode val="edge"/>
          <c:yMode val="edge"/>
          <c:x val="0.50392452830188694"/>
          <c:y val="4.8738019712308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1.3'!$C$68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1.3'!$B$69:$B$77</c:f>
              <c:numCache>
                <c:formatCode>0.00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'E 1.3'!$C$69:$C$77</c:f>
              <c:numCache>
                <c:formatCode>0.00</c:formatCode>
                <c:ptCount val="9"/>
                <c:pt idx="0">
                  <c:v>-0.55191638468922455</c:v>
                </c:pt>
                <c:pt idx="1">
                  <c:v>-0.45865886705354919</c:v>
                </c:pt>
                <c:pt idx="2">
                  <c:v>-0.63212055882855767</c:v>
                </c:pt>
                <c:pt idx="3">
                  <c:v>-1</c:v>
                </c:pt>
                <c:pt idx="4">
                  <c:v>1.7182818284590451</c:v>
                </c:pt>
                <c:pt idx="5">
                  <c:v>28.556224395722602</c:v>
                </c:pt>
                <c:pt idx="6">
                  <c:v>179.76983230868902</c:v>
                </c:pt>
                <c:pt idx="7">
                  <c:v>872.57040053030778</c:v>
                </c:pt>
                <c:pt idx="8">
                  <c:v>3709.3289775644148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7B-479F-880B-76D72E9FE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355576"/>
        <c:axId val="570356536"/>
      </c:scatterChart>
      <c:valAx>
        <c:axId val="57035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6536"/>
        <c:crosses val="autoZero"/>
        <c:crossBetween val="midCat"/>
      </c:valAx>
      <c:valAx>
        <c:axId val="57035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5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1.6'!$C$2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1.6'!$B$3:$B$11</c:f>
              <c:numCache>
                <c:formatCode>0.00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'E 1.6'!$C$3:$C$11</c:f>
              <c:numCache>
                <c:formatCode>0.00</c:formatCode>
                <c:ptCount val="9"/>
                <c:pt idx="0">
                  <c:v>-3.5577504296925917</c:v>
                </c:pt>
                <c:pt idx="1">
                  <c:v>-2.7400789501051266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-1.2599210498948732</c:v>
                </c:pt>
                <c:pt idx="6">
                  <c:v>-0.4422495703074083</c:v>
                </c:pt>
                <c:pt idx="7">
                  <c:v>0.41259894803180064</c:v>
                </c:pt>
                <c:pt idx="8">
                  <c:v>1.2900240533233029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AC-4A4F-B383-B68B8F01B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160048"/>
        <c:axId val="411030512"/>
      </c:scatterChart>
      <c:valAx>
        <c:axId val="40416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0512"/>
        <c:crosses val="autoZero"/>
        <c:crossBetween val="midCat"/>
      </c:valAx>
      <c:valAx>
        <c:axId val="4110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16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1.6'!$C$21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1.6'!$B$22:$B$32</c:f>
              <c:numCache>
                <c:formatCode>0.00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'E 1.6'!$C$22:$C$32</c:f>
              <c:numCache>
                <c:formatCode>0.00</c:formatCode>
                <c:ptCount val="11"/>
                <c:pt idx="0">
                  <c:v>5.4836082745908659</c:v>
                </c:pt>
                <c:pt idx="1">
                  <c:v>-55.397691641763032</c:v>
                </c:pt>
                <c:pt idx="2">
                  <c:v>-2.7460371483084947</c:v>
                </c:pt>
                <c:pt idx="3">
                  <c:v>3.6312851293983099</c:v>
                </c:pt>
                <c:pt idx="4">
                  <c:v>-5.3700797265230378</c:v>
                </c:pt>
                <c:pt idx="5">
                  <c:v>-1</c:v>
                </c:pt>
                <c:pt idx="6">
                  <c:v>-5.3700797265230378</c:v>
                </c:pt>
                <c:pt idx="7">
                  <c:v>3.6312851293983099</c:v>
                </c:pt>
                <c:pt idx="8">
                  <c:v>-2.7460371483084947</c:v>
                </c:pt>
                <c:pt idx="9">
                  <c:v>-55.397691641763032</c:v>
                </c:pt>
                <c:pt idx="10">
                  <c:v>5.4836082745908659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21-4ABC-8DC8-4A1FD62EB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060152"/>
        <c:axId val="239057592"/>
      </c:scatterChart>
      <c:valAx>
        <c:axId val="239060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57592"/>
        <c:crosses val="autoZero"/>
        <c:crossBetween val="midCat"/>
      </c:valAx>
      <c:valAx>
        <c:axId val="23905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60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1.6'!$C$45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1.6'!$B$46:$B$54</c:f>
              <c:numCache>
                <c:formatCode>0.00</c:formatCode>
                <c:ptCount val="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xVal>
          <c:yVal>
            <c:numRef>
              <c:f>'E 1.6'!$C$46:$C$54</c:f>
              <c:numCache>
                <c:formatCode>0.00</c:formatCode>
                <c:ptCount val="9"/>
                <c:pt idx="0">
                  <c:v>625.99326205300088</c:v>
                </c:pt>
                <c:pt idx="1">
                  <c:v>256.98168436111126</c:v>
                </c:pt>
                <c:pt idx="2">
                  <c:v>81.950212931632137</c:v>
                </c:pt>
                <c:pt idx="3">
                  <c:v>16.864664716763386</c:v>
                </c:pt>
                <c:pt idx="4">
                  <c:v>1.6321205588285577</c:v>
                </c:pt>
                <c:pt idx="5">
                  <c:v>0</c:v>
                </c:pt>
                <c:pt idx="6">
                  <c:v>-0.71828182845904509</c:v>
                </c:pt>
                <c:pt idx="7">
                  <c:v>9.6109439010693496</c:v>
                </c:pt>
                <c:pt idx="8">
                  <c:v>61.914463076812332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04-4058-9282-C211BABED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05872"/>
        <c:axId val="474107152"/>
      </c:scatterChart>
      <c:valAx>
        <c:axId val="47410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07152"/>
        <c:crosses val="autoZero"/>
        <c:crossBetween val="midCat"/>
      </c:valAx>
      <c:valAx>
        <c:axId val="47410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0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 1.6'!$C$67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 1.6'!$B$68:$B$76</c:f>
              <c:numCache>
                <c:formatCode>0.00</c:formatCode>
                <c:ptCount val="9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'E 1.6'!$C$68:$C$76</c:f>
              <c:numCache>
                <c:formatCode>0.00</c:formatCode>
                <c:ptCount val="9"/>
                <c:pt idx="0">
                  <c:v>-0.55191638468922455</c:v>
                </c:pt>
                <c:pt idx="1">
                  <c:v>-0.45865886705354919</c:v>
                </c:pt>
                <c:pt idx="2">
                  <c:v>-0.63212055882855767</c:v>
                </c:pt>
                <c:pt idx="3">
                  <c:v>-1</c:v>
                </c:pt>
                <c:pt idx="4">
                  <c:v>1.7182818284590451</c:v>
                </c:pt>
                <c:pt idx="5">
                  <c:v>28.556224395722602</c:v>
                </c:pt>
                <c:pt idx="6">
                  <c:v>179.76983230868902</c:v>
                </c:pt>
                <c:pt idx="7">
                  <c:v>872.57040053030778</c:v>
                </c:pt>
                <c:pt idx="8">
                  <c:v>3709.3289775644148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30-4077-A721-F0EBFE25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15152"/>
        <c:axId val="474116112"/>
      </c:scatterChart>
      <c:valAx>
        <c:axId val="47411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16112"/>
        <c:crosses val="autoZero"/>
        <c:crossBetween val="midCat"/>
      </c:valAx>
      <c:valAx>
        <c:axId val="47411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1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image" Target="../media/image1.wmf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0</xdr:rowOff>
    </xdr:from>
    <xdr:to>
      <xdr:col>10</xdr:col>
      <xdr:colOff>673099</xdr:colOff>
      <xdr:row>14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660400</xdr:colOff>
      <xdr:row>16</xdr:row>
      <xdr:rowOff>14286</xdr:rowOff>
    </xdr:from>
    <xdr:to>
      <xdr:col>11</xdr:col>
      <xdr:colOff>0</xdr:colOff>
      <xdr:row>30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673099</xdr:colOff>
      <xdr:row>32</xdr:row>
      <xdr:rowOff>4762</xdr:rowOff>
    </xdr:from>
    <xdr:to>
      <xdr:col>10</xdr:col>
      <xdr:colOff>669924</xdr:colOff>
      <xdr:row>47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673099</xdr:colOff>
      <xdr:row>47</xdr:row>
      <xdr:rowOff>177800</xdr:rowOff>
    </xdr:from>
    <xdr:to>
      <xdr:col>11</xdr:col>
      <xdr:colOff>9524</xdr:colOff>
      <xdr:row>62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15</xdr:col>
      <xdr:colOff>184321</xdr:colOff>
      <xdr:row>16</xdr:row>
      <xdr:rowOff>13785</xdr:rowOff>
    </xdr:from>
    <xdr:ext cx="647357" cy="48372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8FBC5A-C75E-2B4E-864A-DEE291927146}"/>
            </a:ext>
          </a:extLst>
        </xdr:cNvPr>
        <xdr:cNvSpPr/>
      </xdr:nvSpPr>
      <xdr:spPr>
        <a:xfrm>
          <a:off x="11411121" y="3074485"/>
          <a:ext cx="647357" cy="4837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185737</xdr:rowOff>
    </xdr:from>
    <xdr:to>
      <xdr:col>10</xdr:col>
      <xdr:colOff>38100</xdr:colOff>
      <xdr:row>11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15875</xdr:colOff>
      <xdr:row>30</xdr:row>
      <xdr:rowOff>11112</xdr:rowOff>
    </xdr:from>
    <xdr:to>
      <xdr:col>9</xdr:col>
      <xdr:colOff>660400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3175</xdr:colOff>
      <xdr:row>52</xdr:row>
      <xdr:rowOff>1586</xdr:rowOff>
    </xdr:from>
    <xdr:to>
      <xdr:col>10</xdr:col>
      <xdr:colOff>0</xdr:colOff>
      <xdr:row>63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25400</xdr:colOff>
      <xdr:row>79</xdr:row>
      <xdr:rowOff>0</xdr:rowOff>
    </xdr:from>
    <xdr:to>
      <xdr:col>10</xdr:col>
      <xdr:colOff>0</xdr:colOff>
      <xdr:row>90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419100</xdr:colOff>
      <xdr:row>85</xdr:row>
      <xdr:rowOff>114300</xdr:rowOff>
    </xdr:from>
    <xdr:ext cx="647357" cy="483722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8A55866-6A26-674F-BA0D-B8EF4F48BE9C}"/>
            </a:ext>
          </a:extLst>
        </xdr:cNvPr>
        <xdr:cNvSpPr/>
      </xdr:nvSpPr>
      <xdr:spPr>
        <a:xfrm>
          <a:off x="11887200" y="16357600"/>
          <a:ext cx="647357" cy="4837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0</xdr:row>
      <xdr:rowOff>188912</xdr:rowOff>
    </xdr:from>
    <xdr:to>
      <xdr:col>10</xdr:col>
      <xdr:colOff>0</xdr:colOff>
      <xdr:row>11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1</xdr:row>
      <xdr:rowOff>123825</xdr:rowOff>
    </xdr:from>
    <xdr:to>
      <xdr:col>14</xdr:col>
      <xdr:colOff>419100</xdr:colOff>
      <xdr:row>5</xdr:row>
      <xdr:rowOff>104775</xdr:rowOff>
    </xdr:to>
    <xdr:sp macro="" textlink="">
      <xdr:nvSpPr>
        <xdr:cNvPr id="3073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6350</xdr:colOff>
      <xdr:row>21</xdr:row>
      <xdr:rowOff>7936</xdr:rowOff>
    </xdr:from>
    <xdr:to>
      <xdr:col>10</xdr:col>
      <xdr:colOff>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15874</xdr:colOff>
      <xdr:row>43</xdr:row>
      <xdr:rowOff>188912</xdr:rowOff>
    </xdr:from>
    <xdr:to>
      <xdr:col>9</xdr:col>
      <xdr:colOff>660399</xdr:colOff>
      <xdr:row>56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3174</xdr:colOff>
      <xdr:row>66</xdr:row>
      <xdr:rowOff>185736</xdr:rowOff>
    </xdr:from>
    <xdr:to>
      <xdr:col>9</xdr:col>
      <xdr:colOff>660399</xdr:colOff>
      <xdr:row>76</xdr:row>
      <xdr:rowOff>177799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514350</xdr:colOff>
      <xdr:row>12</xdr:row>
      <xdr:rowOff>136524</xdr:rowOff>
    </xdr:from>
    <xdr:to>
      <xdr:col>16</xdr:col>
      <xdr:colOff>187596</xdr:colOff>
      <xdr:row>19</xdr:row>
      <xdr:rowOff>101599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2422524"/>
          <a:ext cx="4384946" cy="1298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oneCellAnchor>
    <xdr:from>
      <xdr:col>13</xdr:col>
      <xdr:colOff>177800</xdr:colOff>
      <xdr:row>64</xdr:row>
      <xdr:rowOff>165100</xdr:rowOff>
    </xdr:from>
    <xdr:ext cx="647357" cy="483722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047A09B-CB4B-0549-AA37-ACC563FAAFE5}"/>
            </a:ext>
          </a:extLst>
        </xdr:cNvPr>
        <xdr:cNvSpPr/>
      </xdr:nvSpPr>
      <xdr:spPr>
        <a:xfrm>
          <a:off x="10020300" y="12395200"/>
          <a:ext cx="647357" cy="4837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342900</xdr:colOff>
          <xdr:row>13</xdr:row>
          <xdr:rowOff>12700</xdr:rowOff>
        </xdr:from>
        <xdr:to>
          <xdr:col>14</xdr:col>
          <xdr:colOff>25400</xdr:colOff>
          <xdr:row>18</xdr:row>
          <xdr:rowOff>114300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0</xdr:colOff>
      <xdr:row>0</xdr:row>
      <xdr:rowOff>184150</xdr:rowOff>
    </xdr:from>
    <xdr:to>
      <xdr:col>9</xdr:col>
      <xdr:colOff>660400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12700</xdr:colOff>
      <xdr:row>21</xdr:row>
      <xdr:rowOff>9524</xdr:rowOff>
    </xdr:from>
    <xdr:to>
      <xdr:col>10</xdr:col>
      <xdr:colOff>0</xdr:colOff>
      <xdr:row>31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860425</xdr:colOff>
      <xdr:row>44</xdr:row>
      <xdr:rowOff>12700</xdr:rowOff>
    </xdr:from>
    <xdr:to>
      <xdr:col>10</xdr:col>
      <xdr:colOff>0</xdr:colOff>
      <xdr:row>56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850900</xdr:colOff>
      <xdr:row>66</xdr:row>
      <xdr:rowOff>12699</xdr:rowOff>
    </xdr:from>
    <xdr:to>
      <xdr:col>10</xdr:col>
      <xdr:colOff>0</xdr:colOff>
      <xdr:row>76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12</xdr:col>
      <xdr:colOff>622300</xdr:colOff>
      <xdr:row>76</xdr:row>
      <xdr:rowOff>165100</xdr:rowOff>
    </xdr:from>
    <xdr:ext cx="647357" cy="48372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AE3D093-B01E-C84A-B5D7-E58EC61277E8}"/>
            </a:ext>
          </a:extLst>
        </xdr:cNvPr>
        <xdr:cNvSpPr/>
      </xdr:nvSpPr>
      <xdr:spPr>
        <a:xfrm>
          <a:off x="10287000" y="14744700"/>
          <a:ext cx="647357" cy="48372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1D36-7580-4B42-A9FF-0AF1CBEA9943}">
  <dimension ref="A2:D61"/>
  <sheetViews>
    <sheetView workbookViewId="0">
      <selection activeCell="Q21" sqref="Q21"/>
    </sheetView>
  </sheetViews>
  <sheetFormatPr baseColWidth="10" defaultColWidth="8.83203125" defaultRowHeight="15"/>
  <cols>
    <col min="1" max="1" width="19.83203125" customWidth="1"/>
    <col min="3" max="3" width="12.6640625" bestFit="1" customWidth="1"/>
  </cols>
  <sheetData>
    <row r="2" spans="1:4" ht="16">
      <c r="A2" s="15" t="s">
        <v>2</v>
      </c>
      <c r="B2" t="s">
        <v>0</v>
      </c>
      <c r="C2" t="s">
        <v>1</v>
      </c>
    </row>
    <row r="3" spans="1:4">
      <c r="B3" s="9">
        <v>-3</v>
      </c>
      <c r="C3" s="10">
        <f>B3-B3^(1/3)-2</f>
        <v>-3.5577504296925917</v>
      </c>
    </row>
    <row r="4" spans="1:4">
      <c r="B4" s="9">
        <v>-2</v>
      </c>
      <c r="C4" s="10">
        <f t="shared" ref="C4:C11" si="0">B4-B4^(1/3)-2</f>
        <v>-2.7400789501051266</v>
      </c>
    </row>
    <row r="5" spans="1:4">
      <c r="B5" s="9">
        <v>-1</v>
      </c>
      <c r="C5" s="10">
        <f t="shared" si="0"/>
        <v>-2</v>
      </c>
    </row>
    <row r="6" spans="1:4">
      <c r="B6" s="9">
        <v>0</v>
      </c>
      <c r="C6" s="10">
        <f t="shared" si="0"/>
        <v>-2</v>
      </c>
    </row>
    <row r="7" spans="1:4">
      <c r="B7" s="9">
        <v>1</v>
      </c>
      <c r="C7" s="10">
        <f t="shared" si="0"/>
        <v>-2</v>
      </c>
    </row>
    <row r="8" spans="1:4">
      <c r="B8" s="9">
        <v>2</v>
      </c>
      <c r="C8" s="10">
        <f t="shared" si="0"/>
        <v>-1.2599210498948732</v>
      </c>
    </row>
    <row r="9" spans="1:4">
      <c r="B9" s="9">
        <v>3</v>
      </c>
      <c r="C9" s="10">
        <f t="shared" si="0"/>
        <v>-0.4422495703074083</v>
      </c>
    </row>
    <row r="10" spans="1:4">
      <c r="B10" s="9">
        <v>4</v>
      </c>
      <c r="C10" s="10">
        <f t="shared" si="0"/>
        <v>0.41259894803180064</v>
      </c>
    </row>
    <row r="11" spans="1:4">
      <c r="B11" s="9">
        <v>5</v>
      </c>
      <c r="C11" s="10">
        <f t="shared" si="0"/>
        <v>1.2900240533233029</v>
      </c>
    </row>
    <row r="12" spans="1:4">
      <c r="C12" s="7"/>
    </row>
    <row r="13" spans="1:4">
      <c r="A13" s="1" t="s">
        <v>3</v>
      </c>
      <c r="B13" s="1"/>
      <c r="C13" s="2"/>
      <c r="D13" s="1"/>
    </row>
    <row r="14" spans="1:4">
      <c r="A14" s="1"/>
      <c r="B14" s="4" t="s">
        <v>4</v>
      </c>
      <c r="C14" s="8">
        <v>3.5216289573906079</v>
      </c>
      <c r="D14" s="1"/>
    </row>
    <row r="15" spans="1:4">
      <c r="A15" s="1"/>
      <c r="B15" s="4" t="s">
        <v>5</v>
      </c>
      <c r="C15" s="13">
        <f>C14-C14^(1/3)-2</f>
        <v>2.1335595870031199E-4</v>
      </c>
      <c r="D15" s="1"/>
    </row>
    <row r="16" spans="1:4">
      <c r="C16" s="7"/>
    </row>
    <row r="17" spans="1:3" ht="16">
      <c r="A17" s="15" t="s">
        <v>6</v>
      </c>
      <c r="B17" t="s">
        <v>0</v>
      </c>
      <c r="C17" s="7" t="s">
        <v>1</v>
      </c>
    </row>
    <row r="18" spans="1:3">
      <c r="B18" s="11">
        <v>-10</v>
      </c>
      <c r="C18" s="10">
        <f>B18*TAN(B18)-1</f>
        <v>5.4836082745908659</v>
      </c>
    </row>
    <row r="19" spans="1:3">
      <c r="B19" s="11">
        <v>-8</v>
      </c>
      <c r="C19" s="10">
        <f t="shared" ref="C19:C28" si="1">B19*TAN(B19)-1</f>
        <v>-55.397691641763032</v>
      </c>
    </row>
    <row r="20" spans="1:3">
      <c r="B20" s="11">
        <v>-6</v>
      </c>
      <c r="C20" s="10">
        <f t="shared" si="1"/>
        <v>-2.7460371483084947</v>
      </c>
    </row>
    <row r="21" spans="1:3">
      <c r="B21" s="11">
        <v>-4</v>
      </c>
      <c r="C21" s="10">
        <f t="shared" si="1"/>
        <v>3.6312851293983099</v>
      </c>
    </row>
    <row r="22" spans="1:3">
      <c r="B22" s="11">
        <v>-2</v>
      </c>
      <c r="C22" s="10">
        <f t="shared" si="1"/>
        <v>-5.3700797265230378</v>
      </c>
    </row>
    <row r="23" spans="1:3">
      <c r="B23" s="11">
        <v>0</v>
      </c>
      <c r="C23" s="10">
        <f t="shared" si="1"/>
        <v>-1</v>
      </c>
    </row>
    <row r="24" spans="1:3">
      <c r="B24" s="11">
        <v>2</v>
      </c>
      <c r="C24" s="10">
        <f t="shared" si="1"/>
        <v>-5.3700797265230378</v>
      </c>
    </row>
    <row r="25" spans="1:3">
      <c r="B25" s="11">
        <v>4</v>
      </c>
      <c r="C25" s="10">
        <f t="shared" si="1"/>
        <v>3.6312851293983099</v>
      </c>
    </row>
    <row r="26" spans="1:3">
      <c r="B26" s="11">
        <v>6</v>
      </c>
      <c r="C26" s="10">
        <f t="shared" si="1"/>
        <v>-2.7460371483084947</v>
      </c>
    </row>
    <row r="27" spans="1:3">
      <c r="B27" s="11">
        <v>8</v>
      </c>
      <c r="C27" s="10">
        <f t="shared" si="1"/>
        <v>-55.397691641763032</v>
      </c>
    </row>
    <row r="28" spans="1:3">
      <c r="B28" s="11">
        <v>10</v>
      </c>
      <c r="C28" s="10">
        <f t="shared" si="1"/>
        <v>5.4836082745908659</v>
      </c>
    </row>
    <row r="29" spans="1:3">
      <c r="C29" s="7"/>
    </row>
    <row r="30" spans="1:3">
      <c r="B30" s="4" t="s">
        <v>4</v>
      </c>
      <c r="C30" s="8">
        <v>0.86032952343491076</v>
      </c>
    </row>
    <row r="31" spans="1:3">
      <c r="B31" s="4" t="s">
        <v>5</v>
      </c>
      <c r="C31" s="12">
        <f>C30*TAN(C30)-1</f>
        <v>-1.2948862701533947E-5</v>
      </c>
    </row>
    <row r="32" spans="1:3">
      <c r="C32" s="7"/>
    </row>
    <row r="33" spans="1:3" ht="16">
      <c r="A33" s="15" t="s">
        <v>7</v>
      </c>
      <c r="B33" t="s">
        <v>0</v>
      </c>
      <c r="C33" s="7" t="s">
        <v>1</v>
      </c>
    </row>
    <row r="34" spans="1:3">
      <c r="B34">
        <v>-5</v>
      </c>
      <c r="C34" s="7">
        <f>B34^4-EXP(B34)+1</f>
        <v>625.99326205300088</v>
      </c>
    </row>
    <row r="35" spans="1:3">
      <c r="B35">
        <v>-4</v>
      </c>
      <c r="C35" s="7">
        <f t="shared" ref="C35:C44" si="2">B35^4-EXP(B35)+1</f>
        <v>256.98168436111126</v>
      </c>
    </row>
    <row r="36" spans="1:3">
      <c r="B36">
        <v>-3</v>
      </c>
      <c r="C36" s="7">
        <f t="shared" si="2"/>
        <v>81.950212931632137</v>
      </c>
    </row>
    <row r="37" spans="1:3">
      <c r="B37">
        <v>-2</v>
      </c>
      <c r="C37" s="7">
        <f t="shared" si="2"/>
        <v>16.864664716763386</v>
      </c>
    </row>
    <row r="38" spans="1:3">
      <c r="B38">
        <v>-1</v>
      </c>
      <c r="C38" s="7">
        <f t="shared" si="2"/>
        <v>1.6321205588285577</v>
      </c>
    </row>
    <row r="39" spans="1:3">
      <c r="B39">
        <v>0</v>
      </c>
      <c r="C39" s="7">
        <f t="shared" si="2"/>
        <v>0</v>
      </c>
    </row>
    <row r="40" spans="1:3">
      <c r="B40">
        <v>1</v>
      </c>
      <c r="C40" s="7">
        <f t="shared" si="2"/>
        <v>-0.71828182845904509</v>
      </c>
    </row>
    <row r="41" spans="1:3">
      <c r="B41">
        <v>2</v>
      </c>
      <c r="C41" s="7">
        <f t="shared" si="2"/>
        <v>9.6109439010693496</v>
      </c>
    </row>
    <row r="42" spans="1:3">
      <c r="B42">
        <v>3</v>
      </c>
      <c r="C42" s="7">
        <f t="shared" si="2"/>
        <v>61.914463076812332</v>
      </c>
    </row>
    <row r="43" spans="1:3">
      <c r="B43">
        <v>4</v>
      </c>
      <c r="C43" s="7">
        <f>B43^4-EXP(B43)+1</f>
        <v>202.40184996685576</v>
      </c>
    </row>
    <row r="44" spans="1:3">
      <c r="B44">
        <v>5</v>
      </c>
      <c r="C44" s="7">
        <f t="shared" si="2"/>
        <v>477.58684089742337</v>
      </c>
    </row>
    <row r="45" spans="1:3">
      <c r="C45" s="7"/>
    </row>
    <row r="46" spans="1:3">
      <c r="B46" s="4" t="s">
        <v>4</v>
      </c>
      <c r="C46" s="5">
        <v>-9.8006910259449548E-4</v>
      </c>
    </row>
    <row r="47" spans="1:3">
      <c r="B47" s="4" t="s">
        <v>5</v>
      </c>
      <c r="C47" s="6">
        <f>C46^4-EXP(C46)+1</f>
        <v>9.795889926542678E-4</v>
      </c>
    </row>
    <row r="48" spans="1:3">
      <c r="C48" s="7"/>
    </row>
    <row r="49" spans="1:3" ht="16">
      <c r="A49" s="15" t="s">
        <v>8</v>
      </c>
      <c r="B49" t="s">
        <v>0</v>
      </c>
      <c r="C49" s="7" t="s">
        <v>1</v>
      </c>
    </row>
    <row r="50" spans="1:3">
      <c r="B50" s="9">
        <v>-3</v>
      </c>
      <c r="C50" s="10">
        <f>B50^(2)*EXP(B50)-1</f>
        <v>-0.55191638468922455</v>
      </c>
    </row>
    <row r="51" spans="1:3">
      <c r="B51" s="9">
        <v>-2</v>
      </c>
      <c r="C51" s="10">
        <f t="shared" ref="C51:C58" si="3">B51^(2)*EXP(B51)-1</f>
        <v>-0.45865886705354919</v>
      </c>
    </row>
    <row r="52" spans="1:3">
      <c r="B52" s="9">
        <v>-1</v>
      </c>
      <c r="C52" s="10">
        <f t="shared" si="3"/>
        <v>-0.63212055882855767</v>
      </c>
    </row>
    <row r="53" spans="1:3">
      <c r="B53" s="9">
        <v>0</v>
      </c>
      <c r="C53" s="10">
        <f t="shared" si="3"/>
        <v>-1</v>
      </c>
    </row>
    <row r="54" spans="1:3">
      <c r="B54" s="9">
        <v>1</v>
      </c>
      <c r="C54" s="10">
        <f t="shared" si="3"/>
        <v>1.7182818284590451</v>
      </c>
    </row>
    <row r="55" spans="1:3">
      <c r="B55" s="9">
        <v>2</v>
      </c>
      <c r="C55" s="10">
        <f t="shared" si="3"/>
        <v>28.556224395722602</v>
      </c>
    </row>
    <row r="56" spans="1:3">
      <c r="B56" s="9">
        <v>3</v>
      </c>
      <c r="C56" s="10">
        <f t="shared" si="3"/>
        <v>179.76983230868902</v>
      </c>
    </row>
    <row r="57" spans="1:3">
      <c r="B57" s="9">
        <v>4</v>
      </c>
      <c r="C57" s="10">
        <f t="shared" si="3"/>
        <v>872.57040053030778</v>
      </c>
    </row>
    <row r="58" spans="1:3">
      <c r="B58" s="9">
        <v>5</v>
      </c>
      <c r="C58" s="10">
        <f t="shared" si="3"/>
        <v>3709.3289775644148</v>
      </c>
    </row>
    <row r="59" spans="1:3">
      <c r="B59" s="9"/>
      <c r="C59" s="10"/>
    </row>
    <row r="60" spans="1:3">
      <c r="B60" s="4" t="s">
        <v>4</v>
      </c>
      <c r="C60" s="8">
        <v>0.70345428998033965</v>
      </c>
    </row>
    <row r="61" spans="1:3">
      <c r="B61" s="4" t="s">
        <v>5</v>
      </c>
      <c r="C61" s="12">
        <f>C60^(2)*EXP(C60)-1</f>
        <v>-5.0468128090730424E-5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9124-DED5-4E16-81D0-32B8255E2BF1}">
  <dimension ref="A2:F102"/>
  <sheetViews>
    <sheetView topLeftCell="A62" workbookViewId="0">
      <selection activeCell="A80" sqref="A80"/>
    </sheetView>
  </sheetViews>
  <sheetFormatPr baseColWidth="10" defaultColWidth="8.83203125" defaultRowHeight="15"/>
  <cols>
    <col min="1" max="1" width="19.6640625" customWidth="1"/>
    <col min="2" max="2" width="13.6640625" bestFit="1" customWidth="1"/>
    <col min="3" max="3" width="14.5" bestFit="1" customWidth="1"/>
    <col min="4" max="4" width="14.6640625" bestFit="1" customWidth="1"/>
    <col min="5" max="5" width="14.5" bestFit="1" customWidth="1"/>
    <col min="6" max="6" width="11.6640625" customWidth="1"/>
  </cols>
  <sheetData>
    <row r="2" spans="1:6" ht="16">
      <c r="A2" s="15" t="s">
        <v>2</v>
      </c>
      <c r="B2" t="s">
        <v>0</v>
      </c>
      <c r="C2" t="s">
        <v>1</v>
      </c>
    </row>
    <row r="3" spans="1:6">
      <c r="B3" s="9">
        <v>-3</v>
      </c>
      <c r="C3" s="10">
        <f>B3-B3^(1/3)-2</f>
        <v>-3.5577504296925917</v>
      </c>
    </row>
    <row r="4" spans="1:6">
      <c r="B4" s="9">
        <v>-2</v>
      </c>
      <c r="C4" s="10">
        <f t="shared" ref="C4:C11" si="0">B4-B4^(1/3)-2</f>
        <v>-2.7400789501051266</v>
      </c>
    </row>
    <row r="5" spans="1:6">
      <c r="B5" s="9">
        <v>-1</v>
      </c>
      <c r="C5" s="10">
        <f t="shared" si="0"/>
        <v>-2</v>
      </c>
    </row>
    <row r="6" spans="1:6">
      <c r="B6" s="9">
        <v>0</v>
      </c>
      <c r="C6" s="10">
        <f t="shared" si="0"/>
        <v>-2</v>
      </c>
    </row>
    <row r="7" spans="1:6">
      <c r="B7" s="9">
        <v>1</v>
      </c>
      <c r="C7" s="10">
        <f t="shared" si="0"/>
        <v>-2</v>
      </c>
    </row>
    <row r="8" spans="1:6">
      <c r="B8" s="9">
        <v>2</v>
      </c>
      <c r="C8" s="10">
        <f t="shared" si="0"/>
        <v>-1.2599210498948732</v>
      </c>
    </row>
    <row r="9" spans="1:6">
      <c r="B9" s="9">
        <v>3</v>
      </c>
      <c r="C9" s="10">
        <f t="shared" si="0"/>
        <v>-0.4422495703074083</v>
      </c>
    </row>
    <row r="10" spans="1:6">
      <c r="B10" s="9">
        <v>4</v>
      </c>
      <c r="C10" s="10">
        <f t="shared" si="0"/>
        <v>0.41259894803180064</v>
      </c>
    </row>
    <row r="11" spans="1:6">
      <c r="B11" s="9">
        <v>5</v>
      </c>
      <c r="C11" s="10">
        <f t="shared" si="0"/>
        <v>1.2900240533233029</v>
      </c>
    </row>
    <row r="13" spans="1:6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</row>
    <row r="14" spans="1:6">
      <c r="A14" s="8">
        <v>0</v>
      </c>
      <c r="B14" s="8">
        <v>4</v>
      </c>
      <c r="C14" s="8">
        <f>A14-A14^(1/3)-2</f>
        <v>-2</v>
      </c>
      <c r="D14" s="8">
        <f>B14-B14^(1/3)-2</f>
        <v>0.41259894803180064</v>
      </c>
      <c r="E14" s="8">
        <f>(A14+B14)/2</f>
        <v>2</v>
      </c>
      <c r="F14" s="8">
        <f>E14-E14^(1/3)-2</f>
        <v>-1.2599210498948732</v>
      </c>
    </row>
    <row r="15" spans="1:6">
      <c r="A15" s="8">
        <f>IF(C14*F14&gt;0,E14,A14)</f>
        <v>2</v>
      </c>
      <c r="B15" s="8">
        <f>IF(D14*F14&gt;0,E14,B14)</f>
        <v>4</v>
      </c>
      <c r="C15" s="8">
        <f>A15-A15^(1/3)-2</f>
        <v>-1.2599210498948732</v>
      </c>
      <c r="D15" s="8">
        <f>B15-B15^(1/3)-2</f>
        <v>0.41259894803180064</v>
      </c>
      <c r="E15" s="8">
        <f>(A15+B15)/2</f>
        <v>3</v>
      </c>
      <c r="F15" s="8">
        <f>E15-E15^(1/3)-2</f>
        <v>-0.4422495703074083</v>
      </c>
    </row>
    <row r="16" spans="1:6">
      <c r="A16" s="8">
        <f t="shared" ref="A16:A29" si="1">IF(C15*F15&gt;0,E15,A15)</f>
        <v>3</v>
      </c>
      <c r="B16" s="8">
        <f t="shared" ref="B16:B29" si="2">IF(D15*F15&gt;0,E15,B15)</f>
        <v>4</v>
      </c>
      <c r="C16" s="8">
        <f t="shared" ref="C16:C29" si="3">A16-A16^(1/3)-2</f>
        <v>-0.4422495703074083</v>
      </c>
      <c r="D16" s="8">
        <f t="shared" ref="D16:D29" si="4">B16-B16^(1/3)-2</f>
        <v>0.41259894803180064</v>
      </c>
      <c r="E16" s="8">
        <f t="shared" ref="E16:E29" si="5">(A16+B16)/2</f>
        <v>3.5</v>
      </c>
      <c r="F16" s="8">
        <f t="shared" ref="F16:F29" si="6">E16-E16^(1/3)-2</f>
        <v>-1.829448593783134E-2</v>
      </c>
    </row>
    <row r="17" spans="1:6">
      <c r="A17" s="8">
        <f t="shared" si="1"/>
        <v>3.5</v>
      </c>
      <c r="B17" s="8">
        <f t="shared" si="2"/>
        <v>4</v>
      </c>
      <c r="C17" s="8">
        <f t="shared" si="3"/>
        <v>-1.829448593783134E-2</v>
      </c>
      <c r="D17" s="8">
        <f t="shared" si="4"/>
        <v>0.41259894803180064</v>
      </c>
      <c r="E17" s="8">
        <f t="shared" si="5"/>
        <v>3.75</v>
      </c>
      <c r="F17" s="8">
        <f t="shared" si="6"/>
        <v>0.19638374702307093</v>
      </c>
    </row>
    <row r="18" spans="1:6">
      <c r="A18" s="8">
        <f t="shared" si="1"/>
        <v>3.5</v>
      </c>
      <c r="B18" s="8">
        <f t="shared" si="2"/>
        <v>3.75</v>
      </c>
      <c r="C18" s="8">
        <f t="shared" si="3"/>
        <v>-1.829448593783134E-2</v>
      </c>
      <c r="D18" s="8">
        <f t="shared" si="4"/>
        <v>0.19638374702307093</v>
      </c>
      <c r="E18" s="8">
        <f t="shared" si="5"/>
        <v>3.625</v>
      </c>
      <c r="F18" s="8">
        <f t="shared" si="6"/>
        <v>8.8841587157076241E-2</v>
      </c>
    </row>
    <row r="19" spans="1:6">
      <c r="A19" s="8">
        <f t="shared" si="1"/>
        <v>3.5</v>
      </c>
      <c r="B19" s="8">
        <f t="shared" si="2"/>
        <v>3.625</v>
      </c>
      <c r="C19" s="8">
        <f t="shared" si="3"/>
        <v>-1.829448593783134E-2</v>
      </c>
      <c r="D19" s="8">
        <f t="shared" si="4"/>
        <v>8.8841587157076241E-2</v>
      </c>
      <c r="E19" s="8">
        <f t="shared" si="5"/>
        <v>3.5625</v>
      </c>
      <c r="F19" s="8">
        <f t="shared" si="6"/>
        <v>3.522131392759853E-2</v>
      </c>
    </row>
    <row r="20" spans="1:6">
      <c r="A20" s="8">
        <f t="shared" si="1"/>
        <v>3.5</v>
      </c>
      <c r="B20" s="8">
        <f t="shared" si="2"/>
        <v>3.5625</v>
      </c>
      <c r="C20" s="8">
        <f t="shared" si="3"/>
        <v>-1.829448593783134E-2</v>
      </c>
      <c r="D20" s="8">
        <f t="shared" si="4"/>
        <v>3.522131392759853E-2</v>
      </c>
      <c r="E20" s="8">
        <f t="shared" si="5"/>
        <v>3.53125</v>
      </c>
      <c r="F20" s="8">
        <f t="shared" si="6"/>
        <v>8.4501627700537263E-3</v>
      </c>
    </row>
    <row r="21" spans="1:6">
      <c r="A21" s="8">
        <f t="shared" si="1"/>
        <v>3.5</v>
      </c>
      <c r="B21" s="8">
        <f t="shared" si="2"/>
        <v>3.53125</v>
      </c>
      <c r="C21" s="8">
        <f t="shared" si="3"/>
        <v>-1.829448593783134E-2</v>
      </c>
      <c r="D21" s="8">
        <f t="shared" si="4"/>
        <v>8.4501627700537263E-3</v>
      </c>
      <c r="E21" s="8">
        <f t="shared" si="5"/>
        <v>3.515625</v>
      </c>
      <c r="F21" s="8">
        <f t="shared" si="6"/>
        <v>-4.9254988933500332E-3</v>
      </c>
    </row>
    <row r="22" spans="1:6">
      <c r="A22" s="8">
        <f t="shared" si="1"/>
        <v>3.515625</v>
      </c>
      <c r="B22" s="8">
        <f t="shared" si="2"/>
        <v>3.53125</v>
      </c>
      <c r="C22" s="8">
        <f t="shared" si="3"/>
        <v>-4.9254988933500332E-3</v>
      </c>
      <c r="D22" s="8">
        <f t="shared" si="4"/>
        <v>8.4501627700537263E-3</v>
      </c>
      <c r="E22" s="8">
        <f t="shared" si="5"/>
        <v>3.5234375</v>
      </c>
      <c r="F22" s="8">
        <f t="shared" si="6"/>
        <v>1.7615006965243651E-3</v>
      </c>
    </row>
    <row r="23" spans="1:6">
      <c r="A23" s="8">
        <f t="shared" si="1"/>
        <v>3.515625</v>
      </c>
      <c r="B23" s="8">
        <f t="shared" si="2"/>
        <v>3.5234375</v>
      </c>
      <c r="C23" s="8">
        <f t="shared" si="3"/>
        <v>-4.9254988933500332E-3</v>
      </c>
      <c r="D23" s="8">
        <f t="shared" si="4"/>
        <v>1.7615006965243651E-3</v>
      </c>
      <c r="E23" s="8">
        <f t="shared" si="5"/>
        <v>3.51953125</v>
      </c>
      <c r="F23" s="8">
        <f t="shared" si="6"/>
        <v>-1.5822072931346298E-3</v>
      </c>
    </row>
    <row r="24" spans="1:6">
      <c r="A24" s="8">
        <f t="shared" si="1"/>
        <v>3.51953125</v>
      </c>
      <c r="B24" s="8">
        <f t="shared" si="2"/>
        <v>3.5234375</v>
      </c>
      <c r="C24" s="8">
        <f t="shared" si="3"/>
        <v>-1.5822072931346298E-3</v>
      </c>
      <c r="D24" s="8">
        <f t="shared" si="4"/>
        <v>1.7615006965243651E-3</v>
      </c>
      <c r="E24" s="8">
        <f t="shared" si="5"/>
        <v>3.521484375</v>
      </c>
      <c r="F24" s="8">
        <f t="shared" si="6"/>
        <v>8.9594701136341826E-5</v>
      </c>
    </row>
    <row r="25" spans="1:6">
      <c r="A25" s="8">
        <f t="shared" si="1"/>
        <v>3.51953125</v>
      </c>
      <c r="B25" s="8">
        <f t="shared" si="2"/>
        <v>3.521484375</v>
      </c>
      <c r="C25" s="8">
        <f t="shared" si="3"/>
        <v>-1.5822072931346298E-3</v>
      </c>
      <c r="D25" s="8">
        <f t="shared" si="4"/>
        <v>8.9594701136341826E-5</v>
      </c>
      <c r="E25" s="8">
        <f t="shared" si="5"/>
        <v>3.5205078125</v>
      </c>
      <c r="F25" s="8">
        <f t="shared" si="6"/>
        <v>-7.4631930214841269E-4</v>
      </c>
    </row>
    <row r="26" spans="1:6">
      <c r="A26" s="8">
        <f t="shared" si="1"/>
        <v>3.5205078125</v>
      </c>
      <c r="B26" s="8">
        <f t="shared" si="2"/>
        <v>3.521484375</v>
      </c>
      <c r="C26" s="8">
        <f t="shared" si="3"/>
        <v>-7.4631930214841269E-4</v>
      </c>
      <c r="D26" s="8">
        <f t="shared" si="4"/>
        <v>8.9594701136341826E-5</v>
      </c>
      <c r="E26" s="8">
        <f t="shared" si="5"/>
        <v>3.52099609375</v>
      </c>
      <c r="F26" s="8">
        <f t="shared" si="6"/>
        <v>-3.2836555129178713E-4</v>
      </c>
    </row>
    <row r="27" spans="1:6">
      <c r="A27" s="8">
        <f t="shared" si="1"/>
        <v>3.52099609375</v>
      </c>
      <c r="B27" s="8">
        <f t="shared" si="2"/>
        <v>3.521484375</v>
      </c>
      <c r="C27" s="8">
        <f t="shared" si="3"/>
        <v>-3.2836555129178713E-4</v>
      </c>
      <c r="D27" s="8">
        <f t="shared" si="4"/>
        <v>8.9594701136341826E-5</v>
      </c>
      <c r="E27" s="8">
        <f t="shared" si="5"/>
        <v>3.521240234375</v>
      </c>
      <c r="F27" s="8">
        <f t="shared" si="6"/>
        <v>-1.1938623768026346E-4</v>
      </c>
    </row>
    <row r="28" spans="1:6">
      <c r="A28" s="8">
        <f t="shared" si="1"/>
        <v>3.521240234375</v>
      </c>
      <c r="B28" s="8">
        <f t="shared" si="2"/>
        <v>3.521484375</v>
      </c>
      <c r="C28" s="8">
        <f t="shared" si="3"/>
        <v>-1.1938623768026346E-4</v>
      </c>
      <c r="D28" s="8">
        <f t="shared" si="4"/>
        <v>8.9594701136341826E-5</v>
      </c>
      <c r="E28" s="8">
        <f t="shared" si="5"/>
        <v>3.5213623046875</v>
      </c>
      <c r="F28" s="8">
        <f t="shared" si="6"/>
        <v>-1.4895971410799902E-5</v>
      </c>
    </row>
    <row r="29" spans="1:6">
      <c r="A29" s="8">
        <f t="shared" si="1"/>
        <v>3.5213623046875</v>
      </c>
      <c r="B29" s="8">
        <f t="shared" si="2"/>
        <v>3.521484375</v>
      </c>
      <c r="C29" s="8">
        <f t="shared" si="3"/>
        <v>-1.4895971410799902E-5</v>
      </c>
      <c r="D29" s="8">
        <f t="shared" si="4"/>
        <v>8.9594701136341826E-5</v>
      </c>
      <c r="E29" s="8">
        <f t="shared" si="5"/>
        <v>3.52142333984375</v>
      </c>
      <c r="F29" s="8">
        <f t="shared" si="6"/>
        <v>3.7349314079726526E-5</v>
      </c>
    </row>
    <row r="31" spans="1:6" ht="16">
      <c r="A31" s="15" t="s">
        <v>6</v>
      </c>
      <c r="B31" t="s">
        <v>0</v>
      </c>
      <c r="C31" t="s">
        <v>1</v>
      </c>
    </row>
    <row r="32" spans="1:6">
      <c r="B32" s="11">
        <v>-10</v>
      </c>
      <c r="C32" s="10">
        <f>B32*TAN(B32)-1</f>
        <v>5.4836082745908659</v>
      </c>
    </row>
    <row r="33" spans="1:6">
      <c r="B33" s="11">
        <v>-8</v>
      </c>
      <c r="C33" s="10">
        <f t="shared" ref="C33:C42" si="7">B33*TAN(B33)-1</f>
        <v>-55.397691641763032</v>
      </c>
    </row>
    <row r="34" spans="1:6">
      <c r="B34" s="11">
        <v>-6</v>
      </c>
      <c r="C34" s="10">
        <f t="shared" si="7"/>
        <v>-2.7460371483084947</v>
      </c>
    </row>
    <row r="35" spans="1:6">
      <c r="B35" s="11">
        <v>-4</v>
      </c>
      <c r="C35" s="10">
        <f t="shared" si="7"/>
        <v>3.6312851293983099</v>
      </c>
    </row>
    <row r="36" spans="1:6">
      <c r="B36" s="11">
        <v>-2</v>
      </c>
      <c r="C36" s="10">
        <f t="shared" si="7"/>
        <v>-5.3700797265230378</v>
      </c>
    </row>
    <row r="37" spans="1:6">
      <c r="B37" s="11">
        <v>0</v>
      </c>
      <c r="C37" s="10">
        <f t="shared" si="7"/>
        <v>-1</v>
      </c>
    </row>
    <row r="38" spans="1:6">
      <c r="B38" s="11">
        <v>2</v>
      </c>
      <c r="C38" s="10">
        <f t="shared" si="7"/>
        <v>-5.3700797265230378</v>
      </c>
    </row>
    <row r="39" spans="1:6">
      <c r="B39" s="11">
        <v>4</v>
      </c>
      <c r="C39" s="10">
        <f t="shared" si="7"/>
        <v>3.6312851293983099</v>
      </c>
    </row>
    <row r="40" spans="1:6">
      <c r="B40" s="11">
        <v>6</v>
      </c>
      <c r="C40" s="10">
        <f t="shared" si="7"/>
        <v>-2.7460371483084947</v>
      </c>
    </row>
    <row r="41" spans="1:6">
      <c r="B41" s="11">
        <v>8</v>
      </c>
      <c r="C41" s="10">
        <f t="shared" si="7"/>
        <v>-55.397691641763032</v>
      </c>
    </row>
    <row r="42" spans="1:6">
      <c r="B42" s="11">
        <v>10</v>
      </c>
      <c r="C42" s="10">
        <f t="shared" si="7"/>
        <v>5.4836082745908659</v>
      </c>
    </row>
    <row r="44" spans="1:6">
      <c r="A44" s="4" t="s">
        <v>9</v>
      </c>
      <c r="B44" s="4" t="s">
        <v>10</v>
      </c>
      <c r="C44" s="4" t="s">
        <v>11</v>
      </c>
      <c r="D44" s="4" t="s">
        <v>12</v>
      </c>
      <c r="E44" s="4" t="s">
        <v>13</v>
      </c>
      <c r="F44" s="4" t="s">
        <v>14</v>
      </c>
    </row>
    <row r="45" spans="1:6">
      <c r="A45" s="8">
        <v>4</v>
      </c>
      <c r="B45" s="8">
        <v>5.05</v>
      </c>
      <c r="C45" s="8">
        <f>A45*TAN(A45)-1</f>
        <v>3.6312851293983099</v>
      </c>
      <c r="D45" s="8">
        <f>B45*TAN(B45)-1</f>
        <v>-15.385364799612127</v>
      </c>
      <c r="E45" s="8">
        <f>(A45+B45)/2</f>
        <v>4.5250000000000004</v>
      </c>
      <c r="F45" s="8">
        <f>E45*TAN(E45)-1</f>
        <v>22.864322326177923</v>
      </c>
    </row>
    <row r="46" spans="1:6">
      <c r="A46" s="8">
        <f>IF(C45*F45&gt;0,E45,A45)</f>
        <v>4.5250000000000004</v>
      </c>
      <c r="B46" s="8">
        <f>IF(D45*F45&gt;0,E45,B45)</f>
        <v>5.05</v>
      </c>
      <c r="C46" s="8">
        <f>A46*TAN(A46)-1</f>
        <v>22.864322326177923</v>
      </c>
      <c r="D46" s="8">
        <f>B46*TAN(B46)-1</f>
        <v>-15.385364799612127</v>
      </c>
      <c r="E46" s="8">
        <f>(A46+B46)/2</f>
        <v>4.7874999999999996</v>
      </c>
      <c r="F46" s="8">
        <f>E46*TAN(E46)-1</f>
        <v>-64.619073192946246</v>
      </c>
    </row>
    <row r="47" spans="1:6">
      <c r="A47" s="8">
        <f t="shared" ref="A47:A48" si="8">IF(C46*F46&gt;0,E46,A46)</f>
        <v>4.5250000000000004</v>
      </c>
      <c r="B47" s="8">
        <f t="shared" ref="B47:B48" si="9">IF(D46*F46&gt;0,E46,B46)</f>
        <v>4.7874999999999996</v>
      </c>
      <c r="C47" s="8">
        <f t="shared" ref="C47:C48" si="10">A47*TAN(A47)-1</f>
        <v>22.864322326177923</v>
      </c>
      <c r="D47" s="8">
        <f t="shared" ref="D47:D48" si="11">B47*TAN(B47)-1</f>
        <v>-64.619073192946246</v>
      </c>
      <c r="E47" s="8">
        <f t="shared" ref="E47:E48" si="12">(A47+B47)/2</f>
        <v>4.65625</v>
      </c>
      <c r="F47" s="8">
        <f t="shared" ref="F47:F51" si="13">E47*TAN(E47)-1</f>
        <v>81.854327195565574</v>
      </c>
    </row>
    <row r="48" spans="1:6">
      <c r="A48" s="8">
        <f t="shared" si="8"/>
        <v>4.65625</v>
      </c>
      <c r="B48" s="8">
        <f t="shared" si="9"/>
        <v>4.7874999999999996</v>
      </c>
      <c r="C48" s="8">
        <f t="shared" si="10"/>
        <v>81.854327195565574</v>
      </c>
      <c r="D48" s="8">
        <f t="shared" si="11"/>
        <v>-64.619073192946246</v>
      </c>
      <c r="E48" s="8">
        <f t="shared" si="12"/>
        <v>4.7218749999999998</v>
      </c>
      <c r="F48" s="8">
        <f t="shared" si="13"/>
        <v>-498.75707395426474</v>
      </c>
    </row>
    <row r="49" spans="1:6">
      <c r="A49" s="8">
        <f>IF(C48*F48&gt;0,E48,A48)</f>
        <v>4.65625</v>
      </c>
      <c r="B49" s="8">
        <f>IF(D48*F48&gt;0,E48,B48)</f>
        <v>4.7218749999999998</v>
      </c>
      <c r="C49" s="8">
        <f>A49*TAN(A49)-1</f>
        <v>81.854327195565574</v>
      </c>
      <c r="D49" s="8">
        <f>B49*TAN(B49)-1</f>
        <v>-498.75707395426474</v>
      </c>
      <c r="E49" s="8">
        <f>(A49+B49)/2</f>
        <v>4.6890625000000004</v>
      </c>
      <c r="F49" s="8">
        <f>E49*TAN(E49)-1</f>
        <v>199.9823991279257</v>
      </c>
    </row>
    <row r="50" spans="1:6">
      <c r="A50" s="8">
        <f t="shared" ref="A50" si="14">IF(C49*F49&gt;0,E49,A49)</f>
        <v>4.6890625000000004</v>
      </c>
      <c r="B50" s="8">
        <f t="shared" ref="B50" si="15">IF(D49*F49&gt;0,E49,B49)</f>
        <v>4.7218749999999998</v>
      </c>
      <c r="C50" s="8">
        <f t="shared" ref="C50" si="16">A50*TAN(A50)-1</f>
        <v>199.9823991279257</v>
      </c>
      <c r="D50" s="8">
        <f t="shared" ref="D50" si="17">B50*TAN(B50)-1</f>
        <v>-498.75707395426474</v>
      </c>
      <c r="E50" s="8">
        <f t="shared" ref="E50" si="18">(A50+B50)/2</f>
        <v>4.7054687499999996</v>
      </c>
      <c r="F50" s="8">
        <f t="shared" si="13"/>
        <v>678.94754132018556</v>
      </c>
    </row>
    <row r="51" spans="1:6">
      <c r="A51" s="8">
        <f t="shared" ref="A51" si="19">IF(C50*F50&gt;0,E50,A50)</f>
        <v>4.7054687499999996</v>
      </c>
      <c r="B51" s="8">
        <f t="shared" ref="B51" si="20">IF(D50*F50&gt;0,E50,B50)</f>
        <v>4.7218749999999998</v>
      </c>
      <c r="C51" s="8">
        <f t="shared" ref="C51" si="21">A51*TAN(A51)-1</f>
        <v>678.94754132018556</v>
      </c>
      <c r="D51" s="8">
        <f t="shared" ref="D51" si="22">B51*TAN(B51)-1</f>
        <v>-498.75707395426474</v>
      </c>
      <c r="E51" s="8">
        <f t="shared" ref="E51" si="23">(A51+B51)/2</f>
        <v>4.7136718749999993</v>
      </c>
      <c r="F51" s="8">
        <f t="shared" si="13"/>
        <v>-3675.2451272298636</v>
      </c>
    </row>
    <row r="53" spans="1:6" ht="16">
      <c r="A53" s="15" t="s">
        <v>7</v>
      </c>
      <c r="B53" t="s">
        <v>0</v>
      </c>
      <c r="C53" t="s">
        <v>1</v>
      </c>
    </row>
    <row r="54" spans="1:6">
      <c r="B54" s="9">
        <v>-5</v>
      </c>
      <c r="C54" s="10">
        <f>B54^4-EXP(B54)+1</f>
        <v>625.99326205300088</v>
      </c>
    </row>
    <row r="55" spans="1:6">
      <c r="B55" s="9">
        <v>-4</v>
      </c>
      <c r="C55" s="10">
        <f t="shared" ref="C55:C64" si="24">B55^4-EXP(B55)+1</f>
        <v>256.98168436111126</v>
      </c>
    </row>
    <row r="56" spans="1:6">
      <c r="B56" s="9">
        <v>-3</v>
      </c>
      <c r="C56" s="10">
        <f t="shared" si="24"/>
        <v>81.950212931632137</v>
      </c>
    </row>
    <row r="57" spans="1:6">
      <c r="B57" s="9">
        <v>-2</v>
      </c>
      <c r="C57" s="10">
        <f t="shared" si="24"/>
        <v>16.864664716763386</v>
      </c>
    </row>
    <row r="58" spans="1:6">
      <c r="B58" s="9">
        <v>-1</v>
      </c>
      <c r="C58" s="10">
        <f t="shared" si="24"/>
        <v>1.6321205588285577</v>
      </c>
    </row>
    <row r="59" spans="1:6">
      <c r="B59" s="9">
        <v>0</v>
      </c>
      <c r="C59" s="10">
        <f t="shared" si="24"/>
        <v>0</v>
      </c>
    </row>
    <row r="60" spans="1:6">
      <c r="B60" s="9">
        <v>1</v>
      </c>
      <c r="C60" s="10">
        <f t="shared" si="24"/>
        <v>-0.71828182845904509</v>
      </c>
    </row>
    <row r="61" spans="1:6">
      <c r="B61" s="9">
        <v>2</v>
      </c>
      <c r="C61" s="10">
        <f t="shared" si="24"/>
        <v>9.6109439010693496</v>
      </c>
    </row>
    <row r="62" spans="1:6">
      <c r="B62" s="9">
        <v>3</v>
      </c>
      <c r="C62" s="10">
        <f t="shared" si="24"/>
        <v>61.914463076812332</v>
      </c>
    </row>
    <row r="63" spans="1:6">
      <c r="B63" s="9">
        <v>4</v>
      </c>
      <c r="C63" s="10">
        <f t="shared" si="24"/>
        <v>202.40184996685576</v>
      </c>
    </row>
    <row r="64" spans="1:6">
      <c r="B64" s="9">
        <v>5</v>
      </c>
      <c r="C64" s="10">
        <f t="shared" si="24"/>
        <v>477.58684089742337</v>
      </c>
    </row>
    <row r="66" spans="1:6">
      <c r="A66" s="4" t="s">
        <v>9</v>
      </c>
      <c r="B66" s="4" t="s">
        <v>10</v>
      </c>
      <c r="C66" s="4" t="s">
        <v>11</v>
      </c>
      <c r="D66" s="4" t="s">
        <v>12</v>
      </c>
      <c r="E66" s="4" t="s">
        <v>13</v>
      </c>
      <c r="F66" s="4" t="s">
        <v>14</v>
      </c>
    </row>
    <row r="67" spans="1:6">
      <c r="A67" s="8">
        <v>-1.5</v>
      </c>
      <c r="B67" s="8">
        <v>0.5</v>
      </c>
      <c r="C67" s="8">
        <f>A67^4-EXP(A67)+1</f>
        <v>5.8393698398515701</v>
      </c>
      <c r="D67" s="8">
        <f>B67^4-EXP(B67)+1</f>
        <v>-0.58622127070012819</v>
      </c>
      <c r="E67" s="8">
        <f>(A67+B67)/2</f>
        <v>-0.5</v>
      </c>
      <c r="F67" s="8">
        <f>E67^4-EXP(E67)+1</f>
        <v>0.45596934028736658</v>
      </c>
    </row>
    <row r="68" spans="1:6">
      <c r="A68" s="8">
        <f>IF(C67*F67&gt;0,E67,A67)</f>
        <v>-0.5</v>
      </c>
      <c r="B68" s="8">
        <f>IF(D67*F67&gt;0,E67,B67)</f>
        <v>0.5</v>
      </c>
      <c r="C68" s="8">
        <f>A68^4-EXP(A68)+1</f>
        <v>0.45596934028736658</v>
      </c>
      <c r="D68" s="8">
        <f>B68^4-EXP(B68)+1</f>
        <v>-0.58622127070012819</v>
      </c>
      <c r="E68" s="8">
        <f>(A68+B68)/2</f>
        <v>0</v>
      </c>
      <c r="F68" s="8">
        <f>E68^4-EXP(E68)+1</f>
        <v>0</v>
      </c>
    </row>
    <row r="69" spans="1:6">
      <c r="A69" s="8">
        <f t="shared" ref="A69:A71" si="25">IF(C68*F68&gt;0,E68,A68)</f>
        <v>-0.5</v>
      </c>
      <c r="B69" s="8">
        <f t="shared" ref="B69:B71" si="26">IF(D68*F68&gt;0,E68,B68)</f>
        <v>0.5</v>
      </c>
      <c r="C69" s="8">
        <f t="shared" ref="C69:C71" si="27">A69^4-EXP(A69)+1</f>
        <v>0.45596934028736658</v>
      </c>
      <c r="D69" s="8">
        <f t="shared" ref="D69:D71" si="28">B69^4-EXP(B69)+1</f>
        <v>-0.58622127070012819</v>
      </c>
      <c r="E69" s="8">
        <f t="shared" ref="E69:E71" si="29">(A69+B69)/2</f>
        <v>0</v>
      </c>
      <c r="F69" s="8">
        <f t="shared" ref="F69:F76" si="30">E69^4-EXP(E69)+1</f>
        <v>0</v>
      </c>
    </row>
    <row r="70" spans="1:6">
      <c r="A70" s="8">
        <f t="shared" si="25"/>
        <v>-0.5</v>
      </c>
      <c r="B70" s="8">
        <f t="shared" si="26"/>
        <v>0.5</v>
      </c>
      <c r="C70" s="8">
        <f t="shared" si="27"/>
        <v>0.45596934028736658</v>
      </c>
      <c r="D70" s="8">
        <f t="shared" si="28"/>
        <v>-0.58622127070012819</v>
      </c>
      <c r="E70" s="8">
        <f t="shared" si="29"/>
        <v>0</v>
      </c>
      <c r="F70" s="8">
        <f t="shared" si="30"/>
        <v>0</v>
      </c>
    </row>
    <row r="71" spans="1:6">
      <c r="A71" s="8">
        <f t="shared" si="25"/>
        <v>-0.5</v>
      </c>
      <c r="B71" s="8">
        <f t="shared" si="26"/>
        <v>0.5</v>
      </c>
      <c r="C71" s="8">
        <f t="shared" si="27"/>
        <v>0.45596934028736658</v>
      </c>
      <c r="D71" s="8">
        <f t="shared" si="28"/>
        <v>-0.58622127070012819</v>
      </c>
      <c r="E71" s="8">
        <f t="shared" si="29"/>
        <v>0</v>
      </c>
      <c r="F71" s="8">
        <f t="shared" si="30"/>
        <v>0</v>
      </c>
    </row>
    <row r="72" spans="1:6">
      <c r="A72" s="8">
        <f t="shared" ref="A72:A73" si="31">IF(C71*F71&gt;0,E71,A71)</f>
        <v>-0.5</v>
      </c>
      <c r="B72" s="8">
        <f t="shared" ref="B72:B73" si="32">IF(D71*F71&gt;0,E71,B71)</f>
        <v>0.5</v>
      </c>
      <c r="C72" s="8">
        <f t="shared" ref="C72:C73" si="33">A72^4-EXP(A72)+1</f>
        <v>0.45596934028736658</v>
      </c>
      <c r="D72" s="8">
        <f t="shared" ref="D72:D73" si="34">B72^4-EXP(B72)+1</f>
        <v>-0.58622127070012819</v>
      </c>
      <c r="E72" s="8">
        <f t="shared" ref="E72:E73" si="35">(A72+B72)/2</f>
        <v>0</v>
      </c>
      <c r="F72" s="8">
        <f t="shared" si="30"/>
        <v>0</v>
      </c>
    </row>
    <row r="73" spans="1:6">
      <c r="A73" s="8">
        <f t="shared" si="31"/>
        <v>-0.5</v>
      </c>
      <c r="B73" s="8">
        <f t="shared" si="32"/>
        <v>0.5</v>
      </c>
      <c r="C73" s="8">
        <f t="shared" si="33"/>
        <v>0.45596934028736658</v>
      </c>
      <c r="D73" s="8">
        <f t="shared" si="34"/>
        <v>-0.58622127070012819</v>
      </c>
      <c r="E73" s="8">
        <f t="shared" si="35"/>
        <v>0</v>
      </c>
      <c r="F73" s="8">
        <f t="shared" si="30"/>
        <v>0</v>
      </c>
    </row>
    <row r="74" spans="1:6">
      <c r="A74" s="8">
        <f t="shared" ref="A74:A75" si="36">IF(C73*F73&gt;0,E73,A73)</f>
        <v>-0.5</v>
      </c>
      <c r="B74" s="8">
        <f t="shared" ref="B74:B75" si="37">IF(D73*F73&gt;0,E73,B73)</f>
        <v>0.5</v>
      </c>
      <c r="C74" s="8">
        <f t="shared" ref="C74:C75" si="38">A74^4-EXP(A74)+1</f>
        <v>0.45596934028736658</v>
      </c>
      <c r="D74" s="8">
        <f t="shared" ref="D74:D75" si="39">B74^4-EXP(B74)+1</f>
        <v>-0.58622127070012819</v>
      </c>
      <c r="E74" s="8">
        <f t="shared" ref="E74:E75" si="40">(A74+B74)/2</f>
        <v>0</v>
      </c>
      <c r="F74" s="8">
        <f t="shared" si="30"/>
        <v>0</v>
      </c>
    </row>
    <row r="75" spans="1:6">
      <c r="A75" s="8">
        <f t="shared" si="36"/>
        <v>-0.5</v>
      </c>
      <c r="B75" s="8">
        <f t="shared" si="37"/>
        <v>0.5</v>
      </c>
      <c r="C75" s="8">
        <f t="shared" si="38"/>
        <v>0.45596934028736658</v>
      </c>
      <c r="D75" s="8">
        <f t="shared" si="39"/>
        <v>-0.58622127070012819</v>
      </c>
      <c r="E75" s="8">
        <f t="shared" si="40"/>
        <v>0</v>
      </c>
      <c r="F75" s="8">
        <f t="shared" si="30"/>
        <v>0</v>
      </c>
    </row>
    <row r="76" spans="1:6">
      <c r="A76" s="8">
        <f t="shared" ref="A76" si="41">IF(C75*F75&gt;0,E75,A75)</f>
        <v>-0.5</v>
      </c>
      <c r="B76" s="8">
        <f t="shared" ref="B76" si="42">IF(D75*F75&gt;0,E75,B75)</f>
        <v>0.5</v>
      </c>
      <c r="C76" s="8">
        <f t="shared" ref="C76" si="43">A76^4-EXP(A76)+1</f>
        <v>0.45596934028736658</v>
      </c>
      <c r="D76" s="8">
        <f t="shared" ref="D76" si="44">B76^4-EXP(B76)+1</f>
        <v>-0.58622127070012819</v>
      </c>
      <c r="E76" s="8">
        <f t="shared" ref="E76" si="45">(A76+B76)/2</f>
        <v>0</v>
      </c>
      <c r="F76" s="8">
        <f t="shared" si="30"/>
        <v>0</v>
      </c>
    </row>
    <row r="77" spans="1:6">
      <c r="A77" s="8">
        <f>IF(C76*F76&gt;0,E76,A76)</f>
        <v>-0.5</v>
      </c>
      <c r="B77" s="8">
        <f>IF(D76*F76&gt;0,E76,B76)</f>
        <v>0.5</v>
      </c>
      <c r="C77" s="8">
        <f>A77^4-EXP(A77)+1</f>
        <v>0.45596934028736658</v>
      </c>
      <c r="D77" s="8">
        <f>B77^4-EXP(B77)+1</f>
        <v>-0.58622127070012819</v>
      </c>
      <c r="E77" s="8">
        <f>(A77+B77)/2</f>
        <v>0</v>
      </c>
      <c r="F77" s="8">
        <f>E77^4-EXP(E77)+1</f>
        <v>0</v>
      </c>
    </row>
    <row r="78" spans="1:6">
      <c r="A78" s="8">
        <f>IF(C77*F77&gt;0,E77,A77)</f>
        <v>-0.5</v>
      </c>
      <c r="B78" s="8">
        <f>IF(D77*F77&gt;0,E77,B77)</f>
        <v>0.5</v>
      </c>
      <c r="C78" s="8">
        <f>A78^4-EXP(A78)+1</f>
        <v>0.45596934028736658</v>
      </c>
      <c r="D78" s="8">
        <f>B78^4-EXP(B78)+1</f>
        <v>-0.58622127070012819</v>
      </c>
      <c r="E78" s="8">
        <f>(A78+B78)/2</f>
        <v>0</v>
      </c>
      <c r="F78" s="8">
        <f>E78^4-EXP(E78)+1</f>
        <v>0</v>
      </c>
    </row>
    <row r="80" spans="1:6" ht="16">
      <c r="A80" s="15" t="s">
        <v>8</v>
      </c>
      <c r="B80" t="s">
        <v>0</v>
      </c>
      <c r="C80" t="s">
        <v>1</v>
      </c>
    </row>
    <row r="81" spans="1:6">
      <c r="B81" s="10">
        <v>-3</v>
      </c>
      <c r="C81" s="10">
        <f>B81^(2)*EXP(B81)-1</f>
        <v>-0.55191638468922455</v>
      </c>
    </row>
    <row r="82" spans="1:6">
      <c r="B82" s="10">
        <v>-2</v>
      </c>
      <c r="C82" s="10">
        <f t="shared" ref="C82:C89" si="46">B82^(2)*EXP(B82)-1</f>
        <v>-0.45865886705354919</v>
      </c>
    </row>
    <row r="83" spans="1:6">
      <c r="B83" s="10">
        <v>-1</v>
      </c>
      <c r="C83" s="10">
        <f t="shared" si="46"/>
        <v>-0.63212055882855767</v>
      </c>
    </row>
    <row r="84" spans="1:6">
      <c r="B84" s="10">
        <v>0</v>
      </c>
      <c r="C84" s="10">
        <f t="shared" si="46"/>
        <v>-1</v>
      </c>
    </row>
    <row r="85" spans="1:6">
      <c r="B85" s="10">
        <v>1</v>
      </c>
      <c r="C85" s="10">
        <f t="shared" si="46"/>
        <v>1.7182818284590451</v>
      </c>
    </row>
    <row r="86" spans="1:6">
      <c r="B86" s="10">
        <v>2</v>
      </c>
      <c r="C86" s="10">
        <f t="shared" si="46"/>
        <v>28.556224395722602</v>
      </c>
    </row>
    <row r="87" spans="1:6">
      <c r="B87" s="10">
        <v>3</v>
      </c>
      <c r="C87" s="10">
        <f t="shared" si="46"/>
        <v>179.76983230868902</v>
      </c>
    </row>
    <row r="88" spans="1:6">
      <c r="B88" s="10">
        <v>4</v>
      </c>
      <c r="C88" s="10">
        <f t="shared" si="46"/>
        <v>872.57040053030778</v>
      </c>
    </row>
    <row r="89" spans="1:6">
      <c r="B89" s="10">
        <v>5</v>
      </c>
      <c r="C89" s="10">
        <f t="shared" si="46"/>
        <v>3709.3289775644148</v>
      </c>
    </row>
    <row r="92" spans="1:6">
      <c r="A92" s="4" t="s">
        <v>9</v>
      </c>
      <c r="B92" s="4" t="s">
        <v>10</v>
      </c>
      <c r="C92" s="4" t="s">
        <v>11</v>
      </c>
      <c r="D92" s="4" t="s">
        <v>12</v>
      </c>
      <c r="E92" s="4" t="s">
        <v>13</v>
      </c>
      <c r="F92" s="4" t="s">
        <v>14</v>
      </c>
    </row>
    <row r="93" spans="1:6">
      <c r="A93" s="8">
        <v>0</v>
      </c>
      <c r="B93" s="8">
        <v>2</v>
      </c>
      <c r="C93" s="8">
        <f>A93^2*EXP(A93)-1</f>
        <v>-1</v>
      </c>
      <c r="D93" s="8">
        <f>B93^2*(EXP(B93))-1</f>
        <v>28.556224395722602</v>
      </c>
      <c r="E93" s="8">
        <f>(A93+B93)/2</f>
        <v>1</v>
      </c>
      <c r="F93" s="8">
        <f>E93^2*(EXP(E93))-1</f>
        <v>1.7182818284590451</v>
      </c>
    </row>
    <row r="94" spans="1:6">
      <c r="A94" s="8">
        <f>IF(F93*C93&gt;0,E93,A93)</f>
        <v>0</v>
      </c>
      <c r="B94" s="8">
        <f>IF(F93*D93&gt;0,E93,B93)</f>
        <v>1</v>
      </c>
      <c r="C94" s="8">
        <f>A94^2*(EXP(A94))-1</f>
        <v>-1</v>
      </c>
      <c r="D94" s="8">
        <f>B94^2*(EXP(B94))-1</f>
        <v>1.7182818284590451</v>
      </c>
      <c r="E94" s="8">
        <f>(A94+B94)/2</f>
        <v>0.5</v>
      </c>
      <c r="F94" s="8">
        <f>E94^2*(EXP(E94))-1</f>
        <v>-0.58781968232496795</v>
      </c>
    </row>
    <row r="95" spans="1:6">
      <c r="A95" s="8">
        <f t="shared" ref="A95:A97" si="47">IF(F94*C94&gt;0,E94,A94)</f>
        <v>0.5</v>
      </c>
      <c r="B95" s="8">
        <f t="shared" ref="B95:B97" si="48">IF(F94*D94&gt;0,E94,B94)</f>
        <v>1</v>
      </c>
      <c r="C95" s="8">
        <f t="shared" ref="C95:C97" si="49">A95^2*(EXP(A95))-1</f>
        <v>-0.58781968232496795</v>
      </c>
      <c r="D95" s="8">
        <f t="shared" ref="D95:D97" si="50">B95^2*(EXP(B95))-1</f>
        <v>1.7182818284590451</v>
      </c>
      <c r="E95" s="8">
        <f t="shared" ref="E95:E97" si="51">(A95+B95)/2</f>
        <v>0.75</v>
      </c>
      <c r="F95" s="8">
        <f t="shared" ref="F95:F97" si="52">E95^2*(EXP(E95))-1</f>
        <v>0.19081250934462957</v>
      </c>
    </row>
    <row r="96" spans="1:6">
      <c r="A96" s="8">
        <f t="shared" si="47"/>
        <v>0.5</v>
      </c>
      <c r="B96" s="8">
        <f t="shared" si="48"/>
        <v>0.75</v>
      </c>
      <c r="C96" s="8">
        <f t="shared" si="49"/>
        <v>-0.58781968232496795</v>
      </c>
      <c r="D96" s="8">
        <f t="shared" si="50"/>
        <v>0.19081250934462957</v>
      </c>
      <c r="E96" s="8">
        <f t="shared" si="51"/>
        <v>0.625</v>
      </c>
      <c r="F96" s="8">
        <f t="shared" si="52"/>
        <v>-0.27021642287803815</v>
      </c>
    </row>
    <row r="97" spans="1:6">
      <c r="A97" s="8">
        <f t="shared" si="47"/>
        <v>0.625</v>
      </c>
      <c r="B97" s="8">
        <f t="shared" si="48"/>
        <v>0.75</v>
      </c>
      <c r="C97" s="8">
        <f t="shared" si="49"/>
        <v>-0.27021642287803815</v>
      </c>
      <c r="D97" s="8">
        <f t="shared" si="50"/>
        <v>0.19081250934462957</v>
      </c>
      <c r="E97" s="8">
        <f t="shared" si="51"/>
        <v>0.6875</v>
      </c>
      <c r="F97" s="8">
        <f t="shared" si="52"/>
        <v>-6.0010805392744837E-2</v>
      </c>
    </row>
    <row r="98" spans="1:6">
      <c r="A98" s="8">
        <v>0</v>
      </c>
      <c r="B98" s="8">
        <v>2</v>
      </c>
      <c r="C98" s="8">
        <f>A98^2*(EXP(A98))-1</f>
        <v>-1</v>
      </c>
      <c r="D98" s="8">
        <f>B98^2*(EXP(B98))-1</f>
        <v>28.556224395722602</v>
      </c>
      <c r="E98" s="8">
        <f>(A98+B98)/2</f>
        <v>1</v>
      </c>
      <c r="F98" s="8">
        <f>E98^2*(EXP(E98))-1</f>
        <v>1.7182818284590451</v>
      </c>
    </row>
    <row r="99" spans="1:6">
      <c r="A99" s="8">
        <f>IF(F98*C98&gt;0,E98,A98)</f>
        <v>0</v>
      </c>
      <c r="B99" s="8">
        <f>IF(F98*D98&gt;0,E98,B98)</f>
        <v>1</v>
      </c>
      <c r="C99" s="8">
        <f>A99^2*(EXP(A99))-1</f>
        <v>-1</v>
      </c>
      <c r="D99" s="8">
        <f>B99^2*(EXP(B99))-1</f>
        <v>1.7182818284590451</v>
      </c>
      <c r="E99" s="8">
        <f>(A99+B99)/2</f>
        <v>0.5</v>
      </c>
      <c r="F99" s="8">
        <f>E99^2*(EXP(E99))-1</f>
        <v>-0.58781968232496795</v>
      </c>
    </row>
    <row r="100" spans="1:6">
      <c r="A100" s="8">
        <v>0</v>
      </c>
      <c r="B100" s="8">
        <v>2</v>
      </c>
      <c r="C100" s="8">
        <f>A100^2*EXP(A100)-1</f>
        <v>-1</v>
      </c>
      <c r="D100" s="8">
        <f>B100^2*(EXP(B100))-1</f>
        <v>28.556224395722602</v>
      </c>
      <c r="E100" s="8">
        <f>(A100+B100)/2</f>
        <v>1</v>
      </c>
      <c r="F100" s="8">
        <f>E100^2*(EXP(E100))-1</f>
        <v>1.7182818284590451</v>
      </c>
    </row>
    <row r="101" spans="1:6">
      <c r="A101" s="8">
        <v>0</v>
      </c>
      <c r="B101" s="8">
        <v>2</v>
      </c>
      <c r="C101" s="8">
        <f>A101^2*EXP(A101)-1</f>
        <v>-1</v>
      </c>
      <c r="D101" s="8">
        <f>B101^2*(EXP(B101))-1</f>
        <v>28.556224395722602</v>
      </c>
      <c r="E101" s="8">
        <f>(A101+B101)/2</f>
        <v>1</v>
      </c>
      <c r="F101" s="8">
        <f>E101^2*(EXP(E101))-1</f>
        <v>1.7182818284590451</v>
      </c>
    </row>
    <row r="102" spans="1:6">
      <c r="A102" s="8">
        <v>0</v>
      </c>
      <c r="B102" s="8">
        <v>2</v>
      </c>
      <c r="C102" s="8">
        <f>A102^2*EXP(A102)-1</f>
        <v>-1</v>
      </c>
      <c r="D102" s="8">
        <f>B102^2*(EXP(B102))-1</f>
        <v>28.556224395722602</v>
      </c>
      <c r="E102" s="8">
        <f>(A102+B102)/2</f>
        <v>1</v>
      </c>
      <c r="F102" s="8">
        <f>E102^2*(EXP(E102))-1</f>
        <v>1.7182818284590451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1D93-698D-4334-B956-08A99CAB8242}">
  <dimension ref="A2:E89"/>
  <sheetViews>
    <sheetView topLeftCell="A50" workbookViewId="0">
      <selection activeCell="A68" sqref="A68"/>
    </sheetView>
  </sheetViews>
  <sheetFormatPr baseColWidth="10" defaultColWidth="8.83203125" defaultRowHeight="15"/>
  <cols>
    <col min="1" max="1" width="18.5" bestFit="1" customWidth="1"/>
    <col min="2" max="2" width="10.5" bestFit="1" customWidth="1"/>
    <col min="3" max="3" width="10.6640625" bestFit="1" customWidth="1"/>
    <col min="4" max="4" width="9.1640625" bestFit="1" customWidth="1"/>
    <col min="5" max="5" width="9.6640625" customWidth="1"/>
  </cols>
  <sheetData>
    <row r="2" spans="1:5" ht="16">
      <c r="A2" s="15" t="s">
        <v>2</v>
      </c>
      <c r="B2" t="s">
        <v>0</v>
      </c>
      <c r="C2" t="s">
        <v>1</v>
      </c>
    </row>
    <row r="3" spans="1:5">
      <c r="B3" s="10">
        <v>-3</v>
      </c>
      <c r="C3" s="10">
        <f>B3-B3^(1/3)-2</f>
        <v>-3.5577504296925917</v>
      </c>
    </row>
    <row r="4" spans="1:5">
      <c r="B4" s="10">
        <v>-2</v>
      </c>
      <c r="C4" s="10">
        <f t="shared" ref="C4:C11" si="0">B4-B4^(1/3)-2</f>
        <v>-2.7400789501051266</v>
      </c>
    </row>
    <row r="5" spans="1:5">
      <c r="B5" s="10">
        <v>-1</v>
      </c>
      <c r="C5" s="10">
        <f t="shared" si="0"/>
        <v>-2</v>
      </c>
    </row>
    <row r="6" spans="1:5">
      <c r="B6" s="10">
        <v>0</v>
      </c>
      <c r="C6" s="10">
        <f t="shared" si="0"/>
        <v>-2</v>
      </c>
    </row>
    <row r="7" spans="1:5">
      <c r="B7" s="10">
        <v>1</v>
      </c>
      <c r="C7" s="10">
        <f t="shared" si="0"/>
        <v>-2</v>
      </c>
    </row>
    <row r="8" spans="1:5">
      <c r="B8" s="10">
        <v>2</v>
      </c>
      <c r="C8" s="10">
        <f t="shared" si="0"/>
        <v>-1.2599210498948732</v>
      </c>
    </row>
    <row r="9" spans="1:5">
      <c r="B9" s="10">
        <v>3</v>
      </c>
      <c r="C9" s="10">
        <f t="shared" si="0"/>
        <v>-0.4422495703074083</v>
      </c>
    </row>
    <row r="10" spans="1:5">
      <c r="B10" s="10">
        <v>4</v>
      </c>
      <c r="C10" s="10">
        <f t="shared" si="0"/>
        <v>0.41259894803180064</v>
      </c>
    </row>
    <row r="11" spans="1:5">
      <c r="B11" s="10">
        <v>5</v>
      </c>
      <c r="C11" s="10">
        <f t="shared" si="0"/>
        <v>1.2900240533233029</v>
      </c>
    </row>
    <row r="13" spans="1:5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15</v>
      </c>
    </row>
    <row r="14" spans="1:5">
      <c r="A14" s="8">
        <v>0</v>
      </c>
      <c r="B14" s="8">
        <v>2.75</v>
      </c>
      <c r="C14" s="8">
        <f>A14-A14^(1/3)-2</f>
        <v>-2</v>
      </c>
      <c r="D14" s="8">
        <f>B14-B14^(1/3)-2</f>
        <v>-0.65101966532769362</v>
      </c>
      <c r="E14" s="8">
        <f>B14-(D14/(D14-C14))*(B14-A14)</f>
        <v>4.0771535793633769</v>
      </c>
    </row>
    <row r="15" spans="1:5">
      <c r="A15" s="8">
        <f>B14</f>
        <v>2.75</v>
      </c>
      <c r="B15" s="8">
        <f>E14</f>
        <v>4.0771535793633769</v>
      </c>
      <c r="C15" s="8">
        <f>A15-A15^(1/3)-2</f>
        <v>-0.65101966532769362</v>
      </c>
      <c r="D15" s="8">
        <f>B15-B15^(1/3)-2</f>
        <v>0.4796113137371254</v>
      </c>
      <c r="E15" s="8">
        <f>B15-(D15/(D15-C15))*(B15-A15)</f>
        <v>3.5141777866287027</v>
      </c>
    </row>
    <row r="16" spans="1:5">
      <c r="A16" s="8">
        <f t="shared" ref="A16:A19" si="1">B15</f>
        <v>4.0771535793633769</v>
      </c>
      <c r="B16" s="8">
        <f t="shared" ref="B16:B19" si="2">E15</f>
        <v>3.5141777866287027</v>
      </c>
      <c r="C16" s="8">
        <f t="shared" ref="C16:C19" si="3">A16-A16^(1/3)-2</f>
        <v>0.4796113137371254</v>
      </c>
      <c r="D16" s="8">
        <f t="shared" ref="D16:D20" si="4">B16-B16^(1/3)-2</f>
        <v>-6.1640378432878951E-3</v>
      </c>
      <c r="E16" s="8">
        <f t="shared" ref="E16:E20" si="5">B16-(D16/(D16-C16))*(B16-A16)</f>
        <v>3.5213214263378432</v>
      </c>
    </row>
    <row r="17" spans="1:5">
      <c r="A17" s="8">
        <f t="shared" si="1"/>
        <v>3.5141777866287027</v>
      </c>
      <c r="B17" s="8">
        <f t="shared" si="2"/>
        <v>3.5213214263378432</v>
      </c>
      <c r="C17" s="8">
        <f t="shared" si="3"/>
        <v>-6.1640378432878951E-3</v>
      </c>
      <c r="D17" s="8">
        <f t="shared" si="4"/>
        <v>-4.9887240591184323E-5</v>
      </c>
      <c r="E17" s="8">
        <f t="shared" si="5"/>
        <v>3.5213797134975851</v>
      </c>
    </row>
    <row r="18" spans="1:5">
      <c r="A18" s="8">
        <f t="shared" si="1"/>
        <v>3.5213214263378432</v>
      </c>
      <c r="B18" s="8">
        <f t="shared" si="2"/>
        <v>3.5213797134975851</v>
      </c>
      <c r="C18" s="8">
        <f t="shared" si="3"/>
        <v>-4.9887240591184323E-5</v>
      </c>
      <c r="D18" s="8">
        <f t="shared" si="4"/>
        <v>5.7291318356078591E-9</v>
      </c>
      <c r="E18" s="8">
        <f t="shared" si="5"/>
        <v>3.5213797068045616</v>
      </c>
    </row>
    <row r="19" spans="1:5">
      <c r="A19" s="8">
        <f t="shared" si="1"/>
        <v>3.5213797134975851</v>
      </c>
      <c r="B19" s="8">
        <f t="shared" si="2"/>
        <v>3.5213797068045616</v>
      </c>
      <c r="C19" s="8">
        <f t="shared" si="3"/>
        <v>5.7291318356078591E-9</v>
      </c>
      <c r="D19" s="8">
        <f t="shared" si="4"/>
        <v>-5.1070259132757201E-15</v>
      </c>
      <c r="E19" s="8">
        <f t="shared" si="5"/>
        <v>3.5213797068045674</v>
      </c>
    </row>
    <row r="20" spans="1:5">
      <c r="A20" s="8">
        <f>B19</f>
        <v>3.5213797068045616</v>
      </c>
      <c r="B20" s="8">
        <f>E19</f>
        <v>3.5213797068045674</v>
      </c>
      <c r="C20" s="8">
        <f>A20-A20^(1/3)-2</f>
        <v>-5.1070259132757201E-15</v>
      </c>
      <c r="D20" s="8">
        <f t="shared" si="4"/>
        <v>0</v>
      </c>
      <c r="E20" s="8">
        <f t="shared" si="5"/>
        <v>3.5213797068045674</v>
      </c>
    </row>
    <row r="22" spans="1:5" ht="16">
      <c r="A22" s="15" t="s">
        <v>6</v>
      </c>
      <c r="B22" t="s">
        <v>0</v>
      </c>
      <c r="C22" t="s">
        <v>1</v>
      </c>
    </row>
    <row r="23" spans="1:5">
      <c r="B23" s="14">
        <v>-10</v>
      </c>
      <c r="C23" s="10">
        <f>B23*TAN(B23)-1</f>
        <v>5.4836082745908659</v>
      </c>
    </row>
    <row r="24" spans="1:5">
      <c r="B24" s="14">
        <v>-8</v>
      </c>
      <c r="C24" s="10">
        <f t="shared" ref="C24:C33" si="6">B24*TAN(B24)-1</f>
        <v>-55.397691641763032</v>
      </c>
    </row>
    <row r="25" spans="1:5">
      <c r="B25" s="14">
        <v>-6</v>
      </c>
      <c r="C25" s="10">
        <f t="shared" si="6"/>
        <v>-2.7460371483084947</v>
      </c>
    </row>
    <row r="26" spans="1:5">
      <c r="B26" s="14">
        <v>-4</v>
      </c>
      <c r="C26" s="10">
        <f t="shared" si="6"/>
        <v>3.6312851293983099</v>
      </c>
    </row>
    <row r="27" spans="1:5">
      <c r="B27" s="14">
        <v>-2</v>
      </c>
      <c r="C27" s="10">
        <f t="shared" si="6"/>
        <v>-5.3700797265230378</v>
      </c>
    </row>
    <row r="28" spans="1:5">
      <c r="B28" s="14">
        <v>0</v>
      </c>
      <c r="C28" s="10">
        <f t="shared" si="6"/>
        <v>-1</v>
      </c>
    </row>
    <row r="29" spans="1:5">
      <c r="B29" s="14">
        <v>2</v>
      </c>
      <c r="C29" s="10">
        <f t="shared" si="6"/>
        <v>-5.3700797265230378</v>
      </c>
    </row>
    <row r="30" spans="1:5">
      <c r="B30" s="14">
        <v>4</v>
      </c>
      <c r="C30" s="10">
        <f t="shared" si="6"/>
        <v>3.6312851293983099</v>
      </c>
    </row>
    <row r="31" spans="1:5">
      <c r="B31" s="14">
        <v>6</v>
      </c>
      <c r="C31" s="10">
        <f t="shared" si="6"/>
        <v>-2.7460371483084947</v>
      </c>
    </row>
    <row r="32" spans="1:5">
      <c r="B32" s="14">
        <v>8</v>
      </c>
      <c r="C32" s="10">
        <f t="shared" si="6"/>
        <v>-55.397691641763032</v>
      </c>
    </row>
    <row r="33" spans="1:5">
      <c r="B33" s="14">
        <v>10</v>
      </c>
      <c r="C33" s="10">
        <f t="shared" si="6"/>
        <v>5.4836082745908659</v>
      </c>
    </row>
    <row r="35" spans="1:5">
      <c r="A35" s="4" t="s">
        <v>9</v>
      </c>
      <c r="B35" s="4" t="s">
        <v>10</v>
      </c>
      <c r="C35" s="4" t="s">
        <v>11</v>
      </c>
      <c r="D35" s="4" t="s">
        <v>12</v>
      </c>
      <c r="E35" s="4" t="s">
        <v>15</v>
      </c>
    </row>
    <row r="36" spans="1:5">
      <c r="A36" s="5">
        <v>-3.5</v>
      </c>
      <c r="B36" s="5">
        <v>5.0999999999999996</v>
      </c>
      <c r="C36" s="5">
        <f>A36*TAN(A36)-1</f>
        <v>0.31104974055508139</v>
      </c>
      <c r="D36" s="5">
        <f>B36*TAN(B36)-1</f>
        <v>-13.491886019481452</v>
      </c>
      <c r="E36" s="5">
        <f>B36-(D36/(D36-C36))*(B36-A36)</f>
        <v>-3.3061986366321676</v>
      </c>
    </row>
    <row r="37" spans="1:5">
      <c r="A37" s="5">
        <f>B36</f>
        <v>5.0999999999999996</v>
      </c>
      <c r="B37" s="5">
        <f>E36</f>
        <v>-3.3061986366321676</v>
      </c>
      <c r="C37" s="5">
        <f>A37*TAN(A37)-1</f>
        <v>-13.491886019481452</v>
      </c>
      <c r="D37" s="5">
        <f>B37*TAN(B37)-1</f>
        <v>-0.45081082311524356</v>
      </c>
      <c r="E37" s="5">
        <f>B37-(D37/(D37-C37))*(B37-A37)</f>
        <v>-3.5967885818313432</v>
      </c>
    </row>
    <row r="38" spans="1:5">
      <c r="A38" s="5">
        <f t="shared" ref="A38:A40" si="7">B37</f>
        <v>-3.3061986366321676</v>
      </c>
      <c r="B38" s="5">
        <f t="shared" ref="B38:B40" si="8">E37</f>
        <v>-3.5967885818313432</v>
      </c>
      <c r="C38" s="5">
        <f t="shared" ref="C38:C40" si="9">A38*TAN(A38)-1</f>
        <v>-0.45081082311524356</v>
      </c>
      <c r="D38" s="5">
        <f t="shared" ref="D38:D40" si="10">B38*TAN(B38)-1</f>
        <v>0.76055465812126855</v>
      </c>
      <c r="E38" s="5">
        <f t="shared" ref="E38:E40" si="11">B38-(D38/(D38-C38))*(B38-A38)</f>
        <v>-3.4143419628317333</v>
      </c>
    </row>
    <row r="39" spans="1:5">
      <c r="A39" s="5">
        <f t="shared" si="7"/>
        <v>-3.5967885818313432</v>
      </c>
      <c r="B39" s="5">
        <f t="shared" si="8"/>
        <v>-3.4143419628317333</v>
      </c>
      <c r="C39" s="5">
        <f t="shared" si="9"/>
        <v>0.76055465812126855</v>
      </c>
      <c r="D39" s="5">
        <f t="shared" si="10"/>
        <v>-4.4939276042124221E-2</v>
      </c>
      <c r="E39" s="5">
        <f t="shared" si="11"/>
        <v>-3.4245208339894551</v>
      </c>
    </row>
    <row r="40" spans="1:5">
      <c r="A40" s="5">
        <f t="shared" si="7"/>
        <v>-3.4143419628317333</v>
      </c>
      <c r="B40" s="5">
        <f t="shared" si="8"/>
        <v>-3.4245208339894551</v>
      </c>
      <c r="C40" s="5">
        <f t="shared" si="9"/>
        <v>-4.4939276042124221E-2</v>
      </c>
      <c r="D40" s="5">
        <f t="shared" si="10"/>
        <v>-4.3982672013322954E-3</v>
      </c>
      <c r="E40" s="5">
        <f t="shared" si="11"/>
        <v>-3.4256251329805187</v>
      </c>
    </row>
    <row r="41" spans="1:5">
      <c r="A41" s="5">
        <f>B40</f>
        <v>-3.4245208339894551</v>
      </c>
      <c r="B41" s="5">
        <f>E40</f>
        <v>-3.4256251329805187</v>
      </c>
      <c r="C41" s="5">
        <f t="shared" ref="C41:D43" si="12">A41*TAN(A41)-1</f>
        <v>-4.3982672013322954E-3</v>
      </c>
      <c r="D41" s="5">
        <f t="shared" si="12"/>
        <v>2.6757187358228407E-5</v>
      </c>
      <c r="E41" s="5">
        <f>B41-(D41/(D41-C41))*(B41-A41)</f>
        <v>-3.4256184555178861</v>
      </c>
    </row>
    <row r="42" spans="1:5">
      <c r="A42" s="5">
        <f>B41</f>
        <v>-3.4256251329805187</v>
      </c>
      <c r="B42" s="5">
        <f>E41</f>
        <v>-3.4256184555178861</v>
      </c>
      <c r="C42" s="5">
        <f t="shared" si="12"/>
        <v>2.6757187358228407E-5</v>
      </c>
      <c r="D42" s="5">
        <f t="shared" si="12"/>
        <v>-1.5892844706932863E-8</v>
      </c>
      <c r="E42" s="5">
        <f>B42-(D42/(D42-C42))*(B42-A42)</f>
        <v>-3.4256184594817136</v>
      </c>
    </row>
    <row r="43" spans="1:5">
      <c r="A43" s="5">
        <f>B42</f>
        <v>-3.4256184555178861</v>
      </c>
      <c r="B43" s="5">
        <f>E42</f>
        <v>-3.4256184594817136</v>
      </c>
      <c r="C43" s="5">
        <f t="shared" si="12"/>
        <v>-1.5892844706932863E-8</v>
      </c>
      <c r="D43" s="5">
        <f t="shared" si="12"/>
        <v>-5.8286708792820718E-14</v>
      </c>
      <c r="E43" s="5">
        <f>B43-(D43/(D43-C43))*(B43-A43)</f>
        <v>-3.4256184594817283</v>
      </c>
    </row>
    <row r="45" spans="1:5" ht="16">
      <c r="A45" s="15" t="s">
        <v>7</v>
      </c>
      <c r="B45" t="s">
        <v>0</v>
      </c>
      <c r="C45" t="s">
        <v>1</v>
      </c>
    </row>
    <row r="46" spans="1:5">
      <c r="B46" s="10">
        <v>-5</v>
      </c>
      <c r="C46" s="10">
        <f>B46^4-EXP(B46)+1</f>
        <v>625.99326205300088</v>
      </c>
    </row>
    <row r="47" spans="1:5">
      <c r="B47" s="10">
        <v>-4</v>
      </c>
      <c r="C47" s="10">
        <f t="shared" ref="C47:C56" si="13">B47^4-EXP(B47)+1</f>
        <v>256.98168436111126</v>
      </c>
    </row>
    <row r="48" spans="1:5">
      <c r="B48" s="10">
        <v>-3</v>
      </c>
      <c r="C48" s="10">
        <f t="shared" si="13"/>
        <v>81.950212931632137</v>
      </c>
    </row>
    <row r="49" spans="1:5">
      <c r="B49" s="10">
        <v>-2</v>
      </c>
      <c r="C49" s="10">
        <f t="shared" si="13"/>
        <v>16.864664716763386</v>
      </c>
    </row>
    <row r="50" spans="1:5">
      <c r="B50" s="10">
        <v>-1</v>
      </c>
      <c r="C50" s="10">
        <f t="shared" si="13"/>
        <v>1.6321205588285577</v>
      </c>
    </row>
    <row r="51" spans="1:5">
      <c r="B51" s="10">
        <v>0</v>
      </c>
      <c r="C51" s="10">
        <f t="shared" si="13"/>
        <v>0</v>
      </c>
    </row>
    <row r="52" spans="1:5">
      <c r="B52" s="10">
        <v>1</v>
      </c>
      <c r="C52" s="10">
        <f t="shared" si="13"/>
        <v>-0.71828182845904509</v>
      </c>
    </row>
    <row r="53" spans="1:5">
      <c r="B53" s="10">
        <v>2</v>
      </c>
      <c r="C53" s="10">
        <f t="shared" si="13"/>
        <v>9.6109439010693496</v>
      </c>
    </row>
    <row r="54" spans="1:5">
      <c r="B54" s="10">
        <v>3</v>
      </c>
      <c r="C54" s="10">
        <f t="shared" si="13"/>
        <v>61.914463076812332</v>
      </c>
    </row>
    <row r="55" spans="1:5">
      <c r="B55" s="10">
        <v>4</v>
      </c>
      <c r="C55" s="10">
        <f t="shared" si="13"/>
        <v>202.40184996685576</v>
      </c>
    </row>
    <row r="56" spans="1:5">
      <c r="B56" s="10">
        <v>5</v>
      </c>
      <c r="C56" s="10">
        <f t="shared" si="13"/>
        <v>477.58684089742337</v>
      </c>
    </row>
    <row r="58" spans="1:5">
      <c r="A58" s="4" t="s">
        <v>9</v>
      </c>
      <c r="B58" s="4" t="s">
        <v>10</v>
      </c>
      <c r="C58" s="4" t="s">
        <v>11</v>
      </c>
      <c r="D58" s="4" t="s">
        <v>12</v>
      </c>
      <c r="E58" s="4" t="s">
        <v>15</v>
      </c>
    </row>
    <row r="59" spans="1:5">
      <c r="A59" s="8">
        <v>1</v>
      </c>
      <c r="B59" s="8">
        <v>1.5</v>
      </c>
      <c r="C59" s="8">
        <f>A59^4-EXP(A59)+1</f>
        <v>-0.71828182845904509</v>
      </c>
      <c r="D59" s="8">
        <f>B59^4-EXP(B59)+1</f>
        <v>1.5808109296619355</v>
      </c>
      <c r="E59" s="8">
        <f>B59-(D59/(D59-C59))*(B59-A59)</f>
        <v>1.1562098410170472</v>
      </c>
    </row>
    <row r="60" spans="1:5">
      <c r="A60" s="8">
        <f>B59</f>
        <v>1.5</v>
      </c>
      <c r="B60" s="8">
        <f>E59</f>
        <v>1.1562098410170472</v>
      </c>
      <c r="C60" s="8">
        <f>A60^4-EXP(A60)+1</f>
        <v>1.5808109296619355</v>
      </c>
      <c r="D60" s="8">
        <f>B60^4-EXP(B60)+1</f>
        <v>-0.39077489380034813</v>
      </c>
      <c r="E60" s="8">
        <f>B60-(D60/(D60-C60))*(B60-A60)</f>
        <v>1.2243501985239027</v>
      </c>
    </row>
    <row r="61" spans="1:5">
      <c r="A61" s="8">
        <f t="shared" ref="A61:A66" si="14">B60</f>
        <v>1.1562098410170472</v>
      </c>
      <c r="B61" s="8">
        <f t="shared" ref="B61:B62" si="15">E60</f>
        <v>1.2243501985239027</v>
      </c>
      <c r="C61" s="8">
        <f t="shared" ref="C61:C62" si="16">A61^4-EXP(A61)+1</f>
        <v>-0.39077489380034813</v>
      </c>
      <c r="D61" s="8">
        <f t="shared" ref="D61:D62" si="17">B61^4-EXP(B61)+1</f>
        <v>-0.15485360900512912</v>
      </c>
      <c r="E61" s="8">
        <f t="shared" ref="E61:E62" si="18">B61-(D61/(D61-C61))*(B61-A61)</f>
        <v>1.2690760497246341</v>
      </c>
    </row>
    <row r="62" spans="1:5">
      <c r="A62" s="8">
        <f t="shared" si="14"/>
        <v>1.2243501985239027</v>
      </c>
      <c r="B62" s="8">
        <f t="shared" si="15"/>
        <v>1.2690760497246341</v>
      </c>
      <c r="C62" s="8">
        <f t="shared" si="16"/>
        <v>-0.15485360900512912</v>
      </c>
      <c r="D62" s="8">
        <f t="shared" si="17"/>
        <v>3.6320220185199314E-2</v>
      </c>
      <c r="E62" s="8">
        <f t="shared" si="18"/>
        <v>1.260578794789369</v>
      </c>
    </row>
    <row r="63" spans="1:5">
      <c r="A63" s="8">
        <f>B62</f>
        <v>1.2690760497246341</v>
      </c>
      <c r="B63" s="8">
        <f>E62</f>
        <v>1.260578794789369</v>
      </c>
      <c r="C63" s="8">
        <f>A63^4-EXP(A63)+1</f>
        <v>3.6320220185199314E-2</v>
      </c>
      <c r="D63" s="8">
        <f>B63^4-EXP(B63)+1</f>
        <v>-2.3543926725118069E-3</v>
      </c>
      <c r="E63" s="8">
        <f>B63-(D63/(D63-C63))*(B63-A63)</f>
        <v>1.2610960817969896</v>
      </c>
    </row>
    <row r="64" spans="1:5">
      <c r="A64" s="8">
        <f t="shared" si="14"/>
        <v>1.260578794789369</v>
      </c>
      <c r="B64" s="8">
        <f t="shared" ref="B64" si="19">E63</f>
        <v>1.2610960817969896</v>
      </c>
      <c r="C64" s="8">
        <f t="shared" ref="C64" si="20">A64^4-EXP(A64)+1</f>
        <v>-2.3543926725118069E-3</v>
      </c>
      <c r="D64" s="8">
        <f t="shared" ref="D64" si="21">B64^4-EXP(B64)+1</f>
        <v>-3.2242638435597826E-5</v>
      </c>
      <c r="E64" s="8">
        <f t="shared" ref="E64" si="22">B64-(D64/(D64-C64))*(B64-A64)</f>
        <v>1.2611032642346915</v>
      </c>
    </row>
    <row r="65" spans="1:5">
      <c r="A65" s="8">
        <f t="shared" si="14"/>
        <v>1.2610960817969896</v>
      </c>
      <c r="B65" s="8">
        <f t="shared" ref="B65:B66" si="23">E64</f>
        <v>1.2611032642346915</v>
      </c>
      <c r="C65" s="8">
        <f t="shared" ref="C65:C66" si="24">A65^4-EXP(A65)+1</f>
        <v>-3.2242638435597826E-5</v>
      </c>
      <c r="D65" s="8">
        <f t="shared" ref="D65:D66" si="25">B65^4-EXP(B65)+1</f>
        <v>2.9289176861624355E-8</v>
      </c>
      <c r="E65" s="8">
        <f t="shared" ref="E65:E66" si="26">B65-(D65/(D65-C65))*(B65-A65)</f>
        <v>1.2611032577160946</v>
      </c>
    </row>
    <row r="66" spans="1:5">
      <c r="A66" s="8">
        <f t="shared" si="14"/>
        <v>1.2611032642346915</v>
      </c>
      <c r="B66" s="8">
        <f t="shared" si="23"/>
        <v>1.2611032577160946</v>
      </c>
      <c r="C66" s="8">
        <f t="shared" si="24"/>
        <v>2.9289176861624355E-8</v>
      </c>
      <c r="D66" s="8">
        <f t="shared" si="25"/>
        <v>-3.6415315207705135E-13</v>
      </c>
      <c r="E66" s="8">
        <f t="shared" si="26"/>
        <v>1.2611032577161756</v>
      </c>
    </row>
    <row r="68" spans="1:5" ht="16">
      <c r="A68" s="15" t="s">
        <v>8</v>
      </c>
      <c r="B68" t="s">
        <v>0</v>
      </c>
      <c r="C68" t="s">
        <v>1</v>
      </c>
    </row>
    <row r="69" spans="1:5">
      <c r="B69" s="10">
        <v>-3</v>
      </c>
      <c r="C69" s="10">
        <f>B69^(2)*EXP(B69)-1</f>
        <v>-0.55191638468922455</v>
      </c>
    </row>
    <row r="70" spans="1:5">
      <c r="B70" s="10">
        <v>-2</v>
      </c>
      <c r="C70" s="10">
        <f t="shared" ref="C70:C77" si="27">B70^(2)*EXP(B70)-1</f>
        <v>-0.45865886705354919</v>
      </c>
    </row>
    <row r="71" spans="1:5">
      <c r="B71" s="10">
        <v>-1</v>
      </c>
      <c r="C71" s="10">
        <f t="shared" si="27"/>
        <v>-0.63212055882855767</v>
      </c>
    </row>
    <row r="72" spans="1:5">
      <c r="B72" s="10">
        <v>0</v>
      </c>
      <c r="C72" s="10">
        <f t="shared" si="27"/>
        <v>-1</v>
      </c>
    </row>
    <row r="73" spans="1:5">
      <c r="B73" s="10">
        <v>1</v>
      </c>
      <c r="C73" s="10">
        <f t="shared" si="27"/>
        <v>1.7182818284590451</v>
      </c>
    </row>
    <row r="74" spans="1:5">
      <c r="B74" s="10">
        <v>2</v>
      </c>
      <c r="C74" s="10">
        <f t="shared" si="27"/>
        <v>28.556224395722602</v>
      </c>
    </row>
    <row r="75" spans="1:5">
      <c r="B75" s="10">
        <v>3</v>
      </c>
      <c r="C75" s="10">
        <f t="shared" si="27"/>
        <v>179.76983230868902</v>
      </c>
    </row>
    <row r="76" spans="1:5">
      <c r="B76" s="10">
        <v>4</v>
      </c>
      <c r="C76" s="10">
        <f t="shared" si="27"/>
        <v>872.57040053030778</v>
      </c>
    </row>
    <row r="77" spans="1:5">
      <c r="B77" s="10">
        <v>5</v>
      </c>
      <c r="C77" s="10">
        <f t="shared" si="27"/>
        <v>3709.3289775644148</v>
      </c>
    </row>
    <row r="79" spans="1:5">
      <c r="A79" s="4" t="s">
        <v>9</v>
      </c>
      <c r="B79" s="4" t="s">
        <v>10</v>
      </c>
      <c r="C79" s="4" t="s">
        <v>11</v>
      </c>
      <c r="D79" s="4" t="s">
        <v>12</v>
      </c>
      <c r="E79" s="4" t="s">
        <v>15</v>
      </c>
    </row>
    <row r="80" spans="1:5">
      <c r="A80" s="8">
        <v>0</v>
      </c>
      <c r="B80" s="8">
        <v>1</v>
      </c>
      <c r="C80" s="8">
        <f>A80^2*(EXP(A80))-1</f>
        <v>-1</v>
      </c>
      <c r="D80" s="8">
        <f>B80^2*(EXP(B80))-1</f>
        <v>1.7182818284590451</v>
      </c>
      <c r="E80" s="8">
        <f>B80-(D80/(D80-C80))*(B80-A80)</f>
        <v>0.36787944117144233</v>
      </c>
    </row>
    <row r="81" spans="1:5">
      <c r="A81" s="8">
        <f>B80</f>
        <v>1</v>
      </c>
      <c r="B81" s="8">
        <f>E80</f>
        <v>0.36787944117144233</v>
      </c>
      <c r="C81" s="8">
        <f>A81^2*(EXP(A81))-1</f>
        <v>1.7182818284590451</v>
      </c>
      <c r="D81" s="8">
        <f>B81^2*(EXP(B81))-1</f>
        <v>-0.80448546584741187</v>
      </c>
      <c r="E81" s="8">
        <f>B81-(D81/(D81-C81))*(B81-A81)</f>
        <v>0.56945641713296113</v>
      </c>
    </row>
    <row r="82" spans="1:5">
      <c r="A82" s="8">
        <f t="shared" ref="A82:A88" si="28">B81</f>
        <v>0.36787944117144233</v>
      </c>
      <c r="B82" s="8">
        <f t="shared" ref="B82:B86" si="29">E81</f>
        <v>0.56945641713296113</v>
      </c>
      <c r="C82" s="8">
        <f t="shared" ref="C82:C86" si="30">A82^2*(EXP(A82))-1</f>
        <v>-0.80448546584741187</v>
      </c>
      <c r="D82" s="8">
        <f t="shared" ref="D82:D86" si="31">B82^2*(EXP(B82))-1</f>
        <v>-0.42689689384112528</v>
      </c>
      <c r="E82" s="8">
        <f t="shared" ref="E82:E86" si="32">B82-(D82/(D82-C82))*(B82-A82)</f>
        <v>0.79735681266301128</v>
      </c>
    </row>
    <row r="83" spans="1:5">
      <c r="A83" s="8">
        <f t="shared" si="28"/>
        <v>0.56945641713296113</v>
      </c>
      <c r="B83" s="8">
        <f t="shared" si="29"/>
        <v>0.79735681266301128</v>
      </c>
      <c r="C83" s="8">
        <f t="shared" si="30"/>
        <v>-0.42689689384112528</v>
      </c>
      <c r="D83" s="8">
        <f t="shared" si="31"/>
        <v>0.41121466950829633</v>
      </c>
      <c r="E83" s="8">
        <f t="shared" si="32"/>
        <v>0.68553878040227756</v>
      </c>
    </row>
    <row r="84" spans="1:5">
      <c r="A84" s="8">
        <f t="shared" si="28"/>
        <v>0.79735681266301128</v>
      </c>
      <c r="B84" s="8">
        <f t="shared" si="29"/>
        <v>0.68553878040227756</v>
      </c>
      <c r="C84" s="8">
        <f t="shared" si="30"/>
        <v>0.41121466950829633</v>
      </c>
      <c r="D84" s="8">
        <f t="shared" si="31"/>
        <v>-6.7197364376644586E-2</v>
      </c>
      <c r="E84" s="8">
        <f t="shared" si="32"/>
        <v>0.70124465008261894</v>
      </c>
    </row>
    <row r="85" spans="1:5">
      <c r="A85" s="8">
        <f t="shared" si="28"/>
        <v>0.68553878040227756</v>
      </c>
      <c r="B85" s="8">
        <f t="shared" si="29"/>
        <v>0.70124465008261894</v>
      </c>
      <c r="C85" s="8">
        <f t="shared" si="30"/>
        <v>-6.7197364376644586E-2</v>
      </c>
      <c r="D85" s="8">
        <f t="shared" si="31"/>
        <v>-8.5157860169428057E-3</v>
      </c>
      <c r="E85" s="8">
        <f t="shared" si="32"/>
        <v>0.70352386323854221</v>
      </c>
    </row>
    <row r="86" spans="1:5">
      <c r="A86" s="8">
        <f t="shared" si="28"/>
        <v>0.70124465008261894</v>
      </c>
      <c r="B86" s="8">
        <f t="shared" si="29"/>
        <v>0.70352386323854221</v>
      </c>
      <c r="C86" s="8">
        <f t="shared" si="30"/>
        <v>-8.5157860169428057E-3</v>
      </c>
      <c r="D86" s="8">
        <f t="shared" si="31"/>
        <v>2.1692223096891894E-4</v>
      </c>
      <c r="E86" s="8">
        <f t="shared" si="32"/>
        <v>0.70346724712489217</v>
      </c>
    </row>
    <row r="87" spans="1:5">
      <c r="A87" s="8">
        <f>B86</f>
        <v>0.70352386323854221</v>
      </c>
      <c r="B87" s="8">
        <f>E86</f>
        <v>0.70346724712489217</v>
      </c>
      <c r="C87" s="8">
        <f>A87^2*(EXP(A87))-1</f>
        <v>2.1692223096891894E-4</v>
      </c>
      <c r="D87" s="8">
        <f>B87^2*(EXP(B87))-1</f>
        <v>-6.7397069358765549E-7</v>
      </c>
      <c r="E87" s="8">
        <f>B87-(D87/(D87-C87))*(B87-A87)</f>
        <v>0.70346742248457717</v>
      </c>
    </row>
    <row r="88" spans="1:5">
      <c r="A88" s="8">
        <f t="shared" si="28"/>
        <v>0.70346724712489217</v>
      </c>
      <c r="B88" s="8">
        <f t="shared" ref="B88" si="33">E87</f>
        <v>0.70346742248457717</v>
      </c>
      <c r="C88" s="8">
        <f t="shared" ref="C88" si="34">A88^2*(EXP(A88))-1</f>
        <v>-6.7397069358765549E-7</v>
      </c>
      <c r="D88" s="8">
        <f t="shared" ref="D88" si="35">B88^2*(EXP(B88))-1</f>
        <v>-5.3089865836852823E-11</v>
      </c>
      <c r="E88" s="8">
        <f t="shared" ref="E88" si="36">B88-(D88/(D88-C88))*(B88-A88)</f>
        <v>0.70346742249839167</v>
      </c>
    </row>
    <row r="89" spans="1:5">
      <c r="A89" s="8">
        <f>B88</f>
        <v>0.70346742248457717</v>
      </c>
      <c r="B89" s="8">
        <f>E88</f>
        <v>0.70346742249839167</v>
      </c>
      <c r="C89" s="8">
        <f>A89^2*(EXP(A89))-1</f>
        <v>-5.3089865836852823E-11</v>
      </c>
      <c r="D89" s="8">
        <f>B89^2*(EXP(B89))-1</f>
        <v>0</v>
      </c>
      <c r="E89" s="8">
        <f>B89-(D89/(D89-C89))*(B89-A89)</f>
        <v>0.70346742249839167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4DFE-5DA1-433A-8673-3BED53250AD2}">
  <dimension ref="A2:E85"/>
  <sheetViews>
    <sheetView tabSelected="1" topLeftCell="A50" workbookViewId="0">
      <selection activeCell="N71" sqref="N71"/>
    </sheetView>
  </sheetViews>
  <sheetFormatPr baseColWidth="10" defaultColWidth="8.83203125" defaultRowHeight="15"/>
  <cols>
    <col min="1" max="1" width="21.83203125" customWidth="1"/>
    <col min="2" max="2" width="11.33203125" bestFit="1" customWidth="1"/>
    <col min="3" max="3" width="11.6640625" bestFit="1" customWidth="1"/>
    <col min="4" max="4" width="11.33203125" bestFit="1" customWidth="1"/>
  </cols>
  <sheetData>
    <row r="2" spans="1:4" ht="16">
      <c r="A2" s="15" t="s">
        <v>2</v>
      </c>
      <c r="B2" t="s">
        <v>0</v>
      </c>
      <c r="C2" t="s">
        <v>1</v>
      </c>
    </row>
    <row r="3" spans="1:4" ht="16">
      <c r="A3" s="15" t="s">
        <v>19</v>
      </c>
      <c r="B3" s="10">
        <v>-3</v>
      </c>
      <c r="C3" s="10">
        <f>B3-B3^(1/3)-2</f>
        <v>-3.5577504296925917</v>
      </c>
    </row>
    <row r="4" spans="1:4">
      <c r="B4" s="10">
        <v>-2</v>
      </c>
      <c r="C4" s="10">
        <f t="shared" ref="C4:C11" si="0">B4-B4^(1/3)-2</f>
        <v>-2.7400789501051266</v>
      </c>
    </row>
    <row r="5" spans="1:4">
      <c r="B5" s="10">
        <v>-1</v>
      </c>
      <c r="C5" s="10">
        <f t="shared" si="0"/>
        <v>-2</v>
      </c>
    </row>
    <row r="6" spans="1:4">
      <c r="B6" s="10">
        <v>0</v>
      </c>
      <c r="C6" s="10">
        <f t="shared" si="0"/>
        <v>-2</v>
      </c>
    </row>
    <row r="7" spans="1:4">
      <c r="B7" s="10">
        <v>1</v>
      </c>
      <c r="C7" s="10">
        <f t="shared" si="0"/>
        <v>-2</v>
      </c>
    </row>
    <row r="8" spans="1:4">
      <c r="B8" s="10">
        <v>2</v>
      </c>
      <c r="C8" s="10">
        <f t="shared" si="0"/>
        <v>-1.2599210498948732</v>
      </c>
    </row>
    <row r="9" spans="1:4">
      <c r="B9" s="10">
        <v>3</v>
      </c>
      <c r="C9" s="10">
        <f t="shared" si="0"/>
        <v>-0.4422495703074083</v>
      </c>
    </row>
    <row r="10" spans="1:4">
      <c r="B10" s="10">
        <v>4</v>
      </c>
      <c r="C10" s="10">
        <f t="shared" si="0"/>
        <v>0.41259894803180064</v>
      </c>
    </row>
    <row r="11" spans="1:4">
      <c r="B11" s="10">
        <v>5</v>
      </c>
      <c r="C11" s="10">
        <f t="shared" si="0"/>
        <v>1.2900240533233029</v>
      </c>
    </row>
    <row r="13" spans="1:4">
      <c r="A13" s="4" t="s">
        <v>16</v>
      </c>
      <c r="B13" s="4" t="s">
        <v>1</v>
      </c>
      <c r="C13" s="4" t="s">
        <v>17</v>
      </c>
      <c r="D13" s="4" t="s">
        <v>18</v>
      </c>
    </row>
    <row r="14" spans="1:4">
      <c r="A14" s="8">
        <v>3.5</v>
      </c>
      <c r="B14" s="8">
        <f>A14-A14^(1/3)-2</f>
        <v>-1.829448593783134E-2</v>
      </c>
      <c r="C14" s="8">
        <f>1-(1/3)*A14^(-2/3)</f>
        <v>0.85540052514877796</v>
      </c>
      <c r="D14" s="8">
        <f>A14-(B14/C14)</f>
        <v>3.5213870408071699</v>
      </c>
    </row>
    <row r="15" spans="1:4">
      <c r="A15" s="8">
        <v>3.5</v>
      </c>
      <c r="B15" s="8">
        <f>A15-A15^(1/3)-2</f>
        <v>-1.829448593783134E-2</v>
      </c>
      <c r="C15" s="8">
        <f>1-(1/3)*A15^(-2/3)</f>
        <v>0.85540052514877796</v>
      </c>
      <c r="D15" s="8">
        <f>A15-(B15/C15)</f>
        <v>3.5213870408071699</v>
      </c>
    </row>
    <row r="16" spans="1:4">
      <c r="A16" s="8">
        <v>3.5</v>
      </c>
      <c r="B16" s="8">
        <f t="shared" ref="B16:B18" si="1">A16-A16^(1/3)-2</f>
        <v>-1.829448593783134E-2</v>
      </c>
      <c r="C16" s="8">
        <f t="shared" ref="C16:C18" si="2">1-(1/3)*A16^(-2/3)</f>
        <v>0.85540052514877796</v>
      </c>
      <c r="D16" s="8">
        <f t="shared" ref="D16:D18" si="3">A16-(B16/C16)</f>
        <v>3.5213870408071699</v>
      </c>
    </row>
    <row r="17" spans="1:4">
      <c r="A17" s="8">
        <v>3.5</v>
      </c>
      <c r="B17" s="8">
        <f t="shared" si="1"/>
        <v>-1.829448593783134E-2</v>
      </c>
      <c r="C17" s="8">
        <f t="shared" si="2"/>
        <v>0.85540052514877796</v>
      </c>
      <c r="D17" s="8">
        <f t="shared" si="3"/>
        <v>3.5213870408071699</v>
      </c>
    </row>
    <row r="18" spans="1:4">
      <c r="A18" s="8">
        <v>3.5</v>
      </c>
      <c r="B18" s="8">
        <f t="shared" si="1"/>
        <v>-1.829448593783134E-2</v>
      </c>
      <c r="C18" s="8">
        <f t="shared" si="2"/>
        <v>0.85540052514877796</v>
      </c>
      <c r="D18" s="8">
        <f t="shared" si="3"/>
        <v>3.5213870408071699</v>
      </c>
    </row>
    <row r="19" spans="1:4">
      <c r="A19" s="8">
        <v>3.5</v>
      </c>
      <c r="B19" s="8">
        <f>A19-A19^(1/3)-2</f>
        <v>-1.829448593783134E-2</v>
      </c>
      <c r="C19" s="8">
        <f>1-(1/3)*A19^(-2/3)</f>
        <v>0.85540052514877796</v>
      </c>
      <c r="D19" s="8">
        <f>A19-(B19/C19)</f>
        <v>3.5213870408071699</v>
      </c>
    </row>
    <row r="21" spans="1:4" ht="16">
      <c r="A21" s="15" t="s">
        <v>6</v>
      </c>
      <c r="B21" t="s">
        <v>0</v>
      </c>
      <c r="C21" t="s">
        <v>1</v>
      </c>
    </row>
    <row r="22" spans="1:4" ht="16">
      <c r="A22" s="15" t="s">
        <v>20</v>
      </c>
      <c r="B22" s="14">
        <v>-10</v>
      </c>
      <c r="C22" s="10">
        <f>B22*TAN(B22)-1</f>
        <v>5.4836082745908659</v>
      </c>
    </row>
    <row r="23" spans="1:4">
      <c r="B23" s="14">
        <v>-8</v>
      </c>
      <c r="C23" s="10">
        <f t="shared" ref="C23:C32" si="4">B23*TAN(B23)-1</f>
        <v>-55.397691641763032</v>
      </c>
    </row>
    <row r="24" spans="1:4">
      <c r="B24" s="14">
        <v>-6</v>
      </c>
      <c r="C24" s="10">
        <f t="shared" si="4"/>
        <v>-2.7460371483084947</v>
      </c>
    </row>
    <row r="25" spans="1:4">
      <c r="B25" s="14">
        <v>-4</v>
      </c>
      <c r="C25" s="10">
        <f t="shared" si="4"/>
        <v>3.6312851293983099</v>
      </c>
    </row>
    <row r="26" spans="1:4">
      <c r="B26" s="14">
        <v>-2</v>
      </c>
      <c r="C26" s="10">
        <f t="shared" si="4"/>
        <v>-5.3700797265230378</v>
      </c>
    </row>
    <row r="27" spans="1:4">
      <c r="B27" s="14">
        <v>0</v>
      </c>
      <c r="C27" s="10">
        <f t="shared" si="4"/>
        <v>-1</v>
      </c>
    </row>
    <row r="28" spans="1:4">
      <c r="B28" s="14">
        <v>2</v>
      </c>
      <c r="C28" s="10">
        <f t="shared" si="4"/>
        <v>-5.3700797265230378</v>
      </c>
    </row>
    <row r="29" spans="1:4">
      <c r="B29" s="14">
        <v>4</v>
      </c>
      <c r="C29" s="10">
        <f t="shared" si="4"/>
        <v>3.6312851293983099</v>
      </c>
    </row>
    <row r="30" spans="1:4">
      <c r="B30" s="14">
        <v>6</v>
      </c>
      <c r="C30" s="10">
        <f t="shared" si="4"/>
        <v>-2.7460371483084947</v>
      </c>
    </row>
    <row r="31" spans="1:4">
      <c r="B31" s="14">
        <v>8</v>
      </c>
      <c r="C31" s="10">
        <f t="shared" si="4"/>
        <v>-55.397691641763032</v>
      </c>
    </row>
    <row r="32" spans="1:4">
      <c r="B32" s="14">
        <v>10</v>
      </c>
      <c r="C32" s="10">
        <f t="shared" si="4"/>
        <v>5.4836082745908659</v>
      </c>
    </row>
    <row r="34" spans="1:5">
      <c r="A34" s="4" t="s">
        <v>16</v>
      </c>
      <c r="B34" s="4" t="s">
        <v>1</v>
      </c>
      <c r="C34" s="4" t="s">
        <v>17</v>
      </c>
      <c r="D34" s="4" t="s">
        <v>18</v>
      </c>
    </row>
    <row r="35" spans="1:5">
      <c r="A35" s="8">
        <v>9</v>
      </c>
      <c r="B35" s="8">
        <f>A35*TAN(A35)-1</f>
        <v>-5.0708409349762888</v>
      </c>
      <c r="C35" s="8">
        <f>TAN(A35)+A35*(_xlfn.SEC(12))^2</f>
        <v>12.186544980455785</v>
      </c>
      <c r="D35" s="8">
        <f>A35-(B35/C35)</f>
        <v>9.4161016057552551</v>
      </c>
    </row>
    <row r="36" spans="1:5">
      <c r="A36" s="8">
        <f>D35</f>
        <v>9.4161016057552551</v>
      </c>
      <c r="B36" s="8">
        <f>A36*TAN(A36)-1</f>
        <v>-1.0816994904799173</v>
      </c>
      <c r="C36" s="8">
        <f>TAN(A36)+A36*(_xlfn.SEC(12))^2</f>
        <v>13.214522979069441</v>
      </c>
      <c r="D36" s="8">
        <f>A36-(B36/C36)</f>
        <v>9.4979584758211075</v>
      </c>
    </row>
    <row r="37" spans="1:5">
      <c r="A37" s="8">
        <f t="shared" ref="A37:A41" si="5">D36</f>
        <v>9.4979584758211075</v>
      </c>
      <c r="B37" s="8">
        <f t="shared" ref="B37:B43" si="6">A37*TAN(A37)-1</f>
        <v>-0.30369106132819068</v>
      </c>
      <c r="C37" s="8">
        <f t="shared" ref="C37:C41" si="7">TAN(A37)+A37*(_xlfn.SEC(12))^2</f>
        <v>13.411464047675457</v>
      </c>
      <c r="D37" s="8">
        <f t="shared" ref="D37:D41" si="8">A37-(B37/C37)</f>
        <v>9.520602615211752</v>
      </c>
    </row>
    <row r="38" spans="1:5">
      <c r="A38" s="8">
        <f t="shared" si="5"/>
        <v>9.520602615211752</v>
      </c>
      <c r="B38" s="8">
        <f t="shared" si="6"/>
        <v>-8.4888866886919212E-2</v>
      </c>
      <c r="C38" s="8">
        <f t="shared" si="7"/>
        <v>13.466071219309315</v>
      </c>
      <c r="D38" s="8">
        <f t="shared" si="8"/>
        <v>9.5269065226769971</v>
      </c>
      <c r="E38" s="3"/>
    </row>
    <row r="39" spans="1:5">
      <c r="A39" s="8">
        <f t="shared" si="5"/>
        <v>9.5269065226769971</v>
      </c>
      <c r="B39" s="8">
        <f t="shared" si="6"/>
        <v>-2.3633795670657487E-2</v>
      </c>
      <c r="C39" s="8">
        <f t="shared" si="7"/>
        <v>13.481289999224332</v>
      </c>
      <c r="D39" s="8">
        <f t="shared" si="8"/>
        <v>9.5286596038489044</v>
      </c>
    </row>
    <row r="40" spans="1:5">
      <c r="A40" s="8">
        <f t="shared" si="5"/>
        <v>9.5286596038489044</v>
      </c>
      <c r="B40" s="8">
        <f t="shared" si="6"/>
        <v>-6.5711157424444E-3</v>
      </c>
      <c r="C40" s="8">
        <f t="shared" si="7"/>
        <v>13.48552369668773</v>
      </c>
      <c r="D40" s="8">
        <f t="shared" si="8"/>
        <v>9.5291468756738809</v>
      </c>
    </row>
    <row r="41" spans="1:5">
      <c r="A41" s="8">
        <f t="shared" si="5"/>
        <v>9.5291468756738809</v>
      </c>
      <c r="B41" s="8">
        <f t="shared" si="6"/>
        <v>-1.8263204241349973E-3</v>
      </c>
      <c r="C41" s="8">
        <f t="shared" si="7"/>
        <v>13.486700574502885</v>
      </c>
      <c r="D41" s="8">
        <f t="shared" si="8"/>
        <v>9.5292822920727289</v>
      </c>
    </row>
    <row r="42" spans="1:5">
      <c r="A42" s="8">
        <f>D41</f>
        <v>9.5292822920727289</v>
      </c>
      <c r="B42" s="8">
        <f>A42*TAN(A42)-1</f>
        <v>-5.0753691495108999E-4</v>
      </c>
      <c r="C42" s="8">
        <f>TAN(A42)+A42*(_xlfn.SEC(12))^2</f>
        <v>13.487027646362097</v>
      </c>
      <c r="D42" s="8">
        <f>A42-(B42/C42)</f>
        <v>9.5293199235604273</v>
      </c>
    </row>
    <row r="43" spans="1:5">
      <c r="A43" s="8">
        <f t="shared" ref="A43" si="9">D42</f>
        <v>9.5293199235604273</v>
      </c>
      <c r="B43" s="8">
        <f t="shared" si="6"/>
        <v>-1.4104092069711083E-4</v>
      </c>
      <c r="C43" s="8">
        <f t="shared" ref="C43" si="10">TAN(A43)+A43*(_xlfn.SEC(12))^2</f>
        <v>13.487118538560024</v>
      </c>
      <c r="D43" s="8">
        <f t="shared" ref="D43" si="11">A43-(B43/C43)</f>
        <v>9.5293303810143524</v>
      </c>
    </row>
    <row r="45" spans="1:5" ht="16">
      <c r="A45" s="15" t="s">
        <v>7</v>
      </c>
      <c r="B45" t="s">
        <v>0</v>
      </c>
      <c r="C45" t="s">
        <v>1</v>
      </c>
    </row>
    <row r="46" spans="1:5" ht="16">
      <c r="A46" s="15" t="s">
        <v>21</v>
      </c>
      <c r="B46" s="10">
        <v>-5</v>
      </c>
      <c r="C46" s="10">
        <f>B46^4-EXP(B46)+1</f>
        <v>625.99326205300088</v>
      </c>
    </row>
    <row r="47" spans="1:5">
      <c r="B47" s="10">
        <v>-4</v>
      </c>
      <c r="C47" s="10">
        <f t="shared" ref="C47:C56" si="12">B47^4-EXP(B47)+1</f>
        <v>256.98168436111126</v>
      </c>
    </row>
    <row r="48" spans="1:5">
      <c r="B48" s="10">
        <v>-3</v>
      </c>
      <c r="C48" s="10">
        <f t="shared" si="12"/>
        <v>81.950212931632137</v>
      </c>
    </row>
    <row r="49" spans="1:4">
      <c r="B49" s="10">
        <v>-2</v>
      </c>
      <c r="C49" s="10">
        <f t="shared" si="12"/>
        <v>16.864664716763386</v>
      </c>
    </row>
    <row r="50" spans="1:4">
      <c r="B50" s="10">
        <v>-1</v>
      </c>
      <c r="C50" s="10">
        <f t="shared" si="12"/>
        <v>1.6321205588285577</v>
      </c>
    </row>
    <row r="51" spans="1:4">
      <c r="B51" s="10">
        <v>0</v>
      </c>
      <c r="C51" s="10">
        <f t="shared" si="12"/>
        <v>0</v>
      </c>
    </row>
    <row r="52" spans="1:4">
      <c r="B52" s="10">
        <v>1</v>
      </c>
      <c r="C52" s="10">
        <f t="shared" si="12"/>
        <v>-0.71828182845904509</v>
      </c>
    </row>
    <row r="53" spans="1:4">
      <c r="B53" s="10">
        <v>2</v>
      </c>
      <c r="C53" s="10">
        <f t="shared" si="12"/>
        <v>9.6109439010693496</v>
      </c>
    </row>
    <row r="54" spans="1:4">
      <c r="B54" s="10">
        <v>3</v>
      </c>
      <c r="C54" s="10">
        <f t="shared" si="12"/>
        <v>61.914463076812332</v>
      </c>
    </row>
    <row r="55" spans="1:4">
      <c r="B55" s="10">
        <v>4</v>
      </c>
      <c r="C55" s="10">
        <f t="shared" si="12"/>
        <v>202.40184996685576</v>
      </c>
    </row>
    <row r="56" spans="1:4">
      <c r="B56" s="10">
        <v>5</v>
      </c>
      <c r="C56" s="10">
        <f t="shared" si="12"/>
        <v>477.58684089742337</v>
      </c>
    </row>
    <row r="58" spans="1:4">
      <c r="A58" s="4" t="s">
        <v>16</v>
      </c>
      <c r="B58" s="4" t="s">
        <v>1</v>
      </c>
      <c r="C58" s="4" t="s">
        <v>17</v>
      </c>
      <c r="D58" s="4" t="s">
        <v>18</v>
      </c>
    </row>
    <row r="59" spans="1:4">
      <c r="A59" s="8">
        <v>1</v>
      </c>
      <c r="B59" s="8">
        <f>A59^4-EXP(A59)+1</f>
        <v>-0.71828182845904509</v>
      </c>
      <c r="C59" s="8">
        <f>4*A59^3-EXP(A59)</f>
        <v>1.2817181715409549</v>
      </c>
      <c r="D59" s="8">
        <f>A59-(B59/C59)</f>
        <v>1.5604054342113958</v>
      </c>
    </row>
    <row r="60" spans="1:4">
      <c r="A60" s="8">
        <f>D59</f>
        <v>1.5604054342113958</v>
      </c>
      <c r="B60" s="8">
        <f>A60^4-EXP(A60)+1</f>
        <v>2.1678171230404333</v>
      </c>
      <c r="C60" s="8">
        <f>4*A60^3-EXP(A60)</f>
        <v>10.43675602851482</v>
      </c>
      <c r="D60" s="8">
        <f>A60-(B60/C60)</f>
        <v>1.3526955752171237</v>
      </c>
    </row>
    <row r="61" spans="1:4">
      <c r="A61" s="8">
        <f t="shared" ref="A61:A63" si="13">D60</f>
        <v>1.3526955752171237</v>
      </c>
      <c r="B61" s="8">
        <f t="shared" ref="B61:B63" si="14">A61^4-EXP(A61)+1</f>
        <v>0.48027677617413111</v>
      </c>
      <c r="C61" s="8">
        <f t="shared" ref="C61:C63" si="15">4*A61^3-EXP(A61)</f>
        <v>6.0327324813516441</v>
      </c>
      <c r="D61" s="8">
        <f t="shared" ref="D61:D63" si="16">A61-(B61/C61)</f>
        <v>1.2730837612242505</v>
      </c>
    </row>
    <row r="62" spans="1:4">
      <c r="A62" s="8">
        <f t="shared" si="13"/>
        <v>1.2730837612242505</v>
      </c>
      <c r="B62" s="8">
        <f t="shared" si="14"/>
        <v>5.4955153433588588E-2</v>
      </c>
      <c r="C62" s="8">
        <f t="shared" si="15"/>
        <v>4.6815122951517161</v>
      </c>
      <c r="D62" s="8">
        <f t="shared" si="16"/>
        <v>1.261345000334847</v>
      </c>
    </row>
    <row r="63" spans="1:4">
      <c r="A63" s="8">
        <f t="shared" si="13"/>
        <v>1.261345000334847</v>
      </c>
      <c r="B63" s="8">
        <f t="shared" si="14"/>
        <v>1.0866592168223832E-3</v>
      </c>
      <c r="C63" s="8">
        <f t="shared" si="15"/>
        <v>4.49698886191754</v>
      </c>
      <c r="D63" s="8">
        <f t="shared" si="16"/>
        <v>1.2611033588164469</v>
      </c>
    </row>
    <row r="64" spans="1:4">
      <c r="A64" s="8">
        <f>D63</f>
        <v>1.2611033588164469</v>
      </c>
      <c r="B64" s="8">
        <f>A64^4-EXP(A64)+1</f>
        <v>4.5426662031999854E-7</v>
      </c>
      <c r="C64" s="8">
        <f>4*A64^3-EXP(A64)</f>
        <v>4.4932292829951894</v>
      </c>
      <c r="D64" s="8">
        <f>A64-(B64/C64)</f>
        <v>1.2611032577161931</v>
      </c>
    </row>
    <row r="65" spans="1:4">
      <c r="A65" s="8">
        <f>D64</f>
        <v>1.2611032577161931</v>
      </c>
      <c r="B65" s="8">
        <f>A65^4-EXP(A65)+1</f>
        <v>7.8603790143461083E-14</v>
      </c>
      <c r="C65" s="8">
        <f>4*A65^3-EXP(A65)</f>
        <v>4.4932277103539118</v>
      </c>
      <c r="D65" s="8">
        <f>A65-(B65/C65)</f>
        <v>1.2611032577161756</v>
      </c>
    </row>
    <row r="67" spans="1:4" ht="16">
      <c r="A67" s="15" t="s">
        <v>8</v>
      </c>
      <c r="B67" t="s">
        <v>0</v>
      </c>
      <c r="C67" t="s">
        <v>1</v>
      </c>
    </row>
    <row r="68" spans="1:4" ht="16">
      <c r="A68" s="15" t="s">
        <v>22</v>
      </c>
      <c r="B68" s="10">
        <v>-3</v>
      </c>
      <c r="C68" s="10">
        <f>B68^(2)*EXP(B68)-1</f>
        <v>-0.55191638468922455</v>
      </c>
    </row>
    <row r="69" spans="1:4">
      <c r="B69" s="10">
        <v>-2</v>
      </c>
      <c r="C69" s="10">
        <f t="shared" ref="C69:C76" si="17">B69^(2)*EXP(B69)-1</f>
        <v>-0.45865886705354919</v>
      </c>
    </row>
    <row r="70" spans="1:4">
      <c r="B70" s="10">
        <v>-1</v>
      </c>
      <c r="C70" s="10">
        <f t="shared" si="17"/>
        <v>-0.63212055882855767</v>
      </c>
    </row>
    <row r="71" spans="1:4">
      <c r="B71" s="10">
        <v>0</v>
      </c>
      <c r="C71" s="10">
        <f t="shared" si="17"/>
        <v>-1</v>
      </c>
    </row>
    <row r="72" spans="1:4">
      <c r="B72" s="10">
        <v>1</v>
      </c>
      <c r="C72" s="10">
        <f t="shared" si="17"/>
        <v>1.7182818284590451</v>
      </c>
    </row>
    <row r="73" spans="1:4">
      <c r="B73" s="10">
        <v>2</v>
      </c>
      <c r="C73" s="10">
        <f t="shared" si="17"/>
        <v>28.556224395722602</v>
      </c>
    </row>
    <row r="74" spans="1:4">
      <c r="B74" s="10">
        <v>3</v>
      </c>
      <c r="C74" s="10">
        <f t="shared" si="17"/>
        <v>179.76983230868902</v>
      </c>
    </row>
    <row r="75" spans="1:4">
      <c r="B75" s="10">
        <v>4</v>
      </c>
      <c r="C75" s="10">
        <f t="shared" si="17"/>
        <v>872.57040053030778</v>
      </c>
    </row>
    <row r="76" spans="1:4">
      <c r="B76" s="10">
        <v>5</v>
      </c>
      <c r="C76" s="10">
        <f t="shared" si="17"/>
        <v>3709.3289775644148</v>
      </c>
    </row>
    <row r="78" spans="1:4">
      <c r="A78" s="4" t="s">
        <v>16</v>
      </c>
      <c r="B78" s="4" t="s">
        <v>1</v>
      </c>
      <c r="C78" s="4" t="s">
        <v>17</v>
      </c>
      <c r="D78" s="4" t="s">
        <v>18</v>
      </c>
    </row>
    <row r="79" spans="1:4">
      <c r="A79" s="8">
        <v>2</v>
      </c>
      <c r="B79" s="8">
        <f>A79^2*EXP(A79)-1</f>
        <v>28.556224395722602</v>
      </c>
      <c r="C79" s="8">
        <f>2*A79*EXP(A79)+A79^2*EXP(A79)</f>
        <v>59.112448791445203</v>
      </c>
      <c r="D79" s="8">
        <f>A79-(B79/C79)</f>
        <v>1.5169169104045765</v>
      </c>
    </row>
    <row r="80" spans="1:4">
      <c r="A80" s="8">
        <f>D79</f>
        <v>1.5169169104045765</v>
      </c>
      <c r="B80" s="8">
        <f>A80^2*EXP(A80)-1</f>
        <v>9.488472149493143</v>
      </c>
      <c r="C80" s="8">
        <f>2*A80*EXP(A80)+A80^2*EXP(A80)</f>
        <v>24.317142760984666</v>
      </c>
      <c r="D80" s="8">
        <f>A80-(B80/C80)</f>
        <v>1.1267200750791369</v>
      </c>
    </row>
    <row r="81" spans="1:4">
      <c r="A81" s="8">
        <f t="shared" ref="A81:A84" si="18">D80</f>
        <v>1.1267200750791369</v>
      </c>
      <c r="B81" s="8">
        <f t="shared" ref="B81:B84" si="19">A81^2*EXP(A81)-1</f>
        <v>2.9170613706062967</v>
      </c>
      <c r="C81" s="8">
        <f t="shared" ref="C81:C84" si="20">2*A81*EXP(A81)+A81^2*EXP(A81)</f>
        <v>10.870095149348858</v>
      </c>
      <c r="D81" s="8">
        <f t="shared" ref="D81:D84" si="21">A81-(B81/C81)</f>
        <v>0.85836351236946862</v>
      </c>
    </row>
    <row r="82" spans="1:4">
      <c r="A82" s="8">
        <f t="shared" si="18"/>
        <v>0.85836351236946862</v>
      </c>
      <c r="B82" s="8">
        <f t="shared" si="19"/>
        <v>0.73830121327696285</v>
      </c>
      <c r="C82" s="8">
        <f t="shared" si="20"/>
        <v>5.7885693997204228</v>
      </c>
      <c r="D82" s="8">
        <f t="shared" si="21"/>
        <v>0.73081883555992366</v>
      </c>
    </row>
    <row r="83" spans="1:4">
      <c r="A83" s="8">
        <f t="shared" si="18"/>
        <v>0.73081883555992366</v>
      </c>
      <c r="B83" s="8">
        <f t="shared" si="19"/>
        <v>0.10920048689745299</v>
      </c>
      <c r="C83" s="8">
        <f t="shared" si="20"/>
        <v>4.1447010321115858</v>
      </c>
      <c r="D83" s="8">
        <f t="shared" si="21"/>
        <v>0.7044718237847899</v>
      </c>
    </row>
    <row r="84" spans="1:4">
      <c r="A84" s="8">
        <f t="shared" si="18"/>
        <v>0.7044718237847899</v>
      </c>
      <c r="B84" s="8">
        <f t="shared" si="19"/>
        <v>3.8653890637050381E-3</v>
      </c>
      <c r="C84" s="8">
        <f t="shared" si="20"/>
        <v>3.8538456300630308</v>
      </c>
      <c r="D84" s="8">
        <f t="shared" si="21"/>
        <v>0.70346882848224013</v>
      </c>
    </row>
    <row r="85" spans="1:4">
      <c r="A85" s="8">
        <f>D84</f>
        <v>0.70346882848224013</v>
      </c>
      <c r="B85" s="8">
        <f>A85^2*EXP(A85)-1</f>
        <v>5.4032907115253437E-6</v>
      </c>
      <c r="C85" s="8">
        <f>2*A85*EXP(A85)+A85^2*EXP(A85)</f>
        <v>3.8430749546402998</v>
      </c>
      <c r="D85" s="8">
        <f>A85-(B85/C85)</f>
        <v>0.70346742250115069</v>
      </c>
    </row>
  </sheetData>
  <phoneticPr fontId="2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4097" r:id="rId3">
          <objectPr defaultSize="0" autoPict="0" r:id="rId4">
            <anchor moveWithCells="1" sizeWithCells="1">
              <from>
                <xdr:col>10</xdr:col>
                <xdr:colOff>342900</xdr:colOff>
                <xdr:row>13</xdr:row>
                <xdr:rowOff>12700</xdr:rowOff>
              </from>
              <to>
                <xdr:col>14</xdr:col>
                <xdr:colOff>25400</xdr:colOff>
                <xdr:row>18</xdr:row>
                <xdr:rowOff>114300</xdr:rowOff>
              </to>
            </anchor>
          </objectPr>
        </oleObject>
      </mc:Choice>
      <mc:Fallback>
        <oleObject shapeId="4097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 1.1</vt:lpstr>
      <vt:lpstr>E 1.2</vt:lpstr>
      <vt:lpstr>E 1.3</vt:lpstr>
      <vt:lpstr>E 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27jos</dc:creator>
  <cp:lastModifiedBy>Zhen Luo</cp:lastModifiedBy>
  <dcterms:created xsi:type="dcterms:W3CDTF">2019-09-03T23:55:34Z</dcterms:created>
  <dcterms:modified xsi:type="dcterms:W3CDTF">2020-05-13T00:41:47Z</dcterms:modified>
</cp:coreProperties>
</file>