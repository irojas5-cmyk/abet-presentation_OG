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weak/exam1/"/>
    </mc:Choice>
  </mc:AlternateContent>
  <xr:revisionPtr revIDLastSave="0" documentId="13_ncr:1_{4F011907-A852-2341-A690-FA9828AB14E4}" xr6:coauthVersionLast="41" xr6:coauthVersionMax="45" xr10:uidLastSave="{00000000-0000-0000-0000-000000000000}"/>
  <bookViews>
    <workbookView xWindow="3160" yWindow="2040" windowWidth="21000" windowHeight="13320" xr2:uid="{3E584326-33CC-4306-9499-D8807904A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" l="1"/>
  <c r="B16" i="1" s="1"/>
  <c r="C16" i="1" s="1"/>
  <c r="C15" i="1"/>
  <c r="B9" i="1"/>
  <c r="C12" i="1"/>
  <c r="C9" i="1"/>
  <c r="D9" i="1"/>
  <c r="E9" i="1"/>
  <c r="C7" i="1"/>
  <c r="D7" i="1"/>
  <c r="E7" i="1"/>
  <c r="B7" i="1"/>
  <c r="D6" i="1"/>
  <c r="E6" i="1"/>
  <c r="C6" i="1"/>
  <c r="B6" i="1"/>
  <c r="D16" i="1" l="1"/>
  <c r="B17" i="1" s="1"/>
  <c r="D17" i="1" l="1"/>
  <c r="C17" i="1"/>
  <c r="B18" i="1" s="1"/>
  <c r="C18" i="1" l="1"/>
  <c r="D18" i="1"/>
</calcChain>
</file>

<file path=xl/sharedStrings.xml><?xml version="1.0" encoding="utf-8"?>
<sst xmlns="http://schemas.openxmlformats.org/spreadsheetml/2006/main" count="18" uniqueCount="15">
  <si>
    <t>log10(Pi) = Ai − Bi Ci + T</t>
  </si>
  <si>
    <t>f(α) = X 4 i=1 zi(1 − ki) 1 + α(ki − 1) = 0.</t>
  </si>
  <si>
    <t>A</t>
  </si>
  <si>
    <t>B</t>
  </si>
  <si>
    <t>C</t>
  </si>
  <si>
    <t>z</t>
  </si>
  <si>
    <t>Antoine Coefficient</t>
  </si>
  <si>
    <t>Kelvin</t>
  </si>
  <si>
    <t>ki</t>
  </si>
  <si>
    <t>f(alpha)</t>
  </si>
  <si>
    <t>aplha</t>
  </si>
  <si>
    <t>Goal Seek</t>
  </si>
  <si>
    <t>alpha</t>
  </si>
  <si>
    <t>Newtons Method</t>
  </si>
  <si>
    <t>f'(alpha)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</si>
</sst>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533844</xdr:colOff>
      <xdr:row>22</xdr:row>
      <xdr:rowOff>58235</xdr:rowOff>
    </xdr:from>
    <xdr:ext cx="9536842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D0FE6A-C9E8-6047-82F3-BB42F71D9F3A}"/>
            </a:ext>
          </a:extLst>
        </xdr:cNvPr>
        <xdr:cNvSpPr/>
      </xdr:nvSpPr>
      <xdr:spPr>
        <a:xfrm>
          <a:off x="1981644" y="4249235"/>
          <a:ext cx="9536842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5/10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The</a:t>
          </a:r>
          <a:r>
            <a:rPr lang="en-US" altLang="zh-CN" sz="25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methods are not correct for both Goal seek and Newton's method</a:t>
          </a:r>
          <a:endParaRPr lang="en-US" altLang="zh-CN" sz="25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B491-1A88-40A4-91B5-C9BFFFF2C148}">
  <dimension ref="A1:K18"/>
  <sheetViews>
    <sheetView tabSelected="1" workbookViewId="0">
      <selection activeCell="J17" sqref="J17"/>
    </sheetView>
  </sheetViews>
  <sheetFormatPr baseColWidth="10" defaultColWidth="8.83203125" defaultRowHeight="15"/>
  <cols>
    <col min="1" max="1" width="19" customWidth="1"/>
  </cols>
  <sheetData>
    <row r="1" spans="1:11">
      <c r="A1" t="s">
        <v>2</v>
      </c>
      <c r="B1">
        <v>3.867</v>
      </c>
      <c r="C1">
        <v>3.9329999999999998</v>
      </c>
      <c r="D1">
        <v>3.9769999999999999</v>
      </c>
      <c r="E1">
        <v>3.8439999999999999</v>
      </c>
    </row>
    <row r="2" spans="1:11">
      <c r="A2" t="s">
        <v>3</v>
      </c>
      <c r="B2">
        <v>584.14599999999996</v>
      </c>
      <c r="C2">
        <v>659.73900000000003</v>
      </c>
      <c r="D2">
        <v>819.29600000000005</v>
      </c>
      <c r="E2">
        <v>909.65</v>
      </c>
    </row>
    <row r="3" spans="1:11">
      <c r="A3" t="s">
        <v>4</v>
      </c>
      <c r="B3">
        <v>-18.306999999999999</v>
      </c>
      <c r="C3">
        <v>-16.719000000000001</v>
      </c>
      <c r="D3">
        <v>-24.417000000000002</v>
      </c>
      <c r="E3">
        <v>-36.146000000000001</v>
      </c>
    </row>
    <row r="4" spans="1:11">
      <c r="A4" t="s">
        <v>5</v>
      </c>
      <c r="B4">
        <v>0.1</v>
      </c>
      <c r="C4">
        <v>0.3</v>
      </c>
      <c r="D4">
        <v>0.4</v>
      </c>
      <c r="E4">
        <v>0.2</v>
      </c>
    </row>
    <row r="5" spans="1:11">
      <c r="A5" t="s">
        <v>7</v>
      </c>
      <c r="B5">
        <v>273</v>
      </c>
      <c r="K5" t="s">
        <v>0</v>
      </c>
    </row>
    <row r="6" spans="1:11">
      <c r="A6" t="s">
        <v>6</v>
      </c>
      <c r="B6">
        <f>B1-(B2/(B3+B5))</f>
        <v>1.5734701424852666</v>
      </c>
      <c r="C6">
        <f>C1-(C2/(C3+C5))</f>
        <v>43.393434236497399</v>
      </c>
      <c r="D6">
        <f>D1-(D2/(D3+D5))</f>
        <v>37.531326903386983</v>
      </c>
      <c r="E6">
        <f>E1-(E2/(E3+E5))</f>
        <v>29.009993470923476</v>
      </c>
    </row>
    <row r="7" spans="1:11">
      <c r="A7" t="s">
        <v>8</v>
      </c>
      <c r="B7">
        <f>B6/18</f>
        <v>8.741500791584815E-2</v>
      </c>
      <c r="C7">
        <f t="shared" ref="C7:E7" si="0">C6/18</f>
        <v>2.4107463464720778</v>
      </c>
      <c r="D7">
        <f t="shared" si="0"/>
        <v>2.0850737168548323</v>
      </c>
      <c r="E7">
        <f t="shared" si="0"/>
        <v>1.6116663039401931</v>
      </c>
      <c r="K7" t="s">
        <v>1</v>
      </c>
    </row>
    <row r="8" spans="1:11">
      <c r="A8" t="s">
        <v>10</v>
      </c>
      <c r="B8">
        <v>1</v>
      </c>
      <c r="C8">
        <v>2</v>
      </c>
      <c r="D8">
        <v>3</v>
      </c>
      <c r="E8">
        <v>4</v>
      </c>
    </row>
    <row r="9" spans="1:11">
      <c r="A9" t="s">
        <v>9</v>
      </c>
      <c r="B9">
        <f>SUM(((B4*(1-B7))/(1+B8*(B7-1))),((C4*(1-C7))/(1+B8*(C7-1))),((D4*(1-D7))/(1+B8*(D7-1))),((E4*(1-E7))/(1+B8*(E7-1))))</f>
        <v>0.58434601999434177</v>
      </c>
      <c r="C9">
        <f t="shared" ref="C9:E9" si="1">SUM(((C4*(1-C7))/(1+C8*(C7-1))),((D4*(1-D7))/(1+C8*(D7-1))),((E4*(1-E7))/(1+C8*(E7-1))),((F4*(1-F7))/(1+C8*(F7-1))))</f>
        <v>-0.30268224779234765</v>
      </c>
      <c r="D9">
        <f t="shared" si="1"/>
        <v>-0.14515035695807144</v>
      </c>
      <c r="E9">
        <f t="shared" si="1"/>
        <v>-3.5493224067321076E-2</v>
      </c>
    </row>
    <row r="11" spans="1:11">
      <c r="A11" s="1" t="s">
        <v>11</v>
      </c>
      <c r="B11" s="1" t="s">
        <v>12</v>
      </c>
      <c r="C11" s="1" t="s">
        <v>9</v>
      </c>
    </row>
    <row r="12" spans="1:11">
      <c r="A12" s="1"/>
      <c r="B12" s="1">
        <v>1311.1215367019813</v>
      </c>
      <c r="C12" s="1">
        <f>SUM(((B4*(1-B7))/(1+B12*(B7-1))),((C4*(1-C7))/(1+B12*(C7-1))),((D4*(1-D7))/(1+B12*(D7-1))),((E4*(1-E7))/(1+B12*(E7-1))))</f>
        <v>-7.6224169390963666E-4</v>
      </c>
    </row>
    <row r="14" spans="1:11">
      <c r="A14" s="1" t="s">
        <v>13</v>
      </c>
      <c r="B14" s="1" t="s">
        <v>10</v>
      </c>
      <c r="C14" s="1" t="s">
        <v>9</v>
      </c>
      <c r="D14" s="1" t="s">
        <v>14</v>
      </c>
    </row>
    <row r="15" spans="1:11">
      <c r="A15" s="1"/>
      <c r="B15" s="1">
        <v>5</v>
      </c>
      <c r="C15" s="1">
        <f>SUM(((B4*(1-B7))/(1+B15*(B7-1))),((C4*(1-C7))/(1+B15*(C7-1))),((D4*(1-D7))/(1+B15*(D7-1))),((E4*(1-E7))/(1+B15*(E7-1))))</f>
        <v>-0.17585648806259271</v>
      </c>
      <c r="D15" s="1">
        <f>SUM((B$4*(B$7-1)^2)/(B$7*B15-B15+1)^2)*((C$4*(C$7-1)^2)/(C$7*B15-B15+1)^2)*((D$4*(D$7-1)^2)/(D$7*B15-B15+1)^2)*((E$4*(E$7-1)^2)/(E$7*B15-B15+1)^2)</f>
        <v>3.1297132757828811E-9</v>
      </c>
    </row>
    <row r="16" spans="1:11">
      <c r="A16" s="1"/>
      <c r="B16" s="1">
        <f>B15-(C15/D15)</f>
        <v>56189333.723284774</v>
      </c>
      <c r="C16" s="1">
        <f>SUM(((B5*(1-B8))/(1+B16*(B8-1))),((C5*(1-C8))/(1+B16*(C8-1))),((D5*(1-D8))/(1+B16*(D8-1))),((E5*(1-E8))/(1+B16*(E8-1))))</f>
        <v>0</v>
      </c>
      <c r="D16" s="1">
        <f>SUM((B$4*(B$7-1)^2)/(B$7*B16-B16+1)^2)*((C$4*(C$7-1)^2)/(C$7*B16-B16+1)^2)*((D$4*(D$7-1)^2)/(D$7*B16-B16+1)^2)*((E$4*(E$7-1)^2)/(E$7*B16-B16+1)^2)</f>
        <v>2.4153504299752718E-65</v>
      </c>
    </row>
    <row r="17" spans="1:4">
      <c r="A17" s="1"/>
      <c r="B17" s="1">
        <f>B16-(C16/D16)</f>
        <v>56189333.723284774</v>
      </c>
      <c r="C17" s="1">
        <f>SUM(((B6*(1-B9))/(1+B17*(B9-1))),((C6*(1-C9))/(1+B17*(C9-1))),((D6*(1-D9))/(1+B17*(D9-1))),((E6*(1-E9))/(1+B17*(E9-1))))</f>
        <v>-1.9845087867479239E-6</v>
      </c>
      <c r="D17" s="1">
        <f>SUM((B$4*(B$7-1)^2)/(B$7*B17-B17+1)^2)*((C$4*(C$7-1)^2)/(C$7*B17-B17+1)^2)*((D$4*(D$7-1)^2)/(D$7*B17-B17+1)^2)*((E$4*(E$7-1)^2)/(E$7*B17-B17+1)^2)</f>
        <v>2.4153504299752718E-65</v>
      </c>
    </row>
    <row r="18" spans="1:4">
      <c r="A18" s="1"/>
      <c r="B18" s="1">
        <f>B17-(C17/D17)</f>
        <v>8.2162354667858319E+58</v>
      </c>
      <c r="C18" s="1">
        <f>SUM(((B7*(1-B10))/(1+B18*(B10-1))),((C7*(1-C10))/(1+B18*(C10-1))),((D7*(1-D10))/(1+B18*(D10-1))),((E7*(1-E10))/(1+B18*(E10-1))))</f>
        <v>-7.5398294026818812E-59</v>
      </c>
      <c r="D18" s="1">
        <f>SUM((B$4*(B$7-1)^2)/(B$7*B18-B18+1)^2)*((C$4*(C$7-1)^2)/(C$7*B18-B18+1)^2)*((D$4*(D$7-1)^2)/(D$7*B18-B18+1)^2)*((E$4*(E$7-1)^2)/(E$7*B18-B18+1)^2)</f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27jos</dc:creator>
  <cp:lastModifiedBy>Zhen Luo</cp:lastModifiedBy>
  <dcterms:created xsi:type="dcterms:W3CDTF">2019-09-27T14:02:48Z</dcterms:created>
  <dcterms:modified xsi:type="dcterms:W3CDTF">2020-05-13T00:38:48Z</dcterms:modified>
</cp:coreProperties>
</file>