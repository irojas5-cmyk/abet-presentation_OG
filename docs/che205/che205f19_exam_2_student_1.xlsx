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LuoZhen/Desktop/CHE205_Fall19/weak/exam2/"/>
    </mc:Choice>
  </mc:AlternateContent>
  <xr:revisionPtr revIDLastSave="0" documentId="13_ncr:1_{ECC46DE2-0B6E-0440-A921-DCC3FA513BE6}" xr6:coauthVersionLast="41" xr6:coauthVersionMax="41" xr10:uidLastSave="{00000000-0000-0000-0000-000000000000}"/>
  <bookViews>
    <workbookView xWindow="0" yWindow="460" windowWidth="24560" windowHeight="15540" tabRatio="5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8" i="1" l="1"/>
  <c r="L27" i="1"/>
  <c r="K26" i="1"/>
  <c r="J25" i="1"/>
  <c r="C18" i="1"/>
  <c r="D19" i="1"/>
  <c r="E20" i="1"/>
  <c r="F21" i="1"/>
  <c r="G22" i="1"/>
  <c r="H23" i="1"/>
  <c r="I24" i="1"/>
  <c r="M18" i="1" a="1"/>
  <c r="M18" i="1" s="1"/>
  <c r="B13" i="1"/>
  <c r="C13" i="1"/>
  <c r="C12" i="1" s="1"/>
  <c r="C11" i="1" s="1"/>
  <c r="B12" i="1"/>
  <c r="A5" i="1"/>
  <c r="A6" i="1"/>
  <c r="A7" i="1" s="1"/>
  <c r="A8" i="1" s="1"/>
  <c r="A9" i="1" s="1"/>
  <c r="A10" i="1" s="1"/>
  <c r="A11" i="1" s="1"/>
  <c r="A12" i="1" s="1"/>
  <c r="A13" i="1" s="1"/>
  <c r="A14" i="1" s="1"/>
  <c r="B11" i="1" l="1"/>
  <c r="B10" i="1" s="1"/>
  <c r="C10" i="1"/>
  <c r="C9" i="1" s="1"/>
  <c r="M26" i="1"/>
  <c r="M21" i="1"/>
  <c r="M24" i="1"/>
  <c r="M20" i="1"/>
  <c r="M22" i="1"/>
  <c r="M25" i="1"/>
  <c r="M27" i="1"/>
  <c r="M23" i="1"/>
  <c r="M19" i="1"/>
  <c r="B9" i="1" l="1"/>
  <c r="B8" i="1" s="1"/>
  <c r="C8" i="1" l="1"/>
  <c r="C7" i="1" s="1"/>
  <c r="B7" i="1" l="1"/>
  <c r="B6" i="1" s="1"/>
  <c r="C6" i="1" l="1"/>
  <c r="C5" i="1" s="1"/>
  <c r="C4" i="1" l="1"/>
  <c r="B5" i="1"/>
  <c r="B4" i="1" s="1"/>
  <c r="D4" i="1" l="1"/>
</calcChain>
</file>

<file path=xl/sharedStrings.xml><?xml version="1.0" encoding="utf-8"?>
<sst xmlns="http://schemas.openxmlformats.org/spreadsheetml/2006/main" count="11" uniqueCount="9">
  <si>
    <t>=Dx</t>
  </si>
  <si>
    <t>x</t>
  </si>
  <si>
    <t>T</t>
  </si>
  <si>
    <t>u</t>
  </si>
  <si>
    <t>combined b.c.</t>
  </si>
  <si>
    <t>A</t>
  </si>
  <si>
    <t>B</t>
  </si>
  <si>
    <t>part b</t>
  </si>
  <si>
    <t>part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</si>
</sst>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>
    <font>
      <sz val="12"/>
      <color theme="1"/>
      <name val="宋体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宋体"/>
      <family val="2"/>
      <scheme val="minor"/>
    </font>
    <font>
      <b/>
      <sz val="12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quotePrefix="1" applyFont="1"/>
    <xf numFmtId="176" fontId="1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0" fontId="4" fillId="0" borderId="0" xfId="0" applyFont="1"/>
    <xf numFmtId="2" fontId="0" fillId="0" borderId="0" xfId="0" applyNumberFormat="1" applyFont="1"/>
    <xf numFmtId="2" fontId="1" fillId="0" borderId="0" xfId="0" applyNumberFormat="1" applyFont="1"/>
    <xf numFmtId="0" fontId="4" fillId="2" borderId="0" xfId="0" applyFont="1" applyFill="1"/>
    <xf numFmtId="2" fontId="4" fillId="2" borderId="0" xfId="0" applyNumberFormat="1" applyFont="1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11548556430399"/>
          <c:y val="0.22500000000000001"/>
          <c:w val="0.80609973753280795"/>
          <c:h val="0.61740740740740696"/>
        </c:manualLayout>
      </c:layout>
      <c:scatterChart>
        <c:scatterStyle val="lineMarker"/>
        <c:varyColors val="0"/>
        <c:ser>
          <c:idx val="0"/>
          <c:order val="0"/>
          <c:tx>
            <c:v>BE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Sheet1!$A$4:$A$14</c:f>
              <c:numCache>
                <c:formatCode>0.00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Sheet1!$B$4:$B$14</c:f>
              <c:numCache>
                <c:formatCode>0.00</c:formatCode>
                <c:ptCount val="11"/>
                <c:pt idx="0">
                  <c:v>5.8131328235479476</c:v>
                </c:pt>
                <c:pt idx="1">
                  <c:v>5.1836561022153056</c:v>
                </c:pt>
                <c:pt idx="2">
                  <c:v>4.6001811928107719</c:v>
                </c:pt>
                <c:pt idx="3">
                  <c:v>4.0572790741477149</c:v>
                </c:pt>
                <c:pt idx="4">
                  <c:v>3.5498757126107652</c:v>
                </c:pt>
                <c:pt idx="5">
                  <c:v>3.0732043950240562</c:v>
                </c:pt>
                <c:pt idx="6">
                  <c:v>2.622760684280149</c:v>
                </c:pt>
                <c:pt idx="7">
                  <c:v>2.1942595692285267</c:v>
                </c:pt>
                <c:pt idx="8">
                  <c:v>1.7835943981584894</c:v>
                </c:pt>
                <c:pt idx="9">
                  <c:v>1.3867971990792447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B5-7047-B829-45EFFF250A91}"/>
            </c:ext>
          </c:extLst>
        </c:ser>
        <c:ser>
          <c:idx val="1"/>
          <c:order val="1"/>
          <c:tx>
            <c:v>FD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Sheet1!$A$18:$A$28</c:f>
              <c:numCache>
                <c:formatCode>0.00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Sheet1!$M$18:$M$28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B5-7047-B829-45EFFF250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899816"/>
        <c:axId val="-2139477800"/>
      </c:scatterChart>
      <c:valAx>
        <c:axId val="2117899816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/>
                <a:ea typeface="Arial"/>
                <a:cs typeface="Arial"/>
              </a:defRPr>
            </a:pPr>
            <a:endParaRPr lang="en-US"/>
          </a:p>
        </c:txPr>
        <c:crossAx val="-2139477800"/>
        <c:crosses val="autoZero"/>
        <c:crossBetween val="midCat"/>
        <c:majorUnit val="0.1"/>
      </c:valAx>
      <c:valAx>
        <c:axId val="-2139477800"/>
        <c:scaling>
          <c:orientation val="minMax"/>
          <c:max val="6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T(x)</a:t>
                </a:r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/>
                <a:ea typeface="Arial"/>
                <a:cs typeface="Arial"/>
              </a:defRPr>
            </a:pPr>
            <a:endParaRPr lang="en-US"/>
          </a:p>
        </c:txPr>
        <c:crossAx val="2117899816"/>
        <c:crossesAt val="0"/>
        <c:crossBetween val="midCat"/>
        <c:majorUnit val="1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342900</xdr:colOff>
      <xdr:row>8</xdr:row>
      <xdr:rowOff>25400</xdr:rowOff>
    </xdr:from>
    <xdr:to>
      <xdr:col>21</xdr:col>
      <xdr:colOff>368300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38789</xdr:colOff>
      <xdr:row>33</xdr:row>
      <xdr:rowOff>64585</xdr:rowOff>
    </xdr:from>
    <xdr:ext cx="6081922" cy="87511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12C67B-17F5-1747-AB00-DBAEDC1FD3D7}"/>
            </a:ext>
          </a:extLst>
        </xdr:cNvPr>
        <xdr:cNvSpPr/>
      </xdr:nvSpPr>
      <xdr:spPr>
        <a:xfrm>
          <a:off x="4636189" y="6503485"/>
          <a:ext cx="6081922" cy="875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5/10</a:t>
          </a:r>
        </a:p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calculations</a:t>
          </a:r>
          <a:r>
            <a:rPr lang="en-US" altLang="zh-CN" sz="25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are</a:t>
          </a:r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not correct in both methods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ranzabi/Shafigh/UIC/Teaching/che205_2018_fall/Chapter_3/matrix/matrix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trix"/>
      <sheetName val="WorkArea"/>
      <sheetName val="CommandBarMenu"/>
      <sheetName val="Functions"/>
    </sheetNames>
    <definedNames>
      <definedName name="SysLin"/>
    </defined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8"/>
  <sheetViews>
    <sheetView tabSelected="1" topLeftCell="A6" workbookViewId="0">
      <selection activeCell="V34" sqref="V34"/>
    </sheetView>
  </sheetViews>
  <sheetFormatPr baseColWidth="10" defaultRowHeight="15"/>
  <cols>
    <col min="1" max="1" width="8" customWidth="1"/>
    <col min="2" max="2" width="5" customWidth="1"/>
    <col min="3" max="3" width="5.83203125" customWidth="1"/>
    <col min="4" max="4" width="6.5" customWidth="1"/>
    <col min="5" max="13" width="5.83203125" customWidth="1"/>
    <col min="14" max="15" width="5.33203125" customWidth="1"/>
  </cols>
  <sheetData>
    <row r="1" spans="1:4">
      <c r="A1" s="10" t="s">
        <v>8</v>
      </c>
    </row>
    <row r="2" spans="1:4" ht="16">
      <c r="A2" s="1">
        <v>0.1</v>
      </c>
      <c r="B2" s="2" t="s">
        <v>0</v>
      </c>
      <c r="C2" s="3"/>
      <c r="D2" s="2"/>
    </row>
    <row r="3" spans="1:4" ht="16">
      <c r="A3" s="4" t="s">
        <v>1</v>
      </c>
      <c r="B3" s="4" t="s">
        <v>2</v>
      </c>
      <c r="C3" s="4" t="s">
        <v>3</v>
      </c>
      <c r="D3" s="6" t="s">
        <v>4</v>
      </c>
    </row>
    <row r="4" spans="1:4">
      <c r="A4" s="5">
        <v>0</v>
      </c>
      <c r="B4" s="5">
        <f t="shared" ref="B4:B13" si="0">B5-$A$2*C5</f>
        <v>5.8131328235479476</v>
      </c>
      <c r="C4" s="5">
        <f t="shared" ref="C4:C13" si="1">C5-$A$2*B5</f>
        <v>-6.8131328235479494</v>
      </c>
      <c r="D4" s="5">
        <f>B4+C4+1</f>
        <v>-1.7763568394002505E-15</v>
      </c>
    </row>
    <row r="5" spans="1:4">
      <c r="A5" s="5">
        <f>A4+$A$2</f>
        <v>0.1</v>
      </c>
      <c r="B5" s="5">
        <f t="shared" si="0"/>
        <v>5.1836561022153056</v>
      </c>
      <c r="C5" s="5">
        <f t="shared" si="1"/>
        <v>-6.294767213326419</v>
      </c>
    </row>
    <row r="6" spans="1:4">
      <c r="A6" s="5">
        <f t="shared" ref="A6:A14" si="2">A5+$A$2</f>
        <v>0.2</v>
      </c>
      <c r="B6" s="5">
        <f t="shared" si="0"/>
        <v>4.6001811928107719</v>
      </c>
      <c r="C6" s="5">
        <f t="shared" si="1"/>
        <v>-5.8347490940453417</v>
      </c>
    </row>
    <row r="7" spans="1:4">
      <c r="A7" s="5">
        <f t="shared" si="2"/>
        <v>0.30000000000000004</v>
      </c>
      <c r="B7" s="5">
        <f t="shared" si="0"/>
        <v>4.0572790741477149</v>
      </c>
      <c r="C7" s="5">
        <f t="shared" si="1"/>
        <v>-5.4290211866305702</v>
      </c>
    </row>
    <row r="8" spans="1:4">
      <c r="A8" s="5">
        <f t="shared" si="2"/>
        <v>0.4</v>
      </c>
      <c r="B8" s="5">
        <f t="shared" si="0"/>
        <v>3.5498757126107652</v>
      </c>
      <c r="C8" s="5">
        <f t="shared" si="1"/>
        <v>-5.074033615369494</v>
      </c>
    </row>
    <row r="9" spans="1:4">
      <c r="A9" s="5">
        <f t="shared" si="2"/>
        <v>0.5</v>
      </c>
      <c r="B9" s="5">
        <f t="shared" si="0"/>
        <v>3.0732043950240562</v>
      </c>
      <c r="C9" s="5">
        <f t="shared" si="1"/>
        <v>-4.7667131758670882</v>
      </c>
    </row>
    <row r="10" spans="1:4">
      <c r="A10" s="5">
        <f t="shared" si="2"/>
        <v>0.6</v>
      </c>
      <c r="B10" s="5">
        <f t="shared" si="0"/>
        <v>2.622760684280149</v>
      </c>
      <c r="C10" s="5">
        <f t="shared" si="1"/>
        <v>-4.504437107439073</v>
      </c>
    </row>
    <row r="11" spans="1:4">
      <c r="A11" s="5">
        <f t="shared" si="2"/>
        <v>0.7</v>
      </c>
      <c r="B11" s="5">
        <f t="shared" si="0"/>
        <v>2.1942595692285267</v>
      </c>
      <c r="C11" s="5">
        <f t="shared" si="1"/>
        <v>-4.2850111505162207</v>
      </c>
    </row>
    <row r="12" spans="1:4">
      <c r="A12" s="5">
        <f t="shared" si="2"/>
        <v>0.79999999999999993</v>
      </c>
      <c r="B12" s="5">
        <f t="shared" si="0"/>
        <v>1.7835943981584894</v>
      </c>
      <c r="C12" s="5">
        <f t="shared" si="1"/>
        <v>-4.1066517107003717</v>
      </c>
    </row>
    <row r="13" spans="1:4">
      <c r="A13" s="5">
        <f t="shared" si="2"/>
        <v>0.89999999999999991</v>
      </c>
      <c r="B13" s="5">
        <f t="shared" si="0"/>
        <v>1.3867971990792447</v>
      </c>
      <c r="C13" s="5">
        <f t="shared" si="1"/>
        <v>-3.9679719907924471</v>
      </c>
    </row>
    <row r="14" spans="1:4">
      <c r="A14" s="5">
        <f t="shared" si="2"/>
        <v>0.99999999999999989</v>
      </c>
      <c r="B14" s="5">
        <v>1</v>
      </c>
      <c r="C14" s="5">
        <v>-3.867971990792447</v>
      </c>
    </row>
    <row r="15" spans="1:4">
      <c r="A15" s="5"/>
      <c r="B15" s="5"/>
      <c r="C15" s="5"/>
    </row>
    <row r="16" spans="1:4">
      <c r="A16" s="11" t="s">
        <v>7</v>
      </c>
      <c r="B16" s="5"/>
      <c r="C16" s="5"/>
    </row>
    <row r="17" spans="1:14">
      <c r="A17" s="7" t="s">
        <v>1</v>
      </c>
      <c r="C17" s="12" t="s">
        <v>5</v>
      </c>
      <c r="D17" s="12"/>
      <c r="E17" s="12"/>
      <c r="F17" s="12"/>
      <c r="G17" s="12"/>
      <c r="H17" s="12"/>
      <c r="I17" s="12"/>
      <c r="J17" s="12"/>
      <c r="K17" s="12"/>
      <c r="L17" s="12"/>
      <c r="M17" s="7" t="s">
        <v>2</v>
      </c>
      <c r="N17" s="7" t="s">
        <v>6</v>
      </c>
    </row>
    <row r="18" spans="1:14" ht="16">
      <c r="A18" s="8">
        <v>0</v>
      </c>
      <c r="B18" s="5"/>
      <c r="C18" s="9">
        <f>-3+2*$A$2</f>
        <v>-2.8</v>
      </c>
      <c r="D18" s="9">
        <v>4</v>
      </c>
      <c r="E18" s="9">
        <v>-1</v>
      </c>
      <c r="M18" s="5" t="e">
        <f t="array" aca="1" ref="M18:M27" ca="1">[1]!SysLin(C18:L27,N18:N27)</f>
        <v>#NAME?</v>
      </c>
      <c r="N18" s="5">
        <f>-2*$A$2</f>
        <v>-0.2</v>
      </c>
    </row>
    <row r="19" spans="1:14" ht="16">
      <c r="A19" s="5">
        <v>0.1</v>
      </c>
      <c r="B19" s="5"/>
      <c r="C19">
        <v>1</v>
      </c>
      <c r="D19" s="9">
        <f>-(2+$A$2*$A$2)</f>
        <v>-2.0099999999999998</v>
      </c>
      <c r="E19">
        <v>1</v>
      </c>
      <c r="M19" s="5" t="e">
        <f ca="1"/>
        <v>#NAME?</v>
      </c>
      <c r="N19" s="5">
        <v>0</v>
      </c>
    </row>
    <row r="20" spans="1:14" ht="16">
      <c r="A20" s="5">
        <v>0.2</v>
      </c>
      <c r="B20" s="5"/>
      <c r="D20">
        <v>1</v>
      </c>
      <c r="E20" s="9">
        <f>-(2+$A$2*$A$2)</f>
        <v>-2.0099999999999998</v>
      </c>
      <c r="F20">
        <v>1</v>
      </c>
      <c r="M20" s="5" t="e">
        <f ca="1"/>
        <v>#NAME?</v>
      </c>
      <c r="N20" s="5">
        <v>0</v>
      </c>
    </row>
    <row r="21" spans="1:14" ht="16">
      <c r="A21" s="8">
        <v>0.3</v>
      </c>
      <c r="B21" s="5"/>
      <c r="E21">
        <v>1</v>
      </c>
      <c r="F21" s="9">
        <f>-(2+$A$2*$A$2)</f>
        <v>-2.0099999999999998</v>
      </c>
      <c r="G21">
        <v>1</v>
      </c>
      <c r="M21" s="5" t="e">
        <f ca="1"/>
        <v>#NAME?</v>
      </c>
      <c r="N21" s="5">
        <v>0</v>
      </c>
    </row>
    <row r="22" spans="1:14" ht="16">
      <c r="A22" s="5">
        <v>0.4</v>
      </c>
      <c r="B22" s="5"/>
      <c r="F22">
        <v>1</v>
      </c>
      <c r="G22" s="9">
        <f>-(2+$A$2*$A$2)</f>
        <v>-2.0099999999999998</v>
      </c>
      <c r="H22">
        <v>1</v>
      </c>
      <c r="M22" s="5" t="e">
        <f ca="1"/>
        <v>#NAME?</v>
      </c>
      <c r="N22" s="5">
        <v>0</v>
      </c>
    </row>
    <row r="23" spans="1:14" ht="16">
      <c r="A23" s="5">
        <v>0.5</v>
      </c>
      <c r="B23" s="5"/>
      <c r="G23">
        <v>1</v>
      </c>
      <c r="H23" s="9">
        <f>-(2+$A$2*$A$2)</f>
        <v>-2.0099999999999998</v>
      </c>
      <c r="I23">
        <v>1</v>
      </c>
      <c r="M23" s="5" t="e">
        <f ca="1"/>
        <v>#NAME?</v>
      </c>
      <c r="N23" s="5">
        <v>0</v>
      </c>
    </row>
    <row r="24" spans="1:14" ht="16">
      <c r="A24" s="8">
        <v>0.6</v>
      </c>
      <c r="B24" s="5"/>
      <c r="H24">
        <v>1</v>
      </c>
      <c r="I24" s="9">
        <f>-(2+$A$2*$A$2)</f>
        <v>-2.0099999999999998</v>
      </c>
      <c r="J24">
        <v>1</v>
      </c>
      <c r="M24" s="5" t="e">
        <f ca="1"/>
        <v>#NAME?</v>
      </c>
      <c r="N24" s="5">
        <v>0</v>
      </c>
    </row>
    <row r="25" spans="1:14" ht="16">
      <c r="A25" s="5">
        <v>0.7</v>
      </c>
      <c r="B25" s="5"/>
      <c r="I25">
        <v>1</v>
      </c>
      <c r="J25" s="9">
        <f>-(2+$A$2*$A$2)</f>
        <v>-2.0099999999999998</v>
      </c>
      <c r="K25">
        <v>1</v>
      </c>
      <c r="M25" s="5" t="e">
        <f ca="1"/>
        <v>#NAME?</v>
      </c>
      <c r="N25" s="5">
        <v>0</v>
      </c>
    </row>
    <row r="26" spans="1:14" ht="16">
      <c r="A26" s="5">
        <v>0.8</v>
      </c>
      <c r="B26" s="5"/>
      <c r="J26">
        <v>1</v>
      </c>
      <c r="K26" s="9">
        <f>-(2+$A$2*$A$2)</f>
        <v>-2.0099999999999998</v>
      </c>
      <c r="L26">
        <v>1</v>
      </c>
      <c r="M26" s="5" t="e">
        <f ca="1"/>
        <v>#NAME?</v>
      </c>
      <c r="N26" s="5">
        <v>0</v>
      </c>
    </row>
    <row r="27" spans="1:14" ht="16">
      <c r="A27" s="8">
        <v>0.9</v>
      </c>
      <c r="B27" s="5"/>
      <c r="K27">
        <v>1</v>
      </c>
      <c r="L27" s="9">
        <f>-(2+$A$2*$A$2)</f>
        <v>-2.0099999999999998</v>
      </c>
      <c r="M27" s="5" t="e">
        <f ca="1"/>
        <v>#NAME?</v>
      </c>
      <c r="N27" s="5">
        <v>-1</v>
      </c>
    </row>
    <row r="28" spans="1:14">
      <c r="A28" s="5">
        <v>1</v>
      </c>
      <c r="B28" s="5"/>
      <c r="M28" s="5">
        <v>1</v>
      </c>
      <c r="N28" s="5"/>
    </row>
  </sheetData>
  <mergeCells count="1">
    <mergeCell ref="C17:L17"/>
  </mergeCells>
  <phoneticPr fontId="3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tranzabi</dc:creator>
  <cp:lastModifiedBy>Zhen Luo</cp:lastModifiedBy>
  <dcterms:created xsi:type="dcterms:W3CDTF">2017-11-09T01:44:43Z</dcterms:created>
  <dcterms:modified xsi:type="dcterms:W3CDTF">2020-05-13T00:40:06Z</dcterms:modified>
</cp:coreProperties>
</file>