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lfan_Alasam/Desktop/ChE 205/HW/HW 5/"/>
    </mc:Choice>
  </mc:AlternateContent>
  <xr:revisionPtr revIDLastSave="0" documentId="13_ncr:1_{C8229541-FD37-A440-8068-8122F19841CB}" xr6:coauthVersionLast="45" xr6:coauthVersionMax="45" xr10:uidLastSave="{00000000-0000-0000-0000-000000000000}"/>
  <bookViews>
    <workbookView xWindow="0" yWindow="460" windowWidth="25600" windowHeight="14180" activeTab="3" xr2:uid="{EDB21D6C-3F65-9C4F-8ACD-E008B3ECD545}"/>
  </bookViews>
  <sheets>
    <sheet name="4.1" sheetId="1" r:id="rId1"/>
    <sheet name="4.4" sheetId="4" r:id="rId2"/>
    <sheet name="4.5" sheetId="3" r:id="rId3"/>
    <sheet name="4.7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3" i="7" l="1"/>
  <c r="M24" i="7"/>
  <c r="M25" i="7"/>
  <c r="M26" i="7"/>
  <c r="M27" i="7"/>
  <c r="M28" i="7"/>
  <c r="M29" i="7"/>
  <c r="M22" i="7"/>
  <c r="M21" i="7" l="1"/>
  <c r="N22" i="7" s="1"/>
  <c r="M7" i="7"/>
  <c r="M8" i="7"/>
  <c r="M9" i="7"/>
  <c r="M10" i="7"/>
  <c r="M11" i="7"/>
  <c r="M12" i="7"/>
  <c r="M13" i="7"/>
  <c r="M14" i="7"/>
  <c r="M6" i="7"/>
  <c r="D21" i="7"/>
  <c r="E21" i="7"/>
  <c r="F21" i="7"/>
  <c r="D22" i="7"/>
  <c r="E22" i="7"/>
  <c r="F22" i="7" s="1"/>
  <c r="D23" i="7"/>
  <c r="D24" i="7"/>
  <c r="D25" i="7"/>
  <c r="D26" i="7"/>
  <c r="D27" i="7"/>
  <c r="D28" i="7"/>
  <c r="D29" i="7"/>
  <c r="D33" i="7"/>
  <c r="E33" i="7"/>
  <c r="F33" i="7" s="1"/>
  <c r="D34" i="7"/>
  <c r="D35" i="7"/>
  <c r="D36" i="7"/>
  <c r="D37" i="7"/>
  <c r="D38" i="7"/>
  <c r="D39" i="7"/>
  <c r="D40" i="7"/>
  <c r="D41" i="7"/>
  <c r="D45" i="7"/>
  <c r="E45" i="7"/>
  <c r="F45" i="7"/>
  <c r="D46" i="7"/>
  <c r="E46" i="7"/>
  <c r="E47" i="7" s="1"/>
  <c r="D47" i="7"/>
  <c r="D48" i="7"/>
  <c r="D49" i="7"/>
  <c r="D50" i="7"/>
  <c r="D51" i="7"/>
  <c r="D52" i="7"/>
  <c r="D53" i="7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42" i="1"/>
  <c r="B7" i="4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B8" i="4"/>
  <c r="L8" i="4"/>
  <c r="B9" i="4"/>
  <c r="E9" i="4"/>
  <c r="F9" i="4"/>
  <c r="G9" i="4" s="1"/>
  <c r="I9" i="4" s="1"/>
  <c r="L9" i="4"/>
  <c r="B10" i="4"/>
  <c r="E10" i="4"/>
  <c r="F10" i="4" s="1"/>
  <c r="G10" i="4" s="1"/>
  <c r="I10" i="4" s="1"/>
  <c r="B11" i="4"/>
  <c r="B12" i="4"/>
  <c r="B13" i="4"/>
  <c r="B14" i="4"/>
  <c r="B15" i="4"/>
  <c r="B16" i="4"/>
  <c r="B17" i="4"/>
  <c r="F20" i="4"/>
  <c r="G20" i="4" s="1"/>
  <c r="I20" i="4" s="1"/>
  <c r="I24" i="4" s="1"/>
  <c r="I27" i="4" s="1"/>
  <c r="B21" i="4"/>
  <c r="C21" i="4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F21" i="4"/>
  <c r="G21" i="4" s="1"/>
  <c r="I21" i="4" s="1"/>
  <c r="B22" i="4"/>
  <c r="F22" i="4"/>
  <c r="G22" i="4" s="1"/>
  <c r="I22" i="4" s="1"/>
  <c r="B23" i="4"/>
  <c r="B24" i="4"/>
  <c r="B25" i="4"/>
  <c r="B26" i="4"/>
  <c r="B27" i="4"/>
  <c r="B28" i="4"/>
  <c r="B29" i="4"/>
  <c r="B30" i="4"/>
  <c r="B31" i="4"/>
  <c r="B32" i="4"/>
  <c r="F32" i="4"/>
  <c r="G32" i="4"/>
  <c r="I32" i="4" s="1"/>
  <c r="B33" i="4"/>
  <c r="F33" i="4"/>
  <c r="G33" i="4" s="1"/>
  <c r="I33" i="4" s="1"/>
  <c r="B34" i="4"/>
  <c r="F34" i="4"/>
  <c r="G34" i="4" s="1"/>
  <c r="I34" i="4" s="1"/>
  <c r="B35" i="4"/>
  <c r="F35" i="4"/>
  <c r="G35" i="4" s="1"/>
  <c r="I35" i="4" s="1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E3" i="3"/>
  <c r="H3" i="3" s="1"/>
  <c r="F3" i="3"/>
  <c r="M3" i="3"/>
  <c r="N3" i="3"/>
  <c r="E4" i="3"/>
  <c r="F4" i="3"/>
  <c r="H4" i="3"/>
  <c r="M4" i="3"/>
  <c r="N4" i="3"/>
  <c r="N5" i="3" s="1"/>
  <c r="N6" i="3" s="1"/>
  <c r="N7" i="3" s="1"/>
  <c r="N8" i="3" s="1"/>
  <c r="N9" i="3" s="1"/>
  <c r="N10" i="3" s="1"/>
  <c r="N11" i="3" s="1"/>
  <c r="N12" i="3" s="1"/>
  <c r="N13" i="3" s="1"/>
  <c r="P6" i="3" s="1"/>
  <c r="E5" i="3"/>
  <c r="F5" i="3"/>
  <c r="M5" i="3"/>
  <c r="E6" i="3"/>
  <c r="H5" i="3" s="1"/>
  <c r="F6" i="3"/>
  <c r="M6" i="3"/>
  <c r="E7" i="3"/>
  <c r="H6" i="3" s="1"/>
  <c r="F7" i="3"/>
  <c r="H7" i="3"/>
  <c r="M7" i="3"/>
  <c r="E8" i="3"/>
  <c r="F8" i="3"/>
  <c r="M8" i="3"/>
  <c r="E9" i="3"/>
  <c r="H8" i="3" s="1"/>
  <c r="F9" i="3"/>
  <c r="H9" i="3"/>
  <c r="M9" i="3"/>
  <c r="E10" i="3"/>
  <c r="F10" i="3"/>
  <c r="M10" i="3"/>
  <c r="E11" i="3"/>
  <c r="H10" i="3" s="1"/>
  <c r="F11" i="3"/>
  <c r="H11" i="3"/>
  <c r="M11" i="3"/>
  <c r="E12" i="3"/>
  <c r="F12" i="3"/>
  <c r="M12" i="3"/>
  <c r="E13" i="3"/>
  <c r="H12" i="3" s="1"/>
  <c r="F13" i="3"/>
  <c r="M13" i="3"/>
  <c r="E16" i="3"/>
  <c r="F16" i="3"/>
  <c r="M16" i="3"/>
  <c r="N16" i="3"/>
  <c r="E17" i="3"/>
  <c r="H16" i="3" s="1"/>
  <c r="F17" i="3"/>
  <c r="H17" i="3"/>
  <c r="M17" i="3"/>
  <c r="N17" i="3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P19" i="3" s="1"/>
  <c r="E18" i="3"/>
  <c r="F18" i="3"/>
  <c r="M18" i="3"/>
  <c r="E19" i="3"/>
  <c r="H18" i="3" s="1"/>
  <c r="F19" i="3"/>
  <c r="M19" i="3"/>
  <c r="E20" i="3"/>
  <c r="H19" i="3" s="1"/>
  <c r="F20" i="3"/>
  <c r="H20" i="3"/>
  <c r="M20" i="3"/>
  <c r="E21" i="3"/>
  <c r="F21" i="3"/>
  <c r="M21" i="3"/>
  <c r="E22" i="3"/>
  <c r="H21" i="3" s="1"/>
  <c r="F22" i="3"/>
  <c r="H22" i="3"/>
  <c r="M22" i="3"/>
  <c r="E23" i="3"/>
  <c r="F23" i="3"/>
  <c r="M23" i="3"/>
  <c r="E24" i="3"/>
  <c r="H23" i="3" s="1"/>
  <c r="F24" i="3"/>
  <c r="H24" i="3"/>
  <c r="M24" i="3"/>
  <c r="E25" i="3"/>
  <c r="F25" i="3"/>
  <c r="M25" i="3"/>
  <c r="E26" i="3"/>
  <c r="H25" i="3" s="1"/>
  <c r="F26" i="3"/>
  <c r="H26" i="3"/>
  <c r="M26" i="3"/>
  <c r="E27" i="3"/>
  <c r="F27" i="3"/>
  <c r="M27" i="3"/>
  <c r="E28" i="3"/>
  <c r="H27" i="3" s="1"/>
  <c r="F28" i="3"/>
  <c r="H28" i="3"/>
  <c r="M28" i="3"/>
  <c r="E29" i="3"/>
  <c r="F29" i="3"/>
  <c r="M29" i="3"/>
  <c r="E30" i="3"/>
  <c r="H29" i="3" s="1"/>
  <c r="F30" i="3"/>
  <c r="H30" i="3"/>
  <c r="M30" i="3"/>
  <c r="E31" i="3"/>
  <c r="F31" i="3"/>
  <c r="M31" i="3"/>
  <c r="E32" i="3"/>
  <c r="H31" i="3" s="1"/>
  <c r="F32" i="3"/>
  <c r="H32" i="3"/>
  <c r="M32" i="3"/>
  <c r="E33" i="3"/>
  <c r="F33" i="3"/>
  <c r="M33" i="3"/>
  <c r="E34" i="3"/>
  <c r="H33" i="3" s="1"/>
  <c r="F34" i="3"/>
  <c r="H34" i="3"/>
  <c r="M34" i="3"/>
  <c r="E35" i="3"/>
  <c r="F35" i="3"/>
  <c r="M35" i="3"/>
  <c r="E36" i="3"/>
  <c r="H35" i="3" s="1"/>
  <c r="F36" i="3"/>
  <c r="H36" i="3"/>
  <c r="M36" i="3"/>
  <c r="E37" i="3"/>
  <c r="F37" i="3"/>
  <c r="M37" i="3"/>
  <c r="E38" i="3"/>
  <c r="H37" i="3" s="1"/>
  <c r="F38" i="3"/>
  <c r="H38" i="3"/>
  <c r="M38" i="3"/>
  <c r="E39" i="3"/>
  <c r="F39" i="3"/>
  <c r="M39" i="3"/>
  <c r="E40" i="3"/>
  <c r="H39" i="3" s="1"/>
  <c r="F40" i="3"/>
  <c r="H40" i="3"/>
  <c r="M40" i="3"/>
  <c r="E41" i="3"/>
  <c r="F41" i="3"/>
  <c r="M41" i="3"/>
  <c r="E42" i="3"/>
  <c r="H41" i="3" s="1"/>
  <c r="F42" i="3"/>
  <c r="M42" i="3"/>
  <c r="E43" i="3"/>
  <c r="H42" i="3" s="1"/>
  <c r="F43" i="3"/>
  <c r="M43" i="3"/>
  <c r="E44" i="3"/>
  <c r="H43" i="3" s="1"/>
  <c r="F44" i="3"/>
  <c r="M44" i="3"/>
  <c r="E45" i="3"/>
  <c r="F45" i="3"/>
  <c r="H45" i="3"/>
  <c r="M45" i="3"/>
  <c r="E46" i="3"/>
  <c r="F46" i="3"/>
  <c r="M46" i="3"/>
  <c r="E47" i="3"/>
  <c r="H46" i="3" s="1"/>
  <c r="F47" i="3"/>
  <c r="M47" i="3"/>
  <c r="E48" i="3"/>
  <c r="H47" i="3" s="1"/>
  <c r="F48" i="3"/>
  <c r="M48" i="3"/>
  <c r="E49" i="3"/>
  <c r="F49" i="3"/>
  <c r="H49" i="3"/>
  <c r="M49" i="3"/>
  <c r="E50" i="3"/>
  <c r="F50" i="3"/>
  <c r="M50" i="3"/>
  <c r="E51" i="3"/>
  <c r="H50" i="3" s="1"/>
  <c r="F51" i="3"/>
  <c r="M51" i="3"/>
  <c r="E52" i="3"/>
  <c r="H51" i="3" s="1"/>
  <c r="F52" i="3"/>
  <c r="M52" i="3"/>
  <c r="E53" i="3"/>
  <c r="F53" i="3"/>
  <c r="H53" i="3"/>
  <c r="M53" i="3"/>
  <c r="E54" i="3"/>
  <c r="F54" i="3"/>
  <c r="M54" i="3"/>
  <c r="E55" i="3"/>
  <c r="H54" i="3" s="1"/>
  <c r="F55" i="3"/>
  <c r="M55" i="3"/>
  <c r="E56" i="3"/>
  <c r="H55" i="3" s="1"/>
  <c r="F56" i="3"/>
  <c r="M56" i="3"/>
  <c r="E57" i="3"/>
  <c r="F57" i="3"/>
  <c r="H57" i="3"/>
  <c r="M57" i="3"/>
  <c r="E58" i="3"/>
  <c r="F58" i="3"/>
  <c r="M58" i="3"/>
  <c r="E59" i="3"/>
  <c r="H58" i="3" s="1"/>
  <c r="F59" i="3"/>
  <c r="M59" i="3"/>
  <c r="E60" i="3"/>
  <c r="H59" i="3" s="1"/>
  <c r="F60" i="3"/>
  <c r="M60" i="3"/>
  <c r="E61" i="3"/>
  <c r="F61" i="3"/>
  <c r="H61" i="3"/>
  <c r="M61" i="3"/>
  <c r="E62" i="3"/>
  <c r="F62" i="3"/>
  <c r="M62" i="3"/>
  <c r="E63" i="3"/>
  <c r="H62" i="3" s="1"/>
  <c r="F63" i="3"/>
  <c r="M63" i="3"/>
  <c r="E64" i="3"/>
  <c r="H63" i="3" s="1"/>
  <c r="F64" i="3"/>
  <c r="M64" i="3"/>
  <c r="E65" i="3"/>
  <c r="F65" i="3"/>
  <c r="H65" i="3"/>
  <c r="M65" i="3"/>
  <c r="E66" i="3"/>
  <c r="F66" i="3"/>
  <c r="M66" i="3"/>
  <c r="E67" i="3"/>
  <c r="H66" i="3" s="1"/>
  <c r="F67" i="3"/>
  <c r="M67" i="3"/>
  <c r="E68" i="3"/>
  <c r="H67" i="3" s="1"/>
  <c r="F68" i="3"/>
  <c r="M68" i="3"/>
  <c r="E69" i="3"/>
  <c r="F69" i="3"/>
  <c r="H69" i="3"/>
  <c r="M69" i="3"/>
  <c r="E70" i="3"/>
  <c r="F70" i="3"/>
  <c r="M70" i="3"/>
  <c r="E71" i="3"/>
  <c r="H70" i="3" s="1"/>
  <c r="F71" i="3"/>
  <c r="M71" i="3"/>
  <c r="E72" i="3"/>
  <c r="H71" i="3" s="1"/>
  <c r="F72" i="3"/>
  <c r="M72" i="3"/>
  <c r="E73" i="3"/>
  <c r="F73" i="3"/>
  <c r="H73" i="3"/>
  <c r="M73" i="3"/>
  <c r="E74" i="3"/>
  <c r="F74" i="3"/>
  <c r="M74" i="3"/>
  <c r="E75" i="3"/>
  <c r="H74" i="3" s="1"/>
  <c r="F75" i="3"/>
  <c r="M75" i="3"/>
  <c r="E76" i="3"/>
  <c r="H75" i="3" s="1"/>
  <c r="F76" i="3"/>
  <c r="M76" i="3"/>
  <c r="E77" i="3"/>
  <c r="F77" i="3"/>
  <c r="H77" i="3"/>
  <c r="M77" i="3"/>
  <c r="E78" i="3"/>
  <c r="F78" i="3"/>
  <c r="M78" i="3"/>
  <c r="E79" i="3"/>
  <c r="H78" i="3" s="1"/>
  <c r="F79" i="3"/>
  <c r="M79" i="3"/>
  <c r="E80" i="3"/>
  <c r="H79" i="3" s="1"/>
  <c r="F80" i="3"/>
  <c r="M80" i="3"/>
  <c r="E81" i="3"/>
  <c r="F81" i="3"/>
  <c r="H81" i="3"/>
  <c r="M81" i="3"/>
  <c r="E82" i="3"/>
  <c r="F82" i="3"/>
  <c r="M82" i="3"/>
  <c r="E83" i="3"/>
  <c r="H82" i="3" s="1"/>
  <c r="F83" i="3"/>
  <c r="M83" i="3"/>
  <c r="E84" i="3"/>
  <c r="H83" i="3" s="1"/>
  <c r="F84" i="3"/>
  <c r="M84" i="3"/>
  <c r="E85" i="3"/>
  <c r="F85" i="3"/>
  <c r="H85" i="3"/>
  <c r="M85" i="3"/>
  <c r="E86" i="3"/>
  <c r="F86" i="3"/>
  <c r="M86" i="3"/>
  <c r="E87" i="3"/>
  <c r="H86" i="3" s="1"/>
  <c r="F87" i="3"/>
  <c r="M87" i="3"/>
  <c r="E88" i="3"/>
  <c r="H87" i="3" s="1"/>
  <c r="F88" i="3"/>
  <c r="M88" i="3"/>
  <c r="E89" i="3"/>
  <c r="F89" i="3"/>
  <c r="H89" i="3"/>
  <c r="M89" i="3"/>
  <c r="E90" i="3"/>
  <c r="F90" i="3"/>
  <c r="M90" i="3"/>
  <c r="E91" i="3"/>
  <c r="H90" i="3" s="1"/>
  <c r="F91" i="3"/>
  <c r="M91" i="3"/>
  <c r="E92" i="3"/>
  <c r="H91" i="3" s="1"/>
  <c r="F92" i="3"/>
  <c r="M92" i="3"/>
  <c r="E93" i="3"/>
  <c r="F93" i="3"/>
  <c r="H93" i="3"/>
  <c r="M93" i="3"/>
  <c r="E94" i="3"/>
  <c r="F94" i="3"/>
  <c r="M94" i="3"/>
  <c r="E95" i="3"/>
  <c r="H94" i="3" s="1"/>
  <c r="F95" i="3"/>
  <c r="M95" i="3"/>
  <c r="E96" i="3"/>
  <c r="H95" i="3" s="1"/>
  <c r="F96" i="3"/>
  <c r="M96" i="3"/>
  <c r="E97" i="3"/>
  <c r="F97" i="3"/>
  <c r="H97" i="3"/>
  <c r="M97" i="3"/>
  <c r="E98" i="3"/>
  <c r="F98" i="3"/>
  <c r="M98" i="3"/>
  <c r="E99" i="3"/>
  <c r="H98" i="3" s="1"/>
  <c r="F99" i="3"/>
  <c r="M99" i="3"/>
  <c r="E100" i="3"/>
  <c r="H99" i="3" s="1"/>
  <c r="F100" i="3"/>
  <c r="M100" i="3"/>
  <c r="E101" i="3"/>
  <c r="F101" i="3"/>
  <c r="H101" i="3"/>
  <c r="M101" i="3"/>
  <c r="E102" i="3"/>
  <c r="F102" i="3"/>
  <c r="M102" i="3"/>
  <c r="E103" i="3"/>
  <c r="H102" i="3" s="1"/>
  <c r="F103" i="3"/>
  <c r="M103" i="3"/>
  <c r="E104" i="3"/>
  <c r="H103" i="3" s="1"/>
  <c r="F104" i="3"/>
  <c r="M104" i="3"/>
  <c r="E105" i="3"/>
  <c r="F105" i="3"/>
  <c r="H105" i="3"/>
  <c r="M105" i="3"/>
  <c r="E106" i="3"/>
  <c r="F106" i="3"/>
  <c r="M106" i="3"/>
  <c r="E107" i="3"/>
  <c r="H106" i="3" s="1"/>
  <c r="F107" i="3"/>
  <c r="M107" i="3"/>
  <c r="E108" i="3"/>
  <c r="H107" i="3" s="1"/>
  <c r="F108" i="3"/>
  <c r="M108" i="3"/>
  <c r="E109" i="3"/>
  <c r="F109" i="3"/>
  <c r="H109" i="3"/>
  <c r="M109" i="3"/>
  <c r="E110" i="3"/>
  <c r="F110" i="3"/>
  <c r="M110" i="3"/>
  <c r="E111" i="3"/>
  <c r="H110" i="3" s="1"/>
  <c r="F111" i="3"/>
  <c r="M111" i="3"/>
  <c r="E112" i="3"/>
  <c r="H111" i="3" s="1"/>
  <c r="F112" i="3"/>
  <c r="M112" i="3"/>
  <c r="E113" i="3"/>
  <c r="F113" i="3"/>
  <c r="H113" i="3"/>
  <c r="M113" i="3"/>
  <c r="E114" i="3"/>
  <c r="F114" i="3"/>
  <c r="M114" i="3"/>
  <c r="E115" i="3"/>
  <c r="H114" i="3" s="1"/>
  <c r="F115" i="3"/>
  <c r="M115" i="3"/>
  <c r="E116" i="3"/>
  <c r="H115" i="3" s="1"/>
  <c r="F116" i="3"/>
  <c r="M116" i="3"/>
  <c r="N23" i="7" l="1"/>
  <c r="N24" i="7" s="1"/>
  <c r="N25" i="7" s="1"/>
  <c r="N26" i="7" s="1"/>
  <c r="N27" i="7" s="1"/>
  <c r="N28" i="7" s="1"/>
  <c r="E48" i="7"/>
  <c r="F47" i="7"/>
  <c r="F46" i="7"/>
  <c r="E34" i="7"/>
  <c r="E23" i="7"/>
  <c r="I37" i="4"/>
  <c r="I40" i="4" s="1"/>
  <c r="I12" i="4"/>
  <c r="I15" i="4" s="1"/>
  <c r="H112" i="3"/>
  <c r="H108" i="3"/>
  <c r="H104" i="3"/>
  <c r="H100" i="3"/>
  <c r="H96" i="3"/>
  <c r="H92" i="3"/>
  <c r="H88" i="3"/>
  <c r="H84" i="3"/>
  <c r="H80" i="3"/>
  <c r="H76" i="3"/>
  <c r="H72" i="3"/>
  <c r="H68" i="3"/>
  <c r="H64" i="3"/>
  <c r="H60" i="3"/>
  <c r="H56" i="3"/>
  <c r="H52" i="3"/>
  <c r="H48" i="3"/>
  <c r="H44" i="3"/>
  <c r="H116" i="3"/>
  <c r="H13" i="3"/>
  <c r="D4" i="1"/>
  <c r="D5" i="1"/>
  <c r="I4" i="1" s="1"/>
  <c r="D6" i="1"/>
  <c r="I5" i="1" s="1"/>
  <c r="D7" i="1"/>
  <c r="I6" i="1" s="1"/>
  <c r="D8" i="1"/>
  <c r="I7" i="1" s="1"/>
  <c r="D9" i="1"/>
  <c r="I8" i="1" s="1"/>
  <c r="D10" i="1"/>
  <c r="I9" i="1" s="1"/>
  <c r="D11" i="1"/>
  <c r="I10" i="1" s="1"/>
  <c r="D12" i="1"/>
  <c r="I11" i="1" s="1"/>
  <c r="D13" i="1"/>
  <c r="I12" i="1" s="1"/>
  <c r="D14" i="1"/>
  <c r="I13" i="1" s="1"/>
  <c r="D15" i="1"/>
  <c r="I14" i="1" s="1"/>
  <c r="D16" i="1"/>
  <c r="I15" i="1" s="1"/>
  <c r="D17" i="1"/>
  <c r="I16" i="1" s="1"/>
  <c r="D3" i="1"/>
  <c r="I3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H17" i="1"/>
  <c r="H12" i="1"/>
  <c r="H13" i="1"/>
  <c r="H14" i="1"/>
  <c r="H15" i="1"/>
  <c r="H16" i="1"/>
  <c r="H5" i="1"/>
  <c r="H6" i="1"/>
  <c r="H7" i="1"/>
  <c r="H8" i="1"/>
  <c r="H9" i="1"/>
  <c r="H10" i="1"/>
  <c r="H11" i="1"/>
  <c r="H4" i="1"/>
  <c r="H3" i="1"/>
  <c r="F34" i="7" l="1"/>
  <c r="E35" i="7"/>
  <c r="F23" i="7"/>
  <c r="E24" i="7"/>
  <c r="F48" i="7"/>
  <c r="E49" i="7"/>
  <c r="I17" i="1"/>
  <c r="E36" i="7" l="1"/>
  <c r="F35" i="7"/>
  <c r="E25" i="7"/>
  <c r="F24" i="7"/>
  <c r="F49" i="7"/>
  <c r="E50" i="7"/>
  <c r="E26" i="7" l="1"/>
  <c r="F25" i="7"/>
  <c r="E51" i="7"/>
  <c r="F50" i="7"/>
  <c r="E37" i="7"/>
  <c r="F36" i="7"/>
  <c r="E52" i="7" l="1"/>
  <c r="F51" i="7"/>
  <c r="F37" i="7"/>
  <c r="E38" i="7"/>
  <c r="F26" i="7"/>
  <c r="E27" i="7"/>
  <c r="F38" i="7" l="1"/>
  <c r="E39" i="7"/>
  <c r="F27" i="7"/>
  <c r="E28" i="7"/>
  <c r="F52" i="7"/>
  <c r="E53" i="7"/>
  <c r="F53" i="7" s="1"/>
  <c r="E29" i="7" l="1"/>
  <c r="F29" i="7" s="1"/>
  <c r="F28" i="7"/>
  <c r="E40" i="7"/>
  <c r="F39" i="7"/>
  <c r="E41" i="7" l="1"/>
  <c r="F41" i="7" s="1"/>
  <c r="F40" i="7"/>
</calcChain>
</file>

<file path=xl/sharedStrings.xml><?xml version="1.0" encoding="utf-8"?>
<sst xmlns="http://schemas.openxmlformats.org/spreadsheetml/2006/main" count="136" uniqueCount="66">
  <si>
    <t>4.1)</t>
  </si>
  <si>
    <t>Temperature C</t>
  </si>
  <si>
    <t>Enthalpy (Kj/mol)</t>
  </si>
  <si>
    <t>a)</t>
  </si>
  <si>
    <t xml:space="preserve">Forward </t>
  </si>
  <si>
    <t>dp/dz</t>
  </si>
  <si>
    <t>dH/dT</t>
  </si>
  <si>
    <t xml:space="preserve">Using Second Order Correct Approximation for Derivatives </t>
  </si>
  <si>
    <t>Delta x =</t>
  </si>
  <si>
    <t xml:space="preserve">Center </t>
  </si>
  <si>
    <t>b)</t>
  </si>
  <si>
    <t>Using the equation from the graph we find Enthalpy value</t>
  </si>
  <si>
    <t>--&gt; taking the derivative of the obtained equation</t>
  </si>
  <si>
    <t>The values obtained from part a are higher than the values found in part b</t>
  </si>
  <si>
    <t>in (Kj/(C*mol))</t>
  </si>
  <si>
    <t>c)</t>
  </si>
  <si>
    <t>Cp (J/mol*K)</t>
  </si>
  <si>
    <t>The values obtained in part a and b were re-down to obtain a unit of (J/mol*K)</t>
  </si>
  <si>
    <t>Enthalpy (J/mol)</t>
  </si>
  <si>
    <t>in (J/(K*mol))</t>
  </si>
  <si>
    <t>The values are calculated in part a and highlighted in green</t>
  </si>
  <si>
    <t>Backward</t>
  </si>
  <si>
    <t>% Error</t>
  </si>
  <si>
    <t>Center</t>
  </si>
  <si>
    <t>Delta x=</t>
  </si>
  <si>
    <t>Forward</t>
  </si>
  <si>
    <t>Actual Integration</t>
  </si>
  <si>
    <t>Integral</t>
  </si>
  <si>
    <t>f(x)</t>
  </si>
  <si>
    <t>x</t>
  </si>
  <si>
    <t>f'(x)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</si>
  <si>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cosx</t>
    </r>
  </si>
  <si>
    <t>Function:</t>
  </si>
  <si>
    <t>*integration is from 0 to 1</t>
  </si>
  <si>
    <t xml:space="preserve">integration = </t>
  </si>
  <si>
    <t>*sum is the integration from -1 to 1</t>
  </si>
  <si>
    <t xml:space="preserve">sum = </t>
  </si>
  <si>
    <t>w*f(xnew)</t>
  </si>
  <si>
    <t>w</t>
  </si>
  <si>
    <t>f(xnew)</t>
  </si>
  <si>
    <t>xnew</t>
  </si>
  <si>
    <t>Using 4-point formula</t>
  </si>
  <si>
    <t>(with h=0.01)</t>
  </si>
  <si>
    <t>Using 3-point formula</t>
  </si>
  <si>
    <t>constant (b+a)/2</t>
  </si>
  <si>
    <t>constant (b-a)/2</t>
  </si>
  <si>
    <t>Using 2-point formula</t>
  </si>
  <si>
    <t>b. Gauss Quadrature (with 2, 3, and 4-point formulas)</t>
  </si>
  <si>
    <t>a. Trapezoid Rule (with h=0.1)</t>
  </si>
  <si>
    <t>I = INTEGRAL FROM 0 TO 1 (sqr(x) dx)</t>
  </si>
  <si>
    <t>Temp K</t>
  </si>
  <si>
    <t>f</t>
  </si>
  <si>
    <t xml:space="preserve">Integration </t>
  </si>
  <si>
    <t>z at 0 C</t>
  </si>
  <si>
    <t>Pressure (atm)</t>
  </si>
  <si>
    <t>At 50 degrees C</t>
  </si>
  <si>
    <t>At 25 degrees C</t>
  </si>
  <si>
    <t>At 0 degrees C</t>
  </si>
  <si>
    <t>*Khalfan decided to keep it 0.1 and as a group we agreed.</t>
  </si>
  <si>
    <t>a. Compute the pure component fugacity of nitrogen at 0, 25, and 50 degrees C</t>
  </si>
  <si>
    <t>50 degrees C</t>
  </si>
  <si>
    <t>25 degrees C</t>
  </si>
  <si>
    <t>0 degrees C</t>
  </si>
  <si>
    <t>Compressibility Factor, z</t>
  </si>
  <si>
    <t>(dz/dt)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</si>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</sst>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4394F"/>
      <name val="MJXc-TeX-main-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  <xf numFmtId="0" fontId="0" fillId="3" borderId="0" xfId="0" applyFill="1"/>
    <xf numFmtId="0" fontId="2" fillId="0" borderId="0" xfId="1"/>
    <xf numFmtId="0" fontId="2" fillId="0" borderId="0" xfId="1" applyFont="1"/>
    <xf numFmtId="0" fontId="2" fillId="0" borderId="0" xfId="1" applyFont="1" applyFill="1"/>
    <xf numFmtId="0" fontId="2" fillId="2" borderId="0" xfId="1" applyFont="1" applyFill="1"/>
    <xf numFmtId="0" fontId="3" fillId="2" borderId="0" xfId="1" applyFont="1" applyFill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Normal 2" xfId="1" xr:uid="{062B860E-5C58-2A42-830B-96FAC2AE9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C vs Enthalpy (Kj/mol)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-2E-09x</a:t>
                    </a:r>
                    <a:r>
                      <a:rPr lang="en-US" sz="1200" baseline="30000"/>
                      <a:t>3</a:t>
                    </a:r>
                    <a:r>
                      <a:rPr lang="en-US" sz="1200" baseline="0"/>
                      <a:t> + 2E-05x</a:t>
                    </a:r>
                    <a:r>
                      <a:rPr lang="en-US" sz="1200" baseline="30000"/>
                      <a:t>2</a:t>
                    </a:r>
                    <a:r>
                      <a:rPr lang="en-US" sz="1200" baseline="0"/>
                      <a:t> + 0.0374x + 21.31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0.9984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'4.1'!$B$3:$B$17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'4.1'!$C$3:$C$17</c:f>
              <c:numCache>
                <c:formatCode>General</c:formatCode>
                <c:ptCount val="15"/>
                <c:pt idx="0">
                  <c:v>25.186</c:v>
                </c:pt>
                <c:pt idx="1">
                  <c:v>27.254000000000001</c:v>
                </c:pt>
                <c:pt idx="2">
                  <c:v>29.408000000000001</c:v>
                </c:pt>
                <c:pt idx="3">
                  <c:v>31.64</c:v>
                </c:pt>
                <c:pt idx="4">
                  <c:v>33.942</c:v>
                </c:pt>
                <c:pt idx="5">
                  <c:v>36.307000000000002</c:v>
                </c:pt>
                <c:pt idx="6">
                  <c:v>38.731999999999999</c:v>
                </c:pt>
                <c:pt idx="7">
                  <c:v>41.209000000000003</c:v>
                </c:pt>
                <c:pt idx="8">
                  <c:v>43.735999999999997</c:v>
                </c:pt>
                <c:pt idx="9">
                  <c:v>46.307000000000002</c:v>
                </c:pt>
                <c:pt idx="10">
                  <c:v>48.918999999999997</c:v>
                </c:pt>
                <c:pt idx="11">
                  <c:v>51.567999999999998</c:v>
                </c:pt>
                <c:pt idx="12">
                  <c:v>54.252000000000002</c:v>
                </c:pt>
                <c:pt idx="13">
                  <c:v>58.966000000000001</c:v>
                </c:pt>
                <c:pt idx="14">
                  <c:v>59.71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8-4A45-AC29-2F241D05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14560"/>
        <c:axId val="1906316192"/>
      </c:scatterChart>
      <c:valAx>
        <c:axId val="1906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16192"/>
        <c:crosses val="autoZero"/>
        <c:crossBetween val="midCat"/>
      </c:valAx>
      <c:valAx>
        <c:axId val="19063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1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19</xdr:row>
      <xdr:rowOff>101600</xdr:rowOff>
    </xdr:from>
    <xdr:to>
      <xdr:col>10</xdr:col>
      <xdr:colOff>361950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4F2CF-406E-D247-B57F-1D749AC61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73DE-B488-C24E-8E88-3886FDD7E341}">
  <dimension ref="A1:Q56"/>
  <sheetViews>
    <sheetView topLeftCell="B40" zoomScale="107" workbookViewId="0">
      <selection activeCell="I3" sqref="I3"/>
    </sheetView>
  </sheetViews>
  <sheetFormatPr baseColWidth="10" defaultRowHeight="16"/>
  <cols>
    <col min="2" max="2" width="13.6640625" customWidth="1"/>
    <col min="3" max="3" width="15.1640625" customWidth="1"/>
    <col min="4" max="4" width="15.33203125" customWidth="1"/>
    <col min="8" max="8" width="14" customWidth="1"/>
    <col min="9" max="9" width="12.6640625" customWidth="1"/>
    <col min="13" max="13" width="13.33203125" customWidth="1"/>
    <col min="14" max="14" width="15.5" customWidth="1"/>
    <col min="15" max="15" width="12.6640625" customWidth="1"/>
    <col min="23" max="23" width="13.33203125" customWidth="1"/>
    <col min="24" max="24" width="15.33203125" customWidth="1"/>
    <col min="25" max="25" width="12.5" customWidth="1"/>
  </cols>
  <sheetData>
    <row r="1" spans="1:11">
      <c r="A1" t="s">
        <v>0</v>
      </c>
      <c r="F1" t="s">
        <v>7</v>
      </c>
    </row>
    <row r="2" spans="1:11">
      <c r="B2" t="s">
        <v>1</v>
      </c>
      <c r="C2" t="s">
        <v>2</v>
      </c>
      <c r="D2" s="3" t="s">
        <v>18</v>
      </c>
      <c r="E2" t="s">
        <v>3</v>
      </c>
      <c r="H2" s="3" t="s">
        <v>14</v>
      </c>
      <c r="I2" s="4" t="s">
        <v>19</v>
      </c>
    </row>
    <row r="3" spans="1:11">
      <c r="B3">
        <v>100</v>
      </c>
      <c r="C3">
        <v>25.186</v>
      </c>
      <c r="D3" s="3">
        <f>C3*1000</f>
        <v>25186</v>
      </c>
      <c r="F3" s="1" t="s">
        <v>4</v>
      </c>
      <c r="G3" s="1" t="s">
        <v>6</v>
      </c>
      <c r="H3" s="3">
        <f>(-3*C3+4*C4-C5)/(2*$K$3)</f>
        <v>4.0500000000000112E-2</v>
      </c>
      <c r="I3" s="4">
        <f>(-3*D3+4*D4-D5)/(2*$K$3)</f>
        <v>40.5</v>
      </c>
      <c r="J3" t="s">
        <v>8</v>
      </c>
      <c r="K3">
        <v>50</v>
      </c>
    </row>
    <row r="4" spans="1:11">
      <c r="B4">
        <v>150</v>
      </c>
      <c r="C4">
        <v>27.254000000000001</v>
      </c>
      <c r="D4" s="3">
        <f t="shared" ref="D4:D17" si="0">C4*1000</f>
        <v>27254</v>
      </c>
      <c r="F4" t="s">
        <v>9</v>
      </c>
      <c r="G4" t="s">
        <v>5</v>
      </c>
      <c r="H4" s="3">
        <f>(C5-C3)/(2*$K$3)</f>
        <v>4.2220000000000014E-2</v>
      </c>
      <c r="I4" s="4">
        <f>(D5-D3)/(2*$K$3)</f>
        <v>42.22</v>
      </c>
    </row>
    <row r="5" spans="1:11">
      <c r="B5">
        <v>200</v>
      </c>
      <c r="C5">
        <v>29.408000000000001</v>
      </c>
      <c r="D5" s="3">
        <f t="shared" si="0"/>
        <v>29408</v>
      </c>
      <c r="H5" s="3">
        <f t="shared" ref="H5:H16" si="1">(C6-C4)/(2*$K$3)</f>
        <v>4.3859999999999989E-2</v>
      </c>
      <c r="I5" s="4">
        <f t="shared" ref="I5:I16" si="2">(D6-D4)/(2*$K$3)</f>
        <v>43.86</v>
      </c>
    </row>
    <row r="6" spans="1:11">
      <c r="B6">
        <v>250</v>
      </c>
      <c r="C6">
        <v>31.64</v>
      </c>
      <c r="D6" s="3">
        <f t="shared" si="0"/>
        <v>31640</v>
      </c>
      <c r="H6" s="3">
        <f t="shared" si="1"/>
        <v>4.5339999999999991E-2</v>
      </c>
      <c r="I6" s="4">
        <f t="shared" si="2"/>
        <v>45.34</v>
      </c>
    </row>
    <row r="7" spans="1:11">
      <c r="B7">
        <v>300</v>
      </c>
      <c r="C7">
        <v>33.942</v>
      </c>
      <c r="D7" s="3">
        <f t="shared" si="0"/>
        <v>33942</v>
      </c>
      <c r="H7" s="3">
        <f t="shared" si="1"/>
        <v>4.6670000000000017E-2</v>
      </c>
      <c r="I7" s="4">
        <f t="shared" si="2"/>
        <v>46.67</v>
      </c>
    </row>
    <row r="8" spans="1:11">
      <c r="B8">
        <v>350</v>
      </c>
      <c r="C8">
        <v>36.307000000000002</v>
      </c>
      <c r="D8" s="3">
        <f t="shared" si="0"/>
        <v>36307</v>
      </c>
      <c r="H8" s="3">
        <f t="shared" si="1"/>
        <v>4.7899999999999991E-2</v>
      </c>
      <c r="I8" s="4">
        <f t="shared" si="2"/>
        <v>47.9</v>
      </c>
    </row>
    <row r="9" spans="1:11">
      <c r="B9">
        <v>400</v>
      </c>
      <c r="C9">
        <v>38.731999999999999</v>
      </c>
      <c r="D9" s="3">
        <f t="shared" si="0"/>
        <v>38732</v>
      </c>
      <c r="H9" s="3">
        <f t="shared" si="1"/>
        <v>4.9020000000000008E-2</v>
      </c>
      <c r="I9" s="4">
        <f t="shared" si="2"/>
        <v>49.02</v>
      </c>
    </row>
    <row r="10" spans="1:11">
      <c r="B10">
        <v>450</v>
      </c>
      <c r="C10">
        <v>41.209000000000003</v>
      </c>
      <c r="D10" s="3">
        <f t="shared" si="0"/>
        <v>41209</v>
      </c>
      <c r="H10" s="3">
        <f t="shared" si="1"/>
        <v>5.003999999999998E-2</v>
      </c>
      <c r="I10" s="4">
        <f t="shared" si="2"/>
        <v>50.04</v>
      </c>
    </row>
    <row r="11" spans="1:11">
      <c r="B11">
        <v>500</v>
      </c>
      <c r="C11">
        <v>43.735999999999997</v>
      </c>
      <c r="D11" s="3">
        <f t="shared" si="0"/>
        <v>43736</v>
      </c>
      <c r="H11" s="3">
        <f t="shared" si="1"/>
        <v>5.0979999999999991E-2</v>
      </c>
      <c r="I11" s="4">
        <f t="shared" si="2"/>
        <v>50.98</v>
      </c>
    </row>
    <row r="12" spans="1:11">
      <c r="B12">
        <v>550</v>
      </c>
      <c r="C12">
        <v>46.307000000000002</v>
      </c>
      <c r="D12" s="3">
        <f t="shared" si="0"/>
        <v>46307</v>
      </c>
      <c r="H12" s="3">
        <f t="shared" si="1"/>
        <v>5.1830000000000001E-2</v>
      </c>
      <c r="I12" s="4">
        <f t="shared" si="2"/>
        <v>51.83</v>
      </c>
    </row>
    <row r="13" spans="1:11">
      <c r="B13">
        <v>600</v>
      </c>
      <c r="C13">
        <v>48.918999999999997</v>
      </c>
      <c r="D13" s="3">
        <f t="shared" si="0"/>
        <v>48919</v>
      </c>
      <c r="H13" s="3">
        <f t="shared" si="1"/>
        <v>5.2609999999999955E-2</v>
      </c>
      <c r="I13" s="4">
        <f t="shared" si="2"/>
        <v>52.61</v>
      </c>
    </row>
    <row r="14" spans="1:11">
      <c r="B14">
        <v>650</v>
      </c>
      <c r="C14">
        <v>51.567999999999998</v>
      </c>
      <c r="D14" s="3">
        <f t="shared" si="0"/>
        <v>51568</v>
      </c>
      <c r="H14" s="3">
        <f t="shared" si="1"/>
        <v>5.3330000000000058E-2</v>
      </c>
      <c r="I14" s="4">
        <f t="shared" si="2"/>
        <v>53.33</v>
      </c>
    </row>
    <row r="15" spans="1:11">
      <c r="B15">
        <v>700</v>
      </c>
      <c r="C15">
        <v>54.252000000000002</v>
      </c>
      <c r="D15" s="3">
        <f t="shared" si="0"/>
        <v>54252</v>
      </c>
      <c r="H15" s="3">
        <f t="shared" si="1"/>
        <v>7.3980000000000032E-2</v>
      </c>
      <c r="I15" s="4">
        <f t="shared" si="2"/>
        <v>73.98</v>
      </c>
    </row>
    <row r="16" spans="1:11">
      <c r="B16">
        <v>750</v>
      </c>
      <c r="C16">
        <v>58.966000000000001</v>
      </c>
      <c r="D16" s="3">
        <f t="shared" si="0"/>
        <v>58966</v>
      </c>
      <c r="H16" s="3">
        <f t="shared" si="1"/>
        <v>5.4579999999999983E-2</v>
      </c>
      <c r="I16" s="4">
        <f t="shared" si="2"/>
        <v>54.58</v>
      </c>
    </row>
    <row r="17" spans="2:17">
      <c r="B17">
        <v>800</v>
      </c>
      <c r="C17">
        <v>59.71</v>
      </c>
      <c r="D17" s="3">
        <f t="shared" si="0"/>
        <v>59710</v>
      </c>
      <c r="H17" s="3">
        <f>(-3*C17+4*C16-C15)/(2*$K$3)</f>
        <v>2.4820000000000064E-2</v>
      </c>
      <c r="I17" s="4">
        <f>(-3*D17+4*D16-D15)/(2*$K$3)</f>
        <v>24.82</v>
      </c>
    </row>
    <row r="19" spans="2:17">
      <c r="E19" t="s">
        <v>10</v>
      </c>
      <c r="M19" t="s">
        <v>11</v>
      </c>
    </row>
    <row r="20" spans="2:17">
      <c r="M20" t="s">
        <v>1</v>
      </c>
      <c r="N20" t="s">
        <v>2</v>
      </c>
      <c r="O20" s="3" t="s">
        <v>14</v>
      </c>
      <c r="P20" s="2" t="s">
        <v>12</v>
      </c>
    </row>
    <row r="21" spans="2:17">
      <c r="M21">
        <v>100</v>
      </c>
      <c r="N21">
        <f>-2*10^(-9)*(M21^3)+2*10^(-5)*(M21^2)+0.0374*M21+21.31</f>
        <v>25.247999999999998</v>
      </c>
      <c r="O21" s="3">
        <f>3*-2*10^(-9)*(N21^2)+2*2*10^(-5)*(N21^1)+0.0374</f>
        <v>3.8406095230976003E-2</v>
      </c>
    </row>
    <row r="22" spans="2:17">
      <c r="M22">
        <v>150</v>
      </c>
      <c r="N22">
        <f t="shared" ref="N22:N35" si="3">-2*10^(-9)*(M22^3)+2*10^(-5)*(M22^2)+0.0374*M22+21.31</f>
        <v>27.363250000000001</v>
      </c>
      <c r="O22" s="3">
        <f t="shared" ref="O22:O35" si="4">3*-2*10^(-9)*(N22^2)+2*2*10^(-5)*(N22^1)+0.0374</f>
        <v>3.849003751529663E-2</v>
      </c>
      <c r="Q22" t="s">
        <v>13</v>
      </c>
    </row>
    <row r="23" spans="2:17">
      <c r="M23">
        <v>200</v>
      </c>
      <c r="N23">
        <f t="shared" si="3"/>
        <v>29.573999999999998</v>
      </c>
      <c r="O23" s="3">
        <f t="shared" si="4"/>
        <v>3.8577712271144003E-2</v>
      </c>
    </row>
    <row r="24" spans="2:17">
      <c r="M24">
        <v>250</v>
      </c>
      <c r="N24">
        <f t="shared" si="3"/>
        <v>31.87875</v>
      </c>
      <c r="O24" s="3">
        <f t="shared" si="4"/>
        <v>3.866905247179063E-2</v>
      </c>
    </row>
    <row r="25" spans="2:17">
      <c r="M25">
        <v>300</v>
      </c>
      <c r="N25">
        <f t="shared" si="3"/>
        <v>34.275999999999996</v>
      </c>
      <c r="O25" s="3">
        <f t="shared" si="4"/>
        <v>3.8763990934944002E-2</v>
      </c>
    </row>
    <row r="26" spans="2:17">
      <c r="M26">
        <v>350</v>
      </c>
      <c r="N26">
        <f t="shared" si="3"/>
        <v>36.764250000000004</v>
      </c>
      <c r="O26" s="3">
        <f t="shared" si="4"/>
        <v>3.8862460339531626E-2</v>
      </c>
    </row>
    <row r="27" spans="2:17">
      <c r="M27">
        <v>400</v>
      </c>
      <c r="N27">
        <f t="shared" si="3"/>
        <v>39.341999999999999</v>
      </c>
      <c r="O27" s="3">
        <f t="shared" si="4"/>
        <v>3.8964393242216004E-2</v>
      </c>
    </row>
    <row r="28" spans="2:17">
      <c r="M28">
        <v>450</v>
      </c>
      <c r="N28">
        <f t="shared" si="3"/>
        <v>42.007750000000001</v>
      </c>
      <c r="O28" s="3">
        <f t="shared" si="4"/>
        <v>3.9069722093639625E-2</v>
      </c>
    </row>
    <row r="29" spans="2:17">
      <c r="M29">
        <v>500</v>
      </c>
      <c r="N29">
        <f t="shared" si="3"/>
        <v>44.760000000000005</v>
      </c>
      <c r="O29" s="3">
        <f t="shared" si="4"/>
        <v>3.91783792544E-2</v>
      </c>
    </row>
    <row r="30" spans="2:17">
      <c r="M30">
        <v>550</v>
      </c>
      <c r="N30">
        <f t="shared" si="3"/>
        <v>47.597250000000003</v>
      </c>
      <c r="O30" s="3">
        <f t="shared" si="4"/>
        <v>3.9290297010754628E-2</v>
      </c>
    </row>
    <row r="31" spans="2:17">
      <c r="M31">
        <v>600</v>
      </c>
      <c r="N31">
        <f t="shared" si="3"/>
        <v>50.518000000000001</v>
      </c>
      <c r="O31" s="3">
        <f t="shared" si="4"/>
        <v>3.9405407590056001E-2</v>
      </c>
    </row>
    <row r="32" spans="2:17">
      <c r="M32">
        <v>650</v>
      </c>
      <c r="N32">
        <f t="shared" si="3"/>
        <v>53.520750000000007</v>
      </c>
      <c r="O32" s="3">
        <f t="shared" si="4"/>
        <v>3.9523643175916626E-2</v>
      </c>
    </row>
    <row r="33" spans="5:15">
      <c r="M33">
        <v>700</v>
      </c>
      <c r="N33">
        <f t="shared" si="3"/>
        <v>56.603999999999999</v>
      </c>
      <c r="O33" s="3">
        <f t="shared" si="4"/>
        <v>3.9644935923104002E-2</v>
      </c>
    </row>
    <row r="34" spans="5:15">
      <c r="M34">
        <v>750</v>
      </c>
      <c r="N34">
        <f t="shared" si="3"/>
        <v>59.766249999999999</v>
      </c>
      <c r="O34" s="3">
        <f t="shared" si="4"/>
        <v>3.9769217972165628E-2</v>
      </c>
    </row>
    <row r="35" spans="5:15">
      <c r="M35">
        <v>800</v>
      </c>
      <c r="N35">
        <f t="shared" si="3"/>
        <v>63.006</v>
      </c>
      <c r="O35" s="3">
        <f t="shared" si="4"/>
        <v>3.9896421463784006E-2</v>
      </c>
    </row>
    <row r="40" spans="5:15">
      <c r="E40" t="s">
        <v>15</v>
      </c>
    </row>
    <row r="41" spans="5:15">
      <c r="F41" s="1" t="s">
        <v>50</v>
      </c>
      <c r="G41" s="1" t="s">
        <v>16</v>
      </c>
      <c r="H41" t="s">
        <v>18</v>
      </c>
      <c r="I41" t="s">
        <v>17</v>
      </c>
    </row>
    <row r="42" spans="5:15">
      <c r="F42">
        <v>373.15</v>
      </c>
      <c r="G42">
        <v>40.460999999999999</v>
      </c>
      <c r="H42">
        <f>G42*F42</f>
        <v>15098.022149999999</v>
      </c>
    </row>
    <row r="43" spans="5:15">
      <c r="F43">
        <v>423.15</v>
      </c>
      <c r="G43">
        <v>42.256</v>
      </c>
      <c r="H43">
        <f t="shared" ref="H43:H56" si="5">G43*F43</f>
        <v>17880.626399999997</v>
      </c>
      <c r="I43" s="4" t="s">
        <v>20</v>
      </c>
    </row>
    <row r="44" spans="5:15">
      <c r="F44">
        <v>473.15</v>
      </c>
      <c r="G44">
        <v>43.881</v>
      </c>
      <c r="H44">
        <f t="shared" si="5"/>
        <v>20762.295149999998</v>
      </c>
    </row>
    <row r="45" spans="5:15">
      <c r="F45">
        <v>523.15</v>
      </c>
      <c r="G45">
        <v>45.354999999999997</v>
      </c>
      <c r="H45">
        <f t="shared" si="5"/>
        <v>23727.468249999998</v>
      </c>
    </row>
    <row r="46" spans="5:15">
      <c r="F46">
        <v>573.15</v>
      </c>
      <c r="G46">
        <v>46.695</v>
      </c>
      <c r="H46">
        <f t="shared" si="5"/>
        <v>26763.239249999999</v>
      </c>
    </row>
    <row r="47" spans="5:15">
      <c r="F47">
        <v>623.15</v>
      </c>
      <c r="G47">
        <v>47.917000000000002</v>
      </c>
      <c r="H47">
        <f t="shared" si="5"/>
        <v>29859.47855</v>
      </c>
    </row>
    <row r="48" spans="5:15">
      <c r="F48">
        <v>673.15</v>
      </c>
      <c r="G48">
        <v>49.033999999999999</v>
      </c>
      <c r="H48">
        <f t="shared" si="5"/>
        <v>33007.237099999998</v>
      </c>
    </row>
    <row r="49" spans="6:8">
      <c r="F49">
        <v>723.15</v>
      </c>
      <c r="G49">
        <v>50.055</v>
      </c>
      <c r="H49">
        <f t="shared" si="5"/>
        <v>36197.273249999998</v>
      </c>
    </row>
    <row r="50" spans="6:8">
      <c r="F50">
        <v>773.15</v>
      </c>
      <c r="G50">
        <v>50.988999999999997</v>
      </c>
      <c r="H50">
        <f t="shared" si="5"/>
        <v>39422.145349999999</v>
      </c>
    </row>
    <row r="51" spans="6:8">
      <c r="F51">
        <v>823.15</v>
      </c>
      <c r="G51">
        <v>51.843000000000004</v>
      </c>
      <c r="H51">
        <f t="shared" si="5"/>
        <v>42674.565450000002</v>
      </c>
    </row>
    <row r="52" spans="6:8">
      <c r="F52">
        <v>873.15</v>
      </c>
      <c r="G52">
        <v>52.624000000000002</v>
      </c>
      <c r="H52">
        <f t="shared" si="5"/>
        <v>45948.645600000003</v>
      </c>
    </row>
    <row r="53" spans="6:8">
      <c r="F53">
        <v>923.15</v>
      </c>
      <c r="G53">
        <v>53.338999999999999</v>
      </c>
      <c r="H53">
        <f t="shared" si="5"/>
        <v>49239.897849999994</v>
      </c>
    </row>
    <row r="54" spans="6:8">
      <c r="F54">
        <v>973.15</v>
      </c>
      <c r="G54">
        <v>53.994</v>
      </c>
      <c r="H54">
        <f t="shared" si="5"/>
        <v>52544.261099999996</v>
      </c>
    </row>
    <row r="55" spans="6:8">
      <c r="F55">
        <v>1023.15</v>
      </c>
      <c r="G55">
        <v>54.593000000000004</v>
      </c>
      <c r="H55">
        <f t="shared" si="5"/>
        <v>55856.827949999999</v>
      </c>
    </row>
    <row r="56" spans="6:8">
      <c r="F56">
        <v>1073.1500000000001</v>
      </c>
      <c r="G56">
        <v>55.143999999999998</v>
      </c>
      <c r="H56">
        <f t="shared" si="5"/>
        <v>59177.783600000002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5A98-1239-5448-9043-BE342562042E}">
  <dimension ref="A1:L121"/>
  <sheetViews>
    <sheetView workbookViewId="0">
      <selection activeCell="E26" sqref="E26"/>
    </sheetView>
  </sheetViews>
  <sheetFormatPr baseColWidth="10" defaultRowHeight="16"/>
  <cols>
    <col min="9" max="9" width="13.6640625" customWidth="1"/>
    <col min="11" max="11" width="15.1640625" customWidth="1"/>
  </cols>
  <sheetData>
    <row r="1" spans="1:12">
      <c r="A1" s="10">
        <v>4.4000000000000004</v>
      </c>
      <c r="B1" s="10"/>
      <c r="C1" s="10"/>
      <c r="D1" s="10"/>
      <c r="E1" s="10"/>
    </row>
    <row r="3" spans="1:12">
      <c r="A3" t="s">
        <v>49</v>
      </c>
    </row>
    <row r="5" spans="1:12">
      <c r="A5" t="s">
        <v>48</v>
      </c>
      <c r="E5" t="s">
        <v>47</v>
      </c>
    </row>
    <row r="6" spans="1:12">
      <c r="A6" t="s">
        <v>29</v>
      </c>
      <c r="B6" t="s">
        <v>28</v>
      </c>
      <c r="C6" t="s">
        <v>27</v>
      </c>
    </row>
    <row r="7" spans="1:12">
      <c r="A7">
        <v>0</v>
      </c>
      <c r="B7">
        <f t="shared" ref="B7:B17" si="0">SQRT(A7)</f>
        <v>0</v>
      </c>
      <c r="C7">
        <f>0</f>
        <v>0</v>
      </c>
      <c r="E7" t="s">
        <v>46</v>
      </c>
    </row>
    <row r="8" spans="1:12">
      <c r="A8">
        <v>0.1</v>
      </c>
      <c r="B8">
        <f t="shared" si="0"/>
        <v>0.31622776601683794</v>
      </c>
      <c r="C8">
        <f t="shared" ref="C8:C17" si="1">C7+((B7+B8)/2)*(A8-A7)</f>
        <v>1.5811388300841899E-2</v>
      </c>
      <c r="E8" t="s">
        <v>29</v>
      </c>
      <c r="F8" t="s">
        <v>40</v>
      </c>
      <c r="G8" t="s">
        <v>39</v>
      </c>
      <c r="H8" t="s">
        <v>38</v>
      </c>
      <c r="I8" t="s">
        <v>37</v>
      </c>
      <c r="K8" t="s">
        <v>45</v>
      </c>
      <c r="L8">
        <f>(1-0)/2</f>
        <v>0.5</v>
      </c>
    </row>
    <row r="9" spans="1:12">
      <c r="A9">
        <v>0.2</v>
      </c>
      <c r="B9">
        <f t="shared" si="0"/>
        <v>0.44721359549995793</v>
      </c>
      <c r="C9">
        <f t="shared" si="1"/>
        <v>5.3983456376681699E-2</v>
      </c>
      <c r="E9">
        <f>(-1)/(SQRT(3))</f>
        <v>-0.57735026918962584</v>
      </c>
      <c r="F9" s="2">
        <f>$L$8*E9+$L$9</f>
        <v>0.21132486540518708</v>
      </c>
      <c r="G9">
        <f>SQRT(F9)</f>
        <v>0.45970084338098299</v>
      </c>
      <c r="H9">
        <v>1</v>
      </c>
      <c r="I9">
        <f>H9*G9</f>
        <v>0.45970084338098299</v>
      </c>
      <c r="K9" t="s">
        <v>44</v>
      </c>
      <c r="L9">
        <f>(1+0)/2</f>
        <v>0.5</v>
      </c>
    </row>
    <row r="10" spans="1:12">
      <c r="A10">
        <v>0.3</v>
      </c>
      <c r="B10">
        <f t="shared" si="0"/>
        <v>0.54772255750516607</v>
      </c>
      <c r="C10">
        <f t="shared" si="1"/>
        <v>0.10373026402693789</v>
      </c>
      <c r="E10">
        <f>1/(SQRT(3))</f>
        <v>0.57735026918962584</v>
      </c>
      <c r="F10" s="2">
        <f>$L$8*E10+$L$9</f>
        <v>0.78867513459481287</v>
      </c>
      <c r="G10">
        <f>SQRT(F10)</f>
        <v>0.88807383397711526</v>
      </c>
      <c r="H10">
        <v>1</v>
      </c>
      <c r="I10">
        <f>H10*G10</f>
        <v>0.88807383397711526</v>
      </c>
    </row>
    <row r="11" spans="1:12">
      <c r="A11">
        <v>0.4</v>
      </c>
      <c r="B11">
        <f t="shared" si="0"/>
        <v>0.63245553203367588</v>
      </c>
      <c r="C11">
        <f t="shared" si="1"/>
        <v>0.16273916850387998</v>
      </c>
    </row>
    <row r="12" spans="1:12">
      <c r="A12">
        <v>0.5</v>
      </c>
      <c r="B12">
        <f t="shared" si="0"/>
        <v>0.70710678118654757</v>
      </c>
      <c r="C12">
        <f t="shared" si="1"/>
        <v>0.22971728416489112</v>
      </c>
      <c r="H12" t="s">
        <v>36</v>
      </c>
      <c r="I12">
        <f>SUM(I9:I10)</f>
        <v>1.3477746773580983</v>
      </c>
    </row>
    <row r="13" spans="1:12">
      <c r="A13">
        <v>0.6</v>
      </c>
      <c r="B13">
        <f t="shared" si="0"/>
        <v>0.7745966692414834</v>
      </c>
      <c r="C13">
        <f t="shared" si="1"/>
        <v>0.30380245668629263</v>
      </c>
      <c r="H13" t="s">
        <v>35</v>
      </c>
    </row>
    <row r="14" spans="1:12">
      <c r="A14">
        <v>0.7</v>
      </c>
      <c r="B14">
        <f t="shared" si="0"/>
        <v>0.83666002653407556</v>
      </c>
      <c r="C14">
        <f t="shared" si="1"/>
        <v>0.38436529147507059</v>
      </c>
    </row>
    <row r="15" spans="1:12">
      <c r="A15">
        <v>0.8</v>
      </c>
      <c r="B15">
        <f t="shared" si="0"/>
        <v>0.89442719099991586</v>
      </c>
      <c r="C15">
        <f t="shared" si="1"/>
        <v>0.47091965235177025</v>
      </c>
      <c r="H15" s="3" t="s">
        <v>34</v>
      </c>
      <c r="I15" s="3">
        <f>L8*I12</f>
        <v>0.67388733867904915</v>
      </c>
    </row>
    <row r="16" spans="1:12">
      <c r="A16">
        <v>0.9</v>
      </c>
      <c r="B16">
        <f t="shared" si="0"/>
        <v>0.94868329805051377</v>
      </c>
      <c r="C16">
        <f t="shared" si="1"/>
        <v>0.56307517680429175</v>
      </c>
      <c r="H16" t="s">
        <v>33</v>
      </c>
    </row>
    <row r="17" spans="1:9">
      <c r="A17">
        <v>1</v>
      </c>
      <c r="B17">
        <f t="shared" si="0"/>
        <v>1</v>
      </c>
      <c r="C17" s="3">
        <f t="shared" si="1"/>
        <v>0.66050934170681741</v>
      </c>
    </row>
    <row r="18" spans="1:9">
      <c r="E18" t="s">
        <v>43</v>
      </c>
    </row>
    <row r="19" spans="1:9">
      <c r="A19" t="s">
        <v>42</v>
      </c>
      <c r="E19" t="s">
        <v>29</v>
      </c>
      <c r="F19" t="s">
        <v>40</v>
      </c>
      <c r="G19" t="s">
        <v>39</v>
      </c>
      <c r="H19" t="s">
        <v>38</v>
      </c>
      <c r="I19" t="s">
        <v>37</v>
      </c>
    </row>
    <row r="20" spans="1:9">
      <c r="A20" t="s">
        <v>29</v>
      </c>
      <c r="B20" t="s">
        <v>28</v>
      </c>
      <c r="C20" t="s">
        <v>27</v>
      </c>
      <c r="E20">
        <v>-0.77459999999999996</v>
      </c>
      <c r="F20">
        <f>$L$8*E20+$L$9</f>
        <v>0.11270000000000002</v>
      </c>
      <c r="G20">
        <f>SQRT(F20)</f>
        <v>0.33570820663189038</v>
      </c>
      <c r="H20">
        <v>0.55556000000000005</v>
      </c>
      <c r="I20">
        <f>H20*G20</f>
        <v>0.18650605127641304</v>
      </c>
    </row>
    <row r="21" spans="1:9">
      <c r="A21">
        <v>0</v>
      </c>
      <c r="B21">
        <f t="shared" ref="B21:B52" si="2">SQRT(A21)</f>
        <v>0</v>
      </c>
      <c r="C21">
        <f>0</f>
        <v>0</v>
      </c>
      <c r="E21">
        <v>0</v>
      </c>
      <c r="F21">
        <f>$L$8*E21+$L$9</f>
        <v>0.5</v>
      </c>
      <c r="G21">
        <f>SQRT(F21)</f>
        <v>0.70710678118654757</v>
      </c>
      <c r="H21">
        <v>0.88888999999999996</v>
      </c>
      <c r="I21">
        <f>H21*G21</f>
        <v>0.62854014672891023</v>
      </c>
    </row>
    <row r="22" spans="1:9">
      <c r="A22">
        <v>0.01</v>
      </c>
      <c r="B22">
        <f t="shared" si="2"/>
        <v>0.1</v>
      </c>
      <c r="C22">
        <f t="shared" ref="C22:C53" si="3">C21+((B21+B22)/2)*(A22-A21)</f>
        <v>5.0000000000000001E-4</v>
      </c>
      <c r="E22">
        <v>0.77459999999999996</v>
      </c>
      <c r="F22">
        <f>$L$8*E22+$L$9</f>
        <v>0.88729999999999998</v>
      </c>
      <c r="G22">
        <f>SQRT(F22)</f>
        <v>0.94196602911145366</v>
      </c>
      <c r="H22">
        <v>0.55556000000000005</v>
      </c>
      <c r="I22">
        <f>H22*G22</f>
        <v>0.52331864713315923</v>
      </c>
    </row>
    <row r="23" spans="1:9">
      <c r="A23">
        <v>0.02</v>
      </c>
      <c r="B23">
        <f t="shared" si="2"/>
        <v>0.1414213562373095</v>
      </c>
      <c r="C23">
        <f t="shared" si="3"/>
        <v>1.7071067811865476E-3</v>
      </c>
    </row>
    <row r="24" spans="1:9">
      <c r="A24">
        <v>0.03</v>
      </c>
      <c r="B24">
        <f t="shared" si="2"/>
        <v>0.17320508075688773</v>
      </c>
      <c r="C24">
        <f t="shared" si="3"/>
        <v>3.2802389661575337E-3</v>
      </c>
      <c r="H24" t="s">
        <v>36</v>
      </c>
      <c r="I24">
        <f>SUM(I20:I22)</f>
        <v>1.3383648451384826</v>
      </c>
    </row>
    <row r="25" spans="1:9">
      <c r="A25">
        <v>0.04</v>
      </c>
      <c r="B25">
        <f t="shared" si="2"/>
        <v>0.2</v>
      </c>
      <c r="C25">
        <f t="shared" si="3"/>
        <v>5.1462643699419731E-3</v>
      </c>
      <c r="H25" t="s">
        <v>35</v>
      </c>
    </row>
    <row r="26" spans="1:9">
      <c r="A26">
        <v>0.05</v>
      </c>
      <c r="B26">
        <f t="shared" si="2"/>
        <v>0.22360679774997896</v>
      </c>
      <c r="C26">
        <f t="shared" si="3"/>
        <v>7.2642983586918685E-3</v>
      </c>
    </row>
    <row r="27" spans="1:9">
      <c r="A27">
        <v>0.06</v>
      </c>
      <c r="B27">
        <f t="shared" si="2"/>
        <v>0.2449489742783178</v>
      </c>
      <c r="C27">
        <f t="shared" si="3"/>
        <v>9.6070772188333511E-3</v>
      </c>
      <c r="H27" s="3" t="s">
        <v>34</v>
      </c>
      <c r="I27" s="3">
        <f>L8*I24</f>
        <v>0.66918242256924132</v>
      </c>
    </row>
    <row r="28" spans="1:9">
      <c r="A28">
        <v>7.0000000000000007E-2</v>
      </c>
      <c r="B28">
        <f t="shared" si="2"/>
        <v>0.26457513110645908</v>
      </c>
      <c r="C28">
        <f t="shared" si="3"/>
        <v>1.2154697745757238E-2</v>
      </c>
      <c r="H28" t="s">
        <v>33</v>
      </c>
    </row>
    <row r="29" spans="1:9">
      <c r="A29">
        <v>0.08</v>
      </c>
      <c r="B29">
        <f t="shared" si="2"/>
        <v>0.28284271247461901</v>
      </c>
      <c r="C29">
        <f t="shared" si="3"/>
        <v>1.4891786963662628E-2</v>
      </c>
    </row>
    <row r="30" spans="1:9">
      <c r="A30">
        <v>0.09</v>
      </c>
      <c r="B30">
        <f t="shared" si="2"/>
        <v>0.3</v>
      </c>
      <c r="C30">
        <f t="shared" si="3"/>
        <v>1.7806000526035721E-2</v>
      </c>
      <c r="E30" t="s">
        <v>41</v>
      </c>
    </row>
    <row r="31" spans="1:9">
      <c r="A31">
        <v>0.1</v>
      </c>
      <c r="B31">
        <f t="shared" si="2"/>
        <v>0.31622776601683794</v>
      </c>
      <c r="C31">
        <f t="shared" si="3"/>
        <v>2.0887139356119914E-2</v>
      </c>
      <c r="E31" t="s">
        <v>29</v>
      </c>
      <c r="F31" t="s">
        <v>40</v>
      </c>
      <c r="G31" t="s">
        <v>39</v>
      </c>
      <c r="H31" t="s">
        <v>38</v>
      </c>
      <c r="I31" t="s">
        <v>37</v>
      </c>
    </row>
    <row r="32" spans="1:9">
      <c r="A32">
        <v>0.11</v>
      </c>
      <c r="B32">
        <f t="shared" si="2"/>
        <v>0.33166247903553997</v>
      </c>
      <c r="C32">
        <f t="shared" si="3"/>
        <v>2.41265905813818E-2</v>
      </c>
      <c r="E32">
        <v>-0.86114000000000002</v>
      </c>
      <c r="F32">
        <f>$L$8*E32+$L$9</f>
        <v>6.9429999999999992E-2</v>
      </c>
      <c r="G32">
        <f>SQRT(F32)</f>
        <v>0.26349573051569541</v>
      </c>
      <c r="H32">
        <v>0.34784999999999999</v>
      </c>
      <c r="I32">
        <f>H32*G32</f>
        <v>9.1656989859884644E-2</v>
      </c>
    </row>
    <row r="33" spans="1:9">
      <c r="A33">
        <v>0.12</v>
      </c>
      <c r="B33">
        <f t="shared" si="2"/>
        <v>0.34641016151377546</v>
      </c>
      <c r="C33">
        <f t="shared" si="3"/>
        <v>2.7516953784128377E-2</v>
      </c>
      <c r="E33">
        <v>-0.33998</v>
      </c>
      <c r="F33">
        <f>$L$8*E33+$L$9</f>
        <v>0.33001000000000003</v>
      </c>
      <c r="G33">
        <f>SQRT(F33)</f>
        <v>0.5744649684706632</v>
      </c>
      <c r="H33">
        <v>0.65215000000000001</v>
      </c>
      <c r="I33">
        <f>H33*G33</f>
        <v>0.37463732918814302</v>
      </c>
    </row>
    <row r="34" spans="1:9">
      <c r="A34">
        <v>0.13</v>
      </c>
      <c r="B34">
        <f t="shared" si="2"/>
        <v>0.36055512754639896</v>
      </c>
      <c r="C34">
        <f t="shared" si="3"/>
        <v>3.1051780229429251E-2</v>
      </c>
      <c r="E34">
        <v>0.33998</v>
      </c>
      <c r="F34">
        <f>$L$8*E34+$L$9</f>
        <v>0.66998999999999997</v>
      </c>
      <c r="G34">
        <f>SQRT(F34)</f>
        <v>0.81852916869223424</v>
      </c>
      <c r="H34">
        <v>0.65215000000000001</v>
      </c>
      <c r="I34">
        <f>H34*G34</f>
        <v>0.53380379736264061</v>
      </c>
    </row>
    <row r="35" spans="1:9">
      <c r="A35">
        <v>0.14000000000000001</v>
      </c>
      <c r="B35">
        <f t="shared" si="2"/>
        <v>0.37416573867739417</v>
      </c>
      <c r="C35">
        <f t="shared" si="3"/>
        <v>3.4725384560548217E-2</v>
      </c>
      <c r="E35">
        <v>0.86114000000000002</v>
      </c>
      <c r="F35">
        <f>$L$8*E35+$L$9</f>
        <v>0.93057000000000001</v>
      </c>
      <c r="G35">
        <f>SQRT(F35)</f>
        <v>0.96466056206315387</v>
      </c>
      <c r="H35">
        <v>0.34784999999999999</v>
      </c>
      <c r="I35">
        <f>H35*G35</f>
        <v>0.33555717651366807</v>
      </c>
    </row>
    <row r="36" spans="1:9">
      <c r="A36">
        <v>0.15</v>
      </c>
      <c r="B36">
        <f t="shared" si="2"/>
        <v>0.3872983346207417</v>
      </c>
      <c r="C36">
        <f t="shared" si="3"/>
        <v>3.8532704927038891E-2</v>
      </c>
    </row>
    <row r="37" spans="1:9">
      <c r="A37">
        <v>0.16</v>
      </c>
      <c r="B37">
        <f t="shared" si="2"/>
        <v>0.4</v>
      </c>
      <c r="C37">
        <f t="shared" si="3"/>
        <v>4.2469196600142603E-2</v>
      </c>
      <c r="H37" t="s">
        <v>36</v>
      </c>
      <c r="I37">
        <f>SUM(I32:I35)</f>
        <v>1.3356552929243362</v>
      </c>
    </row>
    <row r="38" spans="1:9">
      <c r="A38">
        <v>0.17</v>
      </c>
      <c r="B38">
        <f t="shared" si="2"/>
        <v>0.41231056256176607</v>
      </c>
      <c r="C38">
        <f t="shared" si="3"/>
        <v>4.653074941295144E-2</v>
      </c>
      <c r="H38" t="s">
        <v>35</v>
      </c>
    </row>
    <row r="39" spans="1:9">
      <c r="A39">
        <v>0.18</v>
      </c>
      <c r="B39">
        <f t="shared" si="2"/>
        <v>0.42426406871192851</v>
      </c>
      <c r="C39">
        <f t="shared" si="3"/>
        <v>5.0713622569319904E-2</v>
      </c>
    </row>
    <row r="40" spans="1:9">
      <c r="A40">
        <v>0.19</v>
      </c>
      <c r="B40">
        <f t="shared" si="2"/>
        <v>0.43588989435406733</v>
      </c>
      <c r="C40">
        <f t="shared" si="3"/>
        <v>5.5014392384649884E-2</v>
      </c>
      <c r="H40" s="3" t="s">
        <v>34</v>
      </c>
      <c r="I40" s="3">
        <f>L8*I37</f>
        <v>0.66782764646216808</v>
      </c>
    </row>
    <row r="41" spans="1:9">
      <c r="A41">
        <v>0.2</v>
      </c>
      <c r="B41">
        <f t="shared" si="2"/>
        <v>0.44721359549995793</v>
      </c>
      <c r="C41">
        <f t="shared" si="3"/>
        <v>5.9429909833920012E-2</v>
      </c>
      <c r="H41" t="s">
        <v>33</v>
      </c>
    </row>
    <row r="42" spans="1:9">
      <c r="A42">
        <v>0.21</v>
      </c>
      <c r="B42">
        <f t="shared" si="2"/>
        <v>0.45825756949558399</v>
      </c>
      <c r="C42">
        <f t="shared" si="3"/>
        <v>6.3957265658897713E-2</v>
      </c>
    </row>
    <row r="43" spans="1:9">
      <c r="A43">
        <v>0.22</v>
      </c>
      <c r="B43">
        <f t="shared" si="2"/>
        <v>0.46904157598234297</v>
      </c>
      <c r="C43">
        <f t="shared" si="3"/>
        <v>6.8593761386287352E-2</v>
      </c>
    </row>
    <row r="44" spans="1:9">
      <c r="A44">
        <v>0.23</v>
      </c>
      <c r="B44">
        <f t="shared" si="2"/>
        <v>0.47958315233127197</v>
      </c>
      <c r="C44">
        <f t="shared" si="3"/>
        <v>7.3336885027855431E-2</v>
      </c>
    </row>
    <row r="45" spans="1:9">
      <c r="A45">
        <v>0.24</v>
      </c>
      <c r="B45">
        <f t="shared" si="2"/>
        <v>0.4898979485566356</v>
      </c>
      <c r="C45">
        <f t="shared" si="3"/>
        <v>7.8184290532294962E-2</v>
      </c>
    </row>
    <row r="46" spans="1:9">
      <c r="A46">
        <v>0.25</v>
      </c>
      <c r="B46">
        <f t="shared" si="2"/>
        <v>0.5</v>
      </c>
      <c r="C46">
        <f t="shared" si="3"/>
        <v>8.3133780275078145E-2</v>
      </c>
    </row>
    <row r="47" spans="1:9">
      <c r="A47">
        <v>0.26</v>
      </c>
      <c r="B47">
        <f t="shared" si="2"/>
        <v>0.50990195135927852</v>
      </c>
      <c r="C47">
        <f t="shared" si="3"/>
        <v>8.8183290031874542E-2</v>
      </c>
    </row>
    <row r="48" spans="1:9">
      <c r="A48">
        <v>0.27</v>
      </c>
      <c r="B48">
        <f t="shared" si="2"/>
        <v>0.51961524227066325</v>
      </c>
      <c r="C48">
        <f t="shared" si="3"/>
        <v>9.3330876000024252E-2</v>
      </c>
    </row>
    <row r="49" spans="1:3">
      <c r="A49">
        <v>0.28000000000000003</v>
      </c>
      <c r="B49">
        <f t="shared" si="2"/>
        <v>0.52915026221291817</v>
      </c>
      <c r="C49">
        <f t="shared" si="3"/>
        <v>9.8574703522442159E-2</v>
      </c>
    </row>
    <row r="50" spans="1:3">
      <c r="A50">
        <v>0.28999999999999998</v>
      </c>
      <c r="B50">
        <f t="shared" si="2"/>
        <v>0.53851648071345037</v>
      </c>
      <c r="C50">
        <f t="shared" si="3"/>
        <v>0.10391303723707397</v>
      </c>
    </row>
    <row r="51" spans="1:3">
      <c r="A51">
        <v>0.3</v>
      </c>
      <c r="B51">
        <f t="shared" si="2"/>
        <v>0.54772255750516607</v>
      </c>
      <c r="C51">
        <f t="shared" si="3"/>
        <v>0.10934423242816706</v>
      </c>
    </row>
    <row r="52" spans="1:3">
      <c r="A52">
        <v>0.31</v>
      </c>
      <c r="B52">
        <f t="shared" si="2"/>
        <v>0.55677643628300222</v>
      </c>
      <c r="C52">
        <f t="shared" si="3"/>
        <v>0.1148667273971079</v>
      </c>
    </row>
    <row r="53" spans="1:3">
      <c r="A53">
        <v>0.32</v>
      </c>
      <c r="B53">
        <f t="shared" ref="B53:B84" si="4">SQRT(A53)</f>
        <v>0.56568542494923801</v>
      </c>
      <c r="C53">
        <f t="shared" si="3"/>
        <v>0.12047903670326911</v>
      </c>
    </row>
    <row r="54" spans="1:3">
      <c r="A54">
        <v>0.33</v>
      </c>
      <c r="B54">
        <f t="shared" si="4"/>
        <v>0.57445626465380284</v>
      </c>
      <c r="C54">
        <f t="shared" ref="C54:C85" si="5">C53+((B53+B54)/2)*(A54-A53)</f>
        <v>0.12617974515128433</v>
      </c>
    </row>
    <row r="55" spans="1:3">
      <c r="A55">
        <v>0.34</v>
      </c>
      <c r="B55">
        <f t="shared" si="4"/>
        <v>0.5830951894845301</v>
      </c>
      <c r="C55">
        <f t="shared" si="5"/>
        <v>0.131967502421976</v>
      </c>
    </row>
    <row r="56" spans="1:3">
      <c r="A56">
        <v>0.35</v>
      </c>
      <c r="B56">
        <f t="shared" si="4"/>
        <v>0.59160797830996159</v>
      </c>
      <c r="C56">
        <f t="shared" si="5"/>
        <v>0.13784101826094844</v>
      </c>
    </row>
    <row r="57" spans="1:3">
      <c r="A57">
        <v>0.36</v>
      </c>
      <c r="B57">
        <f t="shared" si="4"/>
        <v>0.6</v>
      </c>
      <c r="C57">
        <f t="shared" si="5"/>
        <v>0.14379905815249824</v>
      </c>
    </row>
    <row r="58" spans="1:3">
      <c r="A58">
        <v>0.37</v>
      </c>
      <c r="B58">
        <f t="shared" si="4"/>
        <v>0.60827625302982191</v>
      </c>
      <c r="C58">
        <f t="shared" si="5"/>
        <v>0.14984043941764735</v>
      </c>
    </row>
    <row r="59" spans="1:3">
      <c r="A59">
        <v>0.38</v>
      </c>
      <c r="B59">
        <f t="shared" si="4"/>
        <v>0.61644140029689765</v>
      </c>
      <c r="C59">
        <f t="shared" si="5"/>
        <v>0.15596402768428094</v>
      </c>
    </row>
    <row r="60" spans="1:3">
      <c r="A60">
        <v>0.39</v>
      </c>
      <c r="B60">
        <f t="shared" si="4"/>
        <v>0.62449979983983983</v>
      </c>
      <c r="C60">
        <f t="shared" si="5"/>
        <v>0.16216873368496462</v>
      </c>
    </row>
    <row r="61" spans="1:3">
      <c r="A61">
        <v>0.4</v>
      </c>
      <c r="B61">
        <f t="shared" si="4"/>
        <v>0.63245553203367588</v>
      </c>
      <c r="C61">
        <f t="shared" si="5"/>
        <v>0.1684535103443322</v>
      </c>
    </row>
    <row r="62" spans="1:3">
      <c r="A62">
        <v>0.41</v>
      </c>
      <c r="B62">
        <f t="shared" si="4"/>
        <v>0.6403124237432849</v>
      </c>
      <c r="C62">
        <f t="shared" si="5"/>
        <v>0.17481735012321697</v>
      </c>
    </row>
    <row r="63" spans="1:3">
      <c r="A63">
        <v>0.42</v>
      </c>
      <c r="B63">
        <f t="shared" si="4"/>
        <v>0.64807406984078597</v>
      </c>
      <c r="C63">
        <f t="shared" si="5"/>
        <v>0.18125928259113733</v>
      </c>
    </row>
    <row r="64" spans="1:3">
      <c r="A64">
        <v>0.43</v>
      </c>
      <c r="B64">
        <f t="shared" si="4"/>
        <v>0.65574385243020006</v>
      </c>
      <c r="C64">
        <f t="shared" si="5"/>
        <v>0.18777837220249227</v>
      </c>
    </row>
    <row r="65" spans="1:3">
      <c r="A65">
        <v>0.44</v>
      </c>
      <c r="B65">
        <f t="shared" si="4"/>
        <v>0.66332495807107994</v>
      </c>
      <c r="C65">
        <f t="shared" si="5"/>
        <v>0.19437371625499869</v>
      </c>
    </row>
    <row r="66" spans="1:3">
      <c r="A66">
        <v>0.45</v>
      </c>
      <c r="B66">
        <f t="shared" si="4"/>
        <v>0.67082039324993692</v>
      </c>
      <c r="C66">
        <f t="shared" si="5"/>
        <v>0.20104444301160379</v>
      </c>
    </row>
    <row r="67" spans="1:3">
      <c r="A67">
        <v>0.46</v>
      </c>
      <c r="B67">
        <f t="shared" si="4"/>
        <v>0.67823299831252681</v>
      </c>
      <c r="C67">
        <f t="shared" si="5"/>
        <v>0.20778970996941612</v>
      </c>
    </row>
    <row r="68" spans="1:3">
      <c r="A68">
        <v>0.47</v>
      </c>
      <c r="B68">
        <f t="shared" si="4"/>
        <v>0.68556546004010444</v>
      </c>
      <c r="C68">
        <f t="shared" si="5"/>
        <v>0.21460870226117926</v>
      </c>
    </row>
    <row r="69" spans="1:3">
      <c r="A69">
        <v>0.48</v>
      </c>
      <c r="B69">
        <f t="shared" si="4"/>
        <v>0.69282032302755092</v>
      </c>
      <c r="C69">
        <f t="shared" si="5"/>
        <v>0.22150063117651753</v>
      </c>
    </row>
    <row r="70" spans="1:3">
      <c r="A70">
        <v>0.49</v>
      </c>
      <c r="B70">
        <f t="shared" si="4"/>
        <v>0.7</v>
      </c>
      <c r="C70">
        <f t="shared" si="5"/>
        <v>0.2284647327916553</v>
      </c>
    </row>
    <row r="71" spans="1:3">
      <c r="A71">
        <v>0.5</v>
      </c>
      <c r="B71">
        <f t="shared" si="4"/>
        <v>0.70710678118654757</v>
      </c>
      <c r="C71">
        <f t="shared" si="5"/>
        <v>0.23550026669758806</v>
      </c>
    </row>
    <row r="72" spans="1:3">
      <c r="A72">
        <v>0.51</v>
      </c>
      <c r="B72">
        <f t="shared" si="4"/>
        <v>0.71414284285428498</v>
      </c>
      <c r="C72">
        <f t="shared" si="5"/>
        <v>0.24260651481779222</v>
      </c>
    </row>
    <row r="73" spans="1:3">
      <c r="A73">
        <v>0.52</v>
      </c>
      <c r="B73">
        <f t="shared" si="4"/>
        <v>0.72111025509279791</v>
      </c>
      <c r="C73">
        <f t="shared" si="5"/>
        <v>0.24978278030752765</v>
      </c>
    </row>
    <row r="74" spans="1:3">
      <c r="A74">
        <v>0.53</v>
      </c>
      <c r="B74">
        <f t="shared" si="4"/>
        <v>0.72801098892805183</v>
      </c>
      <c r="C74">
        <f t="shared" si="5"/>
        <v>0.25702838652763188</v>
      </c>
    </row>
    <row r="75" spans="1:3">
      <c r="A75">
        <v>0.54</v>
      </c>
      <c r="B75">
        <f t="shared" si="4"/>
        <v>0.73484692283495345</v>
      </c>
      <c r="C75">
        <f t="shared" si="5"/>
        <v>0.2643426760864469</v>
      </c>
    </row>
    <row r="76" spans="1:3">
      <c r="A76">
        <v>0.55000000000000004</v>
      </c>
      <c r="B76">
        <f t="shared" si="4"/>
        <v>0.74161984870956632</v>
      </c>
      <c r="C76">
        <f t="shared" si="5"/>
        <v>0.27172500994416948</v>
      </c>
    </row>
    <row r="77" spans="1:3">
      <c r="A77">
        <v>0.56000000000000005</v>
      </c>
      <c r="B77">
        <f t="shared" si="4"/>
        <v>0.74833147735478833</v>
      </c>
      <c r="C77">
        <f t="shared" si="5"/>
        <v>0.27917476657449125</v>
      </c>
    </row>
    <row r="78" spans="1:3">
      <c r="A78">
        <v>0.56999999999999995</v>
      </c>
      <c r="B78">
        <f t="shared" si="4"/>
        <v>0.75498344352707492</v>
      </c>
      <c r="C78">
        <f t="shared" si="5"/>
        <v>0.28669134117890049</v>
      </c>
    </row>
    <row r="79" spans="1:3">
      <c r="A79">
        <v>0.57999999999999996</v>
      </c>
      <c r="B79">
        <f t="shared" si="4"/>
        <v>0.76157731058639078</v>
      </c>
      <c r="C79">
        <f t="shared" si="5"/>
        <v>0.29427414494946785</v>
      </c>
    </row>
    <row r="80" spans="1:3">
      <c r="A80">
        <v>0.59</v>
      </c>
      <c r="B80">
        <f t="shared" si="4"/>
        <v>0.76811457478686085</v>
      </c>
      <c r="C80">
        <f t="shared" si="5"/>
        <v>0.30192260437633411</v>
      </c>
    </row>
    <row r="81" spans="1:3">
      <c r="A81">
        <v>0.6</v>
      </c>
      <c r="B81">
        <f t="shared" si="4"/>
        <v>0.7745966692414834</v>
      </c>
      <c r="C81">
        <f t="shared" si="5"/>
        <v>0.30963616059647586</v>
      </c>
    </row>
    <row r="82" spans="1:3">
      <c r="A82">
        <v>0.61</v>
      </c>
      <c r="B82">
        <f t="shared" si="4"/>
        <v>0.78102496759066542</v>
      </c>
      <c r="C82">
        <f t="shared" si="5"/>
        <v>0.31741426878063661</v>
      </c>
    </row>
    <row r="83" spans="1:3">
      <c r="A83">
        <v>0.62</v>
      </c>
      <c r="B83">
        <f t="shared" si="4"/>
        <v>0.78740078740118113</v>
      </c>
      <c r="C83">
        <f t="shared" si="5"/>
        <v>0.32525639755559588</v>
      </c>
    </row>
    <row r="84" spans="1:3">
      <c r="A84">
        <v>0.63</v>
      </c>
      <c r="B84">
        <f t="shared" si="4"/>
        <v>0.79372539331937719</v>
      </c>
      <c r="C84">
        <f t="shared" si="5"/>
        <v>0.33316202845919868</v>
      </c>
    </row>
    <row r="85" spans="1:3">
      <c r="A85">
        <v>0.64</v>
      </c>
      <c r="B85">
        <f t="shared" ref="B85:B116" si="6">SQRT(A85)</f>
        <v>0.8</v>
      </c>
      <c r="C85">
        <f t="shared" si="5"/>
        <v>0.34113065542579557</v>
      </c>
    </row>
    <row r="86" spans="1:3">
      <c r="A86">
        <v>0.65</v>
      </c>
      <c r="B86">
        <f t="shared" si="6"/>
        <v>0.80622577482985502</v>
      </c>
      <c r="C86">
        <f t="shared" ref="C86:C117" si="7">C85+((B85+B86)/2)*(A86-A85)</f>
        <v>0.34916178429994488</v>
      </c>
    </row>
    <row r="87" spans="1:3">
      <c r="A87">
        <v>0.66</v>
      </c>
      <c r="B87">
        <f t="shared" si="6"/>
        <v>0.81240384046359604</v>
      </c>
      <c r="C87">
        <f t="shared" si="7"/>
        <v>0.35725493237641215</v>
      </c>
    </row>
    <row r="88" spans="1:3">
      <c r="A88">
        <v>0.67</v>
      </c>
      <c r="B88">
        <f t="shared" si="6"/>
        <v>0.81853527718724506</v>
      </c>
      <c r="C88">
        <f t="shared" si="7"/>
        <v>0.36540962796466636</v>
      </c>
    </row>
    <row r="89" spans="1:3">
      <c r="A89">
        <v>0.68</v>
      </c>
      <c r="B89">
        <f t="shared" si="6"/>
        <v>0.82462112512353214</v>
      </c>
      <c r="C89">
        <f t="shared" si="7"/>
        <v>0.37362540997622024</v>
      </c>
    </row>
    <row r="90" spans="1:3">
      <c r="A90">
        <v>0.69</v>
      </c>
      <c r="B90">
        <f t="shared" si="6"/>
        <v>0.83066238629180744</v>
      </c>
      <c r="C90">
        <f t="shared" si="7"/>
        <v>0.38190182753329682</v>
      </c>
    </row>
    <row r="91" spans="1:3">
      <c r="A91">
        <v>0.7</v>
      </c>
      <c r="B91">
        <f t="shared" si="6"/>
        <v>0.83666002653407556</v>
      </c>
      <c r="C91">
        <f t="shared" si="7"/>
        <v>0.39023843959742627</v>
      </c>
    </row>
    <row r="92" spans="1:3">
      <c r="A92">
        <v>0.71</v>
      </c>
      <c r="B92">
        <f t="shared" si="6"/>
        <v>0.84261497731763579</v>
      </c>
      <c r="C92">
        <f t="shared" si="7"/>
        <v>0.39863481461668482</v>
      </c>
    </row>
    <row r="93" spans="1:3">
      <c r="A93">
        <v>0.72</v>
      </c>
      <c r="B93">
        <f t="shared" si="6"/>
        <v>0.84852813742385702</v>
      </c>
      <c r="C93">
        <f t="shared" si="7"/>
        <v>0.40709053019039226</v>
      </c>
    </row>
    <row r="94" spans="1:3">
      <c r="A94">
        <v>0.73</v>
      </c>
      <c r="B94">
        <f t="shared" si="6"/>
        <v>0.8544003745317531</v>
      </c>
      <c r="C94">
        <f t="shared" si="7"/>
        <v>0.41560517275017034</v>
      </c>
    </row>
    <row r="95" spans="1:3">
      <c r="A95">
        <v>0.74</v>
      </c>
      <c r="B95">
        <f t="shared" si="6"/>
        <v>0.86023252670426265</v>
      </c>
      <c r="C95">
        <f t="shared" si="7"/>
        <v>0.4241783372563504</v>
      </c>
    </row>
    <row r="96" spans="1:3">
      <c r="A96">
        <v>0.75</v>
      </c>
      <c r="B96">
        <f t="shared" si="6"/>
        <v>0.8660254037844386</v>
      </c>
      <c r="C96">
        <f t="shared" si="7"/>
        <v>0.43280962690879393</v>
      </c>
    </row>
    <row r="97" spans="1:3">
      <c r="A97">
        <v>0.76</v>
      </c>
      <c r="B97">
        <f t="shared" si="6"/>
        <v>0.87177978870813466</v>
      </c>
      <c r="C97">
        <f t="shared" si="7"/>
        <v>0.44149865287125678</v>
      </c>
    </row>
    <row r="98" spans="1:3">
      <c r="A98">
        <v>0.77</v>
      </c>
      <c r="B98">
        <f t="shared" si="6"/>
        <v>0.87749643873921224</v>
      </c>
      <c r="C98">
        <f t="shared" si="7"/>
        <v>0.45024503400849353</v>
      </c>
    </row>
    <row r="99" spans="1:3">
      <c r="A99">
        <v>0.78</v>
      </c>
      <c r="B99">
        <f t="shared" si="6"/>
        <v>0.88317608663278468</v>
      </c>
      <c r="C99">
        <f t="shared" si="7"/>
        <v>0.45904839663535352</v>
      </c>
    </row>
    <row r="100" spans="1:3">
      <c r="A100">
        <v>0.79</v>
      </c>
      <c r="B100">
        <f t="shared" si="6"/>
        <v>0.88881944173155891</v>
      </c>
      <c r="C100">
        <f t="shared" si="7"/>
        <v>0.46790837427717524</v>
      </c>
    </row>
    <row r="101" spans="1:3">
      <c r="A101">
        <v>0.8</v>
      </c>
      <c r="B101">
        <f t="shared" si="6"/>
        <v>0.89442719099991586</v>
      </c>
      <c r="C101">
        <f t="shared" si="7"/>
        <v>0.4768246074408326</v>
      </c>
    </row>
    <row r="102" spans="1:3">
      <c r="A102">
        <v>0.81</v>
      </c>
      <c r="B102">
        <f t="shared" si="6"/>
        <v>0.9</v>
      </c>
      <c r="C102">
        <f t="shared" si="7"/>
        <v>0.48579674339583218</v>
      </c>
    </row>
    <row r="103" spans="1:3">
      <c r="A103">
        <v>0.82</v>
      </c>
      <c r="B103">
        <f t="shared" si="6"/>
        <v>0.90553851381374162</v>
      </c>
      <c r="C103">
        <f t="shared" si="7"/>
        <v>0.49482443596490078</v>
      </c>
    </row>
    <row r="104" spans="1:3">
      <c r="A104">
        <v>0.83</v>
      </c>
      <c r="B104">
        <f t="shared" si="6"/>
        <v>0.91104335791442992</v>
      </c>
      <c r="C104">
        <f t="shared" si="7"/>
        <v>0.50390734532354164</v>
      </c>
    </row>
    <row r="105" spans="1:3">
      <c r="A105">
        <v>0.84</v>
      </c>
      <c r="B105">
        <f t="shared" si="6"/>
        <v>0.91651513899116799</v>
      </c>
      <c r="C105">
        <f t="shared" si="7"/>
        <v>0.5130451378080696</v>
      </c>
    </row>
    <row r="106" spans="1:3">
      <c r="A106">
        <v>0.85</v>
      </c>
      <c r="B106">
        <f t="shared" si="6"/>
        <v>0.92195444572928875</v>
      </c>
      <c r="C106">
        <f t="shared" si="7"/>
        <v>0.52223748573167184</v>
      </c>
    </row>
    <row r="107" spans="1:3">
      <c r="A107">
        <v>0.86</v>
      </c>
      <c r="B107">
        <f t="shared" si="6"/>
        <v>0.92736184954957035</v>
      </c>
      <c r="C107">
        <f t="shared" si="7"/>
        <v>0.53148406720806618</v>
      </c>
    </row>
    <row r="108" spans="1:3">
      <c r="A108">
        <v>0.87</v>
      </c>
      <c r="B108">
        <f t="shared" si="6"/>
        <v>0.93273790530888145</v>
      </c>
      <c r="C108">
        <f t="shared" si="7"/>
        <v>0.54078456598235847</v>
      </c>
    </row>
    <row r="109" spans="1:3">
      <c r="A109">
        <v>0.88</v>
      </c>
      <c r="B109">
        <f t="shared" si="6"/>
        <v>0.93808315196468595</v>
      </c>
      <c r="C109">
        <f t="shared" si="7"/>
        <v>0.55013867126872629</v>
      </c>
    </row>
    <row r="110" spans="1:3">
      <c r="A110">
        <v>0.89</v>
      </c>
      <c r="B110">
        <f t="shared" si="6"/>
        <v>0.94339811320566036</v>
      </c>
      <c r="C110">
        <f t="shared" si="7"/>
        <v>0.55954607759457797</v>
      </c>
    </row>
    <row r="111" spans="1:3">
      <c r="A111">
        <v>0.9</v>
      </c>
      <c r="B111">
        <f t="shared" si="6"/>
        <v>0.94868329805051377</v>
      </c>
      <c r="C111">
        <f t="shared" si="7"/>
        <v>0.5690064846508589</v>
      </c>
    </row>
    <row r="112" spans="1:3">
      <c r="A112">
        <v>0.91</v>
      </c>
      <c r="B112">
        <f t="shared" si="6"/>
        <v>0.95393920141694566</v>
      </c>
      <c r="C112">
        <f t="shared" si="7"/>
        <v>0.57851959714819623</v>
      </c>
    </row>
    <row r="113" spans="1:3">
      <c r="A113">
        <v>0.92</v>
      </c>
      <c r="B113">
        <f t="shared" si="6"/>
        <v>0.95916630466254393</v>
      </c>
      <c r="C113">
        <f t="shared" si="7"/>
        <v>0.58808512467859364</v>
      </c>
    </row>
    <row r="114" spans="1:3">
      <c r="A114">
        <v>0.93</v>
      </c>
      <c r="B114">
        <f t="shared" si="6"/>
        <v>0.96436507609929556</v>
      </c>
      <c r="C114">
        <f t="shared" si="7"/>
        <v>0.59770278158240286</v>
      </c>
    </row>
    <row r="115" spans="1:3">
      <c r="A115">
        <v>0.94</v>
      </c>
      <c r="B115">
        <f t="shared" si="6"/>
        <v>0.96953597148326576</v>
      </c>
      <c r="C115">
        <f t="shared" si="7"/>
        <v>0.60737228682031552</v>
      </c>
    </row>
    <row r="116" spans="1:3">
      <c r="A116">
        <v>0.95</v>
      </c>
      <c r="B116">
        <f t="shared" si="6"/>
        <v>0.97467943448089633</v>
      </c>
      <c r="C116">
        <f t="shared" si="7"/>
        <v>0.61709336385013636</v>
      </c>
    </row>
    <row r="117" spans="1:3">
      <c r="A117">
        <v>0.96</v>
      </c>
      <c r="B117">
        <f t="shared" ref="B117:B121" si="8">SQRT(A117)</f>
        <v>0.9797958971132712</v>
      </c>
      <c r="C117">
        <f t="shared" si="7"/>
        <v>0.62686574050810717</v>
      </c>
    </row>
    <row r="118" spans="1:3">
      <c r="A118">
        <v>0.97</v>
      </c>
      <c r="B118">
        <f t="shared" si="8"/>
        <v>0.98488578017961048</v>
      </c>
      <c r="C118">
        <f t="shared" ref="C118:C121" si="9">C117+((B117+B118)/2)*(A118-A117)</f>
        <v>0.63668914889457162</v>
      </c>
    </row>
    <row r="119" spans="1:3">
      <c r="A119">
        <v>0.98</v>
      </c>
      <c r="B119">
        <f t="shared" si="8"/>
        <v>0.98994949366116658</v>
      </c>
      <c r="C119">
        <f t="shared" si="9"/>
        <v>0.64656332526377547</v>
      </c>
    </row>
    <row r="120" spans="1:3">
      <c r="A120">
        <v>0.99</v>
      </c>
      <c r="B120">
        <f t="shared" si="8"/>
        <v>0.99498743710661997</v>
      </c>
      <c r="C120">
        <f t="shared" si="9"/>
        <v>0.65648800991761436</v>
      </c>
    </row>
    <row r="121" spans="1:3">
      <c r="A121">
        <v>1</v>
      </c>
      <c r="B121">
        <f t="shared" si="8"/>
        <v>1</v>
      </c>
      <c r="C121" s="3">
        <f t="shared" si="9"/>
        <v>0.66646294710314746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9114-DF07-0748-B4F9-F636016B183E}">
  <dimension ref="A1:R124"/>
  <sheetViews>
    <sheetView zoomScale="118" workbookViewId="0">
      <selection activeCell="K112" sqref="K112"/>
    </sheetView>
  </sheetViews>
  <sheetFormatPr baseColWidth="10" defaultColWidth="8.83203125" defaultRowHeight="15"/>
  <cols>
    <col min="1" max="3" width="8.83203125" style="5"/>
    <col min="4" max="4" width="8.83203125" style="5" bestFit="1" customWidth="1"/>
    <col min="5" max="5" width="13.5" style="5" bestFit="1" customWidth="1"/>
    <col min="6" max="6" width="8.83203125" style="5" bestFit="1" customWidth="1"/>
    <col min="7" max="7" width="11.83203125" style="5" bestFit="1" customWidth="1"/>
    <col min="8" max="8" width="17.5" style="5" bestFit="1" customWidth="1"/>
    <col min="9" max="9" width="8.83203125" style="5"/>
    <col min="10" max="10" width="8.83203125" style="5" bestFit="1" customWidth="1"/>
    <col min="11" max="11" width="8.83203125" style="5"/>
    <col min="12" max="12" width="8.83203125" style="5" bestFit="1" customWidth="1"/>
    <col min="13" max="13" width="13.5" style="5" bestFit="1" customWidth="1"/>
    <col min="14" max="14" width="14.6640625" style="5" bestFit="1" customWidth="1"/>
    <col min="15" max="15" width="8.83203125" style="5"/>
    <col min="16" max="16" width="8.83203125" style="5" bestFit="1" customWidth="1"/>
    <col min="17" max="16384" width="8.83203125" style="5"/>
  </cols>
  <sheetData>
    <row r="1" spans="1:18">
      <c r="A1" s="5" t="s">
        <v>3</v>
      </c>
      <c r="L1" s="5" t="s">
        <v>10</v>
      </c>
    </row>
    <row r="2" spans="1:18" ht="17">
      <c r="A2" s="5" t="s">
        <v>32</v>
      </c>
      <c r="B2" s="5" t="s">
        <v>31</v>
      </c>
      <c r="D2" s="5" t="s">
        <v>29</v>
      </c>
      <c r="E2" s="5" t="s">
        <v>28</v>
      </c>
      <c r="F2" s="5" t="s">
        <v>30</v>
      </c>
      <c r="L2" s="5" t="s">
        <v>29</v>
      </c>
      <c r="M2" s="5" t="s">
        <v>28</v>
      </c>
      <c r="N2" s="5" t="s">
        <v>27</v>
      </c>
      <c r="O2" s="6"/>
      <c r="P2" s="8" t="s">
        <v>26</v>
      </c>
      <c r="Q2" s="8"/>
      <c r="R2" s="6"/>
    </row>
    <row r="3" spans="1:18">
      <c r="D3" s="5">
        <v>0</v>
      </c>
      <c r="E3" s="5">
        <f t="shared" ref="E3:E13" si="0">D3^2*COS(D3)</f>
        <v>0</v>
      </c>
      <c r="F3" s="5">
        <f t="shared" ref="F3:F13" si="1">2*D3*COS(D3)-D3^2*SIN(D3)</f>
        <v>0</v>
      </c>
      <c r="G3" s="8" t="s">
        <v>25</v>
      </c>
      <c r="H3" s="8">
        <f>(-3*E3+4*E4-E5)/(2*$J$3)</f>
        <v>2.9875174873568444E-3</v>
      </c>
      <c r="I3" s="5" t="s">
        <v>8</v>
      </c>
      <c r="J3" s="5">
        <v>0.1</v>
      </c>
      <c r="L3" s="5">
        <v>0</v>
      </c>
      <c r="M3" s="5">
        <f t="shared" ref="M3:M13" si="2">L3^2*COS(L3)</f>
        <v>0</v>
      </c>
      <c r="N3" s="5">
        <f>0</f>
        <v>0</v>
      </c>
      <c r="O3" s="6"/>
      <c r="P3" s="9">
        <v>0.23913300000000001</v>
      </c>
      <c r="Q3" s="8"/>
      <c r="R3" s="6"/>
    </row>
    <row r="4" spans="1:18">
      <c r="D4" s="5">
        <v>0.1</v>
      </c>
      <c r="E4" s="5">
        <f t="shared" si="0"/>
        <v>9.9500416527802601E-3</v>
      </c>
      <c r="F4" s="5">
        <f t="shared" si="1"/>
        <v>0.1980024988891369</v>
      </c>
      <c r="G4" s="7" t="s">
        <v>23</v>
      </c>
      <c r="H4" s="7">
        <f t="shared" ref="H4:H12" si="3">(E5-E3)/(2*$J$3)</f>
        <v>0.19601331556824836</v>
      </c>
      <c r="L4" s="5">
        <v>0.1</v>
      </c>
      <c r="M4" s="5">
        <f t="shared" si="2"/>
        <v>9.9500416527802601E-3</v>
      </c>
      <c r="N4" s="5">
        <f t="shared" ref="N4:N13" si="4">N3+((M3+M4)/2)*(L4-L3)</f>
        <v>4.9750208263901307E-4</v>
      </c>
      <c r="O4" s="6"/>
      <c r="P4" s="6"/>
      <c r="Q4" s="6"/>
      <c r="R4" s="6"/>
    </row>
    <row r="5" spans="1:18">
      <c r="D5" s="5">
        <v>0.2</v>
      </c>
      <c r="E5" s="5">
        <f t="shared" si="0"/>
        <v>3.9202663113649672E-2</v>
      </c>
      <c r="F5" s="5">
        <f t="shared" si="1"/>
        <v>0.38407985790469423</v>
      </c>
      <c r="G5" s="7"/>
      <c r="H5" s="7">
        <f t="shared" si="3"/>
        <v>0.38015121184262129</v>
      </c>
      <c r="L5" s="5">
        <v>0.2</v>
      </c>
      <c r="M5" s="5">
        <f t="shared" si="2"/>
        <v>3.9202663113649672E-2</v>
      </c>
      <c r="N5" s="5">
        <f t="shared" si="4"/>
        <v>2.9551373209605099E-3</v>
      </c>
      <c r="O5" s="6"/>
      <c r="P5" s="6" t="s">
        <v>22</v>
      </c>
      <c r="Q5" s="6"/>
      <c r="R5" s="6"/>
    </row>
    <row r="6" spans="1:18">
      <c r="D6" s="5">
        <v>0.3</v>
      </c>
      <c r="E6" s="5">
        <f t="shared" si="0"/>
        <v>8.5980284021304532E-2</v>
      </c>
      <c r="F6" s="5">
        <f t="shared" si="1"/>
        <v>0.54660507487584298</v>
      </c>
      <c r="G6" s="7"/>
      <c r="H6" s="7">
        <f t="shared" si="3"/>
        <v>0.54083547963405987</v>
      </c>
      <c r="L6" s="5">
        <v>0.3</v>
      </c>
      <c r="M6" s="5">
        <f t="shared" si="2"/>
        <v>8.5980284021304532E-2</v>
      </c>
      <c r="N6" s="5">
        <f t="shared" si="4"/>
        <v>9.2142846777082191E-3</v>
      </c>
      <c r="O6" s="6"/>
      <c r="P6" s="8">
        <f>((N13-P3)/P3)*100</f>
        <v>8.4028664097664518E-2</v>
      </c>
      <c r="Q6" s="6"/>
      <c r="R6" s="6"/>
    </row>
    <row r="7" spans="1:18">
      <c r="D7" s="5">
        <v>0.4</v>
      </c>
      <c r="E7" s="5">
        <f t="shared" si="0"/>
        <v>0.14736975904046165</v>
      </c>
      <c r="F7" s="5">
        <f t="shared" si="1"/>
        <v>0.67454186043292408</v>
      </c>
      <c r="G7" s="7"/>
      <c r="H7" s="7">
        <f t="shared" si="3"/>
        <v>0.66707678225644329</v>
      </c>
      <c r="L7" s="5">
        <v>0.4</v>
      </c>
      <c r="M7" s="5">
        <f t="shared" si="2"/>
        <v>0.14736975904046165</v>
      </c>
      <c r="N7" s="5">
        <f t="shared" si="4"/>
        <v>2.0881786830796532E-2</v>
      </c>
      <c r="O7" s="6"/>
      <c r="P7" s="6"/>
      <c r="Q7" s="6"/>
      <c r="R7" s="6"/>
    </row>
    <row r="8" spans="1:18">
      <c r="D8" s="5">
        <v>0.5</v>
      </c>
      <c r="E8" s="5">
        <f t="shared" si="0"/>
        <v>0.21939564047259319</v>
      </c>
      <c r="F8" s="5">
        <f t="shared" si="1"/>
        <v>0.75772617723932201</v>
      </c>
      <c r="G8" s="7"/>
      <c r="H8" s="7">
        <f t="shared" si="3"/>
        <v>0.74875531163511266</v>
      </c>
      <c r="L8" s="5">
        <v>0.5</v>
      </c>
      <c r="M8" s="5">
        <f t="shared" si="2"/>
        <v>0.21939564047259319</v>
      </c>
      <c r="N8" s="5">
        <f t="shared" si="4"/>
        <v>3.9220056806449272E-2</v>
      </c>
      <c r="O8" s="6"/>
      <c r="P8" s="6"/>
      <c r="Q8" s="6"/>
      <c r="R8" s="6"/>
    </row>
    <row r="9" spans="1:18">
      <c r="D9" s="5">
        <v>0.6</v>
      </c>
      <c r="E9" s="5">
        <f t="shared" si="0"/>
        <v>0.29712082136748419</v>
      </c>
      <c r="F9" s="5">
        <f t="shared" si="1"/>
        <v>0.78713144746940122</v>
      </c>
      <c r="G9" s="7"/>
      <c r="H9" s="7">
        <f t="shared" si="3"/>
        <v>0.77688515648403067</v>
      </c>
      <c r="L9" s="5">
        <v>0.6</v>
      </c>
      <c r="M9" s="5">
        <f t="shared" si="2"/>
        <v>0.29712082136748419</v>
      </c>
      <c r="N9" s="5">
        <f t="shared" si="4"/>
        <v>6.5045879898453132E-2</v>
      </c>
      <c r="O9" s="6"/>
      <c r="P9" s="6"/>
      <c r="Q9" s="6"/>
      <c r="R9" s="6"/>
    </row>
    <row r="10" spans="1:18">
      <c r="D10" s="5">
        <v>0.7</v>
      </c>
      <c r="E10" s="5">
        <f t="shared" si="0"/>
        <v>0.37477267176939932</v>
      </c>
      <c r="F10" s="5">
        <f t="shared" si="1"/>
        <v>0.7551123954518153</v>
      </c>
      <c r="G10" s="7"/>
      <c r="H10" s="7">
        <f t="shared" si="3"/>
        <v>0.74385736307350869</v>
      </c>
      <c r="L10" s="5">
        <v>0.7</v>
      </c>
      <c r="M10" s="5">
        <f t="shared" si="2"/>
        <v>0.37477267176939932</v>
      </c>
      <c r="N10" s="5">
        <f t="shared" si="4"/>
        <v>9.86405545552973E-2</v>
      </c>
      <c r="O10" s="6"/>
      <c r="P10" s="6"/>
      <c r="Q10" s="6"/>
      <c r="R10" s="6"/>
    </row>
    <row r="11" spans="1:18">
      <c r="D11" s="5">
        <v>0.8</v>
      </c>
      <c r="E11" s="5">
        <f t="shared" si="0"/>
        <v>0.44589229398218594</v>
      </c>
      <c r="F11" s="5">
        <f t="shared" si="1"/>
        <v>0.65562283677977007</v>
      </c>
      <c r="G11" s="7"/>
      <c r="H11" s="7">
        <f t="shared" si="3"/>
        <v>0.64365701264919417</v>
      </c>
      <c r="L11" s="5">
        <v>0.8</v>
      </c>
      <c r="M11" s="5">
        <f t="shared" si="2"/>
        <v>0.44589229398218594</v>
      </c>
      <c r="N11" s="5">
        <f t="shared" si="4"/>
        <v>0.13967380284287659</v>
      </c>
      <c r="O11" s="6"/>
      <c r="P11" s="6"/>
      <c r="Q11" s="6"/>
      <c r="R11" s="6"/>
    </row>
    <row r="12" spans="1:18">
      <c r="D12" s="5">
        <v>0.9</v>
      </c>
      <c r="E12" s="5">
        <f t="shared" si="0"/>
        <v>0.50350407429923816</v>
      </c>
      <c r="F12" s="5">
        <f t="shared" si="1"/>
        <v>0.48440314608893431</v>
      </c>
      <c r="G12" s="7"/>
      <c r="H12" s="7">
        <f t="shared" si="3"/>
        <v>0.47205005942976913</v>
      </c>
      <c r="L12" s="5">
        <v>0.9</v>
      </c>
      <c r="M12" s="5">
        <f t="shared" si="2"/>
        <v>0.50350407429923816</v>
      </c>
      <c r="N12" s="5">
        <f t="shared" si="4"/>
        <v>0.18714362125694778</v>
      </c>
      <c r="O12" s="6"/>
      <c r="P12" s="6"/>
      <c r="Q12" s="6"/>
      <c r="R12" s="6"/>
    </row>
    <row r="13" spans="1:18">
      <c r="D13" s="5">
        <v>1</v>
      </c>
      <c r="E13" s="5">
        <f t="shared" si="0"/>
        <v>0.54030230586813977</v>
      </c>
      <c r="F13" s="5">
        <f t="shared" si="1"/>
        <v>0.23913362692838303</v>
      </c>
      <c r="G13" s="8" t="s">
        <v>21</v>
      </c>
      <c r="H13" s="8">
        <f>(3*E13-4*E12+E11)/(2*$J$3)</f>
        <v>0.26391457194826301</v>
      </c>
      <c r="L13" s="5">
        <v>1</v>
      </c>
      <c r="M13" s="5">
        <f t="shared" si="2"/>
        <v>0.54030230586813977</v>
      </c>
      <c r="N13" s="8">
        <f t="shared" si="4"/>
        <v>0.23933394026531668</v>
      </c>
      <c r="O13" s="6"/>
      <c r="P13" s="6"/>
      <c r="Q13" s="6"/>
      <c r="R13" s="6"/>
    </row>
    <row r="14" spans="1:18">
      <c r="O14" s="6"/>
      <c r="P14" s="6"/>
      <c r="Q14" s="6"/>
      <c r="R14" s="6"/>
    </row>
    <row r="15" spans="1:18">
      <c r="D15" s="5" t="s">
        <v>29</v>
      </c>
      <c r="E15" s="5" t="s">
        <v>28</v>
      </c>
      <c r="F15" s="5" t="s">
        <v>30</v>
      </c>
      <c r="L15" s="5" t="s">
        <v>29</v>
      </c>
      <c r="M15" s="5" t="s">
        <v>28</v>
      </c>
      <c r="N15" s="5" t="s">
        <v>27</v>
      </c>
      <c r="O15" s="6"/>
      <c r="P15" s="8" t="s">
        <v>26</v>
      </c>
      <c r="Q15" s="8"/>
      <c r="R15" s="6"/>
    </row>
    <row r="16" spans="1:18">
      <c r="D16" s="5">
        <v>0</v>
      </c>
      <c r="E16" s="5">
        <f t="shared" ref="E16:E47" si="5">D16^2*COS(D16)</f>
        <v>0</v>
      </c>
      <c r="F16" s="5">
        <f t="shared" ref="F16:F47" si="6">2*D16*COS(D16)-D16^2*SIN(D16)</f>
        <v>0</v>
      </c>
      <c r="G16" s="8" t="s">
        <v>25</v>
      </c>
      <c r="H16" s="8">
        <f>(-3*E16+4*E17-E18)/(2*$J$16)</f>
        <v>2.9998750017499326E-6</v>
      </c>
      <c r="I16" s="5" t="s">
        <v>24</v>
      </c>
      <c r="J16" s="5">
        <v>0.01</v>
      </c>
      <c r="L16" s="5">
        <v>0</v>
      </c>
      <c r="M16" s="5">
        <f t="shared" ref="M16:M47" si="7">L16^2*COS(L16)</f>
        <v>0</v>
      </c>
      <c r="N16" s="5">
        <f>0</f>
        <v>0</v>
      </c>
      <c r="O16" s="6"/>
      <c r="P16" s="8">
        <v>0.23913300000000001</v>
      </c>
      <c r="Q16" s="8"/>
      <c r="R16" s="6"/>
    </row>
    <row r="17" spans="4:18">
      <c r="D17" s="5">
        <v>0.01</v>
      </c>
      <c r="E17" s="5">
        <f t="shared" si="5"/>
        <v>9.9995000041666534E-5</v>
      </c>
      <c r="F17" s="5">
        <f t="shared" si="6"/>
        <v>1.9998000024999889E-2</v>
      </c>
      <c r="G17" s="7" t="s">
        <v>23</v>
      </c>
      <c r="H17" s="7">
        <f t="shared" ref="H17:H48" si="8">(E18-E16)/(2*$J$16)</f>
        <v>1.9996000133331557E-2</v>
      </c>
      <c r="L17" s="5">
        <v>0.01</v>
      </c>
      <c r="M17" s="5">
        <f t="shared" si="7"/>
        <v>9.9995000041666534E-5</v>
      </c>
      <c r="N17" s="5">
        <f t="shared" ref="N17:N48" si="9">N16+((M16+M17)/2)*(L17-L16)</f>
        <v>4.9997500020833265E-7</v>
      </c>
      <c r="O17" s="6"/>
      <c r="P17" s="6"/>
      <c r="Q17" s="6"/>
      <c r="R17" s="6"/>
    </row>
    <row r="18" spans="4:18">
      <c r="D18" s="5">
        <v>0.02</v>
      </c>
      <c r="E18" s="5">
        <f t="shared" si="5"/>
        <v>3.9992000266663114E-4</v>
      </c>
      <c r="F18" s="5">
        <f t="shared" si="6"/>
        <v>3.9984000799985778E-2</v>
      </c>
      <c r="G18" s="7"/>
      <c r="H18" s="7">
        <f t="shared" si="8"/>
        <v>3.9980001516621115E-2</v>
      </c>
      <c r="L18" s="5">
        <v>0.02</v>
      </c>
      <c r="M18" s="5">
        <f t="shared" si="7"/>
        <v>3.9992000266663114E-4</v>
      </c>
      <c r="N18" s="5">
        <f t="shared" si="9"/>
        <v>2.999550013749821E-6</v>
      </c>
      <c r="O18" s="6"/>
      <c r="P18" s="6" t="s">
        <v>22</v>
      </c>
      <c r="Q18" s="6"/>
      <c r="R18" s="6"/>
    </row>
    <row r="19" spans="4:18">
      <c r="D19" s="5">
        <v>0.03</v>
      </c>
      <c r="E19" s="5">
        <f t="shared" si="5"/>
        <v>8.9959503037408876E-4</v>
      </c>
      <c r="F19" s="5">
        <f t="shared" si="6"/>
        <v>5.9946006074757002E-2</v>
      </c>
      <c r="G19" s="7"/>
      <c r="H19" s="7">
        <f t="shared" si="8"/>
        <v>5.9940008399546676E-2</v>
      </c>
      <c r="L19" s="5">
        <v>0.03</v>
      </c>
      <c r="M19" s="5">
        <f t="shared" si="7"/>
        <v>8.9959503037408876E-4</v>
      </c>
      <c r="N19" s="5">
        <f t="shared" si="9"/>
        <v>9.4971251789534192E-6</v>
      </c>
      <c r="O19" s="6"/>
      <c r="P19" s="8">
        <f>((N116-P16)/P16)*100</f>
        <v>1.0955460219507836E-3</v>
      </c>
      <c r="Q19" s="6"/>
      <c r="R19" s="6"/>
    </row>
    <row r="20" spans="4:18">
      <c r="D20" s="5">
        <v>0.04</v>
      </c>
      <c r="E20" s="5">
        <f t="shared" si="5"/>
        <v>1.5987201706575648E-3</v>
      </c>
      <c r="F20" s="5">
        <f t="shared" si="6"/>
        <v>7.9872025598179616E-2</v>
      </c>
      <c r="G20" s="7"/>
      <c r="H20" s="7">
        <f t="shared" si="8"/>
        <v>7.9864031030666374E-2</v>
      </c>
      <c r="L20" s="5">
        <v>0.04</v>
      </c>
      <c r="M20" s="5">
        <f t="shared" si="7"/>
        <v>1.5987201706575648E-3</v>
      </c>
      <c r="N20" s="5">
        <f t="shared" si="9"/>
        <v>2.1988701184111689E-5</v>
      </c>
      <c r="O20" s="6"/>
      <c r="P20" s="6"/>
      <c r="Q20" s="6"/>
      <c r="R20" s="6"/>
    </row>
    <row r="21" spans="4:18">
      <c r="D21" s="5">
        <v>0.05</v>
      </c>
      <c r="E21" s="5">
        <f t="shared" si="5"/>
        <v>2.4968756509874163E-3</v>
      </c>
      <c r="F21" s="5">
        <f t="shared" si="6"/>
        <v>9.9750078116319932E-2</v>
      </c>
      <c r="G21" s="7"/>
      <c r="H21" s="7">
        <f t="shared" si="8"/>
        <v>9.9740088655458525E-2</v>
      </c>
      <c r="L21" s="5">
        <v>0.05</v>
      </c>
      <c r="M21" s="5">
        <f t="shared" si="7"/>
        <v>2.4968756509874163E-3</v>
      </c>
      <c r="N21" s="5">
        <f t="shared" si="9"/>
        <v>4.2466680292336593E-5</v>
      </c>
      <c r="O21" s="6"/>
      <c r="P21" s="6"/>
      <c r="Q21" s="6"/>
      <c r="R21" s="6"/>
    </row>
    <row r="22" spans="4:18">
      <c r="D22" s="5">
        <v>0.06</v>
      </c>
      <c r="E22" s="5">
        <f t="shared" si="5"/>
        <v>3.593521943766735E-3</v>
      </c>
      <c r="F22" s="5">
        <f t="shared" si="6"/>
        <v>0.1195681943688985</v>
      </c>
      <c r="G22" s="7"/>
      <c r="H22" s="7">
        <f t="shared" si="8"/>
        <v>0.11955621251268274</v>
      </c>
      <c r="L22" s="5">
        <v>0.06</v>
      </c>
      <c r="M22" s="5">
        <f t="shared" si="7"/>
        <v>3.593521943766735E-3</v>
      </c>
      <c r="N22" s="5">
        <f t="shared" si="9"/>
        <v>7.2918668266107336E-5</v>
      </c>
      <c r="O22" s="6"/>
      <c r="P22" s="6"/>
      <c r="Q22" s="6"/>
      <c r="R22" s="6"/>
    </row>
    <row r="23" spans="4:18">
      <c r="D23" s="5">
        <v>7.0000000000000007E-2</v>
      </c>
      <c r="E23" s="5">
        <f t="shared" si="5"/>
        <v>4.887999901241071E-3</v>
      </c>
      <c r="F23" s="5">
        <f t="shared" si="6"/>
        <v>0.13931442008350522</v>
      </c>
      <c r="G23" s="7"/>
      <c r="H23" s="7">
        <f t="shared" si="8"/>
        <v>0.13930044882850148</v>
      </c>
      <c r="L23" s="5">
        <v>7.0000000000000007E-2</v>
      </c>
      <c r="M23" s="5">
        <f t="shared" si="7"/>
        <v>4.887999901241071E-3</v>
      </c>
      <c r="N23" s="5">
        <f t="shared" si="9"/>
        <v>1.1532627749114639E-4</v>
      </c>
      <c r="O23" s="6"/>
      <c r="P23" s="6"/>
      <c r="Q23" s="6"/>
      <c r="R23" s="6"/>
    </row>
    <row r="24" spans="4:18">
      <c r="D24" s="5">
        <v>0.08</v>
      </c>
      <c r="E24" s="5">
        <f t="shared" si="5"/>
        <v>6.3795309203367647E-3</v>
      </c>
      <c r="F24" s="5">
        <f t="shared" si="6"/>
        <v>0.1589768189670164</v>
      </c>
      <c r="G24" s="7"/>
      <c r="H24" s="7">
        <f t="shared" si="8"/>
        <v>0.15896086180780408</v>
      </c>
      <c r="L24" s="5">
        <v>0.08</v>
      </c>
      <c r="M24" s="5">
        <f t="shared" si="7"/>
        <v>6.3795309203367647E-3</v>
      </c>
      <c r="N24" s="5">
        <f t="shared" si="9"/>
        <v>1.7166393159903553E-4</v>
      </c>
      <c r="O24" s="6"/>
      <c r="P24" s="6"/>
      <c r="Q24" s="6"/>
      <c r="R24" s="6"/>
    </row>
    <row r="25" spans="4:18">
      <c r="D25" s="5">
        <v>0.09</v>
      </c>
      <c r="E25" s="5">
        <f t="shared" si="5"/>
        <v>8.0672171373971525E-3</v>
      </c>
      <c r="F25" s="5">
        <f t="shared" si="6"/>
        <v>0.17854347569365508</v>
      </c>
      <c r="G25" s="7"/>
      <c r="H25" s="7">
        <f t="shared" si="8"/>
        <v>0.17852553662217477</v>
      </c>
      <c r="L25" s="5">
        <v>0.09</v>
      </c>
      <c r="M25" s="5">
        <f t="shared" si="7"/>
        <v>8.0672171373971525E-3</v>
      </c>
      <c r="N25" s="5">
        <f t="shared" si="9"/>
        <v>2.4389767188770509E-4</v>
      </c>
    </row>
    <row r="26" spans="4:18">
      <c r="D26" s="5">
        <v>0.1</v>
      </c>
      <c r="E26" s="5">
        <f t="shared" si="5"/>
        <v>9.9500416527802601E-3</v>
      </c>
      <c r="F26" s="5">
        <f t="shared" si="6"/>
        <v>0.1980024988891369</v>
      </c>
      <c r="G26" s="7"/>
      <c r="H26" s="7">
        <f t="shared" si="8"/>
        <v>0.19798258239394392</v>
      </c>
      <c r="L26" s="5">
        <v>0.1</v>
      </c>
      <c r="M26" s="5">
        <f t="shared" si="7"/>
        <v>9.9500416527802601E-3</v>
      </c>
      <c r="N26" s="5">
        <f t="shared" si="9"/>
        <v>3.339839658385922E-4</v>
      </c>
    </row>
    <row r="27" spans="4:18">
      <c r="D27" s="5">
        <v>0.11</v>
      </c>
      <c r="E27" s="5">
        <f t="shared" si="5"/>
        <v>1.2026868785276031E-2</v>
      </c>
      <c r="F27" s="5">
        <f t="shared" si="6"/>
        <v>0.21734202411034348</v>
      </c>
      <c r="G27" s="7"/>
      <c r="H27" s="7">
        <f t="shared" si="8"/>
        <v>0.21732013517577067</v>
      </c>
      <c r="L27" s="5">
        <v>0.11</v>
      </c>
      <c r="M27" s="5">
        <f t="shared" si="7"/>
        <v>1.2026868785276031E-2</v>
      </c>
      <c r="N27" s="5">
        <f t="shared" si="9"/>
        <v>4.4386851802887364E-4</v>
      </c>
    </row>
    <row r="28" spans="4:18">
      <c r="D28" s="5">
        <v>0.12</v>
      </c>
      <c r="E28" s="5">
        <f t="shared" si="5"/>
        <v>1.4296444356295674E-2</v>
      </c>
      <c r="F28" s="5">
        <f t="shared" si="6"/>
        <v>0.23655021681996746</v>
      </c>
      <c r="G28" s="7"/>
      <c r="H28" s="7">
        <f t="shared" si="8"/>
        <v>0.23652636092519452</v>
      </c>
      <c r="L28" s="5">
        <v>0.12</v>
      </c>
      <c r="M28" s="5">
        <f t="shared" si="7"/>
        <v>1.4296444356295674E-2</v>
      </c>
      <c r="N28" s="5">
        <f t="shared" si="9"/>
        <v>5.754850837367321E-4</v>
      </c>
    </row>
    <row r="29" spans="4:18">
      <c r="D29" s="5">
        <v>0.13</v>
      </c>
      <c r="E29" s="5">
        <f t="shared" si="5"/>
        <v>1.6757396003779922E-2</v>
      </c>
      <c r="F29" s="5">
        <f t="shared" si="6"/>
        <v>0.25561527535557205</v>
      </c>
      <c r="G29" s="7"/>
      <c r="H29" s="7">
        <f t="shared" si="8"/>
        <v>0.25558945847360082</v>
      </c>
      <c r="L29" s="5">
        <v>0.13</v>
      </c>
      <c r="M29" s="5">
        <f t="shared" si="7"/>
        <v>1.6757396003779922E-2</v>
      </c>
      <c r="N29" s="5">
        <f t="shared" si="9"/>
        <v>7.3075428553711025E-4</v>
      </c>
    </row>
    <row r="30" spans="4:18">
      <c r="D30" s="5">
        <v>0.14000000000000001</v>
      </c>
      <c r="E30" s="5">
        <f t="shared" si="5"/>
        <v>1.940823352576769E-2</v>
      </c>
      <c r="F30" s="5">
        <f t="shared" si="6"/>
        <v>0.27452543389251138</v>
      </c>
      <c r="G30" s="7"/>
      <c r="H30" s="7">
        <f t="shared" si="8"/>
        <v>0.27449766248905139</v>
      </c>
      <c r="L30" s="5">
        <v>0.14000000000000001</v>
      </c>
      <c r="M30" s="5">
        <f t="shared" si="7"/>
        <v>1.940823352576769E-2</v>
      </c>
      <c r="N30" s="5">
        <f t="shared" si="9"/>
        <v>9.1158243318484843E-4</v>
      </c>
    </row>
    <row r="31" spans="4:18">
      <c r="D31" s="5">
        <v>0.15</v>
      </c>
      <c r="E31" s="5">
        <f t="shared" si="5"/>
        <v>2.224734925356095E-2</v>
      </c>
      <c r="F31" s="5">
        <f t="shared" si="6"/>
        <v>0.29326896540015668</v>
      </c>
      <c r="G31" s="7"/>
      <c r="H31" s="7">
        <f t="shared" si="8"/>
        <v>0.29323924643241805</v>
      </c>
      <c r="L31" s="5">
        <v>0.15</v>
      </c>
      <c r="M31" s="5">
        <f t="shared" si="7"/>
        <v>2.224734925356095E-2</v>
      </c>
      <c r="N31" s="5">
        <f t="shared" si="9"/>
        <v>1.1198603470814912E-3</v>
      </c>
    </row>
    <row r="32" spans="4:18">
      <c r="D32" s="5">
        <v>0.16</v>
      </c>
      <c r="E32" s="5">
        <f t="shared" si="5"/>
        <v>2.5273018454416051E-2</v>
      </c>
      <c r="F32" s="5">
        <f t="shared" si="6"/>
        <v>0.31183418459087597</v>
      </c>
      <c r="G32" s="7"/>
      <c r="H32" s="7">
        <f t="shared" si="8"/>
        <v>0.31180252550626808</v>
      </c>
      <c r="L32" s="5">
        <v>0.16</v>
      </c>
      <c r="M32" s="5">
        <f t="shared" si="7"/>
        <v>2.5273018454416051E-2</v>
      </c>
      <c r="N32" s="5">
        <f t="shared" si="9"/>
        <v>1.3574621856213764E-3</v>
      </c>
    </row>
    <row r="33" spans="4:14">
      <c r="D33" s="5">
        <v>0.17</v>
      </c>
      <c r="E33" s="5">
        <f t="shared" si="5"/>
        <v>2.8483399763686312E-2</v>
      </c>
      <c r="F33" s="5">
        <f t="shared" si="6"/>
        <v>0.3302094508612145</v>
      </c>
      <c r="G33" s="7"/>
      <c r="H33" s="7">
        <f t="shared" si="8"/>
        <v>0.33017585959595425</v>
      </c>
      <c r="L33" s="5">
        <v>0.17</v>
      </c>
      <c r="M33" s="5">
        <f t="shared" si="7"/>
        <v>2.8483399763686312E-2</v>
      </c>
      <c r="N33" s="5">
        <f t="shared" si="9"/>
        <v>1.6262442767118884E-3</v>
      </c>
    </row>
    <row r="34" spans="4:14">
      <c r="D34" s="5">
        <v>0.18</v>
      </c>
      <c r="E34" s="5">
        <f t="shared" si="5"/>
        <v>3.1876535646335136E-2</v>
      </c>
      <c r="F34" s="5">
        <f t="shared" si="6"/>
        <v>0.34838317122472701</v>
      </c>
      <c r="G34" s="7"/>
      <c r="H34" s="7">
        <f t="shared" si="8"/>
        <v>0.34834765620235741</v>
      </c>
      <c r="L34" s="5">
        <v>0.18</v>
      </c>
      <c r="M34" s="5">
        <f t="shared" si="7"/>
        <v>3.1876535646335136E-2</v>
      </c>
      <c r="N34" s="5">
        <f t="shared" si="9"/>
        <v>1.9280439537619951E-3</v>
      </c>
    </row>
    <row r="35" spans="4:14">
      <c r="D35" s="5">
        <v>0.19</v>
      </c>
      <c r="E35" s="5">
        <f t="shared" si="5"/>
        <v>3.5450352887733461E-2</v>
      </c>
      <c r="F35" s="5">
        <f t="shared" si="6"/>
        <v>0.36634380323591104</v>
      </c>
      <c r="G35" s="7"/>
      <c r="H35" s="7">
        <f t="shared" si="8"/>
        <v>0.3663063733657268</v>
      </c>
      <c r="L35" s="5">
        <v>0.19</v>
      </c>
      <c r="M35" s="5">
        <f t="shared" si="7"/>
        <v>3.5450352887733461E-2</v>
      </c>
      <c r="N35" s="5">
        <f t="shared" si="9"/>
        <v>2.2646783964323383E-3</v>
      </c>
    </row>
    <row r="36" spans="4:14">
      <c r="D36" s="5">
        <v>0.2</v>
      </c>
      <c r="E36" s="5">
        <f t="shared" si="5"/>
        <v>3.9202663113649672E-2</v>
      </c>
      <c r="F36" s="5">
        <f t="shared" si="6"/>
        <v>0.38407985790469423</v>
      </c>
      <c r="G36" s="7"/>
      <c r="H36" s="7">
        <f t="shared" si="8"/>
        <v>0.38404052258007371</v>
      </c>
      <c r="L36" s="5">
        <v>0.2</v>
      </c>
      <c r="M36" s="5">
        <f t="shared" si="7"/>
        <v>3.9202663113649672E-2</v>
      </c>
      <c r="N36" s="5">
        <f t="shared" si="9"/>
        <v>2.6379434764392542E-3</v>
      </c>
    </row>
    <row r="37" spans="4:14">
      <c r="D37" s="5">
        <v>0.21</v>
      </c>
      <c r="E37" s="5">
        <f t="shared" si="5"/>
        <v>4.3131163339334935E-2</v>
      </c>
      <c r="F37" s="5">
        <f t="shared" si="6"/>
        <v>0.40157990260092929</v>
      </c>
      <c r="G37" s="7"/>
      <c r="H37" s="7">
        <f t="shared" si="8"/>
        <v>0.40153867169758184</v>
      </c>
      <c r="L37" s="5">
        <v>0.21</v>
      </c>
      <c r="M37" s="5">
        <f t="shared" si="7"/>
        <v>4.3131163339334935E-2</v>
      </c>
      <c r="N37" s="5">
        <f t="shared" si="9"/>
        <v>3.0496126087041766E-3</v>
      </c>
    </row>
    <row r="38" spans="4:14">
      <c r="D38" s="5">
        <v>0.22</v>
      </c>
      <c r="E38" s="5">
        <f t="shared" si="5"/>
        <v>4.7233436547601308E-2</v>
      </c>
      <c r="F38" s="5">
        <f t="shared" si="6"/>
        <v>0.41883256394835233</v>
      </c>
      <c r="G38" s="7"/>
      <c r="H38" s="7">
        <f t="shared" si="8"/>
        <v>0.41878944782247002</v>
      </c>
      <c r="L38" s="5">
        <v>0.22</v>
      </c>
      <c r="M38" s="5">
        <f t="shared" si="7"/>
        <v>4.7233436547601308E-2</v>
      </c>
      <c r="N38" s="5">
        <f t="shared" si="9"/>
        <v>3.5014356081388581E-3</v>
      </c>
    </row>
    <row r="39" spans="4:14">
      <c r="D39" s="5">
        <v>0.23</v>
      </c>
      <c r="E39" s="5">
        <f t="shared" si="5"/>
        <v>5.1506952295784336E-2</v>
      </c>
      <c r="F39" s="5">
        <f t="shared" si="6"/>
        <v>0.43582653070746097</v>
      </c>
      <c r="G39" s="7"/>
      <c r="H39" s="7">
        <f t="shared" si="8"/>
        <v>0.43578154019378001</v>
      </c>
      <c r="L39" s="5">
        <v>0.23</v>
      </c>
      <c r="M39" s="5">
        <f t="shared" si="7"/>
        <v>5.1506952295784336E-2</v>
      </c>
      <c r="N39" s="5">
        <f t="shared" si="9"/>
        <v>3.9951375523557871E-3</v>
      </c>
    </row>
    <row r="40" spans="4:14">
      <c r="D40" s="5">
        <v>0.24</v>
      </c>
      <c r="E40" s="5">
        <f t="shared" si="5"/>
        <v>5.5949067351476908E-2</v>
      </c>
      <c r="F40" s="5">
        <f t="shared" si="6"/>
        <v>0.4525505566467713</v>
      </c>
      <c r="G40" s="7"/>
      <c r="H40" s="7">
        <f t="shared" si="8"/>
        <v>0.45250370305654797</v>
      </c>
      <c r="L40" s="5">
        <v>0.24</v>
      </c>
      <c r="M40" s="5">
        <f t="shared" si="7"/>
        <v>5.5949067351476908E-2</v>
      </c>
      <c r="N40" s="5">
        <f t="shared" si="9"/>
        <v>4.5324176505920927E-3</v>
      </c>
    </row>
    <row r="41" spans="4:14">
      <c r="D41" s="5">
        <v>0.25</v>
      </c>
      <c r="E41" s="5">
        <f t="shared" si="5"/>
        <v>6.0557026356915296E-2</v>
      </c>
      <c r="F41" s="5">
        <f t="shared" si="6"/>
        <v>0.46899346340191467</v>
      </c>
      <c r="G41" s="7"/>
      <c r="H41" s="7">
        <f t="shared" si="8"/>
        <v>0.46894475852080963</v>
      </c>
      <c r="L41" s="5">
        <v>0.25</v>
      </c>
      <c r="M41" s="5">
        <f t="shared" si="7"/>
        <v>6.0557026356915296E-2</v>
      </c>
      <c r="N41" s="5">
        <f t="shared" si="9"/>
        <v>5.1149481191340544E-3</v>
      </c>
    </row>
    <row r="42" spans="4:14">
      <c r="D42" s="5">
        <v>0.26</v>
      </c>
      <c r="E42" s="5">
        <f t="shared" si="5"/>
        <v>6.5327962521893101E-2</v>
      </c>
      <c r="F42" s="5">
        <f t="shared" si="6"/>
        <v>0.48514414332203726</v>
      </c>
      <c r="G42" s="7"/>
      <c r="H42" s="7">
        <f t="shared" si="8"/>
        <v>0.48509359940790664</v>
      </c>
      <c r="L42" s="5">
        <v>0.26</v>
      </c>
      <c r="M42" s="5">
        <f t="shared" si="7"/>
        <v>6.5327962521893101E-2</v>
      </c>
      <c r="N42" s="5">
        <f t="shared" si="9"/>
        <v>5.7443730635280965E-3</v>
      </c>
    </row>
    <row r="43" spans="4:14">
      <c r="D43" s="5">
        <v>0.27</v>
      </c>
      <c r="E43" s="5">
        <f t="shared" si="5"/>
        <v>7.0258898345073428E-2</v>
      </c>
      <c r="F43" s="5">
        <f t="shared" si="6"/>
        <v>0.50099156230296515</v>
      </c>
      <c r="G43" s="7"/>
      <c r="H43" s="7">
        <f t="shared" si="8"/>
        <v>0.5009391920835673</v>
      </c>
      <c r="L43" s="5">
        <v>0.27</v>
      </c>
      <c r="M43" s="5">
        <f t="shared" si="7"/>
        <v>7.0258898345073428E-2</v>
      </c>
      <c r="N43" s="5">
        <f t="shared" si="9"/>
        <v>6.4223073678629297E-3</v>
      </c>
    </row>
    <row r="44" spans="4:14">
      <c r="D44" s="5">
        <v>0.28000000000000003</v>
      </c>
      <c r="E44" s="5">
        <f t="shared" si="5"/>
        <v>7.5346746363564449E-2</v>
      </c>
      <c r="F44" s="5">
        <f t="shared" si="6"/>
        <v>0.51652476260660518</v>
      </c>
      <c r="G44" s="7"/>
      <c r="H44" s="7">
        <f t="shared" si="8"/>
        <v>0.51647057927722007</v>
      </c>
      <c r="L44" s="5">
        <v>0.28000000000000003</v>
      </c>
      <c r="M44" s="5">
        <f t="shared" si="7"/>
        <v>7.5346746363564449E-2</v>
      </c>
      <c r="N44" s="5">
        <f t="shared" si="9"/>
        <v>7.1503355914061201E-3</v>
      </c>
    </row>
    <row r="45" spans="4:14">
      <c r="D45" s="5">
        <v>0.28999999999999998</v>
      </c>
      <c r="E45" s="5">
        <f t="shared" si="5"/>
        <v>8.058830993061783E-2</v>
      </c>
      <c r="F45" s="5">
        <f t="shared" si="6"/>
        <v>0.53173286566604772</v>
      </c>
      <c r="G45" s="7"/>
      <c r="H45" s="7">
        <f t="shared" si="8"/>
        <v>0.5316768828870041</v>
      </c>
      <c r="L45" s="5">
        <v>0.28999999999999998</v>
      </c>
      <c r="M45" s="5">
        <f t="shared" si="7"/>
        <v>8.058830993061783E-2</v>
      </c>
      <c r="N45" s="5">
        <f t="shared" si="9"/>
        <v>7.9300108728770271E-3</v>
      </c>
    </row>
    <row r="46" spans="4:14">
      <c r="D46" s="5">
        <v>0.3</v>
      </c>
      <c r="E46" s="5">
        <f t="shared" si="5"/>
        <v>8.5980284021304532E-2</v>
      </c>
      <c r="F46" s="5">
        <f t="shared" si="6"/>
        <v>0.54660507487584298</v>
      </c>
      <c r="G46" s="7"/>
      <c r="H46" s="7">
        <f t="shared" si="8"/>
        <v>0.54654730676996155</v>
      </c>
      <c r="L46" s="5">
        <v>0.3</v>
      </c>
      <c r="M46" s="5">
        <f t="shared" si="7"/>
        <v>8.5980284021304532E-2</v>
      </c>
      <c r="N46" s="5">
        <f t="shared" si="9"/>
        <v>8.7628538426366403E-3</v>
      </c>
    </row>
    <row r="47" spans="4:14">
      <c r="D47" s="5">
        <v>0.31</v>
      </c>
      <c r="E47" s="5">
        <f t="shared" si="5"/>
        <v>9.151925606601706E-2</v>
      </c>
      <c r="F47" s="5">
        <f t="shared" si="6"/>
        <v>0.56113067836692732</v>
      </c>
      <c r="G47" s="7"/>
      <c r="H47" s="7">
        <f t="shared" si="8"/>
        <v>0.56107113951687071</v>
      </c>
      <c r="L47" s="5">
        <v>0.31</v>
      </c>
      <c r="M47" s="5">
        <f t="shared" si="7"/>
        <v>9.151925606601706E-2</v>
      </c>
      <c r="N47" s="5">
        <f t="shared" si="9"/>
        <v>9.6503515430732493E-3</v>
      </c>
    </row>
    <row r="48" spans="4:14">
      <c r="D48" s="5">
        <v>0.32</v>
      </c>
      <c r="E48" s="5">
        <f t="shared" ref="E48:E79" si="10">D48^2*COS(D48)</f>
        <v>9.7201706811641947E-2</v>
      </c>
      <c r="F48" s="5">
        <f t="shared" ref="F48:F79" si="11">2*D48*COS(D48)-D48^2*SIN(D48)</f>
        <v>0.57529905176567175</v>
      </c>
      <c r="G48" s="7"/>
      <c r="H48" s="7">
        <f t="shared" si="8"/>
        <v>0.57523775721121451</v>
      </c>
      <c r="L48" s="5">
        <v>0.32</v>
      </c>
      <c r="M48" s="5">
        <f t="shared" ref="M48:M79" si="12">L48^2*COS(L48)</f>
        <v>9.7201706811641947E-2</v>
      </c>
      <c r="N48" s="5">
        <f t="shared" si="9"/>
        <v>1.0593956357461545E-2</v>
      </c>
    </row>
    <row r="49" spans="4:14">
      <c r="D49" s="5">
        <v>0.33</v>
      </c>
      <c r="E49" s="5">
        <f t="shared" si="10"/>
        <v>0.10302401121024135</v>
      </c>
      <c r="F49" s="5">
        <f t="shared" si="11"/>
        <v>0.58909966093653421</v>
      </c>
      <c r="G49" s="7"/>
      <c r="H49" s="7">
        <f t="shared" ref="H49:H80" si="13">(E50-E48)/(2*$J$16)</f>
        <v>0.58903662617174468</v>
      </c>
      <c r="L49" s="5">
        <v>0.33</v>
      </c>
      <c r="M49" s="5">
        <f t="shared" si="12"/>
        <v>0.10302401121024135</v>
      </c>
      <c r="N49" s="5">
        <f t="shared" ref="N49:N80" si="14">N48+((M48+M49)/2)*(L49-L48)</f>
        <v>1.1595084947570961E-2</v>
      </c>
    </row>
    <row r="50" spans="4:14">
      <c r="D50" s="5">
        <v>0.34</v>
      </c>
      <c r="E50" s="5">
        <f t="shared" si="10"/>
        <v>0.10898243933507684</v>
      </c>
      <c r="F50" s="5">
        <f t="shared" si="11"/>
        <v>0.60252206470779723</v>
      </c>
      <c r="G50" s="7"/>
      <c r="H50" s="7">
        <f t="shared" si="13"/>
        <v>0.60245730567812728</v>
      </c>
      <c r="L50" s="5">
        <v>0.34</v>
      </c>
      <c r="M50" s="5">
        <f t="shared" si="12"/>
        <v>0.10898243933507684</v>
      </c>
      <c r="N50" s="5">
        <f t="shared" si="14"/>
        <v>1.2655117200297553E-2</v>
      </c>
    </row>
    <row r="51" spans="4:14">
      <c r="D51" s="5">
        <v>0.35</v>
      </c>
      <c r="E51" s="5">
        <f t="shared" si="10"/>
        <v>0.1150731573238039</v>
      </c>
      <c r="F51" s="5">
        <f t="shared" si="11"/>
        <v>0.61555591757987238</v>
      </c>
      <c r="G51" s="7"/>
      <c r="H51" s="7">
        <f t="shared" si="13"/>
        <v>0.61548945067917482</v>
      </c>
      <c r="L51" s="5">
        <v>0.35</v>
      </c>
      <c r="M51" s="5">
        <f t="shared" si="12"/>
        <v>0.1150731573238039</v>
      </c>
      <c r="N51" s="5">
        <f t="shared" si="14"/>
        <v>1.3775395183591952E-2</v>
      </c>
    </row>
    <row r="52" spans="4:14">
      <c r="D52" s="5">
        <v>0.36</v>
      </c>
      <c r="E52" s="5">
        <f t="shared" si="10"/>
        <v>0.12129222834866034</v>
      </c>
      <c r="F52" s="5">
        <f t="shared" si="11"/>
        <v>0.62819097241566135</v>
      </c>
      <c r="G52" s="7"/>
      <c r="H52" s="7">
        <f t="shared" si="13"/>
        <v>0.62812281448311125</v>
      </c>
      <c r="L52" s="5">
        <v>0.36</v>
      </c>
      <c r="M52" s="5">
        <f t="shared" si="12"/>
        <v>0.12129222834866034</v>
      </c>
      <c r="N52" s="5">
        <f t="shared" si="14"/>
        <v>1.4957222111954275E-2</v>
      </c>
    </row>
    <row r="53" spans="4:14">
      <c r="D53" s="5">
        <v>0.37</v>
      </c>
      <c r="E53" s="5">
        <f t="shared" si="10"/>
        <v>0.12763561361346612</v>
      </c>
      <c r="F53" s="5">
        <f t="shared" si="11"/>
        <v>0.64041708311246215</v>
      </c>
      <c r="G53" s="7"/>
      <c r="H53" s="7">
        <f t="shared" si="13"/>
        <v>0.6403472514293872</v>
      </c>
      <c r="L53" s="5">
        <v>0.37</v>
      </c>
      <c r="M53" s="5">
        <f t="shared" si="12"/>
        <v>0.12763561361346612</v>
      </c>
      <c r="N53" s="5">
        <f t="shared" si="14"/>
        <v>1.6201861321764908E-2</v>
      </c>
    </row>
    <row r="54" spans="4:14">
      <c r="D54" s="5">
        <v>0.38</v>
      </c>
      <c r="E54" s="5">
        <f t="shared" si="10"/>
        <v>0.13409917337724808</v>
      </c>
      <c r="F54" s="5">
        <f t="shared" si="11"/>
        <v>0.65222420725491304</v>
      </c>
      <c r="G54" s="7"/>
      <c r="H54" s="7">
        <f t="shared" si="13"/>
        <v>0.65215271954155996</v>
      </c>
      <c r="L54" s="5">
        <v>0.38</v>
      </c>
      <c r="M54" s="5">
        <f t="shared" si="12"/>
        <v>0.13409917337724808</v>
      </c>
      <c r="N54" s="5">
        <f t="shared" si="14"/>
        <v>1.751053525671848E-2</v>
      </c>
    </row>
    <row r="55" spans="4:14">
      <c r="D55" s="5">
        <v>0.39</v>
      </c>
      <c r="E55" s="5">
        <f t="shared" si="10"/>
        <v>0.14067866800429732</v>
      </c>
      <c r="F55" s="5">
        <f t="shared" si="11"/>
        <v>0.66360240874847132</v>
      </c>
      <c r="G55" s="7"/>
      <c r="H55" s="7">
        <f t="shared" si="13"/>
        <v>0.66352928316067838</v>
      </c>
      <c r="L55" s="5">
        <v>0.39</v>
      </c>
      <c r="M55" s="5">
        <f t="shared" si="12"/>
        <v>0.14067866800429732</v>
      </c>
      <c r="N55" s="5">
        <f t="shared" si="14"/>
        <v>1.8884424463626207E-2</v>
      </c>
    </row>
    <row r="56" spans="4:14">
      <c r="D56" s="5">
        <v>0.4</v>
      </c>
      <c r="E56" s="5">
        <f t="shared" si="10"/>
        <v>0.14736975904046165</v>
      </c>
      <c r="F56" s="5">
        <f t="shared" si="11"/>
        <v>0.67454186043292408</v>
      </c>
      <c r="G56" s="7"/>
      <c r="H56" s="7">
        <f t="shared" si="13"/>
        <v>0.67446711555869809</v>
      </c>
      <c r="L56" s="5">
        <v>0.4</v>
      </c>
      <c r="M56" s="5">
        <f t="shared" si="12"/>
        <v>0.14736975904046165</v>
      </c>
      <c r="N56" s="5">
        <f t="shared" si="14"/>
        <v>2.0324666598850002E-2</v>
      </c>
    </row>
    <row r="57" spans="4:14">
      <c r="D57" s="5">
        <v>0.41</v>
      </c>
      <c r="E57" s="5">
        <f t="shared" si="10"/>
        <v>0.15416801031547128</v>
      </c>
      <c r="F57" s="5">
        <f t="shared" si="11"/>
        <v>0.68503284667543474</v>
      </c>
      <c r="G57" s="7"/>
      <c r="H57" s="7">
        <f t="shared" si="13"/>
        <v>0.68495650153147514</v>
      </c>
      <c r="L57" s="5">
        <v>0.41</v>
      </c>
      <c r="M57" s="5">
        <f t="shared" si="12"/>
        <v>0.15416801031547128</v>
      </c>
      <c r="N57" s="5">
        <f t="shared" si="14"/>
        <v>2.1832355445629659E-2</v>
      </c>
    </row>
    <row r="58" spans="4:14">
      <c r="D58" s="5">
        <v>0.42</v>
      </c>
      <c r="E58" s="5">
        <f t="shared" si="10"/>
        <v>0.16106888907109115</v>
      </c>
      <c r="F58" s="5">
        <f t="shared" si="11"/>
        <v>0.6950657659426307</v>
      </c>
      <c r="G58" s="7"/>
      <c r="H58" s="7">
        <f t="shared" si="13"/>
        <v>0.6949878399707482</v>
      </c>
      <c r="L58" s="5">
        <v>0.42</v>
      </c>
      <c r="M58" s="5">
        <f t="shared" si="12"/>
        <v>0.16106888907109115</v>
      </c>
      <c r="N58" s="5">
        <f t="shared" si="14"/>
        <v>2.3408539942562472E-2</v>
      </c>
    </row>
    <row r="59" spans="4:14">
      <c r="D59" s="5">
        <v>0.43</v>
      </c>
      <c r="E59" s="5">
        <f t="shared" si="10"/>
        <v>0.16806776711488625</v>
      </c>
      <c r="F59" s="5">
        <f t="shared" si="11"/>
        <v>0.70463113335124006</v>
      </c>
      <c r="G59" s="7"/>
      <c r="H59" s="7">
        <f t="shared" si="13"/>
        <v>0.70455164641468748</v>
      </c>
      <c r="L59" s="5">
        <v>0.43</v>
      </c>
      <c r="M59" s="5">
        <f t="shared" si="12"/>
        <v>0.16806776711488625</v>
      </c>
      <c r="N59" s="5">
        <f t="shared" si="14"/>
        <v>2.5054223223492361E-2</v>
      </c>
    </row>
    <row r="60" spans="4:14">
      <c r="D60" s="5">
        <v>0.44</v>
      </c>
      <c r="E60" s="5">
        <f t="shared" si="10"/>
        <v>0.1751599219993849</v>
      </c>
      <c r="F60" s="5">
        <f t="shared" si="11"/>
        <v>0.7137195831967903</v>
      </c>
      <c r="G60" s="7"/>
      <c r="H60" s="7">
        <f t="shared" si="13"/>
        <v>0.71363855557654143</v>
      </c>
      <c r="L60" s="5">
        <v>0.44</v>
      </c>
      <c r="M60" s="5">
        <f t="shared" si="12"/>
        <v>0.1751599219993849</v>
      </c>
      <c r="N60" s="5">
        <f t="shared" si="14"/>
        <v>2.6770361669063717E-2</v>
      </c>
    </row>
    <row r="61" spans="4:14">
      <c r="D61" s="5">
        <v>0.45</v>
      </c>
      <c r="E61" s="5">
        <f t="shared" si="10"/>
        <v>0.18234053822641708</v>
      </c>
      <c r="F61" s="5">
        <f t="shared" si="11"/>
        <v>0.72232187145988502</v>
      </c>
      <c r="G61" s="7"/>
      <c r="H61" s="7">
        <f t="shared" si="13"/>
        <v>0.72223932385081235</v>
      </c>
      <c r="L61" s="5">
        <v>0.45</v>
      </c>
      <c r="M61" s="5">
        <f t="shared" si="12"/>
        <v>0.18234053822641708</v>
      </c>
      <c r="N61" s="5">
        <f t="shared" si="14"/>
        <v>2.8557863970192728E-2</v>
      </c>
    </row>
    <row r="62" spans="4:14">
      <c r="D62" s="5">
        <v>0.46</v>
      </c>
      <c r="E62" s="5">
        <f t="shared" si="10"/>
        <v>0.18960470847640115</v>
      </c>
      <c r="F62" s="5">
        <f t="shared" si="11"/>
        <v>0.73042887828957914</v>
      </c>
      <c r="G62" s="7"/>
      <c r="H62" s="7">
        <f t="shared" si="13"/>
        <v>0.7303448317965533</v>
      </c>
      <c r="L62" s="5">
        <v>0.46</v>
      </c>
      <c r="M62" s="5">
        <f t="shared" si="12"/>
        <v>0.18960470847640115</v>
      </c>
      <c r="N62" s="5">
        <f t="shared" si="14"/>
        <v>3.041759020370682E-2</v>
      </c>
    </row>
    <row r="63" spans="4:14">
      <c r="D63" s="5">
        <v>0.47</v>
      </c>
      <c r="E63" s="5">
        <f t="shared" si="10"/>
        <v>0.19694743486234814</v>
      </c>
      <c r="F63" s="5">
        <f t="shared" si="11"/>
        <v>0.73803161046337296</v>
      </c>
      <c r="G63" s="7"/>
      <c r="H63" s="7">
        <f t="shared" si="13"/>
        <v>0.73794608659729499</v>
      </c>
      <c r="L63" s="5">
        <v>0.47</v>
      </c>
      <c r="M63" s="5">
        <f t="shared" si="12"/>
        <v>0.19694743486234814</v>
      </c>
      <c r="N63" s="5">
        <f t="shared" si="14"/>
        <v>3.2350350920400554E-2</v>
      </c>
    </row>
    <row r="64" spans="4:14">
      <c r="D64" s="5">
        <v>0.48</v>
      </c>
      <c r="E64" s="5">
        <f t="shared" si="10"/>
        <v>0.20436363020834705</v>
      </c>
      <c r="F64" s="5">
        <f t="shared" si="11"/>
        <v>0.74512120382335512</v>
      </c>
      <c r="G64" s="7"/>
      <c r="H64" s="7">
        <f t="shared" si="13"/>
        <v>0.74503422449709999</v>
      </c>
      <c r="L64" s="5">
        <v>0.48</v>
      </c>
      <c r="M64" s="5">
        <f t="shared" si="12"/>
        <v>0.20436363020834705</v>
      </c>
      <c r="N64" s="5">
        <f t="shared" si="14"/>
        <v>3.4356906245754035E-2</v>
      </c>
    </row>
    <row r="65" spans="4:14">
      <c r="D65" s="5">
        <v>0.49</v>
      </c>
      <c r="E65" s="5">
        <f t="shared" si="10"/>
        <v>0.21184811935229014</v>
      </c>
      <c r="F65" s="5">
        <f t="shared" si="11"/>
        <v>0.75168892568802392</v>
      </c>
      <c r="G65" s="7"/>
      <c r="H65" s="7">
        <f t="shared" si="13"/>
        <v>0.75160051321230681</v>
      </c>
      <c r="L65" s="5">
        <v>0.49</v>
      </c>
      <c r="M65" s="5">
        <f t="shared" si="12"/>
        <v>0.21184811935229014</v>
      </c>
      <c r="N65" s="5">
        <f t="shared" si="14"/>
        <v>3.6437964993557226E-2</v>
      </c>
    </row>
    <row r="66" spans="4:14">
      <c r="D66" s="5">
        <v>0.5</v>
      </c>
      <c r="E66" s="5">
        <f t="shared" si="10"/>
        <v>0.21939564047259319</v>
      </c>
      <c r="F66" s="5">
        <f t="shared" si="11"/>
        <v>0.75772617723932201</v>
      </c>
      <c r="G66" s="7"/>
      <c r="H66" s="7">
        <f t="shared" si="13"/>
        <v>0.75763635431848886</v>
      </c>
      <c r="L66" s="5">
        <v>0.5</v>
      </c>
      <c r="M66" s="5">
        <f t="shared" si="12"/>
        <v>0.21939564047259319</v>
      </c>
      <c r="N66" s="5">
        <f t="shared" si="14"/>
        <v>3.8594183792681647E-2</v>
      </c>
    </row>
    <row r="67" spans="4:14">
      <c r="D67" s="5">
        <v>0.51</v>
      </c>
      <c r="E67" s="5">
        <f t="shared" si="10"/>
        <v>0.22700084643865992</v>
      </c>
      <c r="F67" s="5">
        <f t="shared" si="11"/>
        <v>0.76322449588442209</v>
      </c>
      <c r="G67" s="7"/>
      <c r="H67" s="7">
        <f t="shared" si="13"/>
        <v>0.76313328561216776</v>
      </c>
      <c r="L67" s="5">
        <v>0.51</v>
      </c>
      <c r="M67" s="5">
        <f t="shared" si="12"/>
        <v>0.22700084643865992</v>
      </c>
      <c r="N67" s="5">
        <f t="shared" si="14"/>
        <v>4.0826166227237913E-2</v>
      </c>
    </row>
    <row r="68" spans="4:14">
      <c r="D68" s="5">
        <v>0.52</v>
      </c>
      <c r="E68" s="5">
        <f t="shared" si="10"/>
        <v>0.23465830618483655</v>
      </c>
      <c r="F68" s="5">
        <f t="shared" si="11"/>
        <v>0.76817555759180944</v>
      </c>
      <c r="G68" s="7"/>
      <c r="H68" s="7">
        <f t="shared" si="13"/>
        <v>0.76808298344682446</v>
      </c>
      <c r="L68" s="5">
        <v>0.52</v>
      </c>
      <c r="M68" s="5">
        <f t="shared" si="12"/>
        <v>0.23465830618483655</v>
      </c>
      <c r="N68" s="5">
        <f t="shared" si="14"/>
        <v>4.3134461990355394E-2</v>
      </c>
    </row>
    <row r="69" spans="4:14">
      <c r="D69" s="5">
        <v>0.53</v>
      </c>
      <c r="E69" s="5">
        <f t="shared" si="10"/>
        <v>0.24236250610759641</v>
      </c>
      <c r="F69" s="5">
        <f t="shared" si="11"/>
        <v>0.77257117920120522</v>
      </c>
      <c r="G69" s="7"/>
      <c r="H69" s="7">
        <f t="shared" si="13"/>
        <v>0.77247726504272995</v>
      </c>
      <c r="L69" s="5">
        <v>0.53</v>
      </c>
      <c r="M69" s="5">
        <f t="shared" si="12"/>
        <v>0.24236250610759641</v>
      </c>
      <c r="N69" s="5">
        <f t="shared" si="14"/>
        <v>4.5519566051817562E-2</v>
      </c>
    </row>
    <row r="70" spans="4:14">
      <c r="D70" s="5">
        <v>0.54</v>
      </c>
      <c r="E70" s="5">
        <f t="shared" si="10"/>
        <v>0.25010785148569115</v>
      </c>
      <c r="F70" s="5">
        <f t="shared" si="11"/>
        <v>0.77640332070688234</v>
      </c>
      <c r="G70" s="7"/>
      <c r="H70" s="7">
        <f t="shared" si="13"/>
        <v>0.77630809077020579</v>
      </c>
      <c r="L70" s="5">
        <v>0.54</v>
      </c>
      <c r="M70" s="5">
        <f t="shared" si="12"/>
        <v>0.25010785148569115</v>
      </c>
      <c r="N70" s="5">
        <f t="shared" si="14"/>
        <v>4.7981917839784005E-2</v>
      </c>
    </row>
    <row r="71" spans="4:14">
      <c r="D71" s="5">
        <v>0.55000000000000004</v>
      </c>
      <c r="E71" s="5">
        <f t="shared" si="10"/>
        <v>0.25788866792300053</v>
      </c>
      <c r="F71" s="5">
        <f t="shared" si="11"/>
        <v>0.7796640875139319</v>
      </c>
      <c r="G71" s="7"/>
      <c r="H71" s="7">
        <f t="shared" si="13"/>
        <v>0.77956756640580882</v>
      </c>
      <c r="L71" s="5">
        <v>0.55000000000000004</v>
      </c>
      <c r="M71" s="5">
        <f t="shared" si="12"/>
        <v>0.25788866792300053</v>
      </c>
      <c r="N71" s="5">
        <f t="shared" si="14"/>
        <v>5.0521900436827465E-2</v>
      </c>
    </row>
    <row r="72" spans="4:14">
      <c r="D72" s="5">
        <v>0.56000000000000005</v>
      </c>
      <c r="E72" s="5">
        <f t="shared" si="10"/>
        <v>0.26569920281380732</v>
      </c>
      <c r="F72" s="5">
        <f t="shared" si="11"/>
        <v>0.782345732667037</v>
      </c>
      <c r="G72" s="7"/>
      <c r="H72" s="7">
        <f t="shared" si="13"/>
        <v>0.78224794536102815</v>
      </c>
      <c r="L72" s="5">
        <v>0.56000000000000005</v>
      </c>
      <c r="M72" s="5">
        <f t="shared" si="12"/>
        <v>0.26569920281380732</v>
      </c>
      <c r="N72" s="5">
        <f t="shared" si="14"/>
        <v>5.3139839790511505E-2</v>
      </c>
    </row>
    <row r="73" spans="4:14">
      <c r="D73" s="5">
        <v>0.56999999999999995</v>
      </c>
      <c r="E73" s="5">
        <f t="shared" si="10"/>
        <v>0.27353362683022109</v>
      </c>
      <c r="F73" s="5">
        <f t="shared" si="11"/>
        <v>0.78444065905131977</v>
      </c>
      <c r="G73" s="7"/>
      <c r="H73" s="7">
        <f t="shared" si="13"/>
        <v>0.78434163088307585</v>
      </c>
      <c r="L73" s="5">
        <v>0.56999999999999995</v>
      </c>
      <c r="M73" s="5">
        <f t="shared" si="12"/>
        <v>0.27353362683022109</v>
      </c>
      <c r="N73" s="5">
        <f t="shared" si="14"/>
        <v>5.5836003938731622E-2</v>
      </c>
    </row>
    <row r="74" spans="4:14">
      <c r="D74" s="5">
        <v>0.57999999999999996</v>
      </c>
      <c r="E74" s="5">
        <f t="shared" si="10"/>
        <v>0.28138603543146884</v>
      </c>
      <c r="F74" s="5">
        <f t="shared" si="11"/>
        <v>0.78594142156483049</v>
      </c>
      <c r="G74" s="7"/>
      <c r="H74" s="7">
        <f t="shared" si="13"/>
        <v>0.78584117822729227</v>
      </c>
      <c r="L74" s="5">
        <v>0.57999999999999996</v>
      </c>
      <c r="M74" s="5">
        <f t="shared" si="12"/>
        <v>0.28138603543146884</v>
      </c>
      <c r="N74" s="5">
        <f t="shared" si="14"/>
        <v>5.8610602250040077E-2</v>
      </c>
    </row>
    <row r="75" spans="4:14">
      <c r="D75" s="5">
        <v>0.59</v>
      </c>
      <c r="E75" s="5">
        <f t="shared" si="10"/>
        <v>0.28925045039476693</v>
      </c>
      <c r="F75" s="5">
        <f t="shared" si="11"/>
        <v>0.78684072926225301</v>
      </c>
      <c r="G75" s="7"/>
      <c r="H75" s="7">
        <f t="shared" si="13"/>
        <v>0.78673929680076748</v>
      </c>
      <c r="L75" s="5">
        <v>0.59</v>
      </c>
      <c r="M75" s="5">
        <f t="shared" si="12"/>
        <v>0.28925045039476693</v>
      </c>
      <c r="N75" s="5">
        <f t="shared" si="14"/>
        <v>6.1463784679171261E-2</v>
      </c>
    </row>
    <row r="76" spans="4:14">
      <c r="D76" s="5">
        <v>0.6</v>
      </c>
      <c r="E76" s="5">
        <f t="shared" si="10"/>
        <v>0.29712082136748419</v>
      </c>
      <c r="F76" s="5">
        <f t="shared" si="11"/>
        <v>0.78713144746940122</v>
      </c>
      <c r="G76" s="7"/>
      <c r="H76" s="7">
        <f t="shared" si="13"/>
        <v>0.78702885227679709</v>
      </c>
      <c r="L76" s="5">
        <v>0.6</v>
      </c>
      <c r="M76" s="5">
        <f t="shared" si="12"/>
        <v>0.29712082136748419</v>
      </c>
      <c r="N76" s="5">
        <f t="shared" si="14"/>
        <v>6.4395641037982523E-2</v>
      </c>
    </row>
    <row r="77" spans="4:14">
      <c r="D77" s="5">
        <v>0.61</v>
      </c>
      <c r="E77" s="5">
        <f t="shared" si="10"/>
        <v>0.30499102744030288</v>
      </c>
      <c r="F77" s="5">
        <f t="shared" si="11"/>
        <v>0.78680659986809576</v>
      </c>
      <c r="G77" s="7"/>
      <c r="H77" s="7">
        <f t="shared" si="13"/>
        <v>0.7867028686796923</v>
      </c>
      <c r="L77" s="5">
        <v>0.61</v>
      </c>
      <c r="M77" s="5">
        <f t="shared" si="12"/>
        <v>0.30499102744030288</v>
      </c>
      <c r="N77" s="5">
        <f t="shared" si="14"/>
        <v>6.7406200282021461E-2</v>
      </c>
    </row>
    <row r="78" spans="4:14">
      <c r="D78" s="5">
        <v>0.62</v>
      </c>
      <c r="E78" s="5">
        <f t="shared" si="10"/>
        <v>0.31285487874107804</v>
      </c>
      <c r="F78" s="5">
        <f t="shared" si="11"/>
        <v>0.78585937055100197</v>
      </c>
      <c r="G78" s="7"/>
      <c r="H78" s="7">
        <f t="shared" si="13"/>
        <v>0.78575453043951138</v>
      </c>
      <c r="L78" s="5">
        <v>0.62</v>
      </c>
      <c r="M78" s="5">
        <f t="shared" si="12"/>
        <v>0.31285487874107804</v>
      </c>
      <c r="N78" s="5">
        <f t="shared" si="14"/>
        <v>7.0495429812928362E-2</v>
      </c>
    </row>
    <row r="79" spans="4:14">
      <c r="D79" s="5">
        <v>0.63</v>
      </c>
      <c r="E79" s="5">
        <f t="shared" si="10"/>
        <v>0.3207061180490931</v>
      </c>
      <c r="F79" s="5">
        <f t="shared" si="11"/>
        <v>0.78428310604602458</v>
      </c>
      <c r="G79" s="7"/>
      <c r="H79" s="7">
        <f t="shared" si="13"/>
        <v>0.78417718441641249</v>
      </c>
      <c r="L79" s="5">
        <v>0.63</v>
      </c>
      <c r="M79" s="5">
        <f t="shared" si="12"/>
        <v>0.3207061180490931</v>
      </c>
      <c r="N79" s="5">
        <f t="shared" si="14"/>
        <v>7.3663234796879223E-2</v>
      </c>
    </row>
    <row r="80" spans="4:14">
      <c r="D80" s="5">
        <v>0.64</v>
      </c>
      <c r="E80" s="5">
        <f t="shared" ref="E80:E111" si="15">D80^2*COS(D80)</f>
        <v>0.32853842242940628</v>
      </c>
      <c r="F80" s="5">
        <f t="shared" ref="F80:F116" si="16">2*D80*COS(D80)-D80^2*SIN(D80)</f>
        <v>0.78207131730985879</v>
      </c>
      <c r="G80" s="7"/>
      <c r="H80" s="7">
        <f t="shared" si="13"/>
        <v>0.78196434189415076</v>
      </c>
      <c r="L80" s="5">
        <v>0.64</v>
      </c>
      <c r="M80" s="5">
        <f t="shared" ref="M80:M111" si="17">L80^2*COS(L80)</f>
        <v>0.32853842242940628</v>
      </c>
      <c r="N80" s="5">
        <f t="shared" si="14"/>
        <v>7.6909457499271722E-2</v>
      </c>
    </row>
    <row r="81" spans="4:14">
      <c r="D81" s="5">
        <v>0.65</v>
      </c>
      <c r="E81" s="5">
        <f t="shared" si="15"/>
        <v>0.33634540488697612</v>
      </c>
      <c r="F81" s="5">
        <f t="shared" si="16"/>
        <v>0.77921768169029582</v>
      </c>
      <c r="G81" s="7"/>
      <c r="H81" s="7">
        <f t="shared" ref="H81:H115" si="18">(E82-E80)/(2*$J$16)</f>
        <v>0.77910968054229757</v>
      </c>
      <c r="L81" s="5">
        <v>0.65</v>
      </c>
      <c r="M81" s="5">
        <f t="shared" si="17"/>
        <v>0.33634540488697612</v>
      </c>
      <c r="N81" s="5">
        <f t="shared" ref="N81:N112" si="19">N80+((M80+M81)/2)*(L81-L80)</f>
        <v>8.0233876635853643E-2</v>
      </c>
    </row>
    <row r="82" spans="4:14">
      <c r="D82" s="5">
        <v>0.66</v>
      </c>
      <c r="E82" s="5">
        <f t="shared" si="15"/>
        <v>0.34412061604025224</v>
      </c>
      <c r="F82" s="5">
        <f t="shared" si="16"/>
        <v>0.77571604485689427</v>
      </c>
      <c r="G82" s="7"/>
      <c r="H82" s="7">
        <f t="shared" si="18"/>
        <v>0.77560704634685729</v>
      </c>
      <c r="L82" s="5">
        <v>0.66</v>
      </c>
      <c r="M82" s="5">
        <f t="shared" si="17"/>
        <v>0.34412061604025224</v>
      </c>
      <c r="N82" s="5">
        <f t="shared" si="19"/>
        <v>8.3636206740489785E-2</v>
      </c>
    </row>
    <row r="83" spans="4:14">
      <c r="D83" s="5">
        <v>0.67</v>
      </c>
      <c r="E83" s="5">
        <f t="shared" si="15"/>
        <v>0.35185754581391326</v>
      </c>
      <c r="F83" s="5">
        <f t="shared" si="16"/>
        <v>0.77156042269962632</v>
      </c>
      <c r="G83" s="7"/>
      <c r="H83" s="7">
        <f t="shared" si="18"/>
        <v>0.77145045550884583</v>
      </c>
      <c r="L83" s="5">
        <v>0.67</v>
      </c>
      <c r="M83" s="5">
        <f t="shared" si="17"/>
        <v>0.35185754581391326</v>
      </c>
      <c r="N83" s="5">
        <f t="shared" si="19"/>
        <v>8.7116097549760615E-2</v>
      </c>
    </row>
    <row r="84" spans="4:14">
      <c r="D84" s="5">
        <v>0.68</v>
      </c>
      <c r="E84" s="5">
        <f t="shared" si="15"/>
        <v>0.35954962515042915</v>
      </c>
      <c r="F84" s="5">
        <f t="shared" si="16"/>
        <v>0.76674500319512207</v>
      </c>
      <c r="G84" s="7"/>
      <c r="H84" s="7">
        <f t="shared" si="18"/>
        <v>0.7666340963104562</v>
      </c>
      <c r="L84" s="5">
        <v>0.68</v>
      </c>
      <c r="M84" s="5">
        <f t="shared" si="17"/>
        <v>0.35954962515042915</v>
      </c>
      <c r="N84" s="5">
        <f t="shared" si="19"/>
        <v>9.0673133404582329E-2</v>
      </c>
    </row>
    <row r="85" spans="4:14">
      <c r="D85" s="5">
        <v>0.69</v>
      </c>
      <c r="E85" s="5">
        <f t="shared" si="15"/>
        <v>0.36719022774012239</v>
      </c>
      <c r="F85" s="5">
        <f t="shared" si="16"/>
        <v>0.76126414824012834</v>
      </c>
      <c r="G85" s="7"/>
      <c r="H85" s="7">
        <f t="shared" si="18"/>
        <v>0.76115233094850854</v>
      </c>
      <c r="L85" s="5">
        <v>0.69</v>
      </c>
      <c r="M85" s="5">
        <f t="shared" si="17"/>
        <v>0.36719022774012239</v>
      </c>
      <c r="N85" s="5">
        <f t="shared" si="19"/>
        <v>9.4306832669035057E-2</v>
      </c>
    </row>
    <row r="86" spans="4:14">
      <c r="D86" s="5">
        <v>0.7</v>
      </c>
      <c r="E86" s="5">
        <f t="shared" si="15"/>
        <v>0.37477267176939932</v>
      </c>
      <c r="F86" s="5">
        <f t="shared" si="16"/>
        <v>0.7551123954518153</v>
      </c>
      <c r="G86" s="7"/>
      <c r="H86" s="7">
        <f t="shared" si="18"/>
        <v>0.75499969733464067</v>
      </c>
      <c r="L86" s="5">
        <v>0.7</v>
      </c>
      <c r="M86" s="5">
        <f t="shared" si="17"/>
        <v>0.37477267176939932</v>
      </c>
      <c r="N86" s="5">
        <f t="shared" si="19"/>
        <v>9.8016647166582663E-2</v>
      </c>
    </row>
    <row r="87" spans="4:14">
      <c r="D87" s="5">
        <v>0.71</v>
      </c>
      <c r="E87" s="5">
        <f t="shared" si="15"/>
        <v>0.3822902216868152</v>
      </c>
      <c r="F87" s="5">
        <f t="shared" si="16"/>
        <v>0.74828445993456505</v>
      </c>
      <c r="G87" s="7"/>
      <c r="H87" s="7">
        <f t="shared" si="18"/>
        <v>0.7481709108620338</v>
      </c>
      <c r="L87" s="5">
        <v>0.71</v>
      </c>
      <c r="M87" s="5">
        <f t="shared" si="17"/>
        <v>0.3822902216868152</v>
      </c>
      <c r="N87" s="5">
        <f t="shared" si="19"/>
        <v>0.10180196163386374</v>
      </c>
    </row>
    <row r="88" spans="4:14">
      <c r="D88" s="5">
        <v>0.72</v>
      </c>
      <c r="E88" s="5">
        <f t="shared" si="15"/>
        <v>0.38973608998664</v>
      </c>
      <c r="F88" s="5">
        <f t="shared" si="16"/>
        <v>0.7407752360128772</v>
      </c>
      <c r="G88" s="7"/>
      <c r="H88" s="7">
        <f t="shared" si="18"/>
        <v>0.74066086613830961</v>
      </c>
      <c r="L88" s="5">
        <v>0.72</v>
      </c>
      <c r="M88" s="5">
        <f t="shared" si="17"/>
        <v>0.38973608998664</v>
      </c>
      <c r="N88" s="5">
        <f t="shared" si="19"/>
        <v>0.10566209319223102</v>
      </c>
    </row>
    <row r="89" spans="4:14">
      <c r="D89" s="5">
        <v>0.73</v>
      </c>
      <c r="E89" s="5">
        <f t="shared" si="15"/>
        <v>0.39710343900958139</v>
      </c>
      <c r="F89" s="5">
        <f t="shared" si="16"/>
        <v>0.73257979893004022</v>
      </c>
      <c r="G89" s="7"/>
      <c r="H89" s="7">
        <f t="shared" si="18"/>
        <v>0.73246463868411604</v>
      </c>
      <c r="L89" s="5">
        <v>0.73</v>
      </c>
      <c r="M89" s="5">
        <f t="shared" si="17"/>
        <v>0.39710343900958139</v>
      </c>
      <c r="N89" s="5">
        <f t="shared" si="19"/>
        <v>0.10959629083721213</v>
      </c>
    </row>
    <row r="90" spans="4:14">
      <c r="D90" s="5">
        <v>0.74</v>
      </c>
      <c r="E90" s="5">
        <f t="shared" si="15"/>
        <v>0.40438538276032232</v>
      </c>
      <c r="F90" s="5">
        <f t="shared" si="16"/>
        <v>0.72369340651221781</v>
      </c>
      <c r="G90" s="7"/>
      <c r="H90" s="7">
        <f t="shared" si="18"/>
        <v>0.72357748659714338</v>
      </c>
      <c r="L90" s="5">
        <v>0.74</v>
      </c>
      <c r="M90" s="5">
        <f t="shared" si="17"/>
        <v>0.40438538276032232</v>
      </c>
      <c r="N90" s="5">
        <f t="shared" si="19"/>
        <v>0.11360373494606166</v>
      </c>
    </row>
    <row r="91" spans="4:14">
      <c r="D91" s="5">
        <v>0.75</v>
      </c>
      <c r="E91" s="5">
        <f t="shared" si="15"/>
        <v>0.41157498874152426</v>
      </c>
      <c r="F91" s="5">
        <f t="shared" si="16"/>
        <v>0.71411150079760577</v>
      </c>
      <c r="G91" s="7"/>
      <c r="H91" s="7">
        <f t="shared" si="18"/>
        <v>0.71399485218122671</v>
      </c>
      <c r="L91" s="5">
        <v>0.75</v>
      </c>
      <c r="M91" s="5">
        <f t="shared" si="17"/>
        <v>0.41157498874152426</v>
      </c>
      <c r="N91" s="5">
        <f t="shared" si="19"/>
        <v>0.1176835368035709</v>
      </c>
    </row>
    <row r="92" spans="4:14">
      <c r="D92" s="5">
        <v>0.76</v>
      </c>
      <c r="E92" s="5">
        <f t="shared" si="15"/>
        <v>0.41866527980394685</v>
      </c>
      <c r="F92" s="5">
        <f t="shared" si="16"/>
        <v>0.70382970963032143</v>
      </c>
      <c r="G92" s="7"/>
      <c r="H92" s="7">
        <f t="shared" si="18"/>
        <v>0.7037123635402015</v>
      </c>
      <c r="L92" s="5">
        <v>0.76</v>
      </c>
      <c r="M92" s="5">
        <f t="shared" si="17"/>
        <v>0.41866527980394685</v>
      </c>
      <c r="N92" s="5">
        <f t="shared" si="19"/>
        <v>0.12183473814629825</v>
      </c>
    </row>
    <row r="93" spans="4:14">
      <c r="D93" s="5">
        <v>0.77</v>
      </c>
      <c r="E93" s="5">
        <f t="shared" si="15"/>
        <v>0.42564923601232829</v>
      </c>
      <c r="F93" s="5">
        <f t="shared" si="16"/>
        <v>0.69284384821869294</v>
      </c>
      <c r="G93" s="7"/>
      <c r="H93" s="7">
        <f t="shared" si="18"/>
        <v>0.69272583613613492</v>
      </c>
      <c r="L93" s="5">
        <v>0.77</v>
      </c>
      <c r="M93" s="5">
        <f t="shared" si="17"/>
        <v>0.42564923601232829</v>
      </c>
      <c r="N93" s="5">
        <f t="shared" si="19"/>
        <v>0.12605631072537962</v>
      </c>
    </row>
    <row r="94" spans="4:14">
      <c r="D94" s="5">
        <v>0.78</v>
      </c>
      <c r="E94" s="5">
        <f t="shared" si="15"/>
        <v>0.43251979652666955</v>
      </c>
      <c r="F94" s="5">
        <f t="shared" si="16"/>
        <v>0.68114992065762314</v>
      </c>
      <c r="G94" s="7"/>
      <c r="H94" s="7">
        <f t="shared" si="18"/>
        <v>0.68103127431161647</v>
      </c>
      <c r="L94" s="5">
        <v>0.78</v>
      </c>
      <c r="M94" s="5">
        <f t="shared" si="17"/>
        <v>0.43251979652666955</v>
      </c>
      <c r="N94" s="5">
        <f t="shared" si="19"/>
        <v>0.13034715588807461</v>
      </c>
    </row>
    <row r="95" spans="4:14">
      <c r="D95" s="5">
        <v>0.79</v>
      </c>
      <c r="E95" s="5">
        <f t="shared" si="15"/>
        <v>0.43926986149856062</v>
      </c>
      <c r="F95" s="5">
        <f t="shared" si="16"/>
        <v>0.66874412141470396</v>
      </c>
      <c r="G95" s="7"/>
      <c r="H95" s="7">
        <f t="shared" si="18"/>
        <v>0.66862487277581928</v>
      </c>
      <c r="L95" s="5">
        <v>0.79</v>
      </c>
      <c r="M95" s="5">
        <f t="shared" si="17"/>
        <v>0.43926986149856062</v>
      </c>
      <c r="N95" s="5">
        <f t="shared" si="19"/>
        <v>0.13470610417820075</v>
      </c>
    </row>
    <row r="96" spans="4:14">
      <c r="D96" s="5">
        <v>0.8</v>
      </c>
      <c r="E96" s="5">
        <f t="shared" si="15"/>
        <v>0.44589229398218594</v>
      </c>
      <c r="F96" s="5">
        <f t="shared" si="16"/>
        <v>0.65562283677977007</v>
      </c>
      <c r="G96" s="7"/>
      <c r="H96" s="7">
        <f t="shared" si="18"/>
        <v>0.65550301805403222</v>
      </c>
      <c r="L96" s="5">
        <v>0.8</v>
      </c>
      <c r="M96" s="5">
        <f t="shared" si="17"/>
        <v>0.44589229398218594</v>
      </c>
      <c r="N96" s="5">
        <f t="shared" si="19"/>
        <v>0.13913191495560448</v>
      </c>
    </row>
    <row r="97" spans="4:18">
      <c r="D97" s="5">
        <v>0.81</v>
      </c>
      <c r="E97" s="5">
        <f t="shared" si="15"/>
        <v>0.45237992185964127</v>
      </c>
      <c r="F97" s="5">
        <f t="shared" si="16"/>
        <v>0.64178264627757964</v>
      </c>
      <c r="G97" s="7"/>
      <c r="H97" s="7">
        <f t="shared" si="18"/>
        <v>0.64166228990026886</v>
      </c>
      <c r="L97" s="5">
        <v>0.81</v>
      </c>
      <c r="M97" s="5">
        <f t="shared" si="17"/>
        <v>0.45237992185964127</v>
      </c>
      <c r="N97" s="5">
        <f t="shared" si="19"/>
        <v>0.14362327603481362</v>
      </c>
    </row>
    <row r="98" spans="4:18">
      <c r="D98" s="5">
        <v>0.82</v>
      </c>
      <c r="E98" s="5">
        <f t="shared" si="15"/>
        <v>0.45872553978019132</v>
      </c>
      <c r="F98" s="5">
        <f t="shared" si="16"/>
        <v>0.62722032404332162</v>
      </c>
      <c r="G98" s="7"/>
      <c r="H98" s="7">
        <f t="shared" si="18"/>
        <v>0.62709946267273109</v>
      </c>
      <c r="L98" s="5">
        <v>0.82</v>
      </c>
      <c r="M98" s="5">
        <f t="shared" si="17"/>
        <v>0.45872553978019132</v>
      </c>
      <c r="N98" s="5">
        <f t="shared" si="19"/>
        <v>0.14817880334301273</v>
      </c>
    </row>
    <row r="99" spans="4:18">
      <c r="D99" s="5">
        <v>0.83</v>
      </c>
      <c r="E99" s="5">
        <f t="shared" si="15"/>
        <v>0.46492191111309589</v>
      </c>
      <c r="F99" s="5">
        <f t="shared" si="16"/>
        <v>0.61193284016065008</v>
      </c>
      <c r="G99" s="7"/>
      <c r="H99" s="7">
        <f t="shared" si="18"/>
        <v>0.61181150667178053</v>
      </c>
      <c r="L99" s="5">
        <v>0.83</v>
      </c>
      <c r="M99" s="5">
        <f t="shared" si="17"/>
        <v>0.46492191111309589</v>
      </c>
      <c r="N99" s="5">
        <f t="shared" si="19"/>
        <v>0.15279704059747917</v>
      </c>
    </row>
    <row r="100" spans="4:18">
      <c r="D100" s="5">
        <v>0.84</v>
      </c>
      <c r="E100" s="5">
        <f t="shared" si="15"/>
        <v>0.47096176991362693</v>
      </c>
      <c r="F100" s="5">
        <f t="shared" si="16"/>
        <v>0.59591736196195932</v>
      </c>
      <c r="G100" s="7"/>
      <c r="H100" s="7">
        <f t="shared" si="18"/>
        <v>0.59579558944018451</v>
      </c>
      <c r="L100" s="5">
        <v>0.84</v>
      </c>
      <c r="M100" s="5">
        <f t="shared" si="17"/>
        <v>0.47096176991362693</v>
      </c>
      <c r="N100" s="5">
        <f t="shared" si="19"/>
        <v>0.15747645900261278</v>
      </c>
    </row>
    <row r="101" spans="4:18">
      <c r="D101" s="5">
        <v>0.85</v>
      </c>
      <c r="E101" s="5">
        <f t="shared" si="15"/>
        <v>0.47683782290189958</v>
      </c>
      <c r="F101" s="5">
        <f t="shared" si="16"/>
        <v>0.57917125529060831</v>
      </c>
      <c r="G101" s="7"/>
      <c r="H101" s="7">
        <f t="shared" si="18"/>
        <v>0.57904907702528985</v>
      </c>
      <c r="L101" s="5">
        <v>0.85</v>
      </c>
      <c r="M101" s="5">
        <f t="shared" si="17"/>
        <v>0.47683782290189958</v>
      </c>
      <c r="N101" s="5">
        <f t="shared" si="19"/>
        <v>0.16221545696669043</v>
      </c>
    </row>
    <row r="102" spans="4:18">
      <c r="D102" s="5">
        <v>0.86</v>
      </c>
      <c r="E102" s="5">
        <f t="shared" si="15"/>
        <v>0.48254275145413272</v>
      </c>
      <c r="F102" s="5">
        <f t="shared" si="16"/>
        <v>0.56169208572482243</v>
      </c>
      <c r="G102" s="7"/>
      <c r="H102" s="7">
        <f t="shared" si="18"/>
        <v>0.56156953520286879</v>
      </c>
      <c r="L102" s="5">
        <v>0.86</v>
      </c>
      <c r="M102" s="5">
        <f t="shared" si="17"/>
        <v>0.48254275145413272</v>
      </c>
      <c r="N102" s="5">
        <f t="shared" si="19"/>
        <v>0.1670123598384706</v>
      </c>
    </row>
    <row r="103" spans="4:18">
      <c r="D103" s="5">
        <v>0.87</v>
      </c>
      <c r="E103" s="5">
        <f t="shared" si="15"/>
        <v>0.48806921360595695</v>
      </c>
      <c r="F103" s="5">
        <f t="shared" si="16"/>
        <v>0.54347761976299724</v>
      </c>
      <c r="G103" s="7"/>
      <c r="H103" s="7">
        <f t="shared" si="18"/>
        <v>0.5433547306623876</v>
      </c>
      <c r="L103" s="5">
        <v>0.87</v>
      </c>
      <c r="M103" s="5">
        <f t="shared" si="17"/>
        <v>0.48806921360595695</v>
      </c>
      <c r="N103" s="5">
        <f t="shared" si="19"/>
        <v>0.17186541966377106</v>
      </c>
    </row>
    <row r="104" spans="4:18">
      <c r="D104" s="5">
        <v>0.88</v>
      </c>
      <c r="E104" s="5">
        <f t="shared" si="15"/>
        <v>0.49340984606738048</v>
      </c>
      <c r="F104" s="5">
        <f t="shared" si="16"/>
        <v>0.5245258259701393</v>
      </c>
      <c r="G104" s="7"/>
      <c r="H104" s="7">
        <f t="shared" si="18"/>
        <v>0.52440263215341731</v>
      </c>
      <c r="L104" s="5">
        <v>0.88</v>
      </c>
      <c r="M104" s="5">
        <f t="shared" si="17"/>
        <v>0.49340984606738048</v>
      </c>
      <c r="N104" s="5">
        <f t="shared" si="19"/>
        <v>0.17677281496213776</v>
      </c>
    </row>
    <row r="105" spans="4:18">
      <c r="D105" s="5">
        <v>0.89</v>
      </c>
      <c r="E105" s="5">
        <f t="shared" si="15"/>
        <v>0.4985572662490253</v>
      </c>
      <c r="F105" s="5">
        <f t="shared" si="16"/>
        <v>0.50483487608518329</v>
      </c>
      <c r="G105" s="7"/>
      <c r="H105" s="7">
        <f t="shared" si="18"/>
        <v>0.50471141159288413</v>
      </c>
      <c r="L105" s="5">
        <v>0.89</v>
      </c>
      <c r="M105" s="5">
        <f t="shared" si="17"/>
        <v>0.4985572662490253</v>
      </c>
      <c r="N105" s="5">
        <f t="shared" si="19"/>
        <v>0.18173265052371979</v>
      </c>
    </row>
    <row r="106" spans="4:18">
      <c r="D106" s="5">
        <v>0.9</v>
      </c>
      <c r="E106" s="5">
        <f t="shared" si="15"/>
        <v>0.50350407429923816</v>
      </c>
      <c r="F106" s="5">
        <f t="shared" si="16"/>
        <v>0.48440314608893431</v>
      </c>
      <c r="G106" s="7"/>
      <c r="H106" s="7">
        <f t="shared" si="18"/>
        <v>0.48427944513297905</v>
      </c>
      <c r="L106" s="5">
        <v>0.9</v>
      </c>
      <c r="M106" s="5">
        <f t="shared" si="17"/>
        <v>0.50350407429923816</v>
      </c>
      <c r="N106" s="5">
        <f t="shared" si="19"/>
        <v>0.18674295722646111</v>
      </c>
    </row>
    <row r="107" spans="4:18">
      <c r="D107" s="5">
        <v>0.91</v>
      </c>
      <c r="E107" s="5">
        <f t="shared" si="15"/>
        <v>0.50824285515168488</v>
      </c>
      <c r="F107" s="5">
        <f t="shared" si="16"/>
        <v>0.46322921723238897</v>
      </c>
      <c r="G107" s="7"/>
      <c r="H107" s="7">
        <f t="shared" si="18"/>
        <v>0.46310531418943812</v>
      </c>
      <c r="L107" s="5">
        <v>0.91</v>
      </c>
      <c r="M107" s="5">
        <f t="shared" si="17"/>
        <v>0.50824285515168488</v>
      </c>
      <c r="N107" s="5">
        <f t="shared" si="19"/>
        <v>0.19180169187371574</v>
      </c>
    </row>
    <row r="108" spans="4:18">
      <c r="D108" s="5">
        <v>0.92</v>
      </c>
      <c r="E108" s="5">
        <f t="shared" si="15"/>
        <v>0.51276618058302692</v>
      </c>
      <c r="F108" s="5">
        <f t="shared" si="16"/>
        <v>0.44131187702519137</v>
      </c>
      <c r="G108" s="7"/>
      <c r="H108" s="7">
        <f t="shared" si="18"/>
        <v>0.44118780642997124</v>
      </c>
      <c r="L108" s="5">
        <v>0.92</v>
      </c>
      <c r="M108" s="5">
        <f t="shared" si="17"/>
        <v>0.51276618058302692</v>
      </c>
      <c r="N108" s="5">
        <f t="shared" si="19"/>
        <v>0.19690673705238929</v>
      </c>
    </row>
    <row r="109" spans="4:18">
      <c r="D109" s="5">
        <v>0.93</v>
      </c>
      <c r="E109" s="5">
        <f t="shared" si="15"/>
        <v>0.51706661128028431</v>
      </c>
      <c r="F109" s="5">
        <f t="shared" si="16"/>
        <v>0.41865012018399583</v>
      </c>
      <c r="G109" s="7"/>
      <c r="H109" s="7">
        <f t="shared" si="18"/>
        <v>0.418525916722573</v>
      </c>
      <c r="L109" s="5">
        <v>0.93</v>
      </c>
      <c r="M109" s="5">
        <f t="shared" si="17"/>
        <v>0.51706661128028431</v>
      </c>
      <c r="N109" s="5">
        <f t="shared" si="19"/>
        <v>0.20205590101170584</v>
      </c>
    </row>
    <row r="110" spans="4:18">
      <c r="D110" s="5">
        <v>0.94</v>
      </c>
      <c r="E110" s="5">
        <f t="shared" si="15"/>
        <v>0.52113669891747838</v>
      </c>
      <c r="F110" s="5">
        <f t="shared" si="16"/>
        <v>0.39524314954050599</v>
      </c>
      <c r="G110" s="7"/>
      <c r="H110" s="7">
        <f t="shared" si="18"/>
        <v>0.3951188480435297</v>
      </c>
      <c r="L110" s="5">
        <v>0.94</v>
      </c>
      <c r="M110" s="5">
        <f t="shared" si="17"/>
        <v>0.52113669891747838</v>
      </c>
      <c r="N110" s="5">
        <f t="shared" si="19"/>
        <v>0.20724691756269459</v>
      </c>
    </row>
    <row r="111" spans="4:18">
      <c r="D111" s="5">
        <v>0.95</v>
      </c>
      <c r="E111" s="5">
        <f t="shared" si="15"/>
        <v>0.5249689882411549</v>
      </c>
      <c r="F111" s="5">
        <f t="shared" si="16"/>
        <v>0.37109037690896896</v>
      </c>
      <c r="G111" s="7"/>
      <c r="H111" s="7">
        <f t="shared" si="18"/>
        <v>0.37096601234488658</v>
      </c>
      <c r="L111" s="6">
        <v>0.95</v>
      </c>
      <c r="M111" s="6">
        <f t="shared" si="17"/>
        <v>0.5249689882411549</v>
      </c>
      <c r="N111" s="6">
        <f t="shared" si="19"/>
        <v>0.21247744599848775</v>
      </c>
      <c r="O111" s="6"/>
      <c r="P111" s="6"/>
      <c r="Q111" s="6"/>
      <c r="R111" s="6"/>
    </row>
    <row r="112" spans="4:18">
      <c r="D112" s="5">
        <v>0.96</v>
      </c>
      <c r="E112" s="5">
        <f t="shared" ref="E112:E116" si="20">D112^2*COS(D112)</f>
        <v>0.52855601916437611</v>
      </c>
      <c r="F112" s="5">
        <f t="shared" si="16"/>
        <v>0.3461914239129168</v>
      </c>
      <c r="G112" s="7"/>
      <c r="H112" s="7">
        <f t="shared" si="18"/>
        <v>0.34606703138112538</v>
      </c>
      <c r="L112" s="6">
        <v>0.96</v>
      </c>
      <c r="M112" s="6">
        <f t="shared" ref="M112:M116" si="21">L112^2*COS(L112)</f>
        <v>0.52855601916437611</v>
      </c>
      <c r="N112" s="6">
        <f t="shared" si="19"/>
        <v>0.21774507103551541</v>
      </c>
      <c r="O112" s="6"/>
      <c r="P112" s="6"/>
      <c r="Q112" s="6"/>
      <c r="R112" s="6"/>
    </row>
    <row r="113" spans="4:18">
      <c r="D113" s="5">
        <v>0.97</v>
      </c>
      <c r="E113" s="5">
        <f t="shared" si="20"/>
        <v>0.53189032886877741</v>
      </c>
      <c r="F113" s="5">
        <f t="shared" si="16"/>
        <v>0.32054612277093986</v>
      </c>
      <c r="G113" s="7"/>
      <c r="H113" s="7">
        <f t="shared" si="18"/>
        <v>0.32042173749494696</v>
      </c>
      <c r="L113" s="6">
        <v>0.97</v>
      </c>
      <c r="M113" s="6">
        <f t="shared" si="21"/>
        <v>0.53189032886877741</v>
      </c>
      <c r="N113" s="6">
        <f t="shared" ref="N113:N116" si="22">N112+((M112+M113)/2)*(L113-L112)</f>
        <v>0.22304730277568119</v>
      </c>
      <c r="O113" s="6"/>
      <c r="P113" s="6"/>
      <c r="Q113" s="6"/>
      <c r="R113" s="6"/>
    </row>
    <row r="114" spans="4:18">
      <c r="D114" s="5">
        <v>0.98</v>
      </c>
      <c r="E114" s="5">
        <f t="shared" si="20"/>
        <v>0.53496445391427505</v>
      </c>
      <c r="F114" s="5">
        <f t="shared" si="16"/>
        <v>0.29415451704129758</v>
      </c>
      <c r="G114" s="7"/>
      <c r="H114" s="7">
        <f t="shared" si="18"/>
        <v>0.29403017436182566</v>
      </c>
      <c r="L114" s="6">
        <v>0.98</v>
      </c>
      <c r="M114" s="6">
        <f t="shared" si="21"/>
        <v>0.53496445391427505</v>
      </c>
      <c r="N114" s="6">
        <f t="shared" si="22"/>
        <v>0.22838157668959647</v>
      </c>
      <c r="O114" s="6"/>
      <c r="P114" s="6"/>
      <c r="Q114" s="6"/>
      <c r="R114" s="6"/>
    </row>
    <row r="115" spans="4:18">
      <c r="D115" s="5">
        <v>0.99</v>
      </c>
      <c r="E115" s="5">
        <f t="shared" si="20"/>
        <v>0.53777093235601392</v>
      </c>
      <c r="F115" s="5">
        <f t="shared" si="16"/>
        <v>0.26701686232517319</v>
      </c>
      <c r="G115" s="7"/>
      <c r="H115" s="7">
        <f t="shared" si="18"/>
        <v>0.2668925976932357</v>
      </c>
      <c r="L115" s="6">
        <v>0.99</v>
      </c>
      <c r="M115" s="6">
        <f t="shared" si="21"/>
        <v>0.53777093235601392</v>
      </c>
      <c r="N115" s="6">
        <f t="shared" si="22"/>
        <v>0.23374525362094792</v>
      </c>
      <c r="O115" s="6"/>
      <c r="P115" s="6"/>
      <c r="Q115" s="6"/>
      <c r="R115" s="6"/>
    </row>
    <row r="116" spans="4:18">
      <c r="D116" s="5">
        <v>1</v>
      </c>
      <c r="E116" s="5">
        <f t="shared" si="20"/>
        <v>0.54030230586813977</v>
      </c>
      <c r="F116" s="5">
        <f t="shared" si="16"/>
        <v>0.23913362692838303</v>
      </c>
      <c r="G116" s="8" t="s">
        <v>21</v>
      </c>
      <c r="H116" s="8">
        <f>(3*E116-4*E115+E114)/(2*J16)</f>
        <v>0.23938210473193333</v>
      </c>
      <c r="L116" s="6">
        <v>1</v>
      </c>
      <c r="M116" s="6">
        <f t="shared" si="21"/>
        <v>0.54030230586813977</v>
      </c>
      <c r="N116" s="8">
        <f t="shared" si="22"/>
        <v>0.23913561981206868</v>
      </c>
      <c r="O116" s="6"/>
      <c r="P116" s="6"/>
      <c r="Q116" s="6"/>
      <c r="R116" s="6"/>
    </row>
    <row r="117" spans="4:18">
      <c r="L117" s="6"/>
      <c r="M117" s="6"/>
      <c r="N117" s="6"/>
      <c r="O117" s="6"/>
      <c r="P117" s="6"/>
      <c r="Q117" s="6"/>
      <c r="R117" s="6"/>
    </row>
    <row r="118" spans="4:18">
      <c r="L118" s="6"/>
      <c r="M118" s="6"/>
      <c r="N118" s="6"/>
      <c r="O118" s="6"/>
      <c r="P118" s="6"/>
      <c r="Q118" s="6"/>
      <c r="R118" s="6"/>
    </row>
    <row r="119" spans="4:18">
      <c r="L119" s="6"/>
      <c r="M119" s="6"/>
      <c r="N119" s="6"/>
      <c r="O119" s="6"/>
      <c r="P119" s="6"/>
      <c r="Q119" s="6"/>
      <c r="R119" s="6"/>
    </row>
    <row r="120" spans="4:18">
      <c r="L120" s="6"/>
      <c r="M120" s="6"/>
      <c r="N120" s="6"/>
      <c r="O120" s="6"/>
      <c r="P120" s="6"/>
      <c r="Q120" s="6"/>
      <c r="R120" s="6"/>
    </row>
    <row r="121" spans="4:18">
      <c r="L121" s="6"/>
      <c r="M121" s="6"/>
      <c r="N121" s="6"/>
      <c r="O121" s="6"/>
      <c r="P121" s="6"/>
      <c r="Q121" s="6"/>
      <c r="R121" s="6"/>
    </row>
    <row r="122" spans="4:18">
      <c r="L122" s="6"/>
      <c r="M122" s="6"/>
      <c r="N122" s="6"/>
      <c r="O122" s="6"/>
      <c r="P122" s="6"/>
      <c r="Q122" s="6"/>
      <c r="R122" s="6"/>
    </row>
    <row r="123" spans="4:18">
      <c r="L123" s="6"/>
      <c r="M123" s="6"/>
      <c r="N123" s="6"/>
      <c r="O123" s="6"/>
      <c r="P123" s="6"/>
      <c r="Q123" s="6"/>
      <c r="R123" s="6"/>
    </row>
    <row r="124" spans="4:18">
      <c r="L124" s="6"/>
      <c r="M124" s="6"/>
      <c r="N124" s="6"/>
      <c r="O124" s="6"/>
      <c r="P124" s="6"/>
      <c r="Q124" s="6"/>
      <c r="R124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6293-0CFB-3547-9716-A5E725E7D1A4}">
  <dimension ref="A1:O53"/>
  <sheetViews>
    <sheetView tabSelected="1" topLeftCell="A14" workbookViewId="0">
      <selection activeCell="L35" sqref="L35"/>
    </sheetView>
  </sheetViews>
  <sheetFormatPr baseColWidth="10" defaultRowHeight="16"/>
  <cols>
    <col min="1" max="1" width="12.6640625" customWidth="1"/>
    <col min="3" max="3" width="10.83203125" customWidth="1"/>
    <col min="4" max="4" width="11.33203125" customWidth="1"/>
    <col min="5" max="5" width="11.5" customWidth="1"/>
  </cols>
  <sheetData>
    <row r="1" spans="1:13">
      <c r="A1" s="10">
        <v>4.7</v>
      </c>
      <c r="B1" s="10"/>
      <c r="C1" s="10"/>
    </row>
    <row r="3" spans="1:13">
      <c r="A3" t="s">
        <v>63</v>
      </c>
      <c r="G3" t="s">
        <v>65</v>
      </c>
    </row>
    <row r="5" spans="1:13">
      <c r="A5" t="s">
        <v>54</v>
      </c>
      <c r="C5" t="s">
        <v>62</v>
      </c>
      <c r="D5" t="s">
        <v>61</v>
      </c>
      <c r="E5" t="s">
        <v>60</v>
      </c>
      <c r="H5" t="s">
        <v>54</v>
      </c>
      <c r="J5" t="s">
        <v>62</v>
      </c>
      <c r="K5" t="s">
        <v>61</v>
      </c>
      <c r="L5" t="s">
        <v>60</v>
      </c>
      <c r="M5" t="s">
        <v>64</v>
      </c>
    </row>
    <row r="6" spans="1:13">
      <c r="A6">
        <v>0</v>
      </c>
      <c r="C6">
        <v>1</v>
      </c>
      <c r="D6">
        <v>1</v>
      </c>
      <c r="E6">
        <v>1</v>
      </c>
      <c r="H6">
        <v>0</v>
      </c>
      <c r="J6">
        <v>1</v>
      </c>
      <c r="K6">
        <v>1</v>
      </c>
      <c r="L6">
        <v>1</v>
      </c>
      <c r="M6" s="3">
        <f>(L6-J6)/50</f>
        <v>0</v>
      </c>
    </row>
    <row r="7" spans="1:13">
      <c r="A7">
        <v>10</v>
      </c>
      <c r="C7">
        <v>0.996</v>
      </c>
      <c r="D7">
        <v>0.998</v>
      </c>
      <c r="E7">
        <v>1</v>
      </c>
      <c r="H7">
        <v>10</v>
      </c>
      <c r="J7">
        <v>0.996</v>
      </c>
      <c r="K7">
        <v>0.998</v>
      </c>
      <c r="L7">
        <v>1</v>
      </c>
      <c r="M7" s="3">
        <f t="shared" ref="M7:M14" si="0">(L7-J7)/50</f>
        <v>8.0000000000000074E-5</v>
      </c>
    </row>
    <row r="8" spans="1:13">
      <c r="A8">
        <v>50</v>
      </c>
      <c r="C8">
        <v>0.98499999999999999</v>
      </c>
      <c r="D8">
        <v>0.996</v>
      </c>
      <c r="E8">
        <v>1.004</v>
      </c>
      <c r="H8">
        <v>50</v>
      </c>
      <c r="J8">
        <v>0.98499999999999999</v>
      </c>
      <c r="K8">
        <v>0.996</v>
      </c>
      <c r="L8">
        <v>1.004</v>
      </c>
      <c r="M8" s="3">
        <f t="shared" si="0"/>
        <v>3.8000000000000035E-4</v>
      </c>
    </row>
    <row r="9" spans="1:13">
      <c r="A9">
        <v>100</v>
      </c>
      <c r="C9">
        <v>0.98399999999999999</v>
      </c>
      <c r="D9">
        <v>1.004</v>
      </c>
      <c r="E9">
        <v>1.018</v>
      </c>
      <c r="H9">
        <v>100</v>
      </c>
      <c r="J9">
        <v>0.98399999999999999</v>
      </c>
      <c r="K9">
        <v>1.004</v>
      </c>
      <c r="L9">
        <v>1.018</v>
      </c>
      <c r="M9" s="3">
        <f t="shared" si="0"/>
        <v>6.8000000000000059E-4</v>
      </c>
    </row>
    <row r="10" spans="1:13">
      <c r="A10">
        <v>200</v>
      </c>
      <c r="C10">
        <v>1.036</v>
      </c>
      <c r="D10">
        <v>1.0569999999999999</v>
      </c>
      <c r="E10">
        <v>1.0720000000000001</v>
      </c>
      <c r="H10">
        <v>200</v>
      </c>
      <c r="J10">
        <v>1.036</v>
      </c>
      <c r="K10">
        <v>1.0569999999999999</v>
      </c>
      <c r="L10">
        <v>1.0720000000000001</v>
      </c>
      <c r="M10" s="3">
        <f t="shared" si="0"/>
        <v>7.2000000000000059E-4</v>
      </c>
    </row>
    <row r="11" spans="1:13">
      <c r="A11">
        <v>300</v>
      </c>
      <c r="C11">
        <v>1.1339999999999999</v>
      </c>
      <c r="D11">
        <v>1.1459999999999999</v>
      </c>
      <c r="E11">
        <v>1.1539999999999999</v>
      </c>
      <c r="H11">
        <v>300</v>
      </c>
      <c r="J11">
        <v>1.1339999999999999</v>
      </c>
      <c r="K11">
        <v>1.1459999999999999</v>
      </c>
      <c r="L11">
        <v>1.1539999999999999</v>
      </c>
      <c r="M11" s="3">
        <f t="shared" si="0"/>
        <v>4.0000000000000034E-4</v>
      </c>
    </row>
    <row r="12" spans="1:13">
      <c r="A12">
        <v>400</v>
      </c>
      <c r="C12">
        <v>1.256</v>
      </c>
      <c r="D12">
        <v>1.254</v>
      </c>
      <c r="E12">
        <v>1.2529999999999999</v>
      </c>
      <c r="H12">
        <v>400</v>
      </c>
      <c r="J12">
        <v>1.256</v>
      </c>
      <c r="K12">
        <v>1.254</v>
      </c>
      <c r="L12">
        <v>1.2529999999999999</v>
      </c>
      <c r="M12" s="3">
        <f t="shared" si="0"/>
        <v>-6.0000000000002272E-5</v>
      </c>
    </row>
    <row r="13" spans="1:13">
      <c r="A13">
        <v>600</v>
      </c>
      <c r="C13">
        <v>1.524</v>
      </c>
      <c r="D13">
        <v>1.4950000000000001</v>
      </c>
      <c r="E13">
        <v>1.4710000000000001</v>
      </c>
      <c r="H13">
        <v>600</v>
      </c>
      <c r="J13">
        <v>1.524</v>
      </c>
      <c r="K13">
        <v>1.4950000000000001</v>
      </c>
      <c r="L13">
        <v>1.4710000000000001</v>
      </c>
      <c r="M13" s="3">
        <f t="shared" si="0"/>
        <v>-1.0599999999999987E-3</v>
      </c>
    </row>
    <row r="14" spans="1:13">
      <c r="A14">
        <v>800</v>
      </c>
      <c r="C14">
        <v>1.798</v>
      </c>
      <c r="D14">
        <v>1.7230000000000001</v>
      </c>
      <c r="E14">
        <v>1.6970000000000001</v>
      </c>
      <c r="H14">
        <v>800</v>
      </c>
      <c r="J14">
        <v>1.798</v>
      </c>
      <c r="K14">
        <v>1.7230000000000001</v>
      </c>
      <c r="L14">
        <v>1.6970000000000001</v>
      </c>
      <c r="M14" s="3">
        <f t="shared" si="0"/>
        <v>-2.0199999999999997E-3</v>
      </c>
    </row>
    <row r="16" spans="1:13">
      <c r="A16" t="s">
        <v>59</v>
      </c>
    </row>
    <row r="17" spans="1:15">
      <c r="A17" s="4" t="s">
        <v>58</v>
      </c>
      <c r="B17" s="4"/>
      <c r="C17" s="4"/>
      <c r="D17" s="4"/>
      <c r="E17" s="4"/>
    </row>
    <row r="18" spans="1:15">
      <c r="A18" t="s">
        <v>57</v>
      </c>
      <c r="J18" t="s">
        <v>56</v>
      </c>
    </row>
    <row r="20" spans="1:15">
      <c r="A20" t="s">
        <v>54</v>
      </c>
      <c r="B20" t="s">
        <v>53</v>
      </c>
      <c r="C20" t="s">
        <v>29</v>
      </c>
      <c r="D20" t="s">
        <v>28</v>
      </c>
      <c r="E20" t="s">
        <v>52</v>
      </c>
      <c r="F20" t="s">
        <v>51</v>
      </c>
      <c r="J20" t="s">
        <v>54</v>
      </c>
      <c r="K20" t="s">
        <v>53</v>
      </c>
      <c r="L20" t="s">
        <v>29</v>
      </c>
      <c r="M20" t="s">
        <v>28</v>
      </c>
      <c r="N20" t="s">
        <v>52</v>
      </c>
    </row>
    <row r="21" spans="1:15">
      <c r="A21">
        <v>0</v>
      </c>
      <c r="B21">
        <v>1</v>
      </c>
      <c r="C21">
        <v>0.1</v>
      </c>
      <c r="D21">
        <f t="shared" ref="D21:D29" si="1">(B21-1)/C21</f>
        <v>0</v>
      </c>
      <c r="E21">
        <f>0</f>
        <v>0</v>
      </c>
      <c r="F21">
        <f t="shared" ref="F21:F29" si="2">EXP(E21)*A21</f>
        <v>0</v>
      </c>
      <c r="J21">
        <v>0</v>
      </c>
      <c r="K21">
        <v>1</v>
      </c>
      <c r="L21">
        <v>0.1</v>
      </c>
      <c r="M21">
        <f>-((1.985*298.15^2)/L21)*M6</f>
        <v>0</v>
      </c>
      <c r="N21">
        <v>0</v>
      </c>
    </row>
    <row r="22" spans="1:15">
      <c r="A22">
        <v>10</v>
      </c>
      <c r="B22">
        <v>0.996</v>
      </c>
      <c r="C22">
        <v>10</v>
      </c>
      <c r="D22">
        <f t="shared" si="1"/>
        <v>-4.0000000000000034E-4</v>
      </c>
      <c r="E22">
        <f t="shared" ref="E22:E29" si="3">E21+((D21+D22)/2)*(C22-C21)</f>
        <v>-1.9800000000000017E-3</v>
      </c>
      <c r="F22">
        <f t="shared" si="2"/>
        <v>9.9802195890690815</v>
      </c>
      <c r="J22">
        <v>10</v>
      </c>
      <c r="K22">
        <v>0.998</v>
      </c>
      <c r="L22">
        <v>10</v>
      </c>
      <c r="M22">
        <f>-((0.0082*298.15^2)/L22)*M7</f>
        <v>-5.8314085160000046E-3</v>
      </c>
      <c r="N22">
        <f>N21+((M21+M22)/2)*(L22-L21)</f>
        <v>-2.8865472154200024E-2</v>
      </c>
    </row>
    <row r="23" spans="1:15">
      <c r="A23">
        <v>50</v>
      </c>
      <c r="B23">
        <v>0.98499999999999999</v>
      </c>
      <c r="C23">
        <v>50</v>
      </c>
      <c r="D23">
        <f t="shared" si="1"/>
        <v>-3.0000000000000024E-4</v>
      </c>
      <c r="E23">
        <f t="shared" si="3"/>
        <v>-1.5980000000000012E-2</v>
      </c>
      <c r="F23">
        <f t="shared" si="2"/>
        <v>49.207350139925651</v>
      </c>
      <c r="J23">
        <v>50</v>
      </c>
      <c r="K23">
        <v>0.996</v>
      </c>
      <c r="L23">
        <v>50</v>
      </c>
      <c r="M23">
        <f t="shared" ref="M23:M29" si="4">-((0.0082*298.15^2)/L23)*M8</f>
        <v>-5.5398380902000046E-3</v>
      </c>
      <c r="N23">
        <f t="shared" ref="N23:N28" si="5">N22+((M22+M23)/2)*(L23-L22)</f>
        <v>-0.25629040427820021</v>
      </c>
    </row>
    <row r="24" spans="1:15">
      <c r="A24">
        <v>100</v>
      </c>
      <c r="B24">
        <v>0.98399999999999999</v>
      </c>
      <c r="C24">
        <v>100</v>
      </c>
      <c r="D24">
        <f t="shared" si="1"/>
        <v>-1.6000000000000015E-4</v>
      </c>
      <c r="E24">
        <f t="shared" si="3"/>
        <v>-2.7480000000000022E-2</v>
      </c>
      <c r="F24">
        <f t="shared" si="2"/>
        <v>97.289414024168124</v>
      </c>
      <c r="J24">
        <v>100</v>
      </c>
      <c r="K24">
        <v>1.004</v>
      </c>
      <c r="L24">
        <v>100</v>
      </c>
      <c r="M24">
        <f t="shared" si="4"/>
        <v>-4.9566972386000038E-3</v>
      </c>
      <c r="N24">
        <f t="shared" si="5"/>
        <v>-0.51870378749820045</v>
      </c>
    </row>
    <row r="25" spans="1:15">
      <c r="A25">
        <v>200</v>
      </c>
      <c r="B25">
        <v>1.036</v>
      </c>
      <c r="C25">
        <v>200</v>
      </c>
      <c r="D25">
        <f t="shared" si="1"/>
        <v>1.8000000000000015E-4</v>
      </c>
      <c r="E25">
        <f t="shared" si="3"/>
        <v>-2.6480000000000021E-2</v>
      </c>
      <c r="F25">
        <f t="shared" si="2"/>
        <v>194.77350419823654</v>
      </c>
      <c r="J25">
        <v>200</v>
      </c>
      <c r="K25">
        <v>1.0569999999999999</v>
      </c>
      <c r="L25">
        <v>200</v>
      </c>
      <c r="M25">
        <f t="shared" si="4"/>
        <v>-2.6241338322000019E-3</v>
      </c>
      <c r="N25">
        <f t="shared" si="5"/>
        <v>-0.89774534103820081</v>
      </c>
    </row>
    <row r="26" spans="1:15">
      <c r="A26">
        <v>300</v>
      </c>
      <c r="B26">
        <v>1.1339999999999999</v>
      </c>
      <c r="C26">
        <v>300</v>
      </c>
      <c r="D26">
        <f t="shared" si="1"/>
        <v>4.4666666666666634E-4</v>
      </c>
      <c r="E26">
        <f t="shared" si="3"/>
        <v>4.8533333333333033E-3</v>
      </c>
      <c r="F26">
        <f t="shared" si="2"/>
        <v>301.45953894958438</v>
      </c>
      <c r="J26">
        <v>300</v>
      </c>
      <c r="K26">
        <v>1.1459999999999999</v>
      </c>
      <c r="L26">
        <v>300</v>
      </c>
      <c r="M26">
        <f t="shared" si="4"/>
        <v>-9.7190141933333417E-4</v>
      </c>
      <c r="N26">
        <f t="shared" si="5"/>
        <v>-1.0775471036148676</v>
      </c>
    </row>
    <row r="27" spans="1:15">
      <c r="A27">
        <v>400</v>
      </c>
      <c r="B27">
        <v>1.256</v>
      </c>
      <c r="C27">
        <v>400</v>
      </c>
      <c r="D27">
        <f t="shared" si="1"/>
        <v>6.4000000000000005E-4</v>
      </c>
      <c r="E27">
        <f t="shared" si="3"/>
        <v>5.9186666666666624E-2</v>
      </c>
      <c r="F27">
        <f t="shared" si="2"/>
        <v>424.38930824025698</v>
      </c>
      <c r="J27">
        <v>400</v>
      </c>
      <c r="K27">
        <v>1.254</v>
      </c>
      <c r="L27">
        <v>400</v>
      </c>
      <c r="M27">
        <f t="shared" si="4"/>
        <v>1.0933890967500414E-4</v>
      </c>
      <c r="N27">
        <f t="shared" si="5"/>
        <v>-1.1206752290977842</v>
      </c>
    </row>
    <row r="28" spans="1:15">
      <c r="A28">
        <v>600</v>
      </c>
      <c r="B28">
        <v>1.524</v>
      </c>
      <c r="C28">
        <v>600</v>
      </c>
      <c r="D28">
        <f t="shared" si="1"/>
        <v>8.7333333333333338E-4</v>
      </c>
      <c r="E28">
        <f t="shared" si="3"/>
        <v>0.21051999999999998</v>
      </c>
      <c r="F28">
        <f t="shared" si="2"/>
        <v>740.59184362206543</v>
      </c>
      <c r="J28">
        <v>600</v>
      </c>
      <c r="K28">
        <v>1.4950000000000001</v>
      </c>
      <c r="L28">
        <v>600</v>
      </c>
      <c r="M28">
        <f t="shared" si="4"/>
        <v>1.2877693806166649E-3</v>
      </c>
      <c r="N28">
        <f t="shared" si="5"/>
        <v>-0.98096440006861729</v>
      </c>
    </row>
    <row r="29" spans="1:15">
      <c r="A29">
        <v>800</v>
      </c>
      <c r="B29">
        <v>1.798</v>
      </c>
      <c r="C29">
        <v>800</v>
      </c>
      <c r="D29">
        <f t="shared" si="1"/>
        <v>9.9750000000000012E-4</v>
      </c>
      <c r="E29" s="3">
        <f t="shared" si="3"/>
        <v>0.39760333333333331</v>
      </c>
      <c r="F29" s="10">
        <f t="shared" si="2"/>
        <v>1190.6028577791442</v>
      </c>
      <c r="J29">
        <v>800</v>
      </c>
      <c r="K29">
        <v>1.7230000000000001</v>
      </c>
      <c r="L29">
        <v>800</v>
      </c>
      <c r="M29">
        <f t="shared" si="4"/>
        <v>1.8405383128624996E-3</v>
      </c>
      <c r="N29" s="3">
        <v>-1.2967949999999999</v>
      </c>
      <c r="O29" s="10"/>
    </row>
    <row r="31" spans="1:15">
      <c r="A31" t="s">
        <v>56</v>
      </c>
    </row>
    <row r="32" spans="1:15">
      <c r="A32" t="s">
        <v>54</v>
      </c>
      <c r="B32" t="s">
        <v>53</v>
      </c>
      <c r="C32" t="s">
        <v>29</v>
      </c>
      <c r="D32" t="s">
        <v>28</v>
      </c>
      <c r="E32" t="s">
        <v>52</v>
      </c>
      <c r="F32" t="s">
        <v>51</v>
      </c>
    </row>
    <row r="33" spans="1:6">
      <c r="A33">
        <v>0</v>
      </c>
      <c r="B33">
        <v>1</v>
      </c>
      <c r="C33">
        <v>0.1</v>
      </c>
      <c r="D33">
        <f t="shared" ref="D33:D41" si="6">(B33-1)/C33</f>
        <v>0</v>
      </c>
      <c r="E33">
        <f>0</f>
        <v>0</v>
      </c>
      <c r="F33">
        <f t="shared" ref="F33:F41" si="7">EXP(E33)*A33</f>
        <v>0</v>
      </c>
    </row>
    <row r="34" spans="1:6">
      <c r="A34">
        <v>10</v>
      </c>
      <c r="B34">
        <v>0.998</v>
      </c>
      <c r="C34">
        <v>10</v>
      </c>
      <c r="D34">
        <f t="shared" si="6"/>
        <v>-2.0000000000000017E-4</v>
      </c>
      <c r="E34">
        <f t="shared" ref="E34:E41" si="8">E33+((D33+D34)/2)*(C34-C33)</f>
        <v>-9.9000000000000086E-4</v>
      </c>
      <c r="F34">
        <f t="shared" si="7"/>
        <v>9.9901048988832351</v>
      </c>
    </row>
    <row r="35" spans="1:6">
      <c r="A35">
        <v>50</v>
      </c>
      <c r="B35">
        <v>0.996</v>
      </c>
      <c r="C35">
        <v>50</v>
      </c>
      <c r="D35">
        <f t="shared" si="6"/>
        <v>-8.0000000000000074E-5</v>
      </c>
      <c r="E35">
        <f t="shared" si="8"/>
        <v>-6.5900000000000056E-3</v>
      </c>
      <c r="F35">
        <f t="shared" si="7"/>
        <v>49.671583321497501</v>
      </c>
    </row>
    <row r="36" spans="1:6">
      <c r="A36">
        <v>100</v>
      </c>
      <c r="B36">
        <v>1.004</v>
      </c>
      <c r="C36">
        <v>100</v>
      </c>
      <c r="D36">
        <f t="shared" si="6"/>
        <v>4.0000000000000037E-5</v>
      </c>
      <c r="E36">
        <f t="shared" si="8"/>
        <v>-7.5900000000000065E-3</v>
      </c>
      <c r="F36">
        <f t="shared" si="7"/>
        <v>99.243873131382273</v>
      </c>
    </row>
    <row r="37" spans="1:6">
      <c r="A37">
        <v>200</v>
      </c>
      <c r="B37">
        <v>1.0569999999999999</v>
      </c>
      <c r="C37">
        <v>200</v>
      </c>
      <c r="D37">
        <f t="shared" si="6"/>
        <v>2.8499999999999972E-4</v>
      </c>
      <c r="E37">
        <f t="shared" si="8"/>
        <v>8.6599999999999802E-3</v>
      </c>
      <c r="F37">
        <f t="shared" si="7"/>
        <v>201.73952125568064</v>
      </c>
    </row>
    <row r="38" spans="1:6">
      <c r="A38">
        <v>300</v>
      </c>
      <c r="B38">
        <v>1.1459999999999999</v>
      </c>
      <c r="C38">
        <v>300</v>
      </c>
      <c r="D38">
        <f t="shared" si="6"/>
        <v>4.8666666666666633E-4</v>
      </c>
      <c r="E38">
        <f t="shared" si="8"/>
        <v>4.7243333333333283E-2</v>
      </c>
      <c r="F38">
        <f t="shared" si="7"/>
        <v>314.5131249403849</v>
      </c>
    </row>
    <row r="39" spans="1:6">
      <c r="A39">
        <v>400</v>
      </c>
      <c r="B39">
        <v>1.254</v>
      </c>
      <c r="C39">
        <v>400</v>
      </c>
      <c r="D39">
        <f t="shared" si="6"/>
        <v>6.3500000000000004E-4</v>
      </c>
      <c r="E39">
        <f t="shared" si="8"/>
        <v>0.10332666666666659</v>
      </c>
      <c r="F39">
        <f t="shared" si="7"/>
        <v>443.54143016810167</v>
      </c>
    </row>
    <row r="40" spans="1:6">
      <c r="A40">
        <v>600</v>
      </c>
      <c r="B40">
        <v>1.4950000000000001</v>
      </c>
      <c r="C40">
        <v>600</v>
      </c>
      <c r="D40">
        <f t="shared" si="6"/>
        <v>8.2500000000000021E-4</v>
      </c>
      <c r="E40">
        <f t="shared" si="8"/>
        <v>0.24932666666666664</v>
      </c>
      <c r="F40">
        <f t="shared" si="7"/>
        <v>769.89667834968861</v>
      </c>
    </row>
    <row r="41" spans="1:6">
      <c r="A41">
        <v>800</v>
      </c>
      <c r="B41">
        <v>1.7230000000000001</v>
      </c>
      <c r="C41">
        <v>800</v>
      </c>
      <c r="D41">
        <f t="shared" si="6"/>
        <v>9.0375000000000015E-4</v>
      </c>
      <c r="E41" s="3">
        <f t="shared" si="8"/>
        <v>0.4222016666666667</v>
      </c>
      <c r="F41" s="10">
        <f t="shared" si="7"/>
        <v>1220.25287926544</v>
      </c>
    </row>
    <row r="43" spans="1:6">
      <c r="A43" t="s">
        <v>55</v>
      </c>
    </row>
    <row r="44" spans="1:6">
      <c r="A44" t="s">
        <v>54</v>
      </c>
      <c r="B44" t="s">
        <v>53</v>
      </c>
      <c r="C44" t="s">
        <v>29</v>
      </c>
      <c r="D44" t="s">
        <v>28</v>
      </c>
      <c r="E44" t="s">
        <v>52</v>
      </c>
      <c r="F44" t="s">
        <v>51</v>
      </c>
    </row>
    <row r="45" spans="1:6">
      <c r="A45">
        <v>0</v>
      </c>
      <c r="B45">
        <v>1</v>
      </c>
      <c r="C45">
        <v>0.1</v>
      </c>
      <c r="D45">
        <f t="shared" ref="D45:D53" si="9">(B45-1)/C45</f>
        <v>0</v>
      </c>
      <c r="E45">
        <f>0</f>
        <v>0</v>
      </c>
      <c r="F45">
        <f t="shared" ref="F45:F53" si="10">EXP(E45)*A45</f>
        <v>0</v>
      </c>
    </row>
    <row r="46" spans="1:6">
      <c r="A46">
        <v>10</v>
      </c>
      <c r="B46">
        <v>1</v>
      </c>
      <c r="C46">
        <v>10</v>
      </c>
      <c r="D46">
        <f t="shared" si="9"/>
        <v>0</v>
      </c>
      <c r="E46">
        <f t="shared" ref="E46:E53" si="11">E45+((D45+D46)/2)*(C46-C45)</f>
        <v>0</v>
      </c>
      <c r="F46">
        <f t="shared" si="10"/>
        <v>10</v>
      </c>
    </row>
    <row r="47" spans="1:6">
      <c r="A47">
        <v>50</v>
      </c>
      <c r="B47">
        <v>1.004</v>
      </c>
      <c r="C47">
        <v>50</v>
      </c>
      <c r="D47">
        <f t="shared" si="9"/>
        <v>8.0000000000000074E-5</v>
      </c>
      <c r="E47">
        <f t="shared" si="11"/>
        <v>1.6000000000000016E-3</v>
      </c>
      <c r="F47">
        <f t="shared" si="10"/>
        <v>50.080064034146986</v>
      </c>
    </row>
    <row r="48" spans="1:6">
      <c r="A48">
        <v>100</v>
      </c>
      <c r="B48">
        <v>1.018</v>
      </c>
      <c r="C48">
        <v>100</v>
      </c>
      <c r="D48">
        <f t="shared" si="9"/>
        <v>1.8000000000000015E-4</v>
      </c>
      <c r="E48">
        <f t="shared" si="11"/>
        <v>8.1000000000000065E-3</v>
      </c>
      <c r="F48">
        <f t="shared" si="10"/>
        <v>100.81328937531524</v>
      </c>
    </row>
    <row r="49" spans="1:6">
      <c r="A49">
        <v>200</v>
      </c>
      <c r="B49">
        <v>1.0720000000000001</v>
      </c>
      <c r="C49">
        <v>200</v>
      </c>
      <c r="D49">
        <f t="shared" si="9"/>
        <v>3.6000000000000029E-4</v>
      </c>
      <c r="E49">
        <f t="shared" si="11"/>
        <v>3.5100000000000027E-2</v>
      </c>
      <c r="F49">
        <f t="shared" si="10"/>
        <v>207.1446551897549</v>
      </c>
    </row>
    <row r="50" spans="1:6">
      <c r="A50">
        <v>300</v>
      </c>
      <c r="B50">
        <v>1.1539999999999999</v>
      </c>
      <c r="C50">
        <v>300</v>
      </c>
      <c r="D50">
        <f t="shared" si="9"/>
        <v>5.1333333333333309E-4</v>
      </c>
      <c r="E50">
        <f t="shared" si="11"/>
        <v>7.8766666666666693E-2</v>
      </c>
      <c r="F50">
        <f t="shared" si="10"/>
        <v>324.58555115586415</v>
      </c>
    </row>
    <row r="51" spans="1:6">
      <c r="A51">
        <v>400</v>
      </c>
      <c r="B51">
        <v>1.2529999999999999</v>
      </c>
      <c r="C51">
        <v>400</v>
      </c>
      <c r="D51">
        <f t="shared" si="9"/>
        <v>6.3249999999999971E-4</v>
      </c>
      <c r="E51">
        <f t="shared" si="11"/>
        <v>0.13605833333333334</v>
      </c>
      <c r="F51">
        <f t="shared" si="10"/>
        <v>458.29949079517729</v>
      </c>
    </row>
    <row r="52" spans="1:6">
      <c r="A52">
        <v>600</v>
      </c>
      <c r="B52">
        <v>1.4710000000000001</v>
      </c>
      <c r="C52">
        <v>600</v>
      </c>
      <c r="D52">
        <f t="shared" si="9"/>
        <v>7.8500000000000011E-4</v>
      </c>
      <c r="E52">
        <f t="shared" si="11"/>
        <v>0.27780833333333332</v>
      </c>
      <c r="F52">
        <f t="shared" si="10"/>
        <v>792.13987696470679</v>
      </c>
    </row>
    <row r="53" spans="1:6">
      <c r="A53">
        <v>800</v>
      </c>
      <c r="B53">
        <v>1.6970000000000001</v>
      </c>
      <c r="C53">
        <v>800</v>
      </c>
      <c r="D53">
        <f t="shared" si="9"/>
        <v>8.7125000000000006E-4</v>
      </c>
      <c r="E53" s="3">
        <f t="shared" si="11"/>
        <v>0.44343333333333335</v>
      </c>
      <c r="F53" s="10">
        <f t="shared" si="10"/>
        <v>1246.4378735421935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4.1</vt:lpstr>
      <vt:lpstr>4.4</vt:lpstr>
      <vt:lpstr>4.5</vt:lpstr>
      <vt:lpstr>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2020-03-10T22:53:48Z</dcterms:created>
  <dcterms:modified xsi:type="dcterms:W3CDTF">2020-03-11T23:46:17Z</dcterms:modified>
</cp:coreProperties>
</file>