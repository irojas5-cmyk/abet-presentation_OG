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esktop\Che205\"/>
    </mc:Choice>
  </mc:AlternateContent>
  <xr:revisionPtr revIDLastSave="0" documentId="13_ncr:1_{E2D521A8-6DE4-473B-B8F0-7514C1F29904}" xr6:coauthVersionLast="45" xr6:coauthVersionMax="45" xr10:uidLastSave="{00000000-0000-0000-0000-000000000000}"/>
  <bookViews>
    <workbookView xWindow="-120" yWindow="-120" windowWidth="20730" windowHeight="11160" xr2:uid="{EDE55652-87F7-42D5-B717-E7C77A394E26}"/>
  </bookViews>
  <sheets>
    <sheet name="4.1" sheetId="1" r:id="rId1"/>
    <sheet name="4.4" sheetId="2" r:id="rId2"/>
    <sheet name="4.5 a" sheetId="3" r:id="rId3"/>
    <sheet name="4.5 b" sheetId="5" r:id="rId4"/>
    <sheet name="4.7 a" sheetId="4" r:id="rId5"/>
    <sheet name="4.7 b" sheetId="6" r:id="rId6"/>
  </sheets>
  <definedNames>
    <definedName name="constant">'4.7 b'!$A$10</definedName>
    <definedName name="temp">'4.7 b'!$A$13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6" l="1"/>
  <c r="G13" i="6"/>
  <c r="G14" i="6"/>
  <c r="G15" i="6"/>
  <c r="G16" i="6"/>
  <c r="G17" i="6"/>
  <c r="G18" i="6"/>
  <c r="G11" i="6"/>
  <c r="H11" i="6" s="1"/>
  <c r="H12" i="6" s="1"/>
  <c r="H13" i="6" s="1"/>
  <c r="H14" i="6" s="1"/>
  <c r="H15" i="6" s="1"/>
  <c r="H16" i="6" s="1"/>
  <c r="H17" i="6" s="1"/>
  <c r="H18" i="6" s="1"/>
  <c r="F12" i="6"/>
  <c r="F13" i="6"/>
  <c r="F14" i="6"/>
  <c r="F15" i="6"/>
  <c r="F16" i="6"/>
  <c r="F17" i="6"/>
  <c r="F18" i="6"/>
  <c r="F11" i="6"/>
  <c r="M12" i="4"/>
  <c r="M13" i="4"/>
  <c r="M14" i="4"/>
  <c r="M15" i="4"/>
  <c r="M16" i="4"/>
  <c r="M17" i="4"/>
  <c r="M18" i="4"/>
  <c r="M11" i="4"/>
  <c r="N11" i="4" s="1"/>
  <c r="O11" i="4" s="1"/>
  <c r="H12" i="4"/>
  <c r="H13" i="4"/>
  <c r="H14" i="4"/>
  <c r="H15" i="4"/>
  <c r="H16" i="4"/>
  <c r="H17" i="4"/>
  <c r="H18" i="4"/>
  <c r="H11" i="4"/>
  <c r="I11" i="4" s="1"/>
  <c r="E10" i="4"/>
  <c r="C12" i="4"/>
  <c r="C13" i="4"/>
  <c r="C14" i="4"/>
  <c r="C15" i="4"/>
  <c r="C16" i="4"/>
  <c r="C17" i="4"/>
  <c r="C18" i="4"/>
  <c r="C11" i="4"/>
  <c r="D11" i="4" s="1"/>
  <c r="D9" i="5"/>
  <c r="J19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19" i="1"/>
  <c r="L18" i="2"/>
  <c r="L17" i="2"/>
  <c r="L16" i="2"/>
  <c r="L15" i="2"/>
  <c r="J17" i="2"/>
  <c r="J16" i="2"/>
  <c r="J15" i="2"/>
  <c r="J9" i="2"/>
  <c r="I17" i="2"/>
  <c r="I15" i="2"/>
  <c r="M26" i="2"/>
  <c r="L26" i="2"/>
  <c r="L23" i="2"/>
  <c r="L24" i="2"/>
  <c r="L25" i="2"/>
  <c r="L22" i="2"/>
  <c r="J23" i="2"/>
  <c r="J24" i="2"/>
  <c r="J25" i="2"/>
  <c r="J22" i="2"/>
  <c r="I23" i="2"/>
  <c r="I24" i="2"/>
  <c r="I25" i="2"/>
  <c r="I22" i="2"/>
  <c r="I16" i="2"/>
  <c r="I12" i="4" l="1"/>
  <c r="J11" i="4"/>
  <c r="E11" i="4"/>
  <c r="D12" i="4"/>
  <c r="N12" i="4"/>
  <c r="O12" i="4"/>
  <c r="N13" i="4"/>
  <c r="M18" i="2"/>
  <c r="F9" i="5"/>
  <c r="M9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M72" i="5" s="1"/>
  <c r="L73" i="5"/>
  <c r="L74" i="5"/>
  <c r="L75" i="5"/>
  <c r="L76" i="5"/>
  <c r="M76" i="5" s="1"/>
  <c r="L77" i="5"/>
  <c r="L78" i="5"/>
  <c r="M78" i="5" s="1"/>
  <c r="L79" i="5"/>
  <c r="L80" i="5"/>
  <c r="M80" i="5" s="1"/>
  <c r="L81" i="5"/>
  <c r="L82" i="5"/>
  <c r="M82" i="5" s="1"/>
  <c r="L83" i="5"/>
  <c r="L84" i="5"/>
  <c r="M84" i="5" s="1"/>
  <c r="L85" i="5"/>
  <c r="L86" i="5"/>
  <c r="M86" i="5" s="1"/>
  <c r="L87" i="5"/>
  <c r="L88" i="5"/>
  <c r="M88" i="5" s="1"/>
  <c r="L89" i="5"/>
  <c r="L90" i="5"/>
  <c r="M90" i="5" s="1"/>
  <c r="L91" i="5"/>
  <c r="L92" i="5"/>
  <c r="M92" i="5" s="1"/>
  <c r="L93" i="5"/>
  <c r="L94" i="5"/>
  <c r="M94" i="5" s="1"/>
  <c r="L95" i="5"/>
  <c r="L96" i="5"/>
  <c r="M96" i="5" s="1"/>
  <c r="L97" i="5"/>
  <c r="L98" i="5"/>
  <c r="M98" i="5" s="1"/>
  <c r="L99" i="5"/>
  <c r="L100" i="5"/>
  <c r="M100" i="5" s="1"/>
  <c r="L101" i="5"/>
  <c r="L102" i="5"/>
  <c r="M102" i="5" s="1"/>
  <c r="L103" i="5"/>
  <c r="L104" i="5"/>
  <c r="M104" i="5" s="1"/>
  <c r="L105" i="5"/>
  <c r="L106" i="5"/>
  <c r="M106" i="5" s="1"/>
  <c r="L107" i="5"/>
  <c r="L108" i="5"/>
  <c r="M108" i="5" s="1"/>
  <c r="L8" i="5"/>
  <c r="E8" i="5"/>
  <c r="E9" i="5"/>
  <c r="E10" i="5"/>
  <c r="E11" i="5"/>
  <c r="E12" i="5"/>
  <c r="E13" i="5"/>
  <c r="E14" i="5"/>
  <c r="E15" i="5"/>
  <c r="E16" i="5"/>
  <c r="E17" i="5"/>
  <c r="E18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3" i="5"/>
  <c r="M74" i="5"/>
  <c r="M75" i="5"/>
  <c r="M77" i="5"/>
  <c r="M79" i="5"/>
  <c r="M81" i="5"/>
  <c r="M83" i="5"/>
  <c r="M85" i="5"/>
  <c r="M87" i="5"/>
  <c r="M89" i="5"/>
  <c r="M91" i="5"/>
  <c r="M93" i="5"/>
  <c r="M95" i="5"/>
  <c r="M97" i="5"/>
  <c r="M99" i="5"/>
  <c r="M101" i="5"/>
  <c r="M103" i="5"/>
  <c r="M105" i="5"/>
  <c r="M107" i="5"/>
  <c r="K7" i="3"/>
  <c r="L7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8" i="3"/>
  <c r="F9" i="3"/>
  <c r="F10" i="3"/>
  <c r="F11" i="3"/>
  <c r="F12" i="3"/>
  <c r="F13" i="3"/>
  <c r="F14" i="3"/>
  <c r="F15" i="3"/>
  <c r="F16" i="3"/>
  <c r="F17" i="3"/>
  <c r="F8" i="3"/>
  <c r="J8" i="5"/>
  <c r="J9" i="5"/>
  <c r="J10" i="5"/>
  <c r="J11" i="5"/>
  <c r="J12" i="5"/>
  <c r="J13" i="5"/>
  <c r="J14" i="5"/>
  <c r="J15" i="5"/>
  <c r="J16" i="5"/>
  <c r="J17" i="5"/>
  <c r="J18" i="5"/>
  <c r="K9" i="5"/>
  <c r="K10" i="5" s="1"/>
  <c r="F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E16" i="3"/>
  <c r="E8" i="3"/>
  <c r="E9" i="3"/>
  <c r="E10" i="3"/>
  <c r="E11" i="3"/>
  <c r="E12" i="3"/>
  <c r="E13" i="3"/>
  <c r="E14" i="3"/>
  <c r="E15" i="3"/>
  <c r="E17" i="3"/>
  <c r="E7" i="3"/>
  <c r="C8" i="5"/>
  <c r="C9" i="5"/>
  <c r="C10" i="5"/>
  <c r="C11" i="5"/>
  <c r="C12" i="5"/>
  <c r="C13" i="5"/>
  <c r="C14" i="5"/>
  <c r="C15" i="5"/>
  <c r="C16" i="5"/>
  <c r="C17" i="5"/>
  <c r="C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E12" i="4" l="1"/>
  <c r="D13" i="4"/>
  <c r="J12" i="4"/>
  <c r="I13" i="4"/>
  <c r="O13" i="4"/>
  <c r="N14" i="4"/>
  <c r="D10" i="5"/>
  <c r="K11" i="5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J13" i="4" l="1"/>
  <c r="I14" i="4"/>
  <c r="D14" i="4"/>
  <c r="E13" i="4"/>
  <c r="O14" i="4"/>
  <c r="N15" i="4"/>
  <c r="D11" i="5"/>
  <c r="F10" i="5"/>
  <c r="I8" i="3"/>
  <c r="I9" i="3"/>
  <c r="I10" i="3"/>
  <c r="J9" i="3" s="1"/>
  <c r="I11" i="3"/>
  <c r="I12" i="3"/>
  <c r="I13" i="3"/>
  <c r="J12" i="3" s="1"/>
  <c r="I14" i="3"/>
  <c r="J13" i="3" s="1"/>
  <c r="I15" i="3"/>
  <c r="J14" i="3" s="1"/>
  <c r="I16" i="3"/>
  <c r="I17" i="3"/>
  <c r="J16" i="3" s="1"/>
  <c r="I18" i="3"/>
  <c r="J17" i="3" s="1"/>
  <c r="I19" i="3"/>
  <c r="J18" i="3" s="1"/>
  <c r="I20" i="3"/>
  <c r="I21" i="3"/>
  <c r="J20" i="3" s="1"/>
  <c r="I22" i="3"/>
  <c r="J21" i="3" s="1"/>
  <c r="I23" i="3"/>
  <c r="J22" i="3" s="1"/>
  <c r="I24" i="3"/>
  <c r="I25" i="3"/>
  <c r="J24" i="3" s="1"/>
  <c r="I26" i="3"/>
  <c r="J25" i="3" s="1"/>
  <c r="I27" i="3"/>
  <c r="J26" i="3" s="1"/>
  <c r="I28" i="3"/>
  <c r="I29" i="3"/>
  <c r="J28" i="3" s="1"/>
  <c r="I30" i="3"/>
  <c r="J29" i="3" s="1"/>
  <c r="I31" i="3"/>
  <c r="J30" i="3" s="1"/>
  <c r="I32" i="3"/>
  <c r="I33" i="3"/>
  <c r="J32" i="3" s="1"/>
  <c r="I34" i="3"/>
  <c r="J33" i="3" s="1"/>
  <c r="I35" i="3"/>
  <c r="J34" i="3" s="1"/>
  <c r="I36" i="3"/>
  <c r="J35" i="3" s="1"/>
  <c r="I37" i="3"/>
  <c r="J36" i="3" s="1"/>
  <c r="I38" i="3"/>
  <c r="J37" i="3" s="1"/>
  <c r="I39" i="3"/>
  <c r="J38" i="3" s="1"/>
  <c r="I40" i="3"/>
  <c r="I41" i="3"/>
  <c r="J40" i="3" s="1"/>
  <c r="I42" i="3"/>
  <c r="J41" i="3" s="1"/>
  <c r="I43" i="3"/>
  <c r="J42" i="3" s="1"/>
  <c r="I44" i="3"/>
  <c r="J43" i="3" s="1"/>
  <c r="I45" i="3"/>
  <c r="J44" i="3" s="1"/>
  <c r="I46" i="3"/>
  <c r="J45" i="3" s="1"/>
  <c r="I47" i="3"/>
  <c r="J46" i="3" s="1"/>
  <c r="I48" i="3"/>
  <c r="I49" i="3"/>
  <c r="J48" i="3" s="1"/>
  <c r="I50" i="3"/>
  <c r="J49" i="3" s="1"/>
  <c r="I51" i="3"/>
  <c r="J50" i="3" s="1"/>
  <c r="I52" i="3"/>
  <c r="J51" i="3" s="1"/>
  <c r="I53" i="3"/>
  <c r="J52" i="3" s="1"/>
  <c r="I54" i="3"/>
  <c r="J53" i="3" s="1"/>
  <c r="I55" i="3"/>
  <c r="J54" i="3" s="1"/>
  <c r="I56" i="3"/>
  <c r="I57" i="3"/>
  <c r="J56" i="3" s="1"/>
  <c r="I58" i="3"/>
  <c r="J57" i="3" s="1"/>
  <c r="I59" i="3"/>
  <c r="J58" i="3" s="1"/>
  <c r="I60" i="3"/>
  <c r="J59" i="3" s="1"/>
  <c r="I61" i="3"/>
  <c r="J60" i="3" s="1"/>
  <c r="I62" i="3"/>
  <c r="J61" i="3" s="1"/>
  <c r="I63" i="3"/>
  <c r="J62" i="3" s="1"/>
  <c r="I64" i="3"/>
  <c r="I65" i="3"/>
  <c r="J64" i="3" s="1"/>
  <c r="I66" i="3"/>
  <c r="J65" i="3" s="1"/>
  <c r="I67" i="3"/>
  <c r="J66" i="3" s="1"/>
  <c r="I68" i="3"/>
  <c r="J67" i="3" s="1"/>
  <c r="I69" i="3"/>
  <c r="J68" i="3" s="1"/>
  <c r="I70" i="3"/>
  <c r="J69" i="3" s="1"/>
  <c r="I71" i="3"/>
  <c r="J70" i="3" s="1"/>
  <c r="I72" i="3"/>
  <c r="I73" i="3"/>
  <c r="J72" i="3" s="1"/>
  <c r="I74" i="3"/>
  <c r="J73" i="3" s="1"/>
  <c r="I75" i="3"/>
  <c r="J74" i="3" s="1"/>
  <c r="I76" i="3"/>
  <c r="J75" i="3" s="1"/>
  <c r="I77" i="3"/>
  <c r="J76" i="3" s="1"/>
  <c r="I78" i="3"/>
  <c r="J77" i="3" s="1"/>
  <c r="I79" i="3"/>
  <c r="J78" i="3" s="1"/>
  <c r="I80" i="3"/>
  <c r="I81" i="3"/>
  <c r="J80" i="3" s="1"/>
  <c r="I82" i="3"/>
  <c r="J81" i="3" s="1"/>
  <c r="I83" i="3"/>
  <c r="J82" i="3" s="1"/>
  <c r="I84" i="3"/>
  <c r="J83" i="3" s="1"/>
  <c r="I85" i="3"/>
  <c r="J84" i="3" s="1"/>
  <c r="I86" i="3"/>
  <c r="J85" i="3" s="1"/>
  <c r="I87" i="3"/>
  <c r="J86" i="3" s="1"/>
  <c r="I88" i="3"/>
  <c r="I89" i="3"/>
  <c r="J88" i="3" s="1"/>
  <c r="I90" i="3"/>
  <c r="J89" i="3" s="1"/>
  <c r="I91" i="3"/>
  <c r="J90" i="3" s="1"/>
  <c r="I92" i="3"/>
  <c r="J91" i="3" s="1"/>
  <c r="I93" i="3"/>
  <c r="J92" i="3" s="1"/>
  <c r="I94" i="3"/>
  <c r="J93" i="3" s="1"/>
  <c r="I95" i="3"/>
  <c r="J94" i="3" s="1"/>
  <c r="I96" i="3"/>
  <c r="I97" i="3"/>
  <c r="J96" i="3" s="1"/>
  <c r="I98" i="3"/>
  <c r="J97" i="3" s="1"/>
  <c r="I99" i="3"/>
  <c r="J98" i="3" s="1"/>
  <c r="I100" i="3"/>
  <c r="J99" i="3" s="1"/>
  <c r="I101" i="3"/>
  <c r="J100" i="3" s="1"/>
  <c r="I102" i="3"/>
  <c r="J101" i="3" s="1"/>
  <c r="I103" i="3"/>
  <c r="J102" i="3" s="1"/>
  <c r="I104" i="3"/>
  <c r="I105" i="3"/>
  <c r="J104" i="3" s="1"/>
  <c r="I106" i="3"/>
  <c r="J105" i="3" s="1"/>
  <c r="I107" i="3"/>
  <c r="J106" i="3" s="1"/>
  <c r="I7" i="3"/>
  <c r="J11" i="3"/>
  <c r="J15" i="3"/>
  <c r="J19" i="3"/>
  <c r="J23" i="3"/>
  <c r="J27" i="3"/>
  <c r="J31" i="3"/>
  <c r="J39" i="3"/>
  <c r="J47" i="3"/>
  <c r="J55" i="3"/>
  <c r="J63" i="3"/>
  <c r="J71" i="3"/>
  <c r="J79" i="3"/>
  <c r="J87" i="3"/>
  <c r="J95" i="3"/>
  <c r="J103" i="3"/>
  <c r="C8" i="3"/>
  <c r="C9" i="3"/>
  <c r="C10" i="3"/>
  <c r="C11" i="3"/>
  <c r="C12" i="3"/>
  <c r="C13" i="3"/>
  <c r="C14" i="3"/>
  <c r="C15" i="3"/>
  <c r="C16" i="3"/>
  <c r="C17" i="3"/>
  <c r="C7" i="3"/>
  <c r="H10" i="2"/>
  <c r="I10" i="2" s="1"/>
  <c r="J10" i="2" s="1"/>
  <c r="L10" i="2" s="1"/>
  <c r="H9" i="2"/>
  <c r="I9" i="2" s="1"/>
  <c r="L9" i="2" s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8" i="2"/>
  <c r="E21" i="1"/>
  <c r="E20" i="1"/>
  <c r="E22" i="1"/>
  <c r="E23" i="1"/>
  <c r="E24" i="1"/>
  <c r="F23" i="1" s="1"/>
  <c r="E25" i="1"/>
  <c r="F24" i="1" s="1"/>
  <c r="E26" i="1"/>
  <c r="E27" i="1"/>
  <c r="F26" i="1" s="1"/>
  <c r="E28" i="1"/>
  <c r="F27" i="1" s="1"/>
  <c r="E29" i="1"/>
  <c r="F28" i="1" s="1"/>
  <c r="E30" i="1"/>
  <c r="F29" i="1" s="1"/>
  <c r="E31" i="1"/>
  <c r="F30" i="1" s="1"/>
  <c r="E32" i="1"/>
  <c r="F31" i="1" s="1"/>
  <c r="E33" i="1"/>
  <c r="E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J14" i="4" l="1"/>
  <c r="I15" i="4"/>
  <c r="D15" i="4"/>
  <c r="E14" i="4"/>
  <c r="O15" i="4"/>
  <c r="N16" i="4"/>
  <c r="D12" i="5"/>
  <c r="F11" i="5"/>
  <c r="F19" i="1"/>
  <c r="F21" i="1"/>
  <c r="J31" i="1"/>
  <c r="J29" i="1"/>
  <c r="J27" i="1"/>
  <c r="F25" i="1"/>
  <c r="J21" i="1"/>
  <c r="F20" i="1"/>
  <c r="F33" i="1"/>
  <c r="F32" i="1"/>
  <c r="J30" i="1"/>
  <c r="J28" i="1"/>
  <c r="J26" i="1"/>
  <c r="J24" i="1"/>
  <c r="F22" i="1"/>
  <c r="J23" i="1"/>
  <c r="L11" i="2"/>
  <c r="M11" i="2" s="1"/>
  <c r="D7" i="3"/>
  <c r="D17" i="3"/>
  <c r="D11" i="3"/>
  <c r="D8" i="3"/>
  <c r="J10" i="3"/>
  <c r="J107" i="3"/>
  <c r="J7" i="3"/>
  <c r="D15" i="3"/>
  <c r="D13" i="3"/>
  <c r="D9" i="3"/>
  <c r="J8" i="3"/>
  <c r="D16" i="3"/>
  <c r="D14" i="3"/>
  <c r="D12" i="3"/>
  <c r="D10" i="3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J15" i="4" l="1"/>
  <c r="I16" i="4"/>
  <c r="D16" i="4"/>
  <c r="E15" i="4"/>
  <c r="O16" i="4"/>
  <c r="N17" i="4"/>
  <c r="D13" i="5"/>
  <c r="F12" i="5"/>
  <c r="J22" i="1"/>
  <c r="J33" i="1"/>
  <c r="J32" i="1"/>
  <c r="J20" i="1"/>
  <c r="J25" i="1"/>
  <c r="J16" i="4" l="1"/>
  <c r="I17" i="4"/>
  <c r="D17" i="4"/>
  <c r="E16" i="4"/>
  <c r="O17" i="4"/>
  <c r="N18" i="4"/>
  <c r="O18" i="4" s="1"/>
  <c r="D14" i="5"/>
  <c r="F13" i="5"/>
  <c r="J17" i="4" l="1"/>
  <c r="I18" i="4"/>
  <c r="J18" i="4" s="1"/>
  <c r="D18" i="4"/>
  <c r="E18" i="4" s="1"/>
  <c r="E17" i="4"/>
  <c r="D15" i="5"/>
  <c r="F14" i="5"/>
  <c r="D16" i="5" l="1"/>
  <c r="F15" i="5"/>
  <c r="D17" i="5" l="1"/>
  <c r="F16" i="5"/>
  <c r="D18" i="5" l="1"/>
  <c r="F18" i="5" s="1"/>
  <c r="F17" i="5"/>
</calcChain>
</file>

<file path=xl/sharedStrings.xml><?xml version="1.0" encoding="utf-8"?>
<sst xmlns="http://schemas.openxmlformats.org/spreadsheetml/2006/main" count="116" uniqueCount="55">
  <si>
    <t>T (Celsius)</t>
  </si>
  <si>
    <t>T (Kelvin)</t>
  </si>
  <si>
    <t>Enthalpy (kJ/mol)</t>
  </si>
  <si>
    <t>Enthalpy (j/mol)</t>
  </si>
  <si>
    <t>dH/dT</t>
  </si>
  <si>
    <t>a)</t>
  </si>
  <si>
    <t>b)</t>
  </si>
  <si>
    <t>Δx</t>
  </si>
  <si>
    <t>f(Δx)</t>
  </si>
  <si>
    <t>I</t>
  </si>
  <si>
    <t>Heat Capacity of CO2</t>
  </si>
  <si>
    <t>=I0+(f(x1)+f(x0))*(x1-x0)/2</t>
  </si>
  <si>
    <t>Trapezoidal</t>
  </si>
  <si>
    <t>b) Gauss Quadrature</t>
  </si>
  <si>
    <t>a) Trapezoidal</t>
  </si>
  <si>
    <t>Two point Gauss Quadrature</t>
  </si>
  <si>
    <t>Three point Gauss Quadrature</t>
  </si>
  <si>
    <t>Four point Gauss Quadrature</t>
  </si>
  <si>
    <t>x</t>
  </si>
  <si>
    <t>f(x)</t>
  </si>
  <si>
    <t>w</t>
  </si>
  <si>
    <t>(0,1)</t>
  </si>
  <si>
    <t>f'(x)</t>
  </si>
  <si>
    <t>Numerical Derivative</t>
  </si>
  <si>
    <r>
      <t>f(x) = x</t>
    </r>
    <r>
      <rPr>
        <b/>
        <vertAlign val="superscript"/>
        <sz val="12"/>
        <color theme="3"/>
        <rFont val="Calibri Light"/>
        <family val="2"/>
        <scheme val="major"/>
      </rPr>
      <t>2</t>
    </r>
    <r>
      <rPr>
        <b/>
        <sz val="12"/>
        <color theme="3"/>
        <rFont val="Calibri Light"/>
        <family val="2"/>
        <scheme val="major"/>
      </rPr>
      <t>cosx</t>
    </r>
  </si>
  <si>
    <t>Analytical Differentiation</t>
  </si>
  <si>
    <t>c)</t>
  </si>
  <si>
    <t>nist Database</t>
  </si>
  <si>
    <t>Actual value</t>
  </si>
  <si>
    <t>% error</t>
  </si>
  <si>
    <t>% error nist vs a)</t>
  </si>
  <si>
    <t>% error nist vs b)</t>
  </si>
  <si>
    <r>
      <t>f'(x) = 2xcosx-x</t>
    </r>
    <r>
      <rPr>
        <b/>
        <vertAlign val="superscript"/>
        <sz val="12"/>
        <color theme="3"/>
        <rFont val="Calibri Light"/>
        <family val="2"/>
        <scheme val="major"/>
      </rPr>
      <t>2</t>
    </r>
    <r>
      <rPr>
        <b/>
        <sz val="12"/>
        <color theme="3"/>
        <rFont val="Calibri Light"/>
        <family val="2"/>
        <scheme val="major"/>
      </rPr>
      <t>sinx</t>
    </r>
  </si>
  <si>
    <r>
      <t>I = x</t>
    </r>
    <r>
      <rPr>
        <b/>
        <vertAlign val="superscript"/>
        <sz val="12"/>
        <color theme="3"/>
        <rFont val="Calibri Light"/>
        <family val="2"/>
        <scheme val="major"/>
      </rPr>
      <t>2</t>
    </r>
    <r>
      <rPr>
        <b/>
        <sz val="12"/>
        <color theme="3"/>
        <rFont val="Calibri Light"/>
        <family val="2"/>
        <scheme val="major"/>
      </rPr>
      <t>sinx+2xcosx-2sinx</t>
    </r>
  </si>
  <si>
    <t>f(x) gauss</t>
  </si>
  <si>
    <r>
      <t>f(x)</t>
    </r>
    <r>
      <rPr>
        <vertAlign val="subscript"/>
        <sz val="12"/>
        <color theme="3"/>
        <rFont val="Calibri Light"/>
        <family val="2"/>
        <scheme val="major"/>
      </rPr>
      <t>t</t>
    </r>
  </si>
  <si>
    <r>
      <t>f(x)</t>
    </r>
    <r>
      <rPr>
        <vertAlign val="subscript"/>
        <sz val="12"/>
        <color theme="3"/>
        <rFont val="Calibri Light"/>
        <family val="2"/>
        <scheme val="major"/>
      </rPr>
      <t>t</t>
    </r>
    <r>
      <rPr>
        <sz val="12"/>
        <color theme="3"/>
        <rFont val="Calibri Light"/>
        <family val="2"/>
        <scheme val="major"/>
      </rPr>
      <t>*w</t>
    </r>
  </si>
  <si>
    <t>% error trapezoidal vs Gauss</t>
  </si>
  <si>
    <t>Compressibility data for Nitrogen</t>
  </si>
  <si>
    <t>P (atm)</t>
  </si>
  <si>
    <t>z</t>
  </si>
  <si>
    <t>f(P)</t>
  </si>
  <si>
    <t>T (0C)</t>
  </si>
  <si>
    <t>T(25C)</t>
  </si>
  <si>
    <t>T(50)</t>
  </si>
  <si>
    <t>fugacity</t>
  </si>
  <si>
    <t>=(z-1)/P</t>
  </si>
  <si>
    <t>Trapezoidal Rule</t>
  </si>
  <si>
    <t>I (z-1/P)</t>
  </si>
  <si>
    <t>=P*exp(I(z-1/P)</t>
  </si>
  <si>
    <t>Enthalpy</t>
  </si>
  <si>
    <t>dz/dt</t>
  </si>
  <si>
    <t>h (cal/kg)</t>
  </si>
  <si>
    <t>R (cal/K/gmol)</t>
  </si>
  <si>
    <t>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</si>
</sst>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7" formatCode="0.000000"/>
    <numFmt numFmtId="172" formatCode="0.000000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2"/>
      <color theme="3"/>
      <name val="Calibri Light"/>
      <family val="2"/>
      <scheme val="major"/>
    </font>
    <font>
      <b/>
      <sz val="12"/>
      <color theme="3"/>
      <name val="Calibri Light"/>
      <family val="2"/>
      <scheme val="major"/>
    </font>
    <font>
      <b/>
      <sz val="12"/>
      <color theme="8" tint="-0.249977111117893"/>
      <name val="Calibri Light"/>
      <family val="2"/>
      <scheme val="major"/>
    </font>
    <font>
      <b/>
      <i/>
      <sz val="12"/>
      <color theme="3"/>
      <name val="Calibri Light"/>
      <family val="2"/>
      <scheme val="major"/>
    </font>
    <font>
      <b/>
      <vertAlign val="superscript"/>
      <sz val="12"/>
      <color theme="3"/>
      <name val="Calibri Light"/>
      <family val="2"/>
      <scheme val="major"/>
    </font>
    <font>
      <b/>
      <i/>
      <sz val="12"/>
      <color rgb="FF00B050"/>
      <name val="Calibri Light"/>
      <family val="2"/>
      <scheme val="major"/>
    </font>
    <font>
      <vertAlign val="subscript"/>
      <sz val="12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4" fillId="0" borderId="2" xfId="1" applyFont="1" applyBorder="1"/>
    <xf numFmtId="0" fontId="4" fillId="0" borderId="3" xfId="1" applyFont="1" applyBorder="1"/>
    <xf numFmtId="164" fontId="4" fillId="0" borderId="3" xfId="1" applyNumberFormat="1" applyFont="1" applyBorder="1"/>
    <xf numFmtId="0" fontId="4" fillId="0" borderId="4" xfId="1" applyFont="1" applyBorder="1"/>
    <xf numFmtId="164" fontId="4" fillId="0" borderId="4" xfId="1" applyNumberFormat="1" applyFont="1" applyBorder="1"/>
    <xf numFmtId="0" fontId="5" fillId="0" borderId="0" xfId="1" applyFont="1"/>
    <xf numFmtId="0" fontId="5" fillId="0" borderId="2" xfId="1" applyFont="1" applyBorder="1"/>
    <xf numFmtId="43" fontId="4" fillId="2" borderId="1" xfId="1" applyNumberFormat="1" applyFont="1" applyFill="1" applyBorder="1"/>
    <xf numFmtId="0" fontId="4" fillId="0" borderId="0" xfId="1" quotePrefix="1" applyFont="1"/>
    <xf numFmtId="0" fontId="4" fillId="2" borderId="1" xfId="1" applyFont="1" applyFill="1" applyBorder="1"/>
    <xf numFmtId="0" fontId="5" fillId="0" borderId="1" xfId="1" applyFont="1" applyBorder="1"/>
    <xf numFmtId="43" fontId="4" fillId="2" borderId="4" xfId="1" applyNumberFormat="1" applyFont="1" applyFill="1" applyBorder="1"/>
    <xf numFmtId="0" fontId="4" fillId="2" borderId="7" xfId="1" applyFont="1" applyFill="1" applyBorder="1"/>
    <xf numFmtId="0" fontId="4" fillId="0" borderId="8" xfId="1" applyFont="1" applyBorder="1"/>
    <xf numFmtId="0" fontId="4" fillId="0" borderId="9" xfId="1" applyFont="1" applyBorder="1"/>
    <xf numFmtId="0" fontId="4" fillId="0" borderId="6" xfId="1" applyFont="1" applyBorder="1"/>
    <xf numFmtId="0" fontId="4" fillId="0" borderId="10" xfId="1" applyFont="1" applyBorder="1"/>
    <xf numFmtId="0" fontId="4" fillId="0" borderId="5" xfId="1" applyFont="1" applyBorder="1"/>
    <xf numFmtId="0" fontId="6" fillId="0" borderId="0" xfId="1" applyFont="1"/>
    <xf numFmtId="0" fontId="5" fillId="0" borderId="0" xfId="1" applyFont="1" applyAlignment="1">
      <alignment horizontal="center"/>
    </xf>
    <xf numFmtId="0" fontId="4" fillId="0" borderId="6" xfId="1" quotePrefix="1" applyFont="1" applyBorder="1"/>
    <xf numFmtId="0" fontId="5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5" fillId="0" borderId="7" xfId="1" applyFont="1" applyBorder="1"/>
    <xf numFmtId="0" fontId="5" fillId="0" borderId="11" xfId="1" applyFont="1" applyBorder="1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1" xfId="1" applyFont="1" applyBorder="1" applyAlignment="1">
      <alignment horizontal="center" wrapText="1"/>
    </xf>
    <xf numFmtId="0" fontId="9" fillId="0" borderId="1" xfId="1" applyFont="1" applyFill="1" applyBorder="1" applyAlignment="1">
      <alignment horizontal="center" wrapText="1"/>
    </xf>
    <xf numFmtId="0" fontId="4" fillId="0" borderId="12" xfId="1" applyFont="1" applyBorder="1"/>
    <xf numFmtId="0" fontId="4" fillId="0" borderId="0" xfId="1" applyFont="1" applyBorder="1"/>
    <xf numFmtId="0" fontId="4" fillId="0" borderId="13" xfId="1" applyFont="1" applyBorder="1"/>
    <xf numFmtId="43" fontId="4" fillId="0" borderId="1" xfId="1" applyNumberFormat="1" applyFont="1" applyBorder="1"/>
    <xf numFmtId="0" fontId="5" fillId="0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4" fillId="3" borderId="11" xfId="1" quotePrefix="1" applyFont="1" applyFill="1" applyBorder="1"/>
    <xf numFmtId="167" fontId="4" fillId="0" borderId="9" xfId="1" applyNumberFormat="1" applyFont="1" applyBorder="1"/>
    <xf numFmtId="167" fontId="4" fillId="0" borderId="10" xfId="1" applyNumberFormat="1" applyFont="1" applyBorder="1"/>
    <xf numFmtId="167" fontId="4" fillId="0" borderId="14" xfId="1" applyNumberFormat="1" applyFont="1" applyBorder="1"/>
    <xf numFmtId="1" fontId="4" fillId="3" borderId="1" xfId="1" applyNumberFormat="1" applyFont="1" applyFill="1" applyBorder="1"/>
    <xf numFmtId="167" fontId="4" fillId="3" borderId="1" xfId="1" applyNumberFormat="1" applyFont="1" applyFill="1" applyBorder="1"/>
    <xf numFmtId="0" fontId="4" fillId="0" borderId="2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4" fillId="0" borderId="0" xfId="1" quotePrefix="1" applyFont="1" applyBorder="1"/>
    <xf numFmtId="0" fontId="4" fillId="0" borderId="1" xfId="1" applyFont="1" applyBorder="1" applyAlignment="1">
      <alignment horizontal="center" wrapText="1"/>
    </xf>
    <xf numFmtId="172" fontId="4" fillId="3" borderId="1" xfId="1" applyNumberFormat="1" applyFont="1" applyFill="1" applyBorder="1"/>
    <xf numFmtId="4" fontId="4" fillId="2" borderId="1" xfId="1" applyNumberFormat="1" applyFont="1" applyFill="1" applyBorder="1"/>
    <xf numFmtId="0" fontId="5" fillId="2" borderId="0" xfId="1" applyFont="1" applyFill="1"/>
    <xf numFmtId="0" fontId="4" fillId="2" borderId="9" xfId="1" applyFont="1" applyFill="1" applyBorder="1"/>
    <xf numFmtId="0" fontId="4" fillId="0" borderId="1" xfId="1" applyFont="1" applyBorder="1" applyAlignment="1">
      <alignment horizontal="center"/>
    </xf>
    <xf numFmtId="0" fontId="4" fillId="0" borderId="1" xfId="1" quotePrefix="1" applyFont="1" applyBorder="1" applyAlignment="1">
      <alignment vertical="center" wrapText="1"/>
    </xf>
    <xf numFmtId="0" fontId="5" fillId="0" borderId="0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12" xfId="1" quotePrefix="1" applyFont="1" applyBorder="1"/>
    <xf numFmtId="0" fontId="4" fillId="0" borderId="12" xfId="1" applyFont="1" applyBorder="1" applyAlignment="1">
      <alignment horizontal="center" wrapText="1"/>
    </xf>
    <xf numFmtId="0" fontId="5" fillId="0" borderId="6" xfId="1" applyFont="1" applyBorder="1" applyAlignment="1">
      <alignment horizontal="center"/>
    </xf>
    <xf numFmtId="0" fontId="4" fillId="0" borderId="13" xfId="1" quotePrefix="1" applyFont="1" applyBorder="1"/>
    <xf numFmtId="0" fontId="5" fillId="3" borderId="1" xfId="1" applyFont="1" applyFill="1" applyBorder="1" applyAlignment="1">
      <alignment horizontal="center"/>
    </xf>
    <xf numFmtId="0" fontId="4" fillId="3" borderId="1" xfId="1" applyFont="1" applyFill="1" applyBorder="1"/>
    <xf numFmtId="0" fontId="4" fillId="0" borderId="14" xfId="1" quotePrefix="1" applyFont="1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 Capacity of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'4.1'!$E$18</c:f>
              <c:strCache>
                <c:ptCount val="1"/>
                <c:pt idx="0">
                  <c:v>Enthalpy (j/mol)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017809703563656"/>
                  <c:y val="-6.71502336429255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'4.1'!$B$19:$B$33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'4.1'!$E$19:$E$33</c:f>
              <c:numCache>
                <c:formatCode>_(* #,##0_);_(* \(#,##0\);_(* "-"??_);_(@_)</c:formatCode>
                <c:ptCount val="15"/>
                <c:pt idx="0">
                  <c:v>25186</c:v>
                </c:pt>
                <c:pt idx="1">
                  <c:v>27254</c:v>
                </c:pt>
                <c:pt idx="2">
                  <c:v>29408</c:v>
                </c:pt>
                <c:pt idx="3">
                  <c:v>31640</c:v>
                </c:pt>
                <c:pt idx="4">
                  <c:v>33942</c:v>
                </c:pt>
                <c:pt idx="5">
                  <c:v>36307</c:v>
                </c:pt>
                <c:pt idx="6">
                  <c:v>38732</c:v>
                </c:pt>
                <c:pt idx="7">
                  <c:v>41209</c:v>
                </c:pt>
                <c:pt idx="8">
                  <c:v>43736</c:v>
                </c:pt>
                <c:pt idx="9">
                  <c:v>46307</c:v>
                </c:pt>
                <c:pt idx="10">
                  <c:v>48919</c:v>
                </c:pt>
                <c:pt idx="11">
                  <c:v>51568</c:v>
                </c:pt>
                <c:pt idx="12">
                  <c:v>54252</c:v>
                </c:pt>
                <c:pt idx="13">
                  <c:v>58966</c:v>
                </c:pt>
                <c:pt idx="14">
                  <c:v>59710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F-4FEB-8C1A-DC84195F2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243696"/>
        <c:axId val="419241400"/>
      </c:scatterChart>
      <c:valAx>
        <c:axId val="4192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41400"/>
        <c:crosses val="autoZero"/>
        <c:crossBetween val="midCat"/>
      </c:valAx>
      <c:valAx>
        <c:axId val="41924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4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1209674</xdr:colOff>
      <xdr:row>2</xdr:row>
      <xdr:rowOff>76200</xdr:rowOff>
    </xdr:from>
    <xdr:to>
      <xdr:col>8</xdr:col>
      <xdr:colOff>561975</xdr:colOff>
      <xdr:row>15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B8BD3F-9B2E-4580-B14B-0EB4FE806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2</xdr:row>
      <xdr:rowOff>99674</xdr:rowOff>
    </xdr:from>
    <xdr:to>
      <xdr:col>2</xdr:col>
      <xdr:colOff>219074</xdr:colOff>
      <xdr:row>5</xdr:row>
      <xdr:rowOff>42460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794E7-ACB1-40B4-9957-0B399367C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084" t="38676" r="28762" b="51297"/>
        <a:stretch/>
      </xdr:blipFill>
      <xdr:spPr>
        <a:xfrm>
          <a:off x="390525" y="490199"/>
          <a:ext cx="1047749" cy="514286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2</xdr:row>
      <xdr:rowOff>104775</xdr:rowOff>
    </xdr:from>
    <xdr:to>
      <xdr:col>8</xdr:col>
      <xdr:colOff>657224</xdr:colOff>
      <xdr:row>5</xdr:row>
      <xdr:rowOff>47561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27792E-5F01-4FF8-BFF3-496F39F096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084" t="38676" r="28762" b="51297"/>
        <a:stretch/>
      </xdr:blipFill>
      <xdr:spPr>
        <a:xfrm>
          <a:off x="4524375" y="495300"/>
          <a:ext cx="1047749" cy="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2</xdr:row>
      <xdr:rowOff>104776</xdr:rowOff>
    </xdr:from>
    <xdr:to>
      <xdr:col>8</xdr:col>
      <xdr:colOff>676275</xdr:colOff>
      <xdr:row>5</xdr:row>
      <xdr:rowOff>70978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E7F24-8551-4C05-9578-070100A70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936" t="47141" r="25906" b="42962"/>
        <a:stretch/>
      </xdr:blipFill>
      <xdr:spPr>
        <a:xfrm>
          <a:off x="5086350" y="504826"/>
          <a:ext cx="1809750" cy="566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2</xdr:row>
      <xdr:rowOff>185276</xdr:rowOff>
    </xdr:from>
    <xdr:to>
      <xdr:col>5</xdr:col>
      <xdr:colOff>342900</xdr:colOff>
      <xdr:row>5</xdr:row>
      <xdr:rowOff>114298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B1921-126D-4D20-BC2A-210298295E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790" t="41281" r="27516" b="47649"/>
        <a:stretch/>
      </xdr:blipFill>
      <xdr:spPr>
        <a:xfrm>
          <a:off x="3209925" y="585326"/>
          <a:ext cx="1419225" cy="529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0B91-DF0C-4A3C-99B2-FC9710F1E98D}">
  <dimension ref="A1:K33"/>
  <sheetViews>
    <sheetView tabSelected="1" topLeftCell="B1" workbookViewId="0">
      <selection activeCell="M21" sqref="M21"/>
    </sheetView>
  </sheetViews>
  <sheetFormatPr defaultRowHeight="15" x14ac:dyDescent="0.25"/>
  <cols>
    <col min="1" max="1" width="12" customWidth="1"/>
    <col min="2" max="2" width="11.5703125" customWidth="1"/>
    <col min="3" max="3" width="20" customWidth="1"/>
    <col min="4" max="4" width="20.140625" customWidth="1"/>
    <col min="5" max="5" width="20.5703125" customWidth="1"/>
    <col min="6" max="7" width="17.7109375" customWidth="1"/>
    <col min="8" max="8" width="12.7109375" customWidth="1"/>
    <col min="9" max="9" width="15.140625" customWidth="1"/>
    <col min="10" max="10" width="14.85546875" customWidth="1"/>
    <col min="11" max="11" width="13" customWidth="1"/>
  </cols>
  <sheetData>
    <row r="1" spans="1:11" ht="15.75" x14ac:dyDescent="0.25">
      <c r="B1" s="32" t="s">
        <v>10</v>
      </c>
      <c r="C1" s="32"/>
      <c r="D1" s="32"/>
      <c r="E1" s="32"/>
      <c r="F1" s="32"/>
      <c r="G1" s="32"/>
      <c r="H1" s="32"/>
      <c r="I1" s="32"/>
      <c r="J1" s="32"/>
      <c r="K1" s="32"/>
    </row>
    <row r="5" spans="1:11" ht="30.75" customHeight="1" x14ac:dyDescent="0.25">
      <c r="F5" s="3"/>
    </row>
    <row r="6" spans="1:11" ht="15.75" x14ac:dyDescent="0.25">
      <c r="A6" s="3"/>
      <c r="B6" s="3"/>
      <c r="C6" s="3"/>
      <c r="D6" s="3"/>
      <c r="E6" s="3"/>
      <c r="F6" s="3"/>
    </row>
    <row r="17" spans="2:11" ht="15.75" x14ac:dyDescent="0.25">
      <c r="B17" s="3"/>
      <c r="C17" s="3"/>
      <c r="D17" s="3"/>
      <c r="E17" s="3"/>
      <c r="F17" s="61" t="s">
        <v>5</v>
      </c>
      <c r="G17" s="61" t="s">
        <v>6</v>
      </c>
      <c r="H17" s="9"/>
      <c r="J17" s="61" t="s">
        <v>26</v>
      </c>
    </row>
    <row r="18" spans="2:11" ht="30.75" customHeight="1" x14ac:dyDescent="0.25">
      <c r="B18" s="25" t="s">
        <v>0</v>
      </c>
      <c r="C18" s="25" t="s">
        <v>1</v>
      </c>
      <c r="D18" s="25" t="s">
        <v>2</v>
      </c>
      <c r="E18" s="25" t="s">
        <v>3</v>
      </c>
      <c r="F18" s="25" t="s">
        <v>4</v>
      </c>
      <c r="G18" s="34" t="s">
        <v>25</v>
      </c>
      <c r="H18" s="34" t="s">
        <v>29</v>
      </c>
      <c r="I18" s="35" t="s">
        <v>27</v>
      </c>
      <c r="J18" s="34" t="s">
        <v>31</v>
      </c>
      <c r="K18" s="34" t="s">
        <v>30</v>
      </c>
    </row>
    <row r="19" spans="2:11" ht="15.75" x14ac:dyDescent="0.25">
      <c r="B19" s="4">
        <v>100</v>
      </c>
      <c r="C19" s="5">
        <f>B19+273</f>
        <v>373</v>
      </c>
      <c r="D19" s="4">
        <v>25.186</v>
      </c>
      <c r="E19" s="6">
        <f>1000*D19</f>
        <v>25186</v>
      </c>
      <c r="F19" s="15">
        <f>((-3*E19)+(4*E20)-(E21))/(2*50)</f>
        <v>40.5</v>
      </c>
      <c r="G19" s="13">
        <f>(2*0.0135*B19)+38.304</f>
        <v>41.004000000000005</v>
      </c>
      <c r="H19" s="39">
        <f>(G19-F19)/G19</f>
        <v>1.2291483757682294E-2</v>
      </c>
      <c r="I19" s="36">
        <v>40.460999999999999</v>
      </c>
      <c r="J19" s="11">
        <f>(F19-I19)/I19</f>
        <v>9.6389115444505769E-4</v>
      </c>
      <c r="K19" s="62">
        <f>(G19-I19)/I19</f>
        <v>1.3420330688811606E-2</v>
      </c>
    </row>
    <row r="20" spans="2:11" ht="15.75" x14ac:dyDescent="0.25">
      <c r="B20" s="5">
        <v>150</v>
      </c>
      <c r="C20" s="5">
        <f t="shared" ref="C20:C33" si="0">B20+273</f>
        <v>423</v>
      </c>
      <c r="D20" s="5">
        <v>27.254000000000001</v>
      </c>
      <c r="E20" s="6">
        <f t="shared" ref="E20:E33" si="1">1000*D20</f>
        <v>27254</v>
      </c>
      <c r="F20" s="11">
        <f t="shared" ref="F20:F32" si="2">(E21-E19)/(2*50)</f>
        <v>42.22</v>
      </c>
      <c r="G20" s="13">
        <f t="shared" ref="G20:G33" si="3">(2*0.0135*B20)+38.304</f>
        <v>42.353999999999999</v>
      </c>
      <c r="H20" s="39">
        <f t="shared" ref="H20:H33" si="4">(G20-F20)/G20</f>
        <v>3.1638097936440559E-3</v>
      </c>
      <c r="I20" s="37">
        <v>42.256</v>
      </c>
      <c r="J20" s="11">
        <f t="shared" ref="J20:J33" si="5">(F20-I20)/I20</f>
        <v>-8.5195001893225493E-4</v>
      </c>
      <c r="K20" s="62">
        <f t="shared" ref="K20:K33" si="6">(G20-I20)/I20</f>
        <v>2.3191972737599152E-3</v>
      </c>
    </row>
    <row r="21" spans="2:11" ht="15.75" x14ac:dyDescent="0.25">
      <c r="B21" s="5">
        <v>200</v>
      </c>
      <c r="C21" s="5">
        <f t="shared" si="0"/>
        <v>473</v>
      </c>
      <c r="D21" s="5">
        <v>29.408000000000001</v>
      </c>
      <c r="E21" s="6">
        <f>1000*D21</f>
        <v>29408</v>
      </c>
      <c r="F21" s="11">
        <f t="shared" si="2"/>
        <v>43.86</v>
      </c>
      <c r="G21" s="13">
        <f t="shared" si="3"/>
        <v>43.704000000000001</v>
      </c>
      <c r="H21" s="39">
        <f t="shared" si="4"/>
        <v>-3.5694673256452224E-3</v>
      </c>
      <c r="I21" s="37">
        <v>43.881</v>
      </c>
      <c r="J21" s="11">
        <f t="shared" si="5"/>
        <v>-4.7856703356807719E-4</v>
      </c>
      <c r="K21" s="62">
        <f t="shared" si="6"/>
        <v>-4.0336364257879172E-3</v>
      </c>
    </row>
    <row r="22" spans="2:11" ht="15.75" x14ac:dyDescent="0.25">
      <c r="B22" s="5">
        <v>250</v>
      </c>
      <c r="C22" s="5">
        <f t="shared" si="0"/>
        <v>523</v>
      </c>
      <c r="D22" s="5">
        <v>31.64</v>
      </c>
      <c r="E22" s="6">
        <f t="shared" si="1"/>
        <v>31640</v>
      </c>
      <c r="F22" s="11">
        <f>(E23-E21)/(2*50)</f>
        <v>45.34</v>
      </c>
      <c r="G22" s="13">
        <f t="shared" si="3"/>
        <v>45.054000000000002</v>
      </c>
      <c r="H22" s="39">
        <f t="shared" si="4"/>
        <v>-6.3479380299196822E-3</v>
      </c>
      <c r="I22" s="37">
        <v>45.881</v>
      </c>
      <c r="J22" s="11">
        <f t="shared" si="5"/>
        <v>-1.1791373335367512E-2</v>
      </c>
      <c r="K22" s="62">
        <f t="shared" si="6"/>
        <v>-1.8024890477539683E-2</v>
      </c>
    </row>
    <row r="23" spans="2:11" ht="15.75" x14ac:dyDescent="0.25">
      <c r="B23" s="5">
        <v>300</v>
      </c>
      <c r="C23" s="5">
        <f t="shared" si="0"/>
        <v>573</v>
      </c>
      <c r="D23" s="5">
        <v>33.942</v>
      </c>
      <c r="E23" s="6">
        <f t="shared" si="1"/>
        <v>33942</v>
      </c>
      <c r="F23" s="11">
        <f t="shared" si="2"/>
        <v>46.67</v>
      </c>
      <c r="G23" s="13">
        <f t="shared" si="3"/>
        <v>46.404000000000003</v>
      </c>
      <c r="H23" s="39">
        <f t="shared" si="4"/>
        <v>-5.7322644599603102E-3</v>
      </c>
      <c r="I23" s="37">
        <v>45.354999999999997</v>
      </c>
      <c r="J23" s="11">
        <f t="shared" si="5"/>
        <v>2.8993495755705104E-2</v>
      </c>
      <c r="K23" s="62">
        <f t="shared" si="6"/>
        <v>2.3128651747326791E-2</v>
      </c>
    </row>
    <row r="24" spans="2:11" ht="15.75" x14ac:dyDescent="0.25">
      <c r="B24" s="5">
        <v>350</v>
      </c>
      <c r="C24" s="5">
        <f t="shared" si="0"/>
        <v>623</v>
      </c>
      <c r="D24" s="5">
        <v>36.307000000000002</v>
      </c>
      <c r="E24" s="6">
        <f t="shared" si="1"/>
        <v>36307</v>
      </c>
      <c r="F24" s="11">
        <f t="shared" si="2"/>
        <v>47.9</v>
      </c>
      <c r="G24" s="13">
        <f t="shared" si="3"/>
        <v>47.754000000000005</v>
      </c>
      <c r="H24" s="39">
        <f t="shared" si="4"/>
        <v>-3.0573355111612362E-3</v>
      </c>
      <c r="I24" s="37">
        <v>46.695</v>
      </c>
      <c r="J24" s="11">
        <f t="shared" si="5"/>
        <v>2.5805760788092907E-2</v>
      </c>
      <c r="K24" s="62">
        <f t="shared" si="6"/>
        <v>2.267908769675564E-2</v>
      </c>
    </row>
    <row r="25" spans="2:11" ht="15.75" x14ac:dyDescent="0.25">
      <c r="B25" s="5">
        <v>400</v>
      </c>
      <c r="C25" s="5">
        <f t="shared" si="0"/>
        <v>673</v>
      </c>
      <c r="D25" s="5">
        <v>38.731999999999999</v>
      </c>
      <c r="E25" s="6">
        <f t="shared" si="1"/>
        <v>38732</v>
      </c>
      <c r="F25" s="11">
        <f t="shared" si="2"/>
        <v>49.02</v>
      </c>
      <c r="G25" s="13">
        <f t="shared" si="3"/>
        <v>49.103999999999999</v>
      </c>
      <c r="H25" s="39">
        <f t="shared" si="4"/>
        <v>1.7106549364613083E-3</v>
      </c>
      <c r="I25" s="37">
        <v>47.917000000000002</v>
      </c>
      <c r="J25" s="11">
        <f t="shared" si="5"/>
        <v>2.3018970302815318E-2</v>
      </c>
      <c r="K25" s="62">
        <f t="shared" si="6"/>
        <v>2.4772001586075874E-2</v>
      </c>
    </row>
    <row r="26" spans="2:11" ht="15.75" x14ac:dyDescent="0.25">
      <c r="B26" s="5">
        <v>450</v>
      </c>
      <c r="C26" s="5">
        <f t="shared" si="0"/>
        <v>723</v>
      </c>
      <c r="D26" s="5">
        <v>41.209000000000003</v>
      </c>
      <c r="E26" s="6">
        <f t="shared" si="1"/>
        <v>41209</v>
      </c>
      <c r="F26" s="11">
        <f t="shared" si="2"/>
        <v>50.04</v>
      </c>
      <c r="G26" s="13">
        <f t="shared" si="3"/>
        <v>50.454000000000001</v>
      </c>
      <c r="H26" s="39">
        <f t="shared" si="4"/>
        <v>8.2054941134499047E-3</v>
      </c>
      <c r="I26" s="37">
        <v>49.033999999999999</v>
      </c>
      <c r="J26" s="11">
        <f t="shared" si="5"/>
        <v>2.0516376391891345E-2</v>
      </c>
      <c r="K26" s="62">
        <f t="shared" si="6"/>
        <v>2.8959497491536521E-2</v>
      </c>
    </row>
    <row r="27" spans="2:11" ht="15.75" x14ac:dyDescent="0.25">
      <c r="B27" s="5">
        <v>500</v>
      </c>
      <c r="C27" s="5">
        <f t="shared" si="0"/>
        <v>773</v>
      </c>
      <c r="D27" s="5">
        <v>43.735999999999997</v>
      </c>
      <c r="E27" s="6">
        <f t="shared" si="1"/>
        <v>43736</v>
      </c>
      <c r="F27" s="11">
        <f t="shared" si="2"/>
        <v>50.98</v>
      </c>
      <c r="G27" s="13">
        <f t="shared" si="3"/>
        <v>51.804000000000002</v>
      </c>
      <c r="H27" s="39">
        <f t="shared" si="4"/>
        <v>1.5906107636476048E-2</v>
      </c>
      <c r="I27" s="37">
        <v>50.055</v>
      </c>
      <c r="J27" s="11">
        <f t="shared" si="5"/>
        <v>1.8479672360403498E-2</v>
      </c>
      <c r="K27" s="62">
        <f t="shared" si="6"/>
        <v>3.4941564279292826E-2</v>
      </c>
    </row>
    <row r="28" spans="2:11" ht="15.75" x14ac:dyDescent="0.25">
      <c r="B28" s="5">
        <v>550</v>
      </c>
      <c r="C28" s="5">
        <f t="shared" si="0"/>
        <v>823</v>
      </c>
      <c r="D28" s="5">
        <v>46.307000000000002</v>
      </c>
      <c r="E28" s="6">
        <f t="shared" si="1"/>
        <v>46307</v>
      </c>
      <c r="F28" s="11">
        <f t="shared" si="2"/>
        <v>51.83</v>
      </c>
      <c r="G28" s="13">
        <f t="shared" si="3"/>
        <v>53.154000000000003</v>
      </c>
      <c r="H28" s="39">
        <f t="shared" si="4"/>
        <v>2.4908755691011121E-2</v>
      </c>
      <c r="I28" s="37">
        <v>50.988999999999997</v>
      </c>
      <c r="J28" s="11">
        <f t="shared" si="5"/>
        <v>1.6493753554688288E-2</v>
      </c>
      <c r="K28" s="62">
        <f t="shared" si="6"/>
        <v>4.2460138461236863E-2</v>
      </c>
    </row>
    <row r="29" spans="2:11" ht="15.75" x14ac:dyDescent="0.25">
      <c r="B29" s="5">
        <v>600</v>
      </c>
      <c r="C29" s="5">
        <f t="shared" si="0"/>
        <v>873</v>
      </c>
      <c r="D29" s="5">
        <v>48.918999999999997</v>
      </c>
      <c r="E29" s="6">
        <f t="shared" si="1"/>
        <v>48919</v>
      </c>
      <c r="F29" s="11">
        <f t="shared" si="2"/>
        <v>52.61</v>
      </c>
      <c r="G29" s="13">
        <f t="shared" si="3"/>
        <v>54.504000000000005</v>
      </c>
      <c r="H29" s="39">
        <f t="shared" si="4"/>
        <v>3.4749743138118398E-2</v>
      </c>
      <c r="I29" s="37">
        <v>51.843000000000004</v>
      </c>
      <c r="J29" s="11">
        <f t="shared" si="5"/>
        <v>1.4794668518411278E-2</v>
      </c>
      <c r="K29" s="62">
        <f t="shared" si="6"/>
        <v>5.1328048145361981E-2</v>
      </c>
    </row>
    <row r="30" spans="2:11" ht="15.75" x14ac:dyDescent="0.25">
      <c r="B30" s="5">
        <v>650</v>
      </c>
      <c r="C30" s="5">
        <f t="shared" si="0"/>
        <v>923</v>
      </c>
      <c r="D30" s="5">
        <v>51.567999999999998</v>
      </c>
      <c r="E30" s="6">
        <f t="shared" si="1"/>
        <v>51568</v>
      </c>
      <c r="F30" s="11">
        <f t="shared" si="2"/>
        <v>53.33</v>
      </c>
      <c r="G30" s="13">
        <f t="shared" si="3"/>
        <v>55.853999999999999</v>
      </c>
      <c r="H30" s="39">
        <f t="shared" si="4"/>
        <v>4.518924338453828E-2</v>
      </c>
      <c r="I30" s="37">
        <v>52.624000000000002</v>
      </c>
      <c r="J30" s="11">
        <f t="shared" si="5"/>
        <v>1.3415931894192686E-2</v>
      </c>
      <c r="K30" s="62">
        <f t="shared" si="6"/>
        <v>6.1378838552751537E-2</v>
      </c>
    </row>
    <row r="31" spans="2:11" ht="15.75" x14ac:dyDescent="0.25">
      <c r="B31" s="5">
        <v>700</v>
      </c>
      <c r="C31" s="5">
        <f t="shared" si="0"/>
        <v>973</v>
      </c>
      <c r="D31" s="5">
        <v>54.252000000000002</v>
      </c>
      <c r="E31" s="6">
        <f t="shared" si="1"/>
        <v>54252</v>
      </c>
      <c r="F31" s="11">
        <f t="shared" si="2"/>
        <v>73.98</v>
      </c>
      <c r="G31" s="13">
        <f t="shared" si="3"/>
        <v>57.204000000000001</v>
      </c>
      <c r="H31" s="39">
        <f t="shared" si="4"/>
        <v>-0.29326620516047835</v>
      </c>
      <c r="I31" s="37">
        <v>53.338999999999999</v>
      </c>
      <c r="J31" s="11">
        <f t="shared" si="5"/>
        <v>0.38697763362642729</v>
      </c>
      <c r="K31" s="62">
        <f t="shared" si="6"/>
        <v>7.2461051013329877E-2</v>
      </c>
    </row>
    <row r="32" spans="2:11" ht="15.75" x14ac:dyDescent="0.25">
      <c r="B32" s="5">
        <v>750</v>
      </c>
      <c r="C32" s="5">
        <f t="shared" si="0"/>
        <v>1023</v>
      </c>
      <c r="D32" s="5">
        <v>58.966000000000001</v>
      </c>
      <c r="E32" s="6">
        <f t="shared" si="1"/>
        <v>58966</v>
      </c>
      <c r="F32" s="11">
        <f t="shared" si="2"/>
        <v>54.58</v>
      </c>
      <c r="G32" s="13">
        <f t="shared" si="3"/>
        <v>58.554000000000002</v>
      </c>
      <c r="H32" s="39">
        <f t="shared" si="4"/>
        <v>6.7868975646411922E-2</v>
      </c>
      <c r="I32" s="37">
        <v>54.593000000000004</v>
      </c>
      <c r="J32" s="11">
        <f t="shared" si="5"/>
        <v>-2.3812576703982613E-4</v>
      </c>
      <c r="K32" s="62">
        <f t="shared" si="6"/>
        <v>7.2555089480336274E-2</v>
      </c>
    </row>
    <row r="33" spans="2:11" ht="15.75" x14ac:dyDescent="0.25">
      <c r="B33" s="7">
        <v>800</v>
      </c>
      <c r="C33" s="7">
        <f t="shared" si="0"/>
        <v>1073</v>
      </c>
      <c r="D33" s="7">
        <v>59.71</v>
      </c>
      <c r="E33" s="8">
        <f t="shared" si="1"/>
        <v>59710</v>
      </c>
      <c r="F33" s="60">
        <f>((3*E33)-(4*E32)+(E31))/(2*50)</f>
        <v>-24.82</v>
      </c>
      <c r="G33" s="13">
        <f t="shared" si="3"/>
        <v>59.904000000000003</v>
      </c>
      <c r="H33" s="39">
        <f t="shared" si="4"/>
        <v>1.4143295940170939</v>
      </c>
      <c r="I33" s="38">
        <v>55.143999999999998</v>
      </c>
      <c r="J33" s="11">
        <f t="shared" si="5"/>
        <v>-1.4500942985637604</v>
      </c>
      <c r="K33" s="13">
        <f t="shared" si="6"/>
        <v>8.6319454519077424E-2</v>
      </c>
    </row>
  </sheetData>
  <mergeCells count="1">
    <mergeCell ref="B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5A7A-3B7C-4B25-B8FC-B206019C71E0}">
  <dimension ref="A2:R28"/>
  <sheetViews>
    <sheetView topLeftCell="A11" workbookViewId="0">
      <selection activeCell="C8" sqref="C8"/>
    </sheetView>
  </sheetViews>
  <sheetFormatPr defaultRowHeight="15" x14ac:dyDescent="0.25"/>
  <cols>
    <col min="8" max="8" width="9.7109375" customWidth="1"/>
    <col min="9" max="9" width="10.7109375" customWidth="1"/>
    <col min="13" max="13" width="25.5703125" customWidth="1"/>
  </cols>
  <sheetData>
    <row r="2" spans="1:18" ht="15.75" x14ac:dyDescent="0.25">
      <c r="A2" s="33" t="s">
        <v>14</v>
      </c>
      <c r="B2" s="33"/>
      <c r="C2" s="33"/>
      <c r="D2" s="33"/>
      <c r="E2" s="33"/>
      <c r="F2" s="33"/>
      <c r="G2" s="9"/>
      <c r="H2" s="22" t="s">
        <v>13</v>
      </c>
      <c r="I2" s="22"/>
      <c r="J2" s="22"/>
    </row>
    <row r="5" spans="1:18" x14ac:dyDescent="0.25">
      <c r="G5" s="2"/>
    </row>
    <row r="7" spans="1:18" ht="15.75" x14ac:dyDescent="0.25">
      <c r="A7" s="27" t="s">
        <v>7</v>
      </c>
      <c r="B7" s="27" t="s">
        <v>8</v>
      </c>
      <c r="C7" s="28" t="s">
        <v>9</v>
      </c>
      <c r="E7" s="1"/>
      <c r="H7" s="55" t="s">
        <v>15</v>
      </c>
      <c r="I7" s="56"/>
      <c r="J7" s="56"/>
      <c r="K7" s="56"/>
      <c r="L7" s="56"/>
      <c r="Q7" s="3"/>
    </row>
    <row r="8" spans="1:18" ht="18.75" x14ac:dyDescent="0.25">
      <c r="A8" s="17">
        <v>0</v>
      </c>
      <c r="B8" s="4">
        <f>SQRT(A8)</f>
        <v>0</v>
      </c>
      <c r="C8" s="16">
        <v>0</v>
      </c>
      <c r="D8" s="12" t="s">
        <v>11</v>
      </c>
      <c r="H8" s="50" t="s">
        <v>18</v>
      </c>
      <c r="I8" s="50" t="s">
        <v>34</v>
      </c>
      <c r="J8" s="50" t="s">
        <v>35</v>
      </c>
      <c r="K8" s="50" t="s">
        <v>20</v>
      </c>
      <c r="L8" s="50" t="s">
        <v>36</v>
      </c>
      <c r="M8" s="26"/>
      <c r="R8" s="26"/>
    </row>
    <row r="9" spans="1:18" ht="15.75" x14ac:dyDescent="0.25">
      <c r="A9" s="19">
        <v>0.05</v>
      </c>
      <c r="B9" s="5">
        <f t="shared" ref="B9:B28" si="0">SQRT(A9)</f>
        <v>0.22360679774997896</v>
      </c>
      <c r="C9" s="16">
        <f>C8+(B9+B8)*(A9-A8)/2</f>
        <v>5.5901699437494743E-3</v>
      </c>
      <c r="D9" s="3"/>
      <c r="H9" s="17">
        <f>1/SQRT(3)</f>
        <v>0.57735026918962584</v>
      </c>
      <c r="I9" s="4">
        <f>0.5*H9+0.5</f>
        <v>0.78867513459481287</v>
      </c>
      <c r="J9" s="36">
        <f>SQRT(I9)</f>
        <v>0.88807383397711526</v>
      </c>
      <c r="K9" s="4">
        <v>1</v>
      </c>
      <c r="L9" s="18">
        <f>K9*J9</f>
        <v>0.88807383397711526</v>
      </c>
      <c r="M9" s="3"/>
      <c r="R9" s="3"/>
    </row>
    <row r="10" spans="1:18" ht="30.75" customHeight="1" x14ac:dyDescent="0.25">
      <c r="A10" s="19">
        <v>0.1</v>
      </c>
      <c r="B10" s="5">
        <f t="shared" si="0"/>
        <v>0.31622776601683794</v>
      </c>
      <c r="C10" s="16">
        <f t="shared" ref="C10:C28" si="1">C9+(B10+B9)*(A10-A9)/2</f>
        <v>1.9086034037919898E-2</v>
      </c>
      <c r="D10" s="3"/>
      <c r="H10" s="24">
        <f>-1/SQRT(3)</f>
        <v>-0.57735026918962584</v>
      </c>
      <c r="I10" s="5">
        <f>0.5*H10+0.5</f>
        <v>0.21132486540518708</v>
      </c>
      <c r="J10" s="37">
        <f>SQRT(I10)</f>
        <v>0.45970084338098299</v>
      </c>
      <c r="K10" s="5">
        <v>1</v>
      </c>
      <c r="L10" s="20">
        <f>K10*J10</f>
        <v>0.45970084338098299</v>
      </c>
      <c r="M10" s="58" t="s">
        <v>37</v>
      </c>
      <c r="R10" s="3"/>
    </row>
    <row r="11" spans="1:18" ht="15.75" x14ac:dyDescent="0.25">
      <c r="A11" s="19">
        <v>0.15</v>
      </c>
      <c r="B11" s="5">
        <f t="shared" si="0"/>
        <v>0.3872983346207417</v>
      </c>
      <c r="C11" s="16">
        <f t="shared" si="1"/>
        <v>3.6674186553859386E-2</v>
      </c>
      <c r="D11" s="3"/>
      <c r="H11" s="21"/>
      <c r="I11" s="7"/>
      <c r="J11" s="38"/>
      <c r="K11" s="29" t="s">
        <v>9</v>
      </c>
      <c r="L11" s="16">
        <f>0.5*(L9+L10)</f>
        <v>0.67388733867904915</v>
      </c>
      <c r="M11" s="59">
        <f>(L11-C28)/C28</f>
        <v>1.4208436575973437E-2</v>
      </c>
      <c r="R11" s="3"/>
    </row>
    <row r="12" spans="1:18" ht="15.75" x14ac:dyDescent="0.25">
      <c r="A12" s="19">
        <v>0.2</v>
      </c>
      <c r="B12" s="5">
        <f t="shared" si="0"/>
        <v>0.44721359549995793</v>
      </c>
      <c r="C12" s="16">
        <f t="shared" si="1"/>
        <v>5.7536984806876884E-2</v>
      </c>
      <c r="D12" s="3"/>
      <c r="H12" s="3"/>
      <c r="I12" s="3"/>
      <c r="J12" s="3"/>
      <c r="K12" s="3"/>
      <c r="L12" s="3"/>
      <c r="Q12" s="3"/>
    </row>
    <row r="13" spans="1:18" ht="15.75" x14ac:dyDescent="0.25">
      <c r="A13" s="19">
        <v>0.25</v>
      </c>
      <c r="B13" s="5">
        <f t="shared" si="0"/>
        <v>0.5</v>
      </c>
      <c r="C13" s="16">
        <f t="shared" si="1"/>
        <v>8.1217324694375828E-2</v>
      </c>
      <c r="D13" s="3"/>
      <c r="H13" s="55" t="s">
        <v>16</v>
      </c>
      <c r="I13" s="56"/>
      <c r="J13" s="56"/>
      <c r="K13" s="56"/>
      <c r="L13" s="56"/>
      <c r="M13" s="3"/>
      <c r="N13" s="3"/>
      <c r="O13" s="3"/>
      <c r="P13" s="3"/>
      <c r="Q13" s="3"/>
    </row>
    <row r="14" spans="1:18" ht="18.75" x14ac:dyDescent="0.25">
      <c r="A14" s="19">
        <v>0.3</v>
      </c>
      <c r="B14" s="5">
        <f t="shared" si="0"/>
        <v>0.54772255750516607</v>
      </c>
      <c r="C14" s="16">
        <f t="shared" si="1"/>
        <v>0.10741038863200497</v>
      </c>
      <c r="D14" s="3"/>
      <c r="H14" s="50" t="s">
        <v>18</v>
      </c>
      <c r="I14" s="50" t="s">
        <v>34</v>
      </c>
      <c r="J14" s="50" t="s">
        <v>35</v>
      </c>
      <c r="K14" s="50" t="s">
        <v>20</v>
      </c>
      <c r="L14" s="50" t="s">
        <v>36</v>
      </c>
    </row>
    <row r="15" spans="1:18" ht="15.75" x14ac:dyDescent="0.25">
      <c r="A15" s="19">
        <v>0.35</v>
      </c>
      <c r="B15" s="5">
        <f t="shared" si="0"/>
        <v>0.59160797830996159</v>
      </c>
      <c r="C15" s="16">
        <f t="shared" si="1"/>
        <v>0.13589365202738315</v>
      </c>
      <c r="D15" s="3"/>
      <c r="H15" s="17">
        <v>0</v>
      </c>
      <c r="I15" s="4">
        <f>0.5*H15+0.5</f>
        <v>0.5</v>
      </c>
      <c r="J15" s="36">
        <f>SQRT(I15)</f>
        <v>0.70710678118654757</v>
      </c>
      <c r="K15" s="4">
        <v>0.88888999999999996</v>
      </c>
      <c r="L15" s="18">
        <f>J15*K15</f>
        <v>0.62854014672891023</v>
      </c>
    </row>
    <row r="16" spans="1:18" ht="15.75" x14ac:dyDescent="0.25">
      <c r="A16" s="19">
        <v>0.4</v>
      </c>
      <c r="B16" s="5">
        <f t="shared" si="0"/>
        <v>0.63245553203367588</v>
      </c>
      <c r="C16" s="16">
        <f t="shared" si="1"/>
        <v>0.16649523978597411</v>
      </c>
      <c r="D16" s="3"/>
      <c r="H16" s="19">
        <v>0.77459999999999996</v>
      </c>
      <c r="I16" s="5">
        <f t="shared" ref="I16:I17" si="2">0.5*H16+0.5</f>
        <v>0.88729999999999998</v>
      </c>
      <c r="J16" s="36">
        <f>SQRT(I16)</f>
        <v>0.94196602911145366</v>
      </c>
      <c r="K16" s="5">
        <v>0.55556000000000005</v>
      </c>
      <c r="L16" s="20">
        <f>J16*K16</f>
        <v>0.52331864713315923</v>
      </c>
    </row>
    <row r="17" spans="1:13" ht="31.5" x14ac:dyDescent="0.25">
      <c r="A17" s="19">
        <v>0.45</v>
      </c>
      <c r="B17" s="5">
        <f t="shared" si="0"/>
        <v>0.67082039324993692</v>
      </c>
      <c r="C17" s="16">
        <f t="shared" si="1"/>
        <v>0.19907713791806442</v>
      </c>
      <c r="D17" s="3"/>
      <c r="H17" s="19">
        <v>-0.77459999999999996</v>
      </c>
      <c r="I17" s="5">
        <f>0.5*H17+0.5</f>
        <v>0.11270000000000002</v>
      </c>
      <c r="J17" s="36">
        <f>SQRT(I17)</f>
        <v>0.33570820663189038</v>
      </c>
      <c r="K17" s="5">
        <v>0.55556000000000005</v>
      </c>
      <c r="L17" s="20">
        <f>J17*K17</f>
        <v>0.18650605127641304</v>
      </c>
      <c r="M17" s="58" t="s">
        <v>37</v>
      </c>
    </row>
    <row r="18" spans="1:13" ht="15.75" x14ac:dyDescent="0.25">
      <c r="A18" s="19">
        <v>0.5</v>
      </c>
      <c r="B18" s="5">
        <f t="shared" si="0"/>
        <v>0.70710678118654757</v>
      </c>
      <c r="C18" s="16">
        <f t="shared" si="1"/>
        <v>0.23352531727897652</v>
      </c>
      <c r="D18" s="3"/>
      <c r="H18" s="21"/>
      <c r="I18" s="7"/>
      <c r="J18" s="38"/>
      <c r="K18" s="29" t="s">
        <v>9</v>
      </c>
      <c r="L18" s="16">
        <f>0.5*(L15+L16+L17)</f>
        <v>0.66918242256924121</v>
      </c>
      <c r="M18" s="59">
        <f>(L18-C28)/C28</f>
        <v>7.1274820334782194E-3</v>
      </c>
    </row>
    <row r="19" spans="1:13" ht="15.75" x14ac:dyDescent="0.25">
      <c r="A19" s="19">
        <v>0.55000000000000004</v>
      </c>
      <c r="B19" s="5">
        <f t="shared" si="0"/>
        <v>0.74161984870956632</v>
      </c>
      <c r="C19" s="16">
        <f t="shared" si="1"/>
        <v>0.2697434830263794</v>
      </c>
      <c r="D19" s="3"/>
    </row>
    <row r="20" spans="1:13" ht="15.75" x14ac:dyDescent="0.25">
      <c r="A20" s="19">
        <v>0.6</v>
      </c>
      <c r="B20" s="5">
        <f t="shared" si="0"/>
        <v>0.7745966692414834</v>
      </c>
      <c r="C20" s="16">
        <f t="shared" si="1"/>
        <v>0.3076488959751556</v>
      </c>
      <c r="D20" s="3"/>
      <c r="H20" s="51" t="s">
        <v>17</v>
      </c>
      <c r="I20" s="52"/>
      <c r="J20" s="52"/>
      <c r="K20" s="52"/>
      <c r="L20" s="53"/>
    </row>
    <row r="21" spans="1:13" ht="18.75" x14ac:dyDescent="0.25">
      <c r="A21" s="19">
        <v>0.65</v>
      </c>
      <c r="B21" s="5">
        <f t="shared" si="0"/>
        <v>0.80622577482985502</v>
      </c>
      <c r="C21" s="16">
        <f t="shared" si="1"/>
        <v>0.34716945707693908</v>
      </c>
      <c r="D21" s="3"/>
      <c r="H21" s="50" t="s">
        <v>18</v>
      </c>
      <c r="I21" s="50" t="s">
        <v>34</v>
      </c>
      <c r="J21" s="50" t="s">
        <v>35</v>
      </c>
      <c r="K21" s="50" t="s">
        <v>20</v>
      </c>
      <c r="L21" s="50" t="s">
        <v>36</v>
      </c>
    </row>
    <row r="22" spans="1:13" ht="15.75" x14ac:dyDescent="0.25">
      <c r="A22" s="19">
        <v>0.7</v>
      </c>
      <c r="B22" s="5">
        <f t="shared" si="0"/>
        <v>0.83666002653407556</v>
      </c>
      <c r="C22" s="16">
        <f t="shared" si="1"/>
        <v>0.38824160211103731</v>
      </c>
      <c r="D22" s="3"/>
      <c r="H22" s="17">
        <v>0.86114000000000002</v>
      </c>
      <c r="I22" s="4">
        <f>0.5*H22+0.5</f>
        <v>0.93057000000000001</v>
      </c>
      <c r="J22" s="36">
        <f>SQRT(I22)</f>
        <v>0.96466056206315387</v>
      </c>
      <c r="K22" s="4">
        <v>0.34784999999999999</v>
      </c>
      <c r="L22" s="18">
        <f>J22*K22</f>
        <v>0.33555717651366807</v>
      </c>
    </row>
    <row r="23" spans="1:13" ht="15.75" x14ac:dyDescent="0.25">
      <c r="A23" s="19">
        <v>0.75</v>
      </c>
      <c r="B23" s="5">
        <f t="shared" si="0"/>
        <v>0.8660254037844386</v>
      </c>
      <c r="C23" s="16">
        <f t="shared" si="1"/>
        <v>0.4308087378690002</v>
      </c>
      <c r="D23" s="3"/>
      <c r="H23" s="19">
        <v>0.33998</v>
      </c>
      <c r="I23" s="5">
        <f t="shared" ref="I23:I25" si="3">0.5*H23+0.5</f>
        <v>0.66998999999999997</v>
      </c>
      <c r="J23" s="37">
        <f t="shared" ref="J23:J25" si="4">SQRT(I23)</f>
        <v>0.81852916869223424</v>
      </c>
      <c r="K23" s="5">
        <v>0.65215000000000001</v>
      </c>
      <c r="L23" s="20">
        <f t="shared" ref="L23:L25" si="5">J23*K23</f>
        <v>0.53380379736264061</v>
      </c>
    </row>
    <row r="24" spans="1:13" ht="15.75" x14ac:dyDescent="0.25">
      <c r="A24" s="19">
        <v>0.8</v>
      </c>
      <c r="B24" s="5">
        <f t="shared" si="0"/>
        <v>0.89442719099991586</v>
      </c>
      <c r="C24" s="16">
        <f t="shared" si="1"/>
        <v>0.47482005273860911</v>
      </c>
      <c r="D24" s="3"/>
      <c r="H24" s="19">
        <v>-0.33998</v>
      </c>
      <c r="I24" s="5">
        <f t="shared" si="3"/>
        <v>0.33001000000000003</v>
      </c>
      <c r="J24" s="37">
        <f t="shared" si="4"/>
        <v>0.5744649684706632</v>
      </c>
      <c r="K24" s="5">
        <v>0.65215000000000001</v>
      </c>
      <c r="L24" s="20">
        <f t="shared" si="5"/>
        <v>0.37463732918814302</v>
      </c>
    </row>
    <row r="25" spans="1:13" ht="31.5" x14ac:dyDescent="0.25">
      <c r="A25" s="19">
        <v>0.85</v>
      </c>
      <c r="B25" s="5">
        <f t="shared" si="0"/>
        <v>0.92195444572928875</v>
      </c>
      <c r="C25" s="16">
        <f t="shared" si="1"/>
        <v>0.52022959365683918</v>
      </c>
      <c r="D25" s="3"/>
      <c r="H25" s="19">
        <v>-0.86114000000000002</v>
      </c>
      <c r="I25" s="5">
        <f t="shared" si="3"/>
        <v>6.9429999999999992E-2</v>
      </c>
      <c r="J25" s="37">
        <f t="shared" si="4"/>
        <v>0.26349573051569541</v>
      </c>
      <c r="K25" s="5">
        <v>0.34784999999999999</v>
      </c>
      <c r="L25" s="20">
        <f t="shared" si="5"/>
        <v>9.1656989859884644E-2</v>
      </c>
      <c r="M25" s="58" t="s">
        <v>37</v>
      </c>
    </row>
    <row r="26" spans="1:13" ht="15.75" x14ac:dyDescent="0.25">
      <c r="A26" s="19">
        <v>0.9</v>
      </c>
      <c r="B26" s="5">
        <f t="shared" si="0"/>
        <v>0.94868329805051377</v>
      </c>
      <c r="C26" s="16">
        <f t="shared" si="1"/>
        <v>0.56699553725133434</v>
      </c>
      <c r="D26" s="3"/>
      <c r="H26" s="21"/>
      <c r="I26" s="7"/>
      <c r="J26" s="38"/>
      <c r="K26" s="29" t="s">
        <v>9</v>
      </c>
      <c r="L26" s="16">
        <f>0.5*(L22+L23+L24+L25)</f>
        <v>0.66782764646216819</v>
      </c>
      <c r="M26" s="59">
        <f>(L26-C28)/C28</f>
        <v>5.0885279255729306E-3</v>
      </c>
    </row>
    <row r="27" spans="1:13" ht="15.75" x14ac:dyDescent="0.25">
      <c r="A27" s="19">
        <v>0.95</v>
      </c>
      <c r="B27" s="5">
        <f t="shared" si="0"/>
        <v>0.97467943448089633</v>
      </c>
      <c r="C27" s="16">
        <f t="shared" si="1"/>
        <v>0.61507960556461949</v>
      </c>
      <c r="D27" s="3"/>
    </row>
    <row r="28" spans="1:13" ht="15.75" x14ac:dyDescent="0.25">
      <c r="A28" s="21">
        <v>1</v>
      </c>
      <c r="B28" s="7">
        <f t="shared" si="0"/>
        <v>1</v>
      </c>
      <c r="C28" s="16">
        <f t="shared" si="1"/>
        <v>0.66444659142664197</v>
      </c>
      <c r="D28" s="3"/>
    </row>
  </sheetData>
  <mergeCells count="4">
    <mergeCell ref="A2:F2"/>
    <mergeCell ref="H20:L20"/>
    <mergeCell ref="H13:L13"/>
    <mergeCell ref="H7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D368-3081-4CA0-936E-E7BBDA571BBD}">
  <dimension ref="A1:L107"/>
  <sheetViews>
    <sheetView topLeftCell="A76" workbookViewId="0">
      <selection activeCell="E7" sqref="E7"/>
    </sheetView>
  </sheetViews>
  <sheetFormatPr defaultRowHeight="15" x14ac:dyDescent="0.25"/>
  <cols>
    <col min="5" max="5" width="15.42578125" customWidth="1"/>
    <col min="6" max="6" width="12" bestFit="1" customWidth="1"/>
    <col min="7" max="7" width="14.5703125" customWidth="1"/>
    <col min="8" max="8" width="13.7109375" bestFit="1" customWidth="1"/>
    <col min="9" max="9" width="15.7109375" customWidth="1"/>
    <col min="10" max="10" width="14.7109375" customWidth="1"/>
    <col min="11" max="11" width="15.140625" customWidth="1"/>
    <col min="12" max="12" width="14.85546875" customWidth="1"/>
    <col min="16" max="16" width="13.7109375" bestFit="1" customWidth="1"/>
  </cols>
  <sheetData>
    <row r="1" spans="1:12" ht="15.75" x14ac:dyDescent="0.25">
      <c r="A1" s="9" t="s">
        <v>5</v>
      </c>
      <c r="B1" s="9"/>
      <c r="C1" s="9"/>
      <c r="D1" s="9"/>
      <c r="E1" s="9"/>
      <c r="F1" s="9"/>
      <c r="G1" s="9"/>
      <c r="H1" s="9"/>
      <c r="I1" s="9"/>
    </row>
    <row r="2" spans="1:12" ht="18" x14ac:dyDescent="0.25">
      <c r="A2" s="9"/>
      <c r="B2" s="32" t="s">
        <v>24</v>
      </c>
      <c r="C2" s="32"/>
      <c r="D2" s="23" t="s">
        <v>21</v>
      </c>
      <c r="E2" s="9"/>
      <c r="F2" s="32" t="s">
        <v>32</v>
      </c>
      <c r="G2" s="32"/>
      <c r="H2" s="9"/>
      <c r="I2" s="9"/>
    </row>
    <row r="3" spans="1:12" ht="15.75" x14ac:dyDescent="0.25">
      <c r="A3" s="9"/>
      <c r="B3" s="23"/>
      <c r="C3" s="23"/>
      <c r="D3" s="23"/>
      <c r="E3" s="9"/>
      <c r="F3" s="9"/>
      <c r="G3" s="9"/>
      <c r="H3" s="9"/>
      <c r="I3" s="9"/>
    </row>
    <row r="4" spans="1:12" ht="15.75" x14ac:dyDescent="0.25">
      <c r="A4" s="9"/>
      <c r="B4" s="32" t="s">
        <v>23</v>
      </c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15.75" x14ac:dyDescent="0.25">
      <c r="A5" s="9"/>
      <c r="B5" s="41"/>
      <c r="C5" s="41"/>
      <c r="D5" s="41"/>
      <c r="E5" s="41"/>
      <c r="F5" s="41"/>
      <c r="H5" s="41"/>
      <c r="I5" s="41"/>
      <c r="J5" s="41"/>
      <c r="K5" s="41"/>
      <c r="L5" s="41"/>
    </row>
    <row r="6" spans="1:12" ht="15.75" x14ac:dyDescent="0.25">
      <c r="A6" s="3"/>
      <c r="B6" s="14" t="s">
        <v>18</v>
      </c>
      <c r="C6" s="10" t="s">
        <v>19</v>
      </c>
      <c r="D6" s="14" t="s">
        <v>22</v>
      </c>
      <c r="E6" s="42" t="s">
        <v>28</v>
      </c>
      <c r="F6" s="43" t="s">
        <v>29</v>
      </c>
      <c r="H6" s="31" t="s">
        <v>18</v>
      </c>
      <c r="I6" s="14" t="s">
        <v>19</v>
      </c>
      <c r="J6" s="30" t="s">
        <v>22</v>
      </c>
      <c r="K6" s="40" t="s">
        <v>28</v>
      </c>
      <c r="L6" s="40" t="s">
        <v>29</v>
      </c>
    </row>
    <row r="7" spans="1:12" ht="15.75" x14ac:dyDescent="0.25">
      <c r="A7" s="3"/>
      <c r="B7" s="19">
        <v>0</v>
      </c>
      <c r="C7" s="4">
        <f>(B7^2)*COS(B7)</f>
        <v>0</v>
      </c>
      <c r="D7" s="16">
        <f>((-3*C7)+(4*C8)-(C9))/(2*0.1)</f>
        <v>2.9875174873568444E-3</v>
      </c>
      <c r="E7" s="44">
        <f>2*B7*COS(B7)-(B7^2*SIN(B7))</f>
        <v>0</v>
      </c>
      <c r="F7" s="4">
        <f>D7-E7</f>
        <v>2.9875174873568444E-3</v>
      </c>
      <c r="H7" s="17">
        <v>0</v>
      </c>
      <c r="I7" s="5">
        <f>(H7^2)*COS(H7)</f>
        <v>0</v>
      </c>
      <c r="J7" s="16">
        <f>((-3*I7)+(4*I8)-(I9))/(2*0.01)</f>
        <v>2.9998750017499326E-6</v>
      </c>
      <c r="K7" s="48">
        <f>2*H7*COS(H7)-(H7^2*SIN(H7))</f>
        <v>0</v>
      </c>
      <c r="L7" s="45">
        <f>J7-K7</f>
        <v>2.9998750017499326E-6</v>
      </c>
    </row>
    <row r="8" spans="1:12" ht="15.75" x14ac:dyDescent="0.25">
      <c r="A8" s="3"/>
      <c r="B8" s="19">
        <v>0.1</v>
      </c>
      <c r="C8" s="5">
        <f>(B8^2)*COS(B8)</f>
        <v>9.9500416527802601E-3</v>
      </c>
      <c r="D8" s="16">
        <f>(C9-C8)/(2*0.1)</f>
        <v>0.14626310730434705</v>
      </c>
      <c r="E8" s="44">
        <f t="shared" ref="E8:E17" si="0">2*B8*COS(B8)-(B8^2*SIN(B8))</f>
        <v>0.1980024988891369</v>
      </c>
      <c r="F8" s="5">
        <f>(D8-E8)/E8</f>
        <v>-0.2613067606472943</v>
      </c>
      <c r="H8" s="19">
        <v>0.01</v>
      </c>
      <c r="I8" s="5">
        <f>(H8^2)*COS(H8)</f>
        <v>9.9995000041666534E-5</v>
      </c>
      <c r="J8" s="16">
        <f>(I9-I7)/(2*0.01)</f>
        <v>1.9996000133331557E-2</v>
      </c>
      <c r="K8" s="49">
        <f t="shared" ref="K8:K71" si="1">2*H8*COS(H8)-(H8^2*SIN(H8))</f>
        <v>1.9998000024999889E-2</v>
      </c>
      <c r="L8" s="46">
        <f>(J8-K8)/K8</f>
        <v>-1.0000458374996865E-4</v>
      </c>
    </row>
    <row r="9" spans="1:12" ht="15.75" x14ac:dyDescent="0.25">
      <c r="A9" s="3"/>
      <c r="B9" s="19">
        <v>0.2</v>
      </c>
      <c r="C9" s="5">
        <f>(B9^2)*COS(B9)</f>
        <v>3.9202663113649672E-2</v>
      </c>
      <c r="D9" s="16">
        <f>(C10-C9)/(2*0.1)</f>
        <v>0.2338881045382743</v>
      </c>
      <c r="E9" s="44">
        <f t="shared" si="0"/>
        <v>0.38407985790469423</v>
      </c>
      <c r="F9" s="5">
        <f t="shared" ref="F9:F17" si="2">(D9-E9)/E9</f>
        <v>-0.39104303512757649</v>
      </c>
      <c r="H9" s="19">
        <v>0.02</v>
      </c>
      <c r="I9" s="5">
        <f>(H9^2)*COS(H9)</f>
        <v>3.9992000266663114E-4</v>
      </c>
      <c r="J9" s="16">
        <f>(I10-I8)/(2*0.01)</f>
        <v>3.9980001516621115E-2</v>
      </c>
      <c r="K9" s="49">
        <f t="shared" si="1"/>
        <v>3.9984000799985778E-2</v>
      </c>
      <c r="L9" s="46">
        <f t="shared" ref="L9:L72" si="3">(J9-K9)/K9</f>
        <v>-1.000220909525411E-4</v>
      </c>
    </row>
    <row r="10" spans="1:12" ht="15.75" x14ac:dyDescent="0.25">
      <c r="A10" s="3"/>
      <c r="B10" s="19">
        <v>0.3</v>
      </c>
      <c r="C10" s="5">
        <f>(B10^2)*COS(B10)</f>
        <v>8.5980284021304532E-2</v>
      </c>
      <c r="D10" s="16">
        <f>(C11-C10)/(2*0.1)</f>
        <v>0.30694737509578557</v>
      </c>
      <c r="E10" s="44">
        <f t="shared" si="0"/>
        <v>0.54660507487584298</v>
      </c>
      <c r="F10" s="5">
        <f t="shared" si="2"/>
        <v>-0.43844763028315054</v>
      </c>
      <c r="H10" s="19">
        <v>0.03</v>
      </c>
      <c r="I10" s="5">
        <f>(H10^2)*COS(H10)</f>
        <v>8.9959503037408876E-4</v>
      </c>
      <c r="J10" s="16">
        <f>(I11-I9)/(2*0.01)</f>
        <v>5.9940008399546676E-2</v>
      </c>
      <c r="K10" s="49">
        <f t="shared" si="1"/>
        <v>5.9946006074757002E-2</v>
      </c>
      <c r="L10" s="46">
        <f t="shared" si="3"/>
        <v>-1.0005128953622462E-4</v>
      </c>
    </row>
    <row r="11" spans="1:12" ht="15.75" x14ac:dyDescent="0.25">
      <c r="A11" s="3"/>
      <c r="B11" s="19">
        <v>0.4</v>
      </c>
      <c r="C11" s="5">
        <f>(B11^2)*COS(B11)</f>
        <v>0.14736975904046165</v>
      </c>
      <c r="D11" s="16">
        <f>(C12-C11)/(2*0.1)</f>
        <v>0.36012940716065767</v>
      </c>
      <c r="E11" s="44">
        <f t="shared" si="0"/>
        <v>0.67454186043292408</v>
      </c>
      <c r="F11" s="5">
        <f t="shared" si="2"/>
        <v>-0.46611258946994788</v>
      </c>
      <c r="H11" s="19">
        <v>0.04</v>
      </c>
      <c r="I11" s="5">
        <f>(H11^2)*COS(H11)</f>
        <v>1.5987201706575648E-3</v>
      </c>
      <c r="J11" s="16">
        <f>(I12-I10)/(2*0.01)</f>
        <v>7.9864031030666374E-2</v>
      </c>
      <c r="K11" s="49">
        <f t="shared" si="1"/>
        <v>7.9872025598179616E-2</v>
      </c>
      <c r="L11" s="46">
        <f t="shared" si="3"/>
        <v>-1.0009220942337311E-4</v>
      </c>
    </row>
    <row r="12" spans="1:12" ht="15.75" x14ac:dyDescent="0.25">
      <c r="A12" s="3"/>
      <c r="B12" s="19">
        <v>0.5</v>
      </c>
      <c r="C12" s="5">
        <f>(B12^2)*COS(B12)</f>
        <v>0.21939564047259319</v>
      </c>
      <c r="D12" s="16">
        <f>(C13-C12)/(2*0.1)</f>
        <v>0.388625904474455</v>
      </c>
      <c r="E12" s="44">
        <f t="shared" si="0"/>
        <v>0.75772617723932201</v>
      </c>
      <c r="F12" s="5">
        <f t="shared" si="2"/>
        <v>-0.4871156413120587</v>
      </c>
      <c r="H12" s="19">
        <v>0.05</v>
      </c>
      <c r="I12" s="5">
        <f>(H12^2)*COS(H12)</f>
        <v>2.4968756509874163E-3</v>
      </c>
      <c r="J12" s="16">
        <f>(I13-I11)/(2*0.01)</f>
        <v>9.9740088655458525E-2</v>
      </c>
      <c r="K12" s="49">
        <f t="shared" si="1"/>
        <v>9.9750078116319932E-2</v>
      </c>
      <c r="L12" s="46">
        <f t="shared" si="3"/>
        <v>-1.0014489261610062E-4</v>
      </c>
    </row>
    <row r="13" spans="1:12" ht="15.75" x14ac:dyDescent="0.25">
      <c r="A13" s="3"/>
      <c r="B13" s="19">
        <v>0.6</v>
      </c>
      <c r="C13" s="5">
        <f>(B13^2)*COS(B13)</f>
        <v>0.29712082136748419</v>
      </c>
      <c r="D13" s="16">
        <f>(C14-C13)/(2*0.1)</f>
        <v>0.38825925200957567</v>
      </c>
      <c r="E13" s="44">
        <f t="shared" si="0"/>
        <v>0.78713144746940122</v>
      </c>
      <c r="F13" s="5">
        <f t="shared" si="2"/>
        <v>-0.50674153185238002</v>
      </c>
      <c r="H13" s="19">
        <v>0.06</v>
      </c>
      <c r="I13" s="5">
        <f>(H13^2)*COS(H13)</f>
        <v>3.593521943766735E-3</v>
      </c>
      <c r="J13" s="16">
        <f>(I14-I12)/(2*0.01)</f>
        <v>0.11955621251268274</v>
      </c>
      <c r="K13" s="49">
        <f t="shared" si="1"/>
        <v>0.1195681943688985</v>
      </c>
      <c r="L13" s="46">
        <f t="shared" si="3"/>
        <v>-1.0020939330063066E-4</v>
      </c>
    </row>
    <row r="14" spans="1:12" ht="15.75" x14ac:dyDescent="0.25">
      <c r="A14" s="3"/>
      <c r="B14" s="19">
        <v>0.7</v>
      </c>
      <c r="C14" s="5">
        <f>(B14^2)*COS(B14)</f>
        <v>0.37477267176939932</v>
      </c>
      <c r="D14" s="16">
        <f>(C15-C14)/(2*0.1)</f>
        <v>0.35559811106393308</v>
      </c>
      <c r="E14" s="44">
        <f t="shared" si="0"/>
        <v>0.7551123954518153</v>
      </c>
      <c r="F14" s="5">
        <f t="shared" si="2"/>
        <v>-0.52907922952163455</v>
      </c>
      <c r="H14" s="19">
        <v>7.0000000000000007E-2</v>
      </c>
      <c r="I14" s="5">
        <f>(H14^2)*COS(H14)</f>
        <v>4.887999901241071E-3</v>
      </c>
      <c r="J14" s="16">
        <f>(I15-I13)/(2*0.01)</f>
        <v>0.13930044882850148</v>
      </c>
      <c r="K14" s="49">
        <f t="shared" si="1"/>
        <v>0.13931442008350522</v>
      </c>
      <c r="L14" s="46">
        <f t="shared" si="3"/>
        <v>-1.0028577799317163E-4</v>
      </c>
    </row>
    <row r="15" spans="1:12" ht="15.75" x14ac:dyDescent="0.25">
      <c r="A15" s="3"/>
      <c r="B15" s="19">
        <v>0.8</v>
      </c>
      <c r="C15" s="5">
        <f>(B15^2)*COS(B15)</f>
        <v>0.44589229398218594</v>
      </c>
      <c r="D15" s="16">
        <f>(C16-C15)/(2*0.1)</f>
        <v>0.2880589015852611</v>
      </c>
      <c r="E15" s="44">
        <f t="shared" si="0"/>
        <v>0.65562283677977007</v>
      </c>
      <c r="F15" s="5">
        <f t="shared" si="2"/>
        <v>-0.56063320948348416</v>
      </c>
      <c r="H15" s="19">
        <v>0.08</v>
      </c>
      <c r="I15" s="5">
        <f>(H15^2)*COS(H15)</f>
        <v>6.3795309203367647E-3</v>
      </c>
      <c r="J15" s="16">
        <f>(I16-I14)/(2*0.01)</f>
        <v>0.15896086180780408</v>
      </c>
      <c r="K15" s="49">
        <f t="shared" si="1"/>
        <v>0.1589768189670164</v>
      </c>
      <c r="L15" s="46">
        <f t="shared" si="3"/>
        <v>-1.0037412571219946E-4</v>
      </c>
    </row>
    <row r="16" spans="1:12" ht="15.75" x14ac:dyDescent="0.25">
      <c r="A16" s="3"/>
      <c r="B16" s="19">
        <v>0.9</v>
      </c>
      <c r="C16" s="5">
        <f>(B16^2)*COS(B16)</f>
        <v>0.50350407429923816</v>
      </c>
      <c r="D16" s="16">
        <f>(C17-C16)/(2*0.1)</f>
        <v>0.18399115784450804</v>
      </c>
      <c r="E16" s="44">
        <f>2*B16*COS(B16)-(B16^2*SIN(B16))</f>
        <v>0.48440314608893431</v>
      </c>
      <c r="F16" s="5">
        <f t="shared" si="2"/>
        <v>-0.6201693582503528</v>
      </c>
      <c r="H16" s="19">
        <v>0.09</v>
      </c>
      <c r="I16" s="5">
        <f>(H16^2)*COS(H16)</f>
        <v>8.0672171373971525E-3</v>
      </c>
      <c r="J16" s="16">
        <f>(I17-I15)/(2*0.01)</f>
        <v>0.17852553662217477</v>
      </c>
      <c r="K16" s="49">
        <f t="shared" si="1"/>
        <v>0.17854347569365508</v>
      </c>
      <c r="L16" s="46">
        <f t="shared" si="3"/>
        <v>-1.0047452818212255E-4</v>
      </c>
    </row>
    <row r="17" spans="1:12" ht="15.75" x14ac:dyDescent="0.25">
      <c r="A17" s="3"/>
      <c r="B17" s="21">
        <v>1</v>
      </c>
      <c r="C17" s="7">
        <f>(B17^2)*COS(B17)</f>
        <v>0.54030230586813977</v>
      </c>
      <c r="D17" s="16">
        <f>((3*C17)-(4*C16)+(C15))/(2*0.1)</f>
        <v>0.26391457194826301</v>
      </c>
      <c r="E17" s="44">
        <f t="shared" si="0"/>
        <v>0.23913362692838303</v>
      </c>
      <c r="F17" s="7">
        <f t="shared" si="2"/>
        <v>0.10362802311906351</v>
      </c>
      <c r="H17" s="19">
        <v>0.1</v>
      </c>
      <c r="I17" s="5">
        <f>(H17^2)*COS(H17)</f>
        <v>9.9500416527802601E-3</v>
      </c>
      <c r="J17" s="16">
        <f>(I18-I16)/(2*0.01)</f>
        <v>0.19798258239394392</v>
      </c>
      <c r="K17" s="49">
        <f t="shared" si="1"/>
        <v>0.1980024988891369</v>
      </c>
      <c r="L17" s="46">
        <f t="shared" si="3"/>
        <v>-1.0058709008581788E-4</v>
      </c>
    </row>
    <row r="18" spans="1:12" ht="15.75" x14ac:dyDescent="0.25">
      <c r="A18" s="3"/>
      <c r="B18" s="3"/>
      <c r="E18" s="3"/>
      <c r="H18" s="19">
        <v>0.11</v>
      </c>
      <c r="I18" s="5">
        <f>(H18^2)*COS(H18)</f>
        <v>1.2026868785276031E-2</v>
      </c>
      <c r="J18" s="16">
        <f>(I19-I17)/(2*0.01)</f>
        <v>0.21732013517577067</v>
      </c>
      <c r="K18" s="49">
        <f t="shared" si="1"/>
        <v>0.21734202411034348</v>
      </c>
      <c r="L18" s="46">
        <f t="shared" si="3"/>
        <v>-1.0071192933076216E-4</v>
      </c>
    </row>
    <row r="19" spans="1:12" ht="15.75" x14ac:dyDescent="0.25">
      <c r="A19" s="3"/>
      <c r="E19" s="3"/>
      <c r="H19" s="19">
        <v>0.12</v>
      </c>
      <c r="I19" s="5">
        <f>(H19^2)*COS(H19)</f>
        <v>1.4296444356295674E-2</v>
      </c>
      <c r="J19" s="16">
        <f>(I20-I18)/(2*0.01)</f>
        <v>0.23652636092519452</v>
      </c>
      <c r="K19" s="49">
        <f t="shared" si="1"/>
        <v>0.23655021681996746</v>
      </c>
      <c r="L19" s="46">
        <f t="shared" si="3"/>
        <v>-1.0084917736979125E-4</v>
      </c>
    </row>
    <row r="20" spans="1:12" ht="15.75" x14ac:dyDescent="0.25">
      <c r="A20" s="3"/>
      <c r="E20" s="3"/>
      <c r="H20" s="19">
        <v>0.13</v>
      </c>
      <c r="I20" s="5">
        <f>(H20^2)*COS(H20)</f>
        <v>1.6757396003779922E-2</v>
      </c>
      <c r="J20" s="16">
        <f>(I21-I19)/(2*0.01)</f>
        <v>0.25558945847360082</v>
      </c>
      <c r="K20" s="49">
        <f t="shared" si="1"/>
        <v>0.25561527535557205</v>
      </c>
      <c r="L20" s="46">
        <f t="shared" si="3"/>
        <v>-1.0099897956144326E-4</v>
      </c>
    </row>
    <row r="21" spans="1:12" ht="15.75" x14ac:dyDescent="0.25">
      <c r="A21" s="3"/>
      <c r="E21" s="3"/>
      <c r="H21" s="19">
        <v>0.14000000000000001</v>
      </c>
      <c r="I21" s="5">
        <f>(H21^2)*COS(H21)</f>
        <v>1.940823352576769E-2</v>
      </c>
      <c r="J21" s="16">
        <f>(I22-I20)/(2*0.01)</f>
        <v>0.27449766248905139</v>
      </c>
      <c r="K21" s="49">
        <f t="shared" si="1"/>
        <v>0.27452543389251138</v>
      </c>
      <c r="L21" s="46">
        <f t="shared" si="3"/>
        <v>-1.0116149555334501E-4</v>
      </c>
    </row>
    <row r="22" spans="1:12" ht="15.75" x14ac:dyDescent="0.25">
      <c r="A22" s="3"/>
      <c r="E22" s="3"/>
      <c r="H22" s="19">
        <v>0.15</v>
      </c>
      <c r="I22" s="5">
        <f>(H22^2)*COS(H22)</f>
        <v>2.224734925356095E-2</v>
      </c>
      <c r="J22" s="16">
        <f>(I23-I21)/(2*0.01)</f>
        <v>0.29323924643241805</v>
      </c>
      <c r="K22" s="49">
        <f t="shared" si="1"/>
        <v>0.29326896540015668</v>
      </c>
      <c r="L22" s="46">
        <f t="shared" si="3"/>
        <v>-1.013368997229991E-4</v>
      </c>
    </row>
    <row r="23" spans="1:12" ht="15.75" x14ac:dyDescent="0.25">
      <c r="A23" s="3"/>
      <c r="E23" s="3"/>
      <c r="H23" s="19">
        <v>0.16</v>
      </c>
      <c r="I23" s="5">
        <f>(H23^2)*COS(H23)</f>
        <v>2.5273018454416051E-2</v>
      </c>
      <c r="J23" s="16">
        <f>(I24-I22)/(2*0.01)</f>
        <v>0.31180252550626808</v>
      </c>
      <c r="K23" s="49">
        <f t="shared" si="1"/>
        <v>0.31183418459087597</v>
      </c>
      <c r="L23" s="46">
        <f t="shared" si="3"/>
        <v>-1.0152538166856188E-4</v>
      </c>
    </row>
    <row r="24" spans="1:12" ht="15.75" x14ac:dyDescent="0.25">
      <c r="A24" s="3"/>
      <c r="E24" s="3"/>
      <c r="H24" s="19">
        <v>0.17</v>
      </c>
      <c r="I24" s="5">
        <f>(H24^2)*COS(H24)</f>
        <v>2.8483399763686312E-2</v>
      </c>
      <c r="J24" s="16">
        <f>(I25-I23)/(2*0.01)</f>
        <v>0.33017585959595425</v>
      </c>
      <c r="K24" s="49">
        <f t="shared" si="1"/>
        <v>0.3302094508612145</v>
      </c>
      <c r="L24" s="46">
        <f t="shared" si="3"/>
        <v>-1.0172714673262316E-4</v>
      </c>
    </row>
    <row r="25" spans="1:12" ht="15.75" x14ac:dyDescent="0.25">
      <c r="A25" s="3"/>
      <c r="E25" s="3"/>
      <c r="H25" s="19">
        <v>0.18</v>
      </c>
      <c r="I25" s="5">
        <f>(H25^2)*COS(H25)</f>
        <v>3.1876535646335136E-2</v>
      </c>
      <c r="J25" s="16">
        <f>(I26-I24)/(2*0.01)</f>
        <v>0.34834765620235741</v>
      </c>
      <c r="K25" s="49">
        <f t="shared" si="1"/>
        <v>0.34838317122472701</v>
      </c>
      <c r="L25" s="46">
        <f t="shared" si="3"/>
        <v>-1.0194241657753017E-4</v>
      </c>
    </row>
    <row r="26" spans="1:12" ht="15.75" x14ac:dyDescent="0.25">
      <c r="A26" s="3"/>
      <c r="E26" s="3"/>
      <c r="H26" s="19">
        <v>0.19</v>
      </c>
      <c r="I26" s="5">
        <f>(H26^2)*COS(H26)</f>
        <v>3.5450352887733461E-2</v>
      </c>
      <c r="J26" s="16">
        <f>(I27-I25)/(2*0.01)</f>
        <v>0.3663063733657268</v>
      </c>
      <c r="K26" s="49">
        <f t="shared" si="1"/>
        <v>0.36634380323591104</v>
      </c>
      <c r="L26" s="46">
        <f t="shared" si="3"/>
        <v>-1.021714298252572E-4</v>
      </c>
    </row>
    <row r="27" spans="1:12" ht="15.75" x14ac:dyDescent="0.25">
      <c r="A27" s="3"/>
      <c r="E27" s="3"/>
      <c r="H27" s="19">
        <v>0.2</v>
      </c>
      <c r="I27" s="5">
        <f>(H27^2)*COS(H27)</f>
        <v>3.9202663113649672E-2</v>
      </c>
      <c r="J27" s="16">
        <f>(I28-I26)/(2*0.01)</f>
        <v>0.38404052258007371</v>
      </c>
      <c r="K27" s="49">
        <f t="shared" si="1"/>
        <v>0.38407985790469423</v>
      </c>
      <c r="L27" s="46">
        <f t="shared" si="3"/>
        <v>-1.024144427544728E-4</v>
      </c>
    </row>
    <row r="28" spans="1:12" ht="15.75" x14ac:dyDescent="0.25">
      <c r="A28" s="3"/>
      <c r="E28" s="3"/>
      <c r="H28" s="19">
        <v>0.21</v>
      </c>
      <c r="I28" s="5">
        <f>(H28^2)*COS(H28)</f>
        <v>4.3131163339334935E-2</v>
      </c>
      <c r="J28" s="16">
        <f>(I29-I27)/(2*0.01)</f>
        <v>0.40153867169758184</v>
      </c>
      <c r="K28" s="49">
        <f t="shared" si="1"/>
        <v>0.40157990260092929</v>
      </c>
      <c r="L28" s="46">
        <f t="shared" si="3"/>
        <v>-1.026717300353272E-4</v>
      </c>
    </row>
    <row r="29" spans="1:12" ht="15.75" x14ac:dyDescent="0.25">
      <c r="A29" s="3"/>
      <c r="E29" s="3"/>
      <c r="H29" s="19">
        <v>0.22</v>
      </c>
      <c r="I29" s="5">
        <f>(H29^2)*COS(H29)</f>
        <v>4.7233436547601308E-2</v>
      </c>
      <c r="J29" s="16">
        <f>(I30-I28)/(2*0.01)</f>
        <v>0.41878944782247002</v>
      </c>
      <c r="K29" s="49">
        <f t="shared" si="1"/>
        <v>0.41883256394835233</v>
      </c>
      <c r="L29" s="46">
        <f t="shared" si="3"/>
        <v>-1.0294358556043669E-4</v>
      </c>
    </row>
    <row r="30" spans="1:12" ht="15.75" x14ac:dyDescent="0.25">
      <c r="A30" s="3"/>
      <c r="E30" s="3"/>
      <c r="H30" s="19">
        <v>0.23</v>
      </c>
      <c r="I30" s="5">
        <f>(H30^2)*COS(H30)</f>
        <v>5.1506952295784336E-2</v>
      </c>
      <c r="J30" s="16">
        <f>(I31-I29)/(2*0.01)</f>
        <v>0.43578154019378001</v>
      </c>
      <c r="K30" s="49">
        <f t="shared" si="1"/>
        <v>0.43582653070746097</v>
      </c>
      <c r="L30" s="46">
        <f t="shared" si="3"/>
        <v>-1.0323032333052835E-4</v>
      </c>
    </row>
    <row r="31" spans="1:12" ht="15.75" x14ac:dyDescent="0.25">
      <c r="A31" s="3"/>
      <c r="B31" s="3"/>
      <c r="D31" s="3"/>
      <c r="E31" s="3"/>
      <c r="H31" s="19">
        <v>0.24</v>
      </c>
      <c r="I31" s="5">
        <f>(H31^2)*COS(H31)</f>
        <v>5.5949067351476908E-2</v>
      </c>
      <c r="J31" s="16">
        <f>(I32-I30)/(2*0.01)</f>
        <v>0.45250370305654797</v>
      </c>
      <c r="K31" s="49">
        <f t="shared" si="1"/>
        <v>0.4525505566467713</v>
      </c>
      <c r="L31" s="46">
        <f t="shared" si="3"/>
        <v>-1.035322784055232E-4</v>
      </c>
    </row>
    <row r="32" spans="1:12" ht="15.75" x14ac:dyDescent="0.25">
      <c r="A32" s="3"/>
      <c r="B32" s="3"/>
      <c r="D32" s="3"/>
      <c r="E32" s="3"/>
      <c r="H32" s="19">
        <v>0.25</v>
      </c>
      <c r="I32" s="5">
        <f>(H32^2)*COS(H32)</f>
        <v>6.0557026356915296E-2</v>
      </c>
      <c r="J32" s="16">
        <f>(I33-I31)/(2*0.01)</f>
        <v>0.46894475852080963</v>
      </c>
      <c r="K32" s="49">
        <f t="shared" si="1"/>
        <v>0.46899346340191467</v>
      </c>
      <c r="L32" s="46">
        <f t="shared" si="3"/>
        <v>-1.0384980795200131E-4</v>
      </c>
    </row>
    <row r="33" spans="1:12" ht="15.75" x14ac:dyDescent="0.25">
      <c r="A33" s="3"/>
      <c r="B33" s="3"/>
      <c r="D33" s="3"/>
      <c r="E33" s="3"/>
      <c r="H33" s="19">
        <v>0.26</v>
      </c>
      <c r="I33" s="5">
        <f>(H33^2)*COS(H33)</f>
        <v>6.5327962521893101E-2</v>
      </c>
      <c r="J33" s="16">
        <f>(I34-I32)/(2*0.01)</f>
        <v>0.48509359940790664</v>
      </c>
      <c r="K33" s="49">
        <f t="shared" si="1"/>
        <v>0.48514414332203726</v>
      </c>
      <c r="L33" s="46">
        <f t="shared" si="3"/>
        <v>-1.0418329238093602E-4</v>
      </c>
    </row>
    <row r="34" spans="1:12" ht="15.75" x14ac:dyDescent="0.25">
      <c r="A34" s="3"/>
      <c r="B34" s="3"/>
      <c r="D34" s="3"/>
      <c r="E34" s="3"/>
      <c r="H34" s="19">
        <v>0.27</v>
      </c>
      <c r="I34" s="5">
        <f>(H34^2)*COS(H34)</f>
        <v>7.0258898345073428E-2</v>
      </c>
      <c r="J34" s="16">
        <f>(I35-I33)/(2*0.01)</f>
        <v>0.5009391920835673</v>
      </c>
      <c r="K34" s="49">
        <f t="shared" si="1"/>
        <v>0.50099156230296515</v>
      </c>
      <c r="L34" s="46">
        <f t="shared" si="3"/>
        <v>-1.0453313656046591E-4</v>
      </c>
    </row>
    <row r="35" spans="1:12" ht="15.75" x14ac:dyDescent="0.25">
      <c r="A35" s="3"/>
      <c r="B35" s="3"/>
      <c r="D35" s="3"/>
      <c r="E35" s="3"/>
      <c r="H35" s="19">
        <v>0.28000000000000003</v>
      </c>
      <c r="I35" s="5">
        <f>(H35^2)*COS(H35)</f>
        <v>7.5346746363564449E-2</v>
      </c>
      <c r="J35" s="16">
        <f>(I36-I34)/(2*0.01)</f>
        <v>0.51647057927722007</v>
      </c>
      <c r="K35" s="49">
        <f t="shared" si="1"/>
        <v>0.51652476260660518</v>
      </c>
      <c r="L35" s="46">
        <f t="shared" si="3"/>
        <v>-1.0489977113910945E-4</v>
      </c>
    </row>
    <row r="36" spans="1:12" ht="15.75" x14ac:dyDescent="0.25">
      <c r="A36" s="3"/>
      <c r="B36" s="3"/>
      <c r="D36" s="3"/>
      <c r="E36" s="3"/>
      <c r="H36" s="19">
        <v>0.28999999999999998</v>
      </c>
      <c r="I36" s="5">
        <f>(H36^2)*COS(H36)</f>
        <v>8.058830993061783E-2</v>
      </c>
      <c r="J36" s="16">
        <f>(I37-I35)/(2*0.01)</f>
        <v>0.5316768828870041</v>
      </c>
      <c r="K36" s="49">
        <f t="shared" si="1"/>
        <v>0.53173286566604772</v>
      </c>
      <c r="L36" s="46">
        <f t="shared" si="3"/>
        <v>-1.0528365398947728E-4</v>
      </c>
    </row>
    <row r="37" spans="1:12" ht="15.75" x14ac:dyDescent="0.25">
      <c r="A37" s="3"/>
      <c r="B37" s="3"/>
      <c r="D37" s="3"/>
      <c r="E37" s="3"/>
      <c r="H37" s="19">
        <v>0.3</v>
      </c>
      <c r="I37" s="5">
        <f>(H37^2)*COS(H37)</f>
        <v>8.5980284021304532E-2</v>
      </c>
      <c r="J37" s="16">
        <f>(I38-I36)/(2*0.01)</f>
        <v>0.54654730676996155</v>
      </c>
      <c r="K37" s="49">
        <f t="shared" si="1"/>
        <v>0.54660507487584298</v>
      </c>
      <c r="L37" s="46">
        <f t="shared" si="3"/>
        <v>-1.0568527175593805E-4</v>
      </c>
    </row>
    <row r="38" spans="1:12" ht="15.75" x14ac:dyDescent="0.25">
      <c r="A38" s="3"/>
      <c r="B38" s="3"/>
      <c r="D38" s="3"/>
      <c r="E38" s="3"/>
      <c r="H38" s="19">
        <v>0.31</v>
      </c>
      <c r="I38" s="5">
        <f>(H38^2)*COS(H38)</f>
        <v>9.151925606601706E-2</v>
      </c>
      <c r="J38" s="16">
        <f>(I39-I37)/(2*0.01)</f>
        <v>0.56107113951687071</v>
      </c>
      <c r="K38" s="49">
        <f t="shared" si="1"/>
        <v>0.56113067836692732</v>
      </c>
      <c r="L38" s="46">
        <f t="shared" si="3"/>
        <v>-1.0610514155077693E-4</v>
      </c>
    </row>
    <row r="39" spans="1:12" ht="15.75" x14ac:dyDescent="0.25">
      <c r="A39" s="3"/>
      <c r="B39" s="3"/>
      <c r="D39" s="3"/>
      <c r="E39" s="3"/>
      <c r="H39" s="19">
        <v>0.32</v>
      </c>
      <c r="I39" s="5">
        <f>(H39^2)*COS(H39)</f>
        <v>9.7201706811641947E-2</v>
      </c>
      <c r="J39" s="16">
        <f>(I40-I38)/(2*0.01)</f>
        <v>0.57523775721121451</v>
      </c>
      <c r="K39" s="49">
        <f t="shared" si="1"/>
        <v>0.57529905176567175</v>
      </c>
      <c r="L39" s="46">
        <f t="shared" si="3"/>
        <v>-1.065438127685523E-4</v>
      </c>
    </row>
    <row r="40" spans="1:12" ht="15.75" x14ac:dyDescent="0.25">
      <c r="A40" s="3"/>
      <c r="B40" s="3"/>
      <c r="D40" s="3"/>
      <c r="E40" s="3"/>
      <c r="H40" s="19">
        <v>0.33</v>
      </c>
      <c r="I40" s="5">
        <f>(H40^2)*COS(H40)</f>
        <v>0.10302401121024135</v>
      </c>
      <c r="J40" s="16">
        <f>(I41-I39)/(2*0.01)</f>
        <v>0.58903662617174468</v>
      </c>
      <c r="K40" s="49">
        <f t="shared" si="1"/>
        <v>0.58909966093653421</v>
      </c>
      <c r="L40" s="46">
        <f t="shared" si="3"/>
        <v>-1.070018690713825E-4</v>
      </c>
    </row>
    <row r="41" spans="1:12" ht="15.75" x14ac:dyDescent="0.25">
      <c r="A41" s="3"/>
      <c r="B41" s="3"/>
      <c r="D41" s="3"/>
      <c r="E41" s="3"/>
      <c r="H41" s="19">
        <v>0.34</v>
      </c>
      <c r="I41" s="5">
        <f>(H41^2)*COS(H41)</f>
        <v>0.10898243933507684</v>
      </c>
      <c r="J41" s="16">
        <f>(I42-I40)/(2*0.01)</f>
        <v>0.60245730567812728</v>
      </c>
      <c r="K41" s="49">
        <f t="shared" si="1"/>
        <v>0.60252206470779723</v>
      </c>
      <c r="L41" s="46">
        <f t="shared" si="3"/>
        <v>-1.0747993055053416E-4</v>
      </c>
    </row>
    <row r="42" spans="1:12" ht="15.75" x14ac:dyDescent="0.25">
      <c r="A42" s="3"/>
      <c r="B42" s="3"/>
      <c r="D42" s="3"/>
      <c r="E42" s="3"/>
      <c r="H42" s="19">
        <v>0.35</v>
      </c>
      <c r="I42" s="5">
        <f>(H42^2)*COS(H42)</f>
        <v>0.1150731573238039</v>
      </c>
      <c r="J42" s="16">
        <f>(I43-I41)/(2*0.01)</f>
        <v>0.61548945067917482</v>
      </c>
      <c r="K42" s="49">
        <f t="shared" si="1"/>
        <v>0.61555591757987238</v>
      </c>
      <c r="L42" s="46">
        <f t="shared" si="3"/>
        <v>-1.0797865603970061E-4</v>
      </c>
    </row>
    <row r="43" spans="1:12" ht="15.75" x14ac:dyDescent="0.25">
      <c r="A43" s="3"/>
      <c r="B43" s="3"/>
      <c r="D43" s="3"/>
      <c r="E43" s="3"/>
      <c r="H43" s="19">
        <v>0.36</v>
      </c>
      <c r="I43" s="5">
        <f>(H43^2)*COS(H43)</f>
        <v>0.12129222834866034</v>
      </c>
      <c r="J43" s="16">
        <f>(I44-I42)/(2*0.01)</f>
        <v>0.62812281448311125</v>
      </c>
      <c r="K43" s="49">
        <f t="shared" si="1"/>
        <v>0.62819097241566135</v>
      </c>
      <c r="L43" s="46">
        <f t="shared" si="3"/>
        <v>-1.0849874567284785E-4</v>
      </c>
    </row>
    <row r="44" spans="1:12" ht="15.75" x14ac:dyDescent="0.25">
      <c r="A44" s="3"/>
      <c r="B44" s="3"/>
      <c r="D44" s="3"/>
      <c r="E44" s="3"/>
      <c r="H44" s="19">
        <v>0.37</v>
      </c>
      <c r="I44" s="5">
        <f>(H44^2)*COS(H44)</f>
        <v>0.12763561361346612</v>
      </c>
      <c r="J44" s="16">
        <f>(I45-I43)/(2*0.01)</f>
        <v>0.6403472514293872</v>
      </c>
      <c r="K44" s="49">
        <f t="shared" si="1"/>
        <v>0.64041708311246215</v>
      </c>
      <c r="L44" s="46">
        <f t="shared" si="3"/>
        <v>-1.0904094365435152E-4</v>
      </c>
    </row>
    <row r="45" spans="1:12" ht="15.75" x14ac:dyDescent="0.25">
      <c r="A45" s="3"/>
      <c r="B45" s="3"/>
      <c r="D45" s="3"/>
      <c r="E45" s="3"/>
      <c r="H45" s="19">
        <v>0.38</v>
      </c>
      <c r="I45" s="5">
        <f>(H45^2)*COS(H45)</f>
        <v>0.13409917337724808</v>
      </c>
      <c r="J45" s="16">
        <f>(I46-I44)/(2*0.01)</f>
        <v>0.65215271954155996</v>
      </c>
      <c r="K45" s="49">
        <f t="shared" si="1"/>
        <v>0.65222420725491304</v>
      </c>
      <c r="L45" s="46">
        <f t="shared" si="3"/>
        <v>-1.0960604123229055E-4</v>
      </c>
    </row>
    <row r="46" spans="1:12" ht="15.75" x14ac:dyDescent="0.25">
      <c r="A46" s="3"/>
      <c r="B46" s="3"/>
      <c r="D46" s="3"/>
      <c r="E46" s="3"/>
      <c r="H46" s="19">
        <v>0.39</v>
      </c>
      <c r="I46" s="5">
        <f>(H46^2)*COS(H46)</f>
        <v>0.14067866800429732</v>
      </c>
      <c r="J46" s="16">
        <f>(I47-I45)/(2*0.01)</f>
        <v>0.66352928316067838</v>
      </c>
      <c r="K46" s="49">
        <f t="shared" si="1"/>
        <v>0.66360240874847132</v>
      </c>
      <c r="L46" s="46">
        <f t="shared" si="3"/>
        <v>-1.1019487998972865E-4</v>
      </c>
    </row>
    <row r="47" spans="1:12" ht="15.75" x14ac:dyDescent="0.25">
      <c r="A47" s="3"/>
      <c r="B47" s="3"/>
      <c r="D47" s="3"/>
      <c r="E47" s="3"/>
      <c r="H47" s="19">
        <v>0.4</v>
      </c>
      <c r="I47" s="5">
        <f>(H47^2)*COS(H47)</f>
        <v>0.14736975904046165</v>
      </c>
      <c r="J47" s="16">
        <f>(I48-I46)/(2*0.01)</f>
        <v>0.67446711555869809</v>
      </c>
      <c r="K47" s="49">
        <f t="shared" si="1"/>
        <v>0.67454186043292408</v>
      </c>
      <c r="L47" s="46">
        <f t="shared" si="3"/>
        <v>-1.108083554340323E-4</v>
      </c>
    </row>
    <row r="48" spans="1:12" ht="15.75" x14ac:dyDescent="0.25">
      <c r="A48" s="3"/>
      <c r="B48" s="3"/>
      <c r="D48" s="3"/>
      <c r="E48" s="3"/>
      <c r="H48" s="19">
        <v>0.41</v>
      </c>
      <c r="I48" s="5">
        <f>(H48^2)*COS(H48)</f>
        <v>0.15416801031547128</v>
      </c>
      <c r="J48" s="16">
        <f>(I49-I47)/(2*0.01)</f>
        <v>0.68495650153147514</v>
      </c>
      <c r="K48" s="49">
        <f t="shared" si="1"/>
        <v>0.68503284667543474</v>
      </c>
      <c r="L48" s="46">
        <f t="shared" si="3"/>
        <v>-1.114474208501299E-4</v>
      </c>
    </row>
    <row r="49" spans="1:12" ht="15.75" x14ac:dyDescent="0.25">
      <c r="A49" s="3"/>
      <c r="B49" s="3"/>
      <c r="D49" s="3"/>
      <c r="E49" s="3"/>
      <c r="H49" s="19">
        <v>0.42</v>
      </c>
      <c r="I49" s="5">
        <f>(H49^2)*COS(H49)</f>
        <v>0.16106888907109115</v>
      </c>
      <c r="J49" s="16">
        <f>(I50-I48)/(2*0.01)</f>
        <v>0.6949878399707482</v>
      </c>
      <c r="K49" s="49">
        <f t="shared" si="1"/>
        <v>0.6950657659426307</v>
      </c>
      <c r="L49" s="46">
        <f t="shared" si="3"/>
        <v>-1.1211309159618352E-4</v>
      </c>
    </row>
    <row r="50" spans="1:12" ht="15.75" x14ac:dyDescent="0.25">
      <c r="A50" s="3"/>
      <c r="B50" s="3"/>
      <c r="D50" s="3"/>
      <c r="E50" s="3"/>
      <c r="H50" s="19">
        <v>0.43</v>
      </c>
      <c r="I50" s="5">
        <f>(H50^2)*COS(H50)</f>
        <v>0.16806776711488625</v>
      </c>
      <c r="J50" s="16">
        <f>(I51-I49)/(2*0.01)</f>
        <v>0.70455164641468748</v>
      </c>
      <c r="K50" s="49">
        <f t="shared" si="1"/>
        <v>0.70463113335124006</v>
      </c>
      <c r="L50" s="46">
        <f t="shared" si="3"/>
        <v>-1.1280644977256926E-4</v>
      </c>
    </row>
    <row r="51" spans="1:12" ht="15.75" x14ac:dyDescent="0.25">
      <c r="A51" s="3"/>
      <c r="B51" s="3"/>
      <c r="D51" s="3"/>
      <c r="E51" s="3"/>
      <c r="H51" s="19">
        <v>0.44</v>
      </c>
      <c r="I51" s="5">
        <f>(H51^2)*COS(H51)</f>
        <v>0.1751599219993849</v>
      </c>
      <c r="J51" s="16">
        <f>(I52-I50)/(2*0.01)</f>
        <v>0.71363855557654143</v>
      </c>
      <c r="K51" s="49">
        <f t="shared" si="1"/>
        <v>0.7137195831967903</v>
      </c>
      <c r="L51" s="46">
        <f t="shared" si="3"/>
        <v>-1.135286492853906E-4</v>
      </c>
    </row>
    <row r="52" spans="1:12" ht="15.75" x14ac:dyDescent="0.25">
      <c r="A52" s="3"/>
      <c r="B52" s="3"/>
      <c r="D52" s="3"/>
      <c r="E52" s="3"/>
      <c r="H52" s="19">
        <v>0.45</v>
      </c>
      <c r="I52" s="5">
        <f>(H52^2)*COS(H52)</f>
        <v>0.18234053822641708</v>
      </c>
      <c r="J52" s="16">
        <f>(I53-I51)/(2*0.01)</f>
        <v>0.72223932385081235</v>
      </c>
      <c r="K52" s="49">
        <f t="shared" si="1"/>
        <v>0.72232187145988502</v>
      </c>
      <c r="L52" s="46">
        <f t="shared" si="3"/>
        <v>-1.1428092147595165E-4</v>
      </c>
    </row>
    <row r="53" spans="1:12" ht="15.75" x14ac:dyDescent="0.25">
      <c r="A53" s="3"/>
      <c r="B53" s="3"/>
      <c r="D53" s="3"/>
      <c r="E53" s="3"/>
      <c r="H53" s="19">
        <v>0.46</v>
      </c>
      <c r="I53" s="5">
        <f>(H53^2)*COS(H53)</f>
        <v>0.18960470847640115</v>
      </c>
      <c r="J53" s="16">
        <f>(I54-I52)/(2*0.01)</f>
        <v>0.7303448317965533</v>
      </c>
      <c r="K53" s="49">
        <f t="shared" si="1"/>
        <v>0.73042887828957914</v>
      </c>
      <c r="L53" s="46">
        <f t="shared" si="3"/>
        <v>-1.1506458126718034E-4</v>
      </c>
    </row>
    <row r="54" spans="1:12" ht="15.75" x14ac:dyDescent="0.25">
      <c r="A54" s="3"/>
      <c r="B54" s="3"/>
      <c r="D54" s="3"/>
      <c r="E54" s="3"/>
      <c r="H54" s="19">
        <v>0.47</v>
      </c>
      <c r="I54" s="5">
        <f>(H54^2)*COS(H54)</f>
        <v>0.19694743486234814</v>
      </c>
      <c r="J54" s="16">
        <f>(I55-I53)/(2*0.01)</f>
        <v>0.73794608659729499</v>
      </c>
      <c r="K54" s="49">
        <f t="shared" si="1"/>
        <v>0.73803161046337296</v>
      </c>
      <c r="L54" s="46">
        <f t="shared" si="3"/>
        <v>-1.1588103390892326E-4</v>
      </c>
    </row>
    <row r="55" spans="1:12" ht="15.75" x14ac:dyDescent="0.25">
      <c r="A55" s="3"/>
      <c r="B55" s="3"/>
      <c r="D55" s="3"/>
      <c r="E55" s="3"/>
      <c r="H55" s="19">
        <v>0.48</v>
      </c>
      <c r="I55" s="5">
        <f>(H55^2)*COS(H55)</f>
        <v>0.20436363020834705</v>
      </c>
      <c r="J55" s="16">
        <f>(I56-I54)/(2*0.01)</f>
        <v>0.74503422449709999</v>
      </c>
      <c r="K55" s="49">
        <f t="shared" si="1"/>
        <v>0.74512120382335512</v>
      </c>
      <c r="L55" s="46">
        <f t="shared" si="3"/>
        <v>-1.1673178243863415E-4</v>
      </c>
    </row>
    <row r="56" spans="1:12" ht="15.75" x14ac:dyDescent="0.25">
      <c r="A56" s="3"/>
      <c r="B56" s="3"/>
      <c r="D56" s="3"/>
      <c r="E56" s="3"/>
      <c r="H56" s="19">
        <v>0.49</v>
      </c>
      <c r="I56" s="5">
        <f>(H56^2)*COS(H56)</f>
        <v>0.21184811935229014</v>
      </c>
      <c r="J56" s="16">
        <f>(I57-I55)/(2*0.01)</f>
        <v>0.75160051321230681</v>
      </c>
      <c r="K56" s="49">
        <f t="shared" si="1"/>
        <v>0.75168892568802392</v>
      </c>
      <c r="L56" s="46">
        <f t="shared" si="3"/>
        <v>-1.1761843589246738E-4</v>
      </c>
    </row>
    <row r="57" spans="1:12" ht="15.75" x14ac:dyDescent="0.25">
      <c r="A57" s="3"/>
      <c r="B57" s="3"/>
      <c r="D57" s="3"/>
      <c r="E57" s="3"/>
      <c r="H57" s="19">
        <v>0.5</v>
      </c>
      <c r="I57" s="5">
        <f>(H57^2)*COS(H57)</f>
        <v>0.21939564047259319</v>
      </c>
      <c r="J57" s="16">
        <f>(I58-I56)/(2*0.01)</f>
        <v>0.75763635431848886</v>
      </c>
      <c r="K57" s="49">
        <f t="shared" si="1"/>
        <v>0.75772617723932201</v>
      </c>
      <c r="L57" s="46">
        <f t="shared" si="3"/>
        <v>-1.1854271837407994E-4</v>
      </c>
    </row>
    <row r="58" spans="1:12" ht="15.75" x14ac:dyDescent="0.25">
      <c r="A58" s="3"/>
      <c r="B58" s="3"/>
      <c r="D58" s="3"/>
      <c r="E58" s="3"/>
      <c r="H58" s="19">
        <v>0.51</v>
      </c>
      <c r="I58" s="5">
        <f>(H58^2)*COS(H58)</f>
        <v>0.22700084643865992</v>
      </c>
      <c r="J58" s="16">
        <f>(I59-I57)/(2*0.01)</f>
        <v>0.76313328561216776</v>
      </c>
      <c r="K58" s="49">
        <f t="shared" si="1"/>
        <v>0.76322449588442209</v>
      </c>
      <c r="L58" s="46">
        <f t="shared" si="3"/>
        <v>-1.195064790846948E-4</v>
      </c>
    </row>
    <row r="59" spans="1:12" ht="15.75" x14ac:dyDescent="0.25">
      <c r="A59" s="3"/>
      <c r="B59" s="3"/>
      <c r="D59" s="3"/>
      <c r="E59" s="3"/>
      <c r="H59" s="19">
        <v>0.52</v>
      </c>
      <c r="I59" s="5">
        <f>(H59^2)*COS(H59)</f>
        <v>0.23465830618483655</v>
      </c>
      <c r="J59" s="16">
        <f>(I60-I58)/(2*0.01)</f>
        <v>0.76808298344682446</v>
      </c>
      <c r="K59" s="49">
        <f t="shared" si="1"/>
        <v>0.76817555759180944</v>
      </c>
      <c r="L59" s="46">
        <f t="shared" si="3"/>
        <v>-1.2051170343820304E-4</v>
      </c>
    </row>
    <row r="60" spans="1:12" ht="15.75" x14ac:dyDescent="0.25">
      <c r="A60" s="3"/>
      <c r="B60" s="3"/>
      <c r="D60" s="3"/>
      <c r="E60" s="3"/>
      <c r="H60" s="19">
        <v>0.53</v>
      </c>
      <c r="I60" s="5">
        <f>(H60^2)*COS(H60)</f>
        <v>0.24236250610759641</v>
      </c>
      <c r="J60" s="16">
        <f>(I61-I59)/(2*0.01)</f>
        <v>0.77247726504272995</v>
      </c>
      <c r="K60" s="49">
        <f t="shared" si="1"/>
        <v>0.77257117920120522</v>
      </c>
      <c r="L60" s="46">
        <f t="shared" si="3"/>
        <v>-1.2156052542933727E-4</v>
      </c>
    </row>
    <row r="61" spans="1:12" ht="15.75" x14ac:dyDescent="0.25">
      <c r="A61" s="3"/>
      <c r="B61" s="3"/>
      <c r="D61" s="3"/>
      <c r="E61" s="3"/>
      <c r="H61" s="19">
        <v>0.54</v>
      </c>
      <c r="I61" s="5">
        <f>(H61^2)*COS(H61)</f>
        <v>0.25010785148569115</v>
      </c>
      <c r="J61" s="16">
        <f>(I62-I60)/(2*0.01)</f>
        <v>0.77630809077020579</v>
      </c>
      <c r="K61" s="49">
        <f t="shared" si="1"/>
        <v>0.77640332070688234</v>
      </c>
      <c r="L61" s="46">
        <f t="shared" si="3"/>
        <v>-1.2265524133750651E-4</v>
      </c>
    </row>
    <row r="62" spans="1:12" ht="15.75" x14ac:dyDescent="0.25">
      <c r="A62" s="3"/>
      <c r="B62" s="3"/>
      <c r="D62" s="3"/>
      <c r="E62" s="3"/>
      <c r="H62" s="19">
        <v>0.55000000000000004</v>
      </c>
      <c r="I62" s="5">
        <f>(H62^2)*COS(H62)</f>
        <v>0.25788866792300053</v>
      </c>
      <c r="J62" s="16">
        <f>(I63-I61)/(2*0.01)</f>
        <v>0.77956756640580882</v>
      </c>
      <c r="K62" s="49">
        <f t="shared" si="1"/>
        <v>0.7796640875139319</v>
      </c>
      <c r="L62" s="46">
        <f t="shared" si="3"/>
        <v>-1.2379832503360926E-4</v>
      </c>
    </row>
    <row r="63" spans="1:12" ht="15.75" x14ac:dyDescent="0.25">
      <c r="A63" s="3"/>
      <c r="B63" s="3"/>
      <c r="D63" s="3"/>
      <c r="E63" s="3"/>
      <c r="H63" s="19">
        <v>0.56000000000000005</v>
      </c>
      <c r="I63" s="5">
        <f>(H63^2)*COS(H63)</f>
        <v>0.26569920281380732</v>
      </c>
      <c r="J63" s="16">
        <f>(I64-I62)/(2*0.01)</f>
        <v>0.78224794536102815</v>
      </c>
      <c r="K63" s="49">
        <f t="shared" si="1"/>
        <v>0.782345732667037</v>
      </c>
      <c r="L63" s="46">
        <f t="shared" si="3"/>
        <v>-1.2499244506068404E-4</v>
      </c>
    </row>
    <row r="64" spans="1:12" ht="15.75" x14ac:dyDescent="0.25">
      <c r="A64" s="3"/>
      <c r="B64" s="3"/>
      <c r="D64" s="3"/>
      <c r="E64" s="3"/>
      <c r="H64" s="19">
        <v>0.56999999999999995</v>
      </c>
      <c r="I64" s="5">
        <f>(H64^2)*COS(H64)</f>
        <v>0.27353362683022109</v>
      </c>
      <c r="J64" s="16">
        <f>(I65-I63)/(2*0.01)</f>
        <v>0.78434163088307585</v>
      </c>
      <c r="K64" s="49">
        <f t="shared" si="1"/>
        <v>0.78444065905131977</v>
      </c>
      <c r="L64" s="46">
        <f t="shared" si="3"/>
        <v>-1.2624048371444904E-4</v>
      </c>
    </row>
    <row r="65" spans="1:12" ht="15.75" x14ac:dyDescent="0.25">
      <c r="A65" s="3"/>
      <c r="B65" s="3"/>
      <c r="D65" s="3"/>
      <c r="E65" s="3"/>
      <c r="H65" s="19">
        <v>0.57999999999999996</v>
      </c>
      <c r="I65" s="5">
        <f>(H65^2)*COS(H65)</f>
        <v>0.28138603543146884</v>
      </c>
      <c r="J65" s="16">
        <f>(I66-I64)/(2*0.01)</f>
        <v>0.78584117822729227</v>
      </c>
      <c r="K65" s="49">
        <f t="shared" si="1"/>
        <v>0.78594142156483049</v>
      </c>
      <c r="L65" s="46">
        <f t="shared" si="3"/>
        <v>-1.2754555847003493E-4</v>
      </c>
    </row>
    <row r="66" spans="1:12" ht="15.75" x14ac:dyDescent="0.25">
      <c r="A66" s="3"/>
      <c r="B66" s="3"/>
      <c r="D66" s="3"/>
      <c r="E66" s="3"/>
      <c r="H66" s="19">
        <v>0.59</v>
      </c>
      <c r="I66" s="5">
        <f>(H66^2)*COS(H66)</f>
        <v>0.28925045039476693</v>
      </c>
      <c r="J66" s="16">
        <f>(I67-I65)/(2*0.01)</f>
        <v>0.78673929680076748</v>
      </c>
      <c r="K66" s="49">
        <f t="shared" si="1"/>
        <v>0.78684072926225301</v>
      </c>
      <c r="L66" s="46">
        <f t="shared" si="3"/>
        <v>-1.2891104605201691E-4</v>
      </c>
    </row>
    <row r="67" spans="1:12" ht="15.75" x14ac:dyDescent="0.25">
      <c r="A67" s="3"/>
      <c r="B67" s="3"/>
      <c r="D67" s="3"/>
      <c r="E67" s="3"/>
      <c r="H67" s="19">
        <v>0.6</v>
      </c>
      <c r="I67" s="5">
        <f>(H67^2)*COS(H67)</f>
        <v>0.29712082136748419</v>
      </c>
      <c r="J67" s="16">
        <f>(I68-I66)/(2*0.01)</f>
        <v>0.78702885227679709</v>
      </c>
      <c r="K67" s="49">
        <f t="shared" si="1"/>
        <v>0.78713144746940122</v>
      </c>
      <c r="L67" s="46">
        <f t="shared" si="3"/>
        <v>-1.3034060948012907E-4</v>
      </c>
    </row>
    <row r="68" spans="1:12" ht="15.75" x14ac:dyDescent="0.25">
      <c r="A68" s="3"/>
      <c r="B68" s="3"/>
      <c r="D68" s="3"/>
      <c r="E68" s="3"/>
      <c r="H68" s="19">
        <v>0.61</v>
      </c>
      <c r="I68" s="5">
        <f>(H68^2)*COS(H68)</f>
        <v>0.30499102744030288</v>
      </c>
      <c r="J68" s="16">
        <f>(I69-I67)/(2*0.01)</f>
        <v>0.7867028686796923</v>
      </c>
      <c r="K68" s="49">
        <f t="shared" si="1"/>
        <v>0.78680659986809576</v>
      </c>
      <c r="L68" s="46">
        <f t="shared" si="3"/>
        <v>-1.3183822863311687E-4</v>
      </c>
    </row>
    <row r="69" spans="1:12" ht="15.75" x14ac:dyDescent="0.25">
      <c r="A69" s="3"/>
      <c r="B69" s="3"/>
      <c r="D69" s="3"/>
      <c r="E69" s="3"/>
      <c r="H69" s="19">
        <v>0.62</v>
      </c>
      <c r="I69" s="5">
        <f>(H69^2)*COS(H69)</f>
        <v>0.31285487874107804</v>
      </c>
      <c r="J69" s="16">
        <f>(I70-I68)/(2*0.01)</f>
        <v>0.78575453043951138</v>
      </c>
      <c r="K69" s="49">
        <f t="shared" si="1"/>
        <v>0.78585937055100197</v>
      </c>
      <c r="L69" s="46">
        <f t="shared" si="3"/>
        <v>-1.3340823488187367E-4</v>
      </c>
    </row>
    <row r="70" spans="1:12" ht="15.75" x14ac:dyDescent="0.25">
      <c r="A70" s="3"/>
      <c r="B70" s="3"/>
      <c r="D70" s="3"/>
      <c r="E70" s="3"/>
      <c r="H70" s="19">
        <v>0.63</v>
      </c>
      <c r="I70" s="5">
        <f>(H70^2)*COS(H70)</f>
        <v>0.3207061180490931</v>
      </c>
      <c r="J70" s="16">
        <f>(I71-I69)/(2*0.01)</f>
        <v>0.78417718441641249</v>
      </c>
      <c r="K70" s="49">
        <f t="shared" si="1"/>
        <v>0.78428310604602458</v>
      </c>
      <c r="L70" s="46">
        <f t="shared" si="3"/>
        <v>-1.3505535028811094E-4</v>
      </c>
    </row>
    <row r="71" spans="1:12" ht="15.75" x14ac:dyDescent="0.25">
      <c r="A71" s="3"/>
      <c r="B71" s="3"/>
      <c r="D71" s="3"/>
      <c r="E71" s="3"/>
      <c r="H71" s="19">
        <v>0.64</v>
      </c>
      <c r="I71" s="5">
        <f>(H71^2)*COS(H71)</f>
        <v>0.32853842242940628</v>
      </c>
      <c r="J71" s="16">
        <f>(I72-I70)/(2*0.01)</f>
        <v>0.78196434189415076</v>
      </c>
      <c r="K71" s="49">
        <f t="shared" si="1"/>
        <v>0.78207131730985879</v>
      </c>
      <c r="L71" s="46">
        <f t="shared" si="3"/>
        <v>-1.367847322108717E-4</v>
      </c>
    </row>
    <row r="72" spans="1:12" ht="15.75" x14ac:dyDescent="0.25">
      <c r="A72" s="3"/>
      <c r="B72" s="3"/>
      <c r="D72" s="3"/>
      <c r="E72" s="3"/>
      <c r="H72" s="19">
        <v>0.65</v>
      </c>
      <c r="I72" s="5">
        <f>(H72^2)*COS(H72)</f>
        <v>0.33634540488697612</v>
      </c>
      <c r="J72" s="16">
        <f>(I73-I71)/(2*0.01)</f>
        <v>0.77910968054229757</v>
      </c>
      <c r="K72" s="49">
        <f t="shared" ref="K72:K107" si="4">2*H72*COS(H72)-(H72^2*SIN(H72))</f>
        <v>0.77921768169029582</v>
      </c>
      <c r="L72" s="46">
        <f t="shared" si="3"/>
        <v>-1.3860202423021328E-4</v>
      </c>
    </row>
    <row r="73" spans="1:12" ht="15.75" x14ac:dyDescent="0.25">
      <c r="A73" s="3"/>
      <c r="B73" s="3"/>
      <c r="D73" s="3"/>
      <c r="E73" s="3"/>
      <c r="H73" s="19">
        <v>0.66</v>
      </c>
      <c r="I73" s="5">
        <f>(H73^2)*COS(H73)</f>
        <v>0.34412061604025224</v>
      </c>
      <c r="J73" s="16">
        <f>(I74-I72)/(2*0.01)</f>
        <v>0.77560704634685729</v>
      </c>
      <c r="K73" s="49">
        <f t="shared" si="4"/>
        <v>0.77571604485689427</v>
      </c>
      <c r="L73" s="46">
        <f t="shared" ref="L73:L107" si="5">(J73-K73)/K73</f>
        <v>-1.4051341436039548E-4</v>
      </c>
    </row>
    <row r="74" spans="1:12" ht="15.75" x14ac:dyDescent="0.25">
      <c r="A74" s="3"/>
      <c r="B74" s="3"/>
      <c r="D74" s="3"/>
      <c r="E74" s="3"/>
      <c r="H74" s="19">
        <v>0.67</v>
      </c>
      <c r="I74" s="5">
        <f>(H74^2)*COS(H74)</f>
        <v>0.35185754581391326</v>
      </c>
      <c r="J74" s="16">
        <f>(I75-I73)/(2*0.01)</f>
        <v>0.77145045550884583</v>
      </c>
      <c r="K74" s="49">
        <f t="shared" si="4"/>
        <v>0.77156042269962632</v>
      </c>
      <c r="L74" s="46">
        <f t="shared" si="5"/>
        <v>-1.4252570187014643E-4</v>
      </c>
    </row>
    <row r="75" spans="1:12" ht="15.75" x14ac:dyDescent="0.25">
      <c r="A75" s="3"/>
      <c r="B75" s="3"/>
      <c r="D75" s="3"/>
      <c r="E75" s="3"/>
      <c r="H75" s="19">
        <v>0.68</v>
      </c>
      <c r="I75" s="5">
        <f>(H75^2)*COS(H75)</f>
        <v>0.35954962515042915</v>
      </c>
      <c r="J75" s="16">
        <f>(I76-I74)/(2*0.01)</f>
        <v>0.7666340963104562</v>
      </c>
      <c r="K75" s="49">
        <f t="shared" si="4"/>
        <v>0.76674500319512207</v>
      </c>
      <c r="L75" s="46">
        <f t="shared" si="5"/>
        <v>-1.446463742231113E-4</v>
      </c>
    </row>
    <row r="76" spans="1:12" ht="15.75" x14ac:dyDescent="0.25">
      <c r="A76" s="3"/>
      <c r="B76" s="3"/>
      <c r="D76" s="3"/>
      <c r="E76" s="3"/>
      <c r="H76" s="19">
        <v>0.69</v>
      </c>
      <c r="I76" s="5">
        <f>(H76^2)*COS(H76)</f>
        <v>0.36719022774012239</v>
      </c>
      <c r="J76" s="16">
        <f>(I77-I75)/(2*0.01)</f>
        <v>0.76115233094850854</v>
      </c>
      <c r="K76" s="49">
        <f t="shared" si="4"/>
        <v>0.76126414824012834</v>
      </c>
      <c r="L76" s="46">
        <f t="shared" si="5"/>
        <v>-1.4688369586075264E-4</v>
      </c>
    </row>
    <row r="77" spans="1:12" ht="15.75" x14ac:dyDescent="0.25">
      <c r="A77" s="3"/>
      <c r="B77" s="3"/>
      <c r="D77" s="3"/>
      <c r="E77" s="3"/>
      <c r="H77" s="19">
        <v>0.7</v>
      </c>
      <c r="I77" s="5">
        <f>(H77^2)*COS(H77)</f>
        <v>0.37477267176939932</v>
      </c>
      <c r="J77" s="16">
        <f>(I78-I76)/(2*0.01)</f>
        <v>0.75499969733464067</v>
      </c>
      <c r="K77" s="49">
        <f t="shared" si="4"/>
        <v>0.7551123954518153</v>
      </c>
      <c r="L77" s="46">
        <f t="shared" si="5"/>
        <v>-1.4924681127396078E-4</v>
      </c>
    </row>
    <row r="78" spans="1:12" ht="15.75" x14ac:dyDescent="0.25">
      <c r="A78" s="3"/>
      <c r="B78" s="3"/>
      <c r="D78" s="3"/>
      <c r="E78" s="3"/>
      <c r="H78" s="19">
        <v>0.71</v>
      </c>
      <c r="I78" s="5">
        <f>(H78^2)*COS(H78)</f>
        <v>0.3822902216868152</v>
      </c>
      <c r="J78" s="16">
        <f>(I79-I77)/(2*0.01)</f>
        <v>0.7481709108620338</v>
      </c>
      <c r="K78" s="49">
        <f t="shared" si="4"/>
        <v>0.74828445993456505</v>
      </c>
      <c r="L78" s="46">
        <f t="shared" si="5"/>
        <v>-1.517458648562324E-4</v>
      </c>
    </row>
    <row r="79" spans="1:12" ht="15.75" x14ac:dyDescent="0.25">
      <c r="A79" s="3"/>
      <c r="B79" s="3"/>
      <c r="D79" s="3"/>
      <c r="E79" s="3"/>
      <c r="H79" s="19">
        <v>0.72</v>
      </c>
      <c r="I79" s="5">
        <f>(H79^2)*COS(H79)</f>
        <v>0.38973608998664</v>
      </c>
      <c r="J79" s="16">
        <f>(I80-I78)/(2*0.01)</f>
        <v>0.74066086613830961</v>
      </c>
      <c r="K79" s="49">
        <f t="shared" si="4"/>
        <v>0.7407752360128772</v>
      </c>
      <c r="L79" s="46">
        <f t="shared" si="5"/>
        <v>-1.5439214083771009E-4</v>
      </c>
    </row>
    <row r="80" spans="1:12" ht="15.75" x14ac:dyDescent="0.25">
      <c r="A80" s="3"/>
      <c r="B80" s="3"/>
      <c r="D80" s="3"/>
      <c r="E80" s="3"/>
      <c r="H80" s="19">
        <v>0.73</v>
      </c>
      <c r="I80" s="5">
        <f>(H80^2)*COS(H80)</f>
        <v>0.39710343900958139</v>
      </c>
      <c r="J80" s="16">
        <f>(I81-I79)/(2*0.01)</f>
        <v>0.73246463868411604</v>
      </c>
      <c r="K80" s="49">
        <f t="shared" si="4"/>
        <v>0.73257979893004022</v>
      </c>
      <c r="L80" s="46">
        <f t="shared" si="5"/>
        <v>-1.5719822754103885E-4</v>
      </c>
    </row>
    <row r="81" spans="1:12" ht="15.75" x14ac:dyDescent="0.25">
      <c r="A81" s="3"/>
      <c r="B81" s="3"/>
      <c r="D81" s="3"/>
      <c r="E81" s="3"/>
      <c r="H81" s="19">
        <v>0.74</v>
      </c>
      <c r="I81" s="5">
        <f>(H81^2)*COS(H81)</f>
        <v>0.40438538276032232</v>
      </c>
      <c r="J81" s="16">
        <f>(I82-I80)/(2*0.01)</f>
        <v>0.72357748659714338</v>
      </c>
      <c r="K81" s="49">
        <f t="shared" si="4"/>
        <v>0.72369340651221781</v>
      </c>
      <c r="L81" s="46">
        <f t="shared" si="5"/>
        <v>-1.6017821087121925E-4</v>
      </c>
    </row>
    <row r="82" spans="1:12" ht="15.75" x14ac:dyDescent="0.25">
      <c r="A82" s="3"/>
      <c r="B82" s="3"/>
      <c r="D82" s="3"/>
      <c r="E82" s="3"/>
      <c r="H82" s="19">
        <v>0.75</v>
      </c>
      <c r="I82" s="5">
        <f>(H82^2)*COS(H82)</f>
        <v>0.41157498874152426</v>
      </c>
      <c r="J82" s="16">
        <f>(I83-I81)/(2*0.01)</f>
        <v>0.71399485218122671</v>
      </c>
      <c r="K82" s="49">
        <f t="shared" si="4"/>
        <v>0.71411150079760577</v>
      </c>
      <c r="L82" s="46">
        <f t="shared" si="5"/>
        <v>-1.6334790330189145E-4</v>
      </c>
    </row>
    <row r="83" spans="1:12" ht="15.75" x14ac:dyDescent="0.25">
      <c r="A83" s="3"/>
      <c r="B83" s="3"/>
      <c r="D83" s="3"/>
      <c r="E83" s="3"/>
      <c r="H83" s="19">
        <v>0.76</v>
      </c>
      <c r="I83" s="5">
        <f>(H83^2)*COS(H83)</f>
        <v>0.41866527980394685</v>
      </c>
      <c r="J83" s="16">
        <f>(I84-I82)/(2*0.01)</f>
        <v>0.7037123635402015</v>
      </c>
      <c r="K83" s="49">
        <f t="shared" si="4"/>
        <v>0.70382970963032143</v>
      </c>
      <c r="L83" s="46">
        <f t="shared" si="5"/>
        <v>-1.6672511619545641E-4</v>
      </c>
    </row>
    <row r="84" spans="1:12" ht="15.75" x14ac:dyDescent="0.25">
      <c r="A84" s="3"/>
      <c r="B84" s="3"/>
      <c r="D84" s="3"/>
      <c r="E84" s="3"/>
      <c r="H84" s="19">
        <v>0.77</v>
      </c>
      <c r="I84" s="5">
        <f>(H84^2)*COS(H84)</f>
        <v>0.42564923601232829</v>
      </c>
      <c r="J84" s="16">
        <f>(I85-I83)/(2*0.01)</f>
        <v>0.69272583613613492</v>
      </c>
      <c r="K84" s="49">
        <f t="shared" si="4"/>
        <v>0.69284384821869294</v>
      </c>
      <c r="L84" s="46">
        <f t="shared" si="5"/>
        <v>-1.7032998540930492E-4</v>
      </c>
    </row>
    <row r="85" spans="1:12" ht="15.75" x14ac:dyDescent="0.25">
      <c r="A85" s="3"/>
      <c r="B85" s="3"/>
      <c r="D85" s="3"/>
      <c r="E85" s="3"/>
      <c r="H85" s="19">
        <v>0.78</v>
      </c>
      <c r="I85" s="5">
        <f>(H85^2)*COS(H85)</f>
        <v>0.43251979652666955</v>
      </c>
      <c r="J85" s="16">
        <f>(I86-I84)/(2*0.01)</f>
        <v>0.68103127431161647</v>
      </c>
      <c r="K85" s="49">
        <f t="shared" si="4"/>
        <v>0.68114992065762314</v>
      </c>
      <c r="L85" s="46">
        <f t="shared" si="5"/>
        <v>-1.7418536273500475E-4</v>
      </c>
    </row>
    <row r="86" spans="1:12" ht="15.75" x14ac:dyDescent="0.25">
      <c r="A86" s="3"/>
      <c r="B86" s="3"/>
      <c r="D86" s="3"/>
      <c r="E86" s="3"/>
      <c r="H86" s="19">
        <v>0.79</v>
      </c>
      <c r="I86" s="5">
        <f>(H86^2)*COS(H86)</f>
        <v>0.43926986149856062</v>
      </c>
      <c r="J86" s="16">
        <f>(I87-I85)/(2*0.01)</f>
        <v>0.66862487277581928</v>
      </c>
      <c r="K86" s="49">
        <f t="shared" si="4"/>
        <v>0.66874412141470396</v>
      </c>
      <c r="L86" s="46">
        <f t="shared" si="5"/>
        <v>-1.7831728917843412E-4</v>
      </c>
    </row>
    <row r="87" spans="1:12" ht="15.75" x14ac:dyDescent="0.25">
      <c r="A87" s="3"/>
      <c r="B87" s="3"/>
      <c r="D87" s="3"/>
      <c r="E87" s="3"/>
      <c r="H87" s="19">
        <v>0.8</v>
      </c>
      <c r="I87" s="5">
        <f>(H87^2)*COS(H87)</f>
        <v>0.44589229398218594</v>
      </c>
      <c r="J87" s="16">
        <f>(I88-I86)/(2*0.01)</f>
        <v>0.65550301805403222</v>
      </c>
      <c r="K87" s="49">
        <f t="shared" si="4"/>
        <v>0.65562283677977007</v>
      </c>
      <c r="L87" s="46">
        <f t="shared" si="5"/>
        <v>-1.8275557075828446E-4</v>
      </c>
    </row>
    <row r="88" spans="1:12" ht="15.75" x14ac:dyDescent="0.25">
      <c r="A88" s="3"/>
      <c r="B88" s="3"/>
      <c r="D88" s="3"/>
      <c r="E88" s="3"/>
      <c r="H88" s="19">
        <v>0.81</v>
      </c>
      <c r="I88" s="5">
        <f>(H88^2)*COS(H88)</f>
        <v>0.45237992185964127</v>
      </c>
      <c r="J88" s="16">
        <f>(I89-I87)/(2*0.01)</f>
        <v>0.64166228990026886</v>
      </c>
      <c r="K88" s="49">
        <f t="shared" si="4"/>
        <v>0.64178264627757964</v>
      </c>
      <c r="L88" s="46">
        <f t="shared" si="5"/>
        <v>-1.8753448384568208E-4</v>
      </c>
    </row>
    <row r="89" spans="1:12" ht="15.75" x14ac:dyDescent="0.25">
      <c r="A89" s="3"/>
      <c r="B89" s="3"/>
      <c r="D89" s="3"/>
      <c r="E89" s="3"/>
      <c r="H89" s="19">
        <v>0.82</v>
      </c>
      <c r="I89" s="5">
        <f>(H89^2)*COS(H89)</f>
        <v>0.45872553978019132</v>
      </c>
      <c r="J89" s="16">
        <f>(I90-I88)/(2*0.01)</f>
        <v>0.62709946267273109</v>
      </c>
      <c r="K89" s="49">
        <f t="shared" si="4"/>
        <v>0.62722032404332162</v>
      </c>
      <c r="L89" s="46">
        <f t="shared" si="5"/>
        <v>-1.9269364521131585E-4</v>
      </c>
    </row>
    <row r="90" spans="1:12" ht="15.75" x14ac:dyDescent="0.25">
      <c r="A90" s="3"/>
      <c r="B90" s="3"/>
      <c r="D90" s="3"/>
      <c r="E90" s="3"/>
      <c r="H90" s="19">
        <v>0.83</v>
      </c>
      <c r="I90" s="5">
        <f>(H90^2)*COS(H90)</f>
        <v>0.46492191111309589</v>
      </c>
      <c r="J90" s="16">
        <f>(I91-I89)/(2*0.01)</f>
        <v>0.61181150667178053</v>
      </c>
      <c r="K90" s="49">
        <f t="shared" si="4"/>
        <v>0.61193284016065008</v>
      </c>
      <c r="L90" s="46">
        <f t="shared" si="5"/>
        <v>-1.9827909356475075E-4</v>
      </c>
    </row>
    <row r="91" spans="1:12" ht="15.75" x14ac:dyDescent="0.25">
      <c r="A91" s="3"/>
      <c r="B91" s="3"/>
      <c r="D91" s="3"/>
      <c r="E91" s="3"/>
      <c r="H91" s="19">
        <v>0.84</v>
      </c>
      <c r="I91" s="5">
        <f>(H91^2)*COS(H91)</f>
        <v>0.47096176991362693</v>
      </c>
      <c r="J91" s="16">
        <f>(I92-I90)/(2*0.01)</f>
        <v>0.59579558944018451</v>
      </c>
      <c r="K91" s="49">
        <f t="shared" si="4"/>
        <v>0.59591736196195932</v>
      </c>
      <c r="L91" s="46">
        <f t="shared" si="5"/>
        <v>-2.0434464499220854E-4</v>
      </c>
    </row>
    <row r="92" spans="1:12" ht="15.75" x14ac:dyDescent="0.25">
      <c r="A92" s="3"/>
      <c r="B92" s="3"/>
      <c r="D92" s="3"/>
      <c r="E92" s="3"/>
      <c r="H92" s="19">
        <v>0.85</v>
      </c>
      <c r="I92" s="5">
        <f>(H92^2)*COS(H92)</f>
        <v>0.47683782290189958</v>
      </c>
      <c r="J92" s="16">
        <f>(I93-I91)/(2*0.01)</f>
        <v>0.57904907702528985</v>
      </c>
      <c r="K92" s="49">
        <f t="shared" si="4"/>
        <v>0.57917125529060831</v>
      </c>
      <c r="L92" s="46">
        <f t="shared" si="5"/>
        <v>-2.1095360690363913E-4</v>
      </c>
    </row>
    <row r="93" spans="1:12" ht="15.75" x14ac:dyDescent="0.25">
      <c r="A93" s="3"/>
      <c r="B93" s="3"/>
      <c r="D93" s="3"/>
      <c r="E93" s="3"/>
      <c r="H93" s="19">
        <v>0.86</v>
      </c>
      <c r="I93" s="5">
        <f>(H93^2)*COS(H93)</f>
        <v>0.48254275145413272</v>
      </c>
      <c r="J93" s="16">
        <f>(I94-I92)/(2*0.01)</f>
        <v>0.56156953520286879</v>
      </c>
      <c r="K93" s="49">
        <f t="shared" si="4"/>
        <v>0.56169208572482243</v>
      </c>
      <c r="L93" s="46">
        <f t="shared" si="5"/>
        <v>-2.1818096617028806E-4</v>
      </c>
    </row>
    <row r="94" spans="1:12" ht="15.75" x14ac:dyDescent="0.25">
      <c r="A94" s="3"/>
      <c r="B94" s="3"/>
      <c r="D94" s="3"/>
      <c r="E94" s="3"/>
      <c r="H94" s="19">
        <v>0.87</v>
      </c>
      <c r="I94" s="5">
        <f>(H94^2)*COS(H94)</f>
        <v>0.48806921360595695</v>
      </c>
      <c r="J94" s="16">
        <f>(I95-I93)/(2*0.01)</f>
        <v>0.5433547306623876</v>
      </c>
      <c r="K94" s="49">
        <f t="shared" si="4"/>
        <v>0.54347761976299724</v>
      </c>
      <c r="L94" s="46">
        <f t="shared" si="5"/>
        <v>-2.2611621185659274E-4</v>
      </c>
    </row>
    <row r="95" spans="1:12" ht="15.75" x14ac:dyDescent="0.25">
      <c r="A95" s="3"/>
      <c r="B95" s="3"/>
      <c r="D95" s="3"/>
      <c r="E95" s="3"/>
      <c r="H95" s="19">
        <v>0.88</v>
      </c>
      <c r="I95" s="5">
        <f>(H95^2)*COS(H95)</f>
        <v>0.49340984606738048</v>
      </c>
      <c r="J95" s="16">
        <f>(I96-I94)/(2*0.01)</f>
        <v>0.52440263215341731</v>
      </c>
      <c r="K95" s="49">
        <f t="shared" si="4"/>
        <v>0.5245258259701393</v>
      </c>
      <c r="L95" s="46">
        <f t="shared" si="5"/>
        <v>-2.3486701821428055E-4</v>
      </c>
    </row>
    <row r="96" spans="1:12" ht="15.75" x14ac:dyDescent="0.25">
      <c r="A96" s="3"/>
      <c r="B96" s="3"/>
      <c r="D96" s="3"/>
      <c r="E96" s="3"/>
      <c r="H96" s="19">
        <v>0.89</v>
      </c>
      <c r="I96" s="5">
        <f>(H96^2)*COS(H96)</f>
        <v>0.4985572662490253</v>
      </c>
      <c r="J96" s="16">
        <f>(I97-I95)/(2*0.01)</f>
        <v>0.50471141159288413</v>
      </c>
      <c r="K96" s="49">
        <f t="shared" si="4"/>
        <v>0.50483487608518329</v>
      </c>
      <c r="L96" s="46">
        <f t="shared" si="5"/>
        <v>-2.4456411026232402E-4</v>
      </c>
    </row>
    <row r="97" spans="1:12" ht="15.75" x14ac:dyDescent="0.25">
      <c r="A97" s="3"/>
      <c r="B97" s="3"/>
      <c r="D97" s="3"/>
      <c r="E97" s="3"/>
      <c r="H97" s="19">
        <v>0.9</v>
      </c>
      <c r="I97" s="5">
        <f>(H97^2)*COS(H97)</f>
        <v>0.50350407429923816</v>
      </c>
      <c r="J97" s="16">
        <f>(I98-I96)/(2*0.01)</f>
        <v>0.48427944513297905</v>
      </c>
      <c r="K97" s="49">
        <f t="shared" si="4"/>
        <v>0.48440314608893431</v>
      </c>
      <c r="L97" s="46">
        <f t="shared" si="5"/>
        <v>-2.5536777982146467E-4</v>
      </c>
    </row>
    <row r="98" spans="1:12" ht="15.75" x14ac:dyDescent="0.25">
      <c r="A98" s="3"/>
      <c r="B98" s="3"/>
      <c r="D98" s="3"/>
      <c r="E98" s="3"/>
      <c r="H98" s="19">
        <v>0.91</v>
      </c>
      <c r="I98" s="5">
        <f>(H98^2)*COS(H98)</f>
        <v>0.50824285515168488</v>
      </c>
      <c r="J98" s="16">
        <f>(I99-I97)/(2*0.01)</f>
        <v>0.46310531418943812</v>
      </c>
      <c r="K98" s="49">
        <f t="shared" si="4"/>
        <v>0.46322921723238897</v>
      </c>
      <c r="L98" s="46">
        <f t="shared" si="5"/>
        <v>-2.6747674443144465E-4</v>
      </c>
    </row>
    <row r="99" spans="1:12" ht="15.75" x14ac:dyDescent="0.25">
      <c r="A99" s="3"/>
      <c r="B99" s="3"/>
      <c r="D99" s="3"/>
      <c r="E99" s="3"/>
      <c r="H99" s="19">
        <v>0.92</v>
      </c>
      <c r="I99" s="5">
        <f>(H99^2)*COS(H99)</f>
        <v>0.51276618058302692</v>
      </c>
      <c r="J99" s="16">
        <f>(I100-I98)/(2*0.01)</f>
        <v>0.44118780642997124</v>
      </c>
      <c r="K99" s="49">
        <f t="shared" si="4"/>
        <v>0.44131187702519137</v>
      </c>
      <c r="L99" s="46">
        <f t="shared" si="5"/>
        <v>-2.8114039453564215E-4</v>
      </c>
    </row>
    <row r="100" spans="1:12" ht="15.75" x14ac:dyDescent="0.25">
      <c r="A100" s="3"/>
      <c r="B100" s="3"/>
      <c r="D100" s="3"/>
      <c r="E100" s="3"/>
      <c r="H100" s="19">
        <v>0.93</v>
      </c>
      <c r="I100" s="5">
        <f>(H100^2)*COS(H100)</f>
        <v>0.51706661128028431</v>
      </c>
      <c r="J100" s="16">
        <f>(I101-I99)/(2*0.01)</f>
        <v>0.418525916722573</v>
      </c>
      <c r="K100" s="49">
        <f t="shared" si="4"/>
        <v>0.41865012018399583</v>
      </c>
      <c r="L100" s="46">
        <f t="shared" si="5"/>
        <v>-2.9667604387225929E-4</v>
      </c>
    </row>
    <row r="101" spans="1:12" ht="15.75" x14ac:dyDescent="0.25">
      <c r="A101" s="3"/>
      <c r="B101" s="3"/>
      <c r="D101" s="3"/>
      <c r="E101" s="3"/>
      <c r="H101" s="19">
        <v>0.94</v>
      </c>
      <c r="I101" s="5">
        <f>(H101^2)*COS(H101)</f>
        <v>0.52113669891747838</v>
      </c>
      <c r="J101" s="16">
        <f>(I102-I100)/(2*0.01)</f>
        <v>0.3951188480435297</v>
      </c>
      <c r="K101" s="49">
        <f t="shared" si="4"/>
        <v>0.39524314954050599</v>
      </c>
      <c r="L101" s="46">
        <f t="shared" si="5"/>
        <v>-3.1449374168988074E-4</v>
      </c>
    </row>
    <row r="102" spans="1:12" ht="15.75" x14ac:dyDescent="0.25">
      <c r="A102" s="3"/>
      <c r="B102" s="3"/>
      <c r="D102" s="3"/>
      <c r="E102" s="3"/>
      <c r="H102" s="19">
        <v>0.95</v>
      </c>
      <c r="I102" s="5">
        <f>(H102^2)*COS(H102)</f>
        <v>0.5249689882411549</v>
      </c>
      <c r="J102" s="16">
        <f>(I103-I101)/(2*0.01)</f>
        <v>0.37096601234488658</v>
      </c>
      <c r="K102" s="49">
        <f t="shared" si="4"/>
        <v>0.37109037690896896</v>
      </c>
      <c r="L102" s="46">
        <f t="shared" si="5"/>
        <v>-3.3513281890596515E-4</v>
      </c>
    </row>
    <row r="103" spans="1:12" ht="15.75" x14ac:dyDescent="0.25">
      <c r="A103" s="3"/>
      <c r="B103" s="3"/>
      <c r="D103" s="3"/>
      <c r="E103" s="3"/>
      <c r="H103" s="19">
        <v>0.96</v>
      </c>
      <c r="I103" s="5">
        <f>(H103^2)*COS(H103)</f>
        <v>0.52855601916437611</v>
      </c>
      <c r="J103" s="16">
        <f>(I104-I102)/(2*0.01)</f>
        <v>0.34606703138112538</v>
      </c>
      <c r="K103" s="49">
        <f t="shared" si="4"/>
        <v>0.3461914239129168</v>
      </c>
      <c r="L103" s="46">
        <f t="shared" si="5"/>
        <v>-3.5931719620734421E-4</v>
      </c>
    </row>
    <row r="104" spans="1:12" ht="15.75" x14ac:dyDescent="0.25">
      <c r="A104" s="3"/>
      <c r="B104" s="3"/>
      <c r="D104" s="3"/>
      <c r="E104" s="3"/>
      <c r="H104" s="19">
        <v>0.97</v>
      </c>
      <c r="I104" s="5">
        <f>(H104^2)*COS(H104)</f>
        <v>0.53189032886877741</v>
      </c>
      <c r="J104" s="16">
        <f>(I105-I103)/(2*0.01)</f>
        <v>0.32042173749494696</v>
      </c>
      <c r="K104" s="49">
        <f t="shared" si="4"/>
        <v>0.32054612277093986</v>
      </c>
      <c r="L104" s="46">
        <f t="shared" si="5"/>
        <v>-3.8804174237909824E-4</v>
      </c>
    </row>
    <row r="105" spans="1:12" ht="15.75" x14ac:dyDescent="0.25">
      <c r="A105" s="3"/>
      <c r="B105" s="3"/>
      <c r="D105" s="3"/>
      <c r="E105" s="3"/>
      <c r="H105" s="19">
        <v>0.98</v>
      </c>
      <c r="I105" s="5">
        <f>(H105^2)*COS(H105)</f>
        <v>0.53496445391427505</v>
      </c>
      <c r="J105" s="16">
        <f>(I106-I104)/(2*0.01)</f>
        <v>0.29403017436182566</v>
      </c>
      <c r="K105" s="49">
        <f t="shared" si="4"/>
        <v>0.29415451704129758</v>
      </c>
      <c r="L105" s="46">
        <f t="shared" si="5"/>
        <v>-4.227121198838014E-4</v>
      </c>
    </row>
    <row r="106" spans="1:12" ht="15.75" x14ac:dyDescent="0.25">
      <c r="A106" s="3"/>
      <c r="B106" s="3"/>
      <c r="D106" s="3"/>
      <c r="E106" s="3"/>
      <c r="H106" s="19">
        <v>0.99</v>
      </c>
      <c r="I106" s="5">
        <f>(H106^2)*COS(H106)</f>
        <v>0.53777093235601392</v>
      </c>
      <c r="J106" s="16">
        <f>(I107-I105)/(2*0.01)</f>
        <v>0.2668925976932357</v>
      </c>
      <c r="K106" s="49">
        <f t="shared" si="4"/>
        <v>0.26701686232517319</v>
      </c>
      <c r="L106" s="46">
        <f t="shared" si="5"/>
        <v>-4.653812154610591E-4</v>
      </c>
    </row>
    <row r="107" spans="1:12" ht="15.75" x14ac:dyDescent="0.25">
      <c r="B107" s="3"/>
      <c r="D107" s="3"/>
      <c r="E107" s="3"/>
      <c r="H107" s="21">
        <v>1</v>
      </c>
      <c r="I107" s="7">
        <f>(H107^2)*COS(H107)</f>
        <v>0.54030230586813977</v>
      </c>
      <c r="J107" s="16">
        <f>((3*I107)-(4*I106)+(I105))/(2*0.01)</f>
        <v>0.23938210473193333</v>
      </c>
      <c r="K107" s="49">
        <f t="shared" si="4"/>
        <v>0.23913362692838303</v>
      </c>
      <c r="L107" s="47">
        <f t="shared" si="5"/>
        <v>1.039075126078868E-3</v>
      </c>
    </row>
  </sheetData>
  <mergeCells count="5">
    <mergeCell ref="B2:C2"/>
    <mergeCell ref="F2:G2"/>
    <mergeCell ref="B4:L4"/>
    <mergeCell ref="B5:F5"/>
    <mergeCell ref="H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E270-79C6-4F08-B222-226EDB0F5E9E}">
  <dimension ref="B2:M108"/>
  <sheetViews>
    <sheetView topLeftCell="A88" workbookViewId="0">
      <selection activeCell="D9" sqref="D9"/>
    </sheetView>
  </sheetViews>
  <sheetFormatPr defaultRowHeight="15" x14ac:dyDescent="0.25"/>
  <cols>
    <col min="5" max="5" width="14.42578125" customWidth="1"/>
    <col min="9" max="9" width="18.5703125" customWidth="1"/>
    <col min="11" max="11" width="10" customWidth="1"/>
    <col min="12" max="12" width="14.5703125" customWidth="1"/>
    <col min="13" max="13" width="10.140625" customWidth="1"/>
  </cols>
  <sheetData>
    <row r="2" spans="2:13" ht="15.75" x14ac:dyDescent="0.25">
      <c r="B2" s="9" t="s">
        <v>6</v>
      </c>
      <c r="C2" s="9"/>
      <c r="D2" s="9"/>
      <c r="E2" s="9"/>
      <c r="F2" s="9"/>
      <c r="G2" s="9"/>
      <c r="H2" s="9"/>
    </row>
    <row r="3" spans="2:13" ht="18" x14ac:dyDescent="0.25">
      <c r="B3" s="9"/>
      <c r="C3" s="32" t="s">
        <v>24</v>
      </c>
      <c r="D3" s="32"/>
      <c r="E3" s="23" t="s">
        <v>21</v>
      </c>
      <c r="F3" s="9"/>
      <c r="G3" s="9"/>
      <c r="H3" s="32" t="s">
        <v>33</v>
      </c>
      <c r="I3" s="32"/>
      <c r="L3" s="12" t="s">
        <v>11</v>
      </c>
    </row>
    <row r="4" spans="2:13" ht="15.75" x14ac:dyDescent="0.25">
      <c r="B4" s="9"/>
      <c r="C4" s="9"/>
      <c r="D4" s="9"/>
      <c r="F4" s="9"/>
      <c r="G4" s="9"/>
    </row>
    <row r="5" spans="2:13" ht="15.75" x14ac:dyDescent="0.25">
      <c r="B5" s="32" t="s">
        <v>12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2:13" ht="15.75" x14ac:dyDescent="0.25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2:13" ht="15.75" x14ac:dyDescent="0.25">
      <c r="B7" s="14" t="s">
        <v>18</v>
      </c>
      <c r="C7" s="10" t="s">
        <v>19</v>
      </c>
      <c r="D7" s="29" t="s">
        <v>9</v>
      </c>
      <c r="E7" s="42" t="s">
        <v>28</v>
      </c>
      <c r="F7" s="43" t="s">
        <v>29</v>
      </c>
      <c r="I7" s="27" t="s">
        <v>18</v>
      </c>
      <c r="J7" s="27" t="s">
        <v>19</v>
      </c>
      <c r="K7" s="28" t="s">
        <v>9</v>
      </c>
      <c r="L7" s="42" t="s">
        <v>28</v>
      </c>
      <c r="M7" s="43" t="s">
        <v>29</v>
      </c>
    </row>
    <row r="8" spans="2:13" ht="15.75" x14ac:dyDescent="0.25">
      <c r="B8" s="19">
        <v>0</v>
      </c>
      <c r="C8" s="4">
        <f>B8^2*COS(B8)</f>
        <v>0</v>
      </c>
      <c r="D8" s="16">
        <v>0</v>
      </c>
      <c r="E8" s="44">
        <f>(B8^2*SIN(B8))+(2*B8*COS(B8))-(2*SIN(B8))</f>
        <v>0</v>
      </c>
      <c r="F8" s="4">
        <v>0</v>
      </c>
      <c r="I8" s="17">
        <v>0</v>
      </c>
      <c r="J8" s="4">
        <f>I8^2*COS(I8)</f>
        <v>0</v>
      </c>
      <c r="K8" s="16">
        <v>0</v>
      </c>
      <c r="L8" s="44">
        <f>(I8^2*SIN(I8))+(2*I8*COS(I8))-(2*SIN(I8))</f>
        <v>0</v>
      </c>
      <c r="M8" s="4">
        <v>0</v>
      </c>
    </row>
    <row r="9" spans="2:13" ht="15.75" x14ac:dyDescent="0.25">
      <c r="B9" s="19">
        <v>0.1</v>
      </c>
      <c r="C9" s="5">
        <f>B9^2*COS(B9)</f>
        <v>9.9500416527802601E-3</v>
      </c>
      <c r="D9" s="16">
        <f>D8+(C9+C8)*(B9-B8)/2</f>
        <v>4.9750208263901307E-4</v>
      </c>
      <c r="E9" s="44">
        <f>(B9^2*SIN(B9))+(2*B9*COS(B9))-(2*SIN(B9))</f>
        <v>3.3233392841713894E-4</v>
      </c>
      <c r="F9" s="5">
        <f>(D9-E9)/E9</f>
        <v>0.49699455908262957</v>
      </c>
      <c r="I9" s="19">
        <v>0.01</v>
      </c>
      <c r="J9" s="5">
        <f>I9^2*COS(I9)</f>
        <v>9.9995000041666534E-5</v>
      </c>
      <c r="K9" s="16">
        <f>K8+(J9+J8)*(I9-I8)/2</f>
        <v>4.9997500020833265E-7</v>
      </c>
      <c r="L9" s="44">
        <f t="shared" ref="L9:L72" si="0">(I9^2*SIN(I9))+(2*I9*COS(I9))-(2*SIN(I9))</f>
        <v>3.3332333339297637E-7</v>
      </c>
      <c r="M9" s="5">
        <f>(K9-L9)/L9</f>
        <v>0.49996999945659332</v>
      </c>
    </row>
    <row r="10" spans="2:13" ht="15.75" x14ac:dyDescent="0.25">
      <c r="B10" s="19">
        <v>0.2</v>
      </c>
      <c r="C10" s="5">
        <f>B10^2*COS(B10)</f>
        <v>3.9202663113649672E-2</v>
      </c>
      <c r="D10" s="16">
        <f>D9+(C10+C9)*(B10-B9)/2</f>
        <v>2.9551373209605099E-3</v>
      </c>
      <c r="E10" s="44">
        <f t="shared" ref="E9:E18" si="1">(B10^2*SIN(B10))+(2*B10*COS(B10))-(2*SIN(B10))</f>
        <v>2.6347427781766575E-3</v>
      </c>
      <c r="F10" s="5">
        <f t="shared" ref="F10:F18" si="2">(D10-E10)/E10</f>
        <v>0.12160372748248985</v>
      </c>
      <c r="I10" s="19">
        <v>0.02</v>
      </c>
      <c r="J10" s="5">
        <f>I10^2*COS(I10)</f>
        <v>3.9992000266663114E-4</v>
      </c>
      <c r="K10" s="16">
        <f>K9+(J10+J9)*(I10-I9)/2</f>
        <v>2.999550013749821E-6</v>
      </c>
      <c r="L10" s="44">
        <f t="shared" si="0"/>
        <v>2.6663466742779529E-6</v>
      </c>
      <c r="M10" s="5">
        <f t="shared" ref="M10:M73" si="3">(K10-L10)/L10</f>
        <v>0.12496624789501522</v>
      </c>
    </row>
    <row r="11" spans="2:13" ht="15.75" x14ac:dyDescent="0.25">
      <c r="B11" s="19">
        <v>0.3</v>
      </c>
      <c r="C11" s="5">
        <f>B11^2*COS(B11)</f>
        <v>8.5980284021304532E-2</v>
      </c>
      <c r="D11" s="16">
        <f>D10+(C11+C10)*(B11-B10)/2</f>
        <v>9.2142846777082191E-3</v>
      </c>
      <c r="E11" s="44">
        <f t="shared" si="1"/>
        <v>8.7582987522050182E-3</v>
      </c>
      <c r="F11" s="5">
        <f t="shared" si="2"/>
        <v>5.2063298867077397E-2</v>
      </c>
      <c r="I11" s="19">
        <v>0.03</v>
      </c>
      <c r="J11" s="5">
        <f>I11^2*COS(I11)</f>
        <v>8.9959503037408876E-4</v>
      </c>
      <c r="K11" s="16">
        <f>K10+(J11+J10)*(I11-I10)/2</f>
        <v>9.4971251789534192E-6</v>
      </c>
      <c r="L11" s="44">
        <f t="shared" si="0"/>
        <v>8.9975701301758804E-6</v>
      </c>
      <c r="M11" s="5">
        <f t="shared" si="3"/>
        <v>5.552110642651626E-2</v>
      </c>
    </row>
    <row r="12" spans="2:13" ht="15.75" x14ac:dyDescent="0.25">
      <c r="B12" s="19">
        <v>0.4</v>
      </c>
      <c r="C12" s="5">
        <f>B12^2*COS(B12)</f>
        <v>0.14736975904046165</v>
      </c>
      <c r="D12" s="16">
        <f>D11+(C12+C11)*(B12-B11)/2</f>
        <v>2.0881786830796532E-2</v>
      </c>
      <c r="E12" s="44">
        <f t="shared" si="1"/>
        <v>2.0319045354391219E-2</v>
      </c>
      <c r="F12" s="5">
        <f t="shared" si="2"/>
        <v>2.7695271435756556E-2</v>
      </c>
      <c r="I12" s="19">
        <v>0.04</v>
      </c>
      <c r="J12" s="5">
        <f>I12^2*COS(I12)</f>
        <v>1.5987201706575648E-3</v>
      </c>
      <c r="K12" s="16">
        <f>K11+(J12+J11)*(I12-I11)/2</f>
        <v>2.1988701184111689E-5</v>
      </c>
      <c r="L12" s="44">
        <f t="shared" si="0"/>
        <v>2.1323094308522972E-5</v>
      </c>
      <c r="M12" s="5">
        <f t="shared" si="3"/>
        <v>3.1215304212328605E-2</v>
      </c>
    </row>
    <row r="13" spans="2:13" ht="15.75" x14ac:dyDescent="0.25">
      <c r="B13" s="19">
        <v>0.5</v>
      </c>
      <c r="C13" s="5">
        <f>B13^2*COS(B13)</f>
        <v>0.21939564047259319</v>
      </c>
      <c r="D13" s="16">
        <f>D12+(C13+C12)*(B13-B12)/2</f>
        <v>3.9220056806449272E-2</v>
      </c>
      <c r="E13" s="44">
        <f t="shared" si="1"/>
        <v>3.8587869333017499E-2</v>
      </c>
      <c r="F13" s="5">
        <f t="shared" si="2"/>
        <v>1.6383062458720531E-2</v>
      </c>
      <c r="I13" s="19">
        <v>0.05</v>
      </c>
      <c r="J13" s="5">
        <f>I13^2*COS(I13)</f>
        <v>2.4968756509874163E-3</v>
      </c>
      <c r="K13" s="16">
        <f>K12+(J13+J12)*(I13-I12)/2</f>
        <v>4.2466680292336593E-5</v>
      </c>
      <c r="L13" s="44">
        <f t="shared" si="0"/>
        <v>4.1635421316674193E-5</v>
      </c>
      <c r="M13" s="5">
        <f t="shared" si="3"/>
        <v>1.9965187078087681E-2</v>
      </c>
    </row>
    <row r="14" spans="2:13" ht="15.75" x14ac:dyDescent="0.25">
      <c r="B14" s="19">
        <v>0.6</v>
      </c>
      <c r="C14" s="5">
        <f>B14^2*COS(B14)</f>
        <v>0.29712082136748419</v>
      </c>
      <c r="D14" s="16">
        <f>D13+(C14+C13)*(B14-B13)/2</f>
        <v>6.5045879898453132E-2</v>
      </c>
      <c r="E14" s="44">
        <f t="shared" si="1"/>
        <v>6.4389081523755998E-2</v>
      </c>
      <c r="F14" s="5">
        <f t="shared" si="2"/>
        <v>1.0200461928546262E-2</v>
      </c>
      <c r="I14" s="19">
        <v>0.06</v>
      </c>
      <c r="J14" s="5">
        <f>I14^2*COS(I14)</f>
        <v>3.593521943766735E-3</v>
      </c>
      <c r="K14" s="16">
        <f>K13+(J14+J13)*(I14-I13)/2</f>
        <v>7.2918668266107336E-5</v>
      </c>
      <c r="L14" s="44">
        <f t="shared" si="0"/>
        <v>7.1922256661319239E-5</v>
      </c>
      <c r="M14" s="5">
        <f t="shared" si="3"/>
        <v>1.3854009190509459E-2</v>
      </c>
    </row>
    <row r="15" spans="2:13" ht="15.75" x14ac:dyDescent="0.25">
      <c r="B15" s="19">
        <v>0.7</v>
      </c>
      <c r="C15" s="5">
        <f>B15^2*COS(B15)</f>
        <v>0.37477267176939932</v>
      </c>
      <c r="D15" s="16">
        <f>D14+(C15+C14)*(B15-B14)/2</f>
        <v>9.86405545552973E-2</v>
      </c>
      <c r="E15" s="44">
        <f t="shared" si="1"/>
        <v>9.8010354469370231E-2</v>
      </c>
      <c r="F15" s="5">
        <f t="shared" si="2"/>
        <v>6.4299337487246392E-3</v>
      </c>
      <c r="I15" s="19">
        <v>7.0000000000000007E-2</v>
      </c>
      <c r="J15" s="5">
        <f>I15^2*COS(I15)</f>
        <v>4.887999901241071E-3</v>
      </c>
      <c r="K15" s="16">
        <f>K14+(J15+J14)*(I15-I14)/2</f>
        <v>1.1532627749114639E-4</v>
      </c>
      <c r="L15" s="44">
        <f t="shared" si="0"/>
        <v>1.1416531234753613E-4</v>
      </c>
      <c r="M15" s="5">
        <f t="shared" si="3"/>
        <v>1.0169158387410305E-2</v>
      </c>
    </row>
    <row r="16" spans="2:13" ht="15.75" x14ac:dyDescent="0.25">
      <c r="B16" s="19">
        <v>0.8</v>
      </c>
      <c r="C16" s="5">
        <f>B16^2*COS(B16)</f>
        <v>0.44589229398218594</v>
      </c>
      <c r="D16" s="16">
        <f>D15+(C16+C15)*(B16-B15)/2</f>
        <v>0.13967380284287659</v>
      </c>
      <c r="E16" s="44">
        <f t="shared" si="1"/>
        <v>0.13912645133211377</v>
      </c>
      <c r="F16" s="5">
        <f t="shared" si="2"/>
        <v>3.9342016239328915E-3</v>
      </c>
      <c r="I16" s="19">
        <v>0.08</v>
      </c>
      <c r="J16" s="5">
        <f>I16^2*COS(I16)</f>
        <v>6.3795309203367647E-3</v>
      </c>
      <c r="K16" s="16">
        <f>K15+(J16+J15)*(I16-I15)/2</f>
        <v>1.7166393159903553E-4</v>
      </c>
      <c r="L16" s="44">
        <f t="shared" si="0"/>
        <v>1.7033911147643077E-4</v>
      </c>
      <c r="M16" s="5">
        <f t="shared" si="3"/>
        <v>7.7775451047134864E-3</v>
      </c>
    </row>
    <row r="17" spans="2:13" ht="15.75" x14ac:dyDescent="0.25">
      <c r="B17" s="19">
        <v>0.9</v>
      </c>
      <c r="C17" s="5">
        <f>B17^2*COS(B17)</f>
        <v>0.50350407429923816</v>
      </c>
      <c r="D17" s="16">
        <f>D16+(C17+C16)*(B17-B16)/2</f>
        <v>0.18714362125694778</v>
      </c>
      <c r="E17" s="44">
        <f t="shared" si="1"/>
        <v>0.18673892043049078</v>
      </c>
      <c r="F17" s="5">
        <f t="shared" si="2"/>
        <v>2.1672012750423631E-3</v>
      </c>
      <c r="I17" s="19">
        <v>0.09</v>
      </c>
      <c r="J17" s="5">
        <f>I17^2*COS(I17)</f>
        <v>8.0672171373971525E-3</v>
      </c>
      <c r="K17" s="16">
        <f>K16+(J17+J16)*(I17-I16)/2</f>
        <v>2.4389767188770509E-4</v>
      </c>
      <c r="L17" s="44">
        <f t="shared" si="0"/>
        <v>2.4240979464076884E-4</v>
      </c>
      <c r="M17" s="5">
        <f t="shared" si="3"/>
        <v>6.137859442276899E-3</v>
      </c>
    </row>
    <row r="18" spans="2:13" ht="15.75" x14ac:dyDescent="0.25">
      <c r="B18" s="21">
        <v>1</v>
      </c>
      <c r="C18" s="7">
        <f>B18^2*COS(B18)</f>
        <v>0.54030230586813977</v>
      </c>
      <c r="D18" s="16">
        <f>D17+(C18+C17)*(B18-B17)/2</f>
        <v>0.23933394026531668</v>
      </c>
      <c r="E18" s="44">
        <f t="shared" si="1"/>
        <v>0.23913362692838303</v>
      </c>
      <c r="F18" s="7">
        <f t="shared" si="2"/>
        <v>8.3766277251189785E-4</v>
      </c>
      <c r="I18" s="19">
        <v>0.1</v>
      </c>
      <c r="J18" s="5">
        <f>I18^2*COS(I18)</f>
        <v>9.9500416527802601E-3</v>
      </c>
      <c r="K18" s="16">
        <f>K17+(J18+J17)*(I18-I17)/2</f>
        <v>3.339839658385922E-4</v>
      </c>
      <c r="L18" s="44">
        <f t="shared" si="0"/>
        <v>3.3233392841713894E-4</v>
      </c>
      <c r="M18" s="5">
        <f t="shared" si="3"/>
        <v>4.9649983957767039E-3</v>
      </c>
    </row>
    <row r="19" spans="2:13" ht="15.75" x14ac:dyDescent="0.25">
      <c r="B19" s="3"/>
      <c r="C19" s="3"/>
      <c r="D19" s="3"/>
      <c r="E19" s="3"/>
      <c r="I19" s="19">
        <v>0.11</v>
      </c>
      <c r="J19" s="5">
        <f>I19^2*COS(I19)</f>
        <v>1.2026868785276031E-2</v>
      </c>
      <c r="K19" s="16">
        <f>K18+(J19+J18)*(I19-I18)/2</f>
        <v>4.4386851802887364E-4</v>
      </c>
      <c r="L19" s="44">
        <f t="shared" si="0"/>
        <v>4.4205731625349132E-4</v>
      </c>
      <c r="M19" s="5">
        <f t="shared" si="3"/>
        <v>4.0972102684162142E-3</v>
      </c>
    </row>
    <row r="20" spans="2:13" ht="15.75" x14ac:dyDescent="0.25">
      <c r="B20" s="3"/>
      <c r="C20" s="3"/>
      <c r="D20" s="3"/>
      <c r="E20" s="3"/>
      <c r="I20" s="19">
        <v>0.12</v>
      </c>
      <c r="J20" s="5">
        <f>I20^2*COS(I20)</f>
        <v>1.4296444356295674E-2</v>
      </c>
      <c r="K20" s="16">
        <f>K19+(J20+J19)*(I20-I19)/2</f>
        <v>5.754850837367321E-4</v>
      </c>
      <c r="L20" s="44">
        <f t="shared" si="0"/>
        <v>5.7351381204959195E-4</v>
      </c>
      <c r="M20" s="5">
        <f t="shared" si="3"/>
        <v>3.4371825851854006E-3</v>
      </c>
    </row>
    <row r="21" spans="2:13" ht="15.75" x14ac:dyDescent="0.25">
      <c r="B21" s="3"/>
      <c r="C21" s="3"/>
      <c r="D21" s="3"/>
      <c r="E21" s="3"/>
      <c r="I21" s="19">
        <v>0.13</v>
      </c>
      <c r="J21" s="5">
        <f>I21^2*COS(I21)</f>
        <v>1.6757396003779922E-2</v>
      </c>
      <c r="K21" s="16">
        <f>K20+(J21+J20)*(I21-I20)/2</f>
        <v>7.3075428553711025E-4</v>
      </c>
      <c r="L21" s="44">
        <f t="shared" si="0"/>
        <v>7.2862413672802884E-4</v>
      </c>
      <c r="M21" s="5">
        <f t="shared" si="3"/>
        <v>2.923522158690889E-3</v>
      </c>
    </row>
    <row r="22" spans="2:13" ht="15.75" x14ac:dyDescent="0.25">
      <c r="B22" s="3"/>
      <c r="C22" s="3"/>
      <c r="D22" s="3"/>
      <c r="E22" s="3"/>
      <c r="I22" s="19">
        <v>0.14000000000000001</v>
      </c>
      <c r="J22" s="5">
        <f>I22^2*COS(I22)</f>
        <v>1.940823352576769E-2</v>
      </c>
      <c r="K22" s="16">
        <f>K21+(J22+J21)*(I22-I21)/2</f>
        <v>9.1158243318484843E-4</v>
      </c>
      <c r="L22" s="44">
        <f t="shared" si="0"/>
        <v>9.0929469809247765E-4</v>
      </c>
      <c r="M22" s="5">
        <f t="shared" si="3"/>
        <v>2.5159446075843149E-3</v>
      </c>
    </row>
    <row r="23" spans="2:13" ht="15.75" x14ac:dyDescent="0.25">
      <c r="B23" s="3"/>
      <c r="C23" s="3"/>
      <c r="D23" s="3"/>
      <c r="E23" s="3"/>
      <c r="I23" s="19">
        <v>0.15</v>
      </c>
      <c r="J23" s="5">
        <f>I23^2*COS(I23)</f>
        <v>2.224734925356095E-2</v>
      </c>
      <c r="K23" s="16">
        <f>K22+(J23+J22)*(I23-I22)/2</f>
        <v>1.1198603470814912E-3</v>
      </c>
      <c r="L23" s="44">
        <f t="shared" si="0"/>
        <v>1.1174164142702114E-3</v>
      </c>
      <c r="M23" s="5">
        <f t="shared" si="3"/>
        <v>2.1871280751464012E-3</v>
      </c>
    </row>
    <row r="24" spans="2:13" ht="15.75" x14ac:dyDescent="0.25">
      <c r="B24" s="3"/>
      <c r="C24" s="3"/>
      <c r="D24" s="3"/>
      <c r="E24" s="3"/>
      <c r="I24" s="19">
        <v>0.16</v>
      </c>
      <c r="J24" s="5">
        <f>I24^2*COS(I24)</f>
        <v>2.5273018454416051E-2</v>
      </c>
      <c r="K24" s="16">
        <f>K23+(J24+J23)*(I24-I23)/2</f>
        <v>1.3574621856213764E-3</v>
      </c>
      <c r="L24" s="44">
        <f t="shared" si="0"/>
        <v>1.3548635410333687E-3</v>
      </c>
      <c r="M24" s="5">
        <f t="shared" si="3"/>
        <v>1.9180120427668033E-3</v>
      </c>
    </row>
    <row r="25" spans="2:13" ht="15.75" x14ac:dyDescent="0.25">
      <c r="B25" s="3"/>
      <c r="C25" s="3"/>
      <c r="D25" s="3"/>
      <c r="E25" s="3"/>
      <c r="I25" s="19">
        <v>0.17</v>
      </c>
      <c r="J25" s="5">
        <f>I25^2*COS(I25)</f>
        <v>2.8483399763686312E-2</v>
      </c>
      <c r="K25" s="16">
        <f>K24+(J25+J24)*(I25-I24)/2</f>
        <v>1.6262442767118884E-3</v>
      </c>
      <c r="L25" s="44">
        <f t="shared" si="0"/>
        <v>1.6234925032947989E-3</v>
      </c>
      <c r="M25" s="5">
        <f t="shared" si="3"/>
        <v>1.6949714344260615E-3</v>
      </c>
    </row>
    <row r="26" spans="2:13" ht="15.75" x14ac:dyDescent="0.25">
      <c r="B26" s="3"/>
      <c r="C26" s="3"/>
      <c r="D26" s="3"/>
      <c r="E26" s="3"/>
      <c r="I26" s="19">
        <v>0.18</v>
      </c>
      <c r="J26" s="5">
        <f>I26^2*COS(I26)</f>
        <v>3.1876535646335136E-2</v>
      </c>
      <c r="K26" s="16">
        <f>K25+(J26+J25)*(I26-I25)/2</f>
        <v>1.9280439537619951E-3</v>
      </c>
      <c r="L26" s="44">
        <f t="shared" si="0"/>
        <v>1.9251407310720836E-3</v>
      </c>
      <c r="M26" s="5">
        <f t="shared" si="3"/>
        <v>1.5080573814958103E-3</v>
      </c>
    </row>
    <row r="27" spans="2:13" ht="15.75" x14ac:dyDescent="0.25">
      <c r="B27" s="3"/>
      <c r="C27" s="3"/>
      <c r="D27" s="3"/>
      <c r="E27" s="3"/>
      <c r="I27" s="19">
        <v>0.19</v>
      </c>
      <c r="J27" s="5">
        <f>I27^2*COS(I27)</f>
        <v>3.5450352887733461E-2</v>
      </c>
      <c r="K27" s="16">
        <f>K26+(J27+J26)*(I27-I26)/2</f>
        <v>2.2646783964323383E-3</v>
      </c>
      <c r="L27" s="44">
        <f t="shared" si="0"/>
        <v>2.261625500213249E-3</v>
      </c>
      <c r="M27" s="5">
        <f t="shared" si="3"/>
        <v>1.3498681451909039E-3</v>
      </c>
    </row>
    <row r="28" spans="2:13" ht="15.75" x14ac:dyDescent="0.25">
      <c r="B28" s="3"/>
      <c r="C28" s="3"/>
      <c r="D28" s="3"/>
      <c r="E28" s="3"/>
      <c r="I28" s="19">
        <v>0.2</v>
      </c>
      <c r="J28" s="5">
        <f>I28^2*COS(I28)</f>
        <v>3.9202663113649672E-2</v>
      </c>
      <c r="K28" s="16">
        <f>K27+(J28+J27)*(I28-I27)/2</f>
        <v>2.6379434764392542E-3</v>
      </c>
      <c r="L28" s="44">
        <f t="shared" si="0"/>
        <v>2.6347427781766575E-3</v>
      </c>
      <c r="M28" s="5">
        <f t="shared" si="3"/>
        <v>1.2148048337423277E-3</v>
      </c>
    </row>
    <row r="29" spans="2:13" ht="15.75" x14ac:dyDescent="0.25">
      <c r="B29" s="3"/>
      <c r="C29" s="3"/>
      <c r="D29" s="3"/>
      <c r="E29" s="3"/>
      <c r="I29" s="19">
        <v>0.21</v>
      </c>
      <c r="J29" s="5">
        <f>I29^2*COS(I29)</f>
        <v>4.3131163339334935E-2</v>
      </c>
      <c r="K29" s="16">
        <f>K28+(J29+J28)*(I29-I28)/2</f>
        <v>3.0496126087041766E-3</v>
      </c>
      <c r="L29" s="44">
        <f t="shared" si="0"/>
        <v>3.0462660751561232E-3</v>
      </c>
      <c r="M29" s="5">
        <f t="shared" si="3"/>
        <v>1.0985690236798747E-3</v>
      </c>
    </row>
    <row r="30" spans="2:13" ht="15.75" x14ac:dyDescent="0.25">
      <c r="B30" s="3"/>
      <c r="C30" s="3"/>
      <c r="D30" s="3"/>
      <c r="E30" s="3"/>
      <c r="I30" s="19">
        <v>0.22</v>
      </c>
      <c r="J30" s="5">
        <f>I30^2*COS(I30)</f>
        <v>4.7233436547601308E-2</v>
      </c>
      <c r="K30" s="16">
        <f>K29+(J30+J29)*(I30-I29)/2</f>
        <v>3.5014356081388581E-3</v>
      </c>
      <c r="L30" s="44">
        <f t="shared" si="0"/>
        <v>3.4979453008418537E-3</v>
      </c>
      <c r="M30" s="5">
        <f t="shared" si="3"/>
        <v>9.9781643131021053E-4</v>
      </c>
    </row>
    <row r="31" spans="2:13" ht="15.75" x14ac:dyDescent="0.25">
      <c r="B31" s="3"/>
      <c r="C31" s="3"/>
      <c r="D31" s="3"/>
      <c r="E31" s="3"/>
      <c r="I31" s="19">
        <v>0.23</v>
      </c>
      <c r="J31" s="5">
        <f>I31^2*COS(I31)</f>
        <v>5.1506952295784336E-2</v>
      </c>
      <c r="K31" s="16">
        <f>K30+(J31+J30)*(I31-I30)/2</f>
        <v>3.9951375523557871E-3</v>
      </c>
      <c r="L31" s="44">
        <f t="shared" si="0"/>
        <v>3.9915056271070948E-3</v>
      </c>
      <c r="M31" s="5">
        <f t="shared" si="3"/>
        <v>9.0991359852464005E-4</v>
      </c>
    </row>
    <row r="32" spans="2:13" ht="15.75" x14ac:dyDescent="0.25">
      <c r="B32" s="3"/>
      <c r="C32" s="3"/>
      <c r="D32" s="3"/>
      <c r="E32" s="3"/>
      <c r="I32" s="19">
        <v>0.24</v>
      </c>
      <c r="J32" s="5">
        <f>I32^2*COS(I32)</f>
        <v>5.5949067351476908E-2</v>
      </c>
      <c r="K32" s="16">
        <f>K31+(J32+J31)*(I32-I31)/2</f>
        <v>4.5324176505920927E-3</v>
      </c>
      <c r="L32" s="44">
        <f t="shared" si="0"/>
        <v>4.5286463569080282E-3</v>
      </c>
      <c r="M32" s="5">
        <f t="shared" si="3"/>
        <v>8.3276400647001121E-4</v>
      </c>
    </row>
    <row r="33" spans="2:13" ht="15.75" x14ac:dyDescent="0.25">
      <c r="B33" s="3"/>
      <c r="C33" s="3"/>
      <c r="D33" s="3"/>
      <c r="E33" s="3"/>
      <c r="I33" s="19">
        <v>0.25</v>
      </c>
      <c r="J33" s="5">
        <f>I33^2*COS(I33)</f>
        <v>6.0557026356915296E-2</v>
      </c>
      <c r="K33" s="16">
        <f>K32+(J33+J32)*(I33-I32)/2</f>
        <v>5.1149481191340544E-3</v>
      </c>
      <c r="L33" s="44">
        <f t="shared" si="0"/>
        <v>5.1110397996841916E-3</v>
      </c>
      <c r="M33" s="5">
        <f t="shared" si="3"/>
        <v>7.6468186573391036E-4</v>
      </c>
    </row>
    <row r="34" spans="2:13" ht="15.75" x14ac:dyDescent="0.25">
      <c r="B34" s="3"/>
      <c r="C34" s="3"/>
      <c r="D34" s="3"/>
      <c r="E34" s="3"/>
      <c r="I34" s="19">
        <v>0.26</v>
      </c>
      <c r="J34" s="5">
        <f>I34^2*COS(I34)</f>
        <v>6.5327962521893101E-2</v>
      </c>
      <c r="K34" s="16">
        <f>K33+(J34+J33)*(I34-I33)/2</f>
        <v>5.7443730635280965E-3</v>
      </c>
      <c r="L34" s="44">
        <f t="shared" si="0"/>
        <v>5.740330153546358E-3</v>
      </c>
      <c r="M34" s="5">
        <f t="shared" si="3"/>
        <v>7.0429920816328134E-4</v>
      </c>
    </row>
    <row r="35" spans="2:13" ht="15.75" x14ac:dyDescent="0.25">
      <c r="B35" s="3"/>
      <c r="C35" s="3"/>
      <c r="D35" s="3"/>
      <c r="E35" s="3"/>
      <c r="I35" s="19">
        <v>0.27</v>
      </c>
      <c r="J35" s="5">
        <f>I35^2*COS(I35)</f>
        <v>7.0258898345073428E-2</v>
      </c>
      <c r="K35" s="16">
        <f>K34+(J35+J34)*(I35-I34)/2</f>
        <v>6.4223073678629297E-3</v>
      </c>
      <c r="L35" s="44">
        <f t="shared" si="0"/>
        <v>6.4181323945343705E-3</v>
      </c>
      <c r="M35" s="5">
        <f t="shared" si="3"/>
        <v>6.5049660429483116E-4</v>
      </c>
    </row>
    <row r="36" spans="2:13" ht="15.75" x14ac:dyDescent="0.25">
      <c r="B36" s="3"/>
      <c r="C36" s="3"/>
      <c r="D36" s="3"/>
      <c r="E36" s="3"/>
      <c r="I36" s="19">
        <v>0.28000000000000003</v>
      </c>
      <c r="J36" s="5">
        <f>I36^2*COS(I36)</f>
        <v>7.5346746363564449E-2</v>
      </c>
      <c r="K36" s="16">
        <f>K35+(J36+J35)*(I36-I35)/2</f>
        <v>7.1503355914061201E-3</v>
      </c>
      <c r="L36" s="44">
        <f t="shared" si="0"/>
        <v>7.1460311732307602E-3</v>
      </c>
      <c r="M36" s="5">
        <f t="shared" si="3"/>
        <v>6.0235088135136882E-4</v>
      </c>
    </row>
    <row r="37" spans="2:13" ht="15.75" x14ac:dyDescent="0.25">
      <c r="B37" s="3"/>
      <c r="C37" s="3"/>
      <c r="D37" s="3"/>
      <c r="E37" s="3"/>
      <c r="I37" s="19">
        <v>0.28999999999999998</v>
      </c>
      <c r="J37" s="5">
        <f>I37^2*COS(I37)</f>
        <v>8.058830993061783E-2</v>
      </c>
      <c r="K37" s="16">
        <f>K36+(J37+J36)*(I37-I36)/2</f>
        <v>7.9300108728770271E-3</v>
      </c>
      <c r="L37" s="44">
        <f t="shared" si="0"/>
        <v>7.9255797190099786E-3</v>
      </c>
      <c r="M37" s="5">
        <f t="shared" si="3"/>
        <v>5.5909523645571407E-4</v>
      </c>
    </row>
    <row r="38" spans="2:13" ht="15.75" x14ac:dyDescent="0.25">
      <c r="B38" s="3"/>
      <c r="C38" s="3"/>
      <c r="D38" s="3"/>
      <c r="E38" s="3"/>
      <c r="I38" s="19">
        <v>0.3</v>
      </c>
      <c r="J38" s="5">
        <f>I38^2*COS(I38)</f>
        <v>8.5980284021304532E-2</v>
      </c>
      <c r="K38" s="16">
        <f>K37+(J38+J37)*(I38-I37)/2</f>
        <v>8.7628538426366403E-3</v>
      </c>
      <c r="L38" s="44">
        <f t="shared" si="0"/>
        <v>8.7582987522050182E-3</v>
      </c>
      <c r="M38" s="5">
        <f t="shared" si="3"/>
        <v>5.2008849669295558E-4</v>
      </c>
    </row>
    <row r="39" spans="2:13" ht="15.75" x14ac:dyDescent="0.25">
      <c r="B39" s="3"/>
      <c r="C39" s="3"/>
      <c r="D39" s="3"/>
      <c r="E39" s="3"/>
      <c r="I39" s="19">
        <v>0.31</v>
      </c>
      <c r="J39" s="5">
        <f>I39^2*COS(I39)</f>
        <v>9.151925606601706E-2</v>
      </c>
      <c r="K39" s="16">
        <f>K38+(J39+J38)*(I39-I38)/2</f>
        <v>9.6503515430732493E-3</v>
      </c>
      <c r="L39" s="44">
        <f t="shared" si="0"/>
        <v>9.6456754044702553E-3</v>
      </c>
      <c r="M39" s="5">
        <f t="shared" si="3"/>
        <v>4.8479120506448497E-4</v>
      </c>
    </row>
    <row r="40" spans="2:13" ht="15.75" x14ac:dyDescent="0.25">
      <c r="B40" s="3"/>
      <c r="C40" s="3"/>
      <c r="D40" s="3"/>
      <c r="E40" s="3"/>
      <c r="I40" s="19">
        <v>0.32</v>
      </c>
      <c r="J40" s="5">
        <f>I40^2*COS(I40)</f>
        <v>9.7201706811641947E-2</v>
      </c>
      <c r="K40" s="16">
        <f>K39+(J40+J39)*(I40-I39)/2</f>
        <v>1.0593956357461545E-2</v>
      </c>
      <c r="L40" s="44">
        <f t="shared" si="0"/>
        <v>1.0589162147617071E-2</v>
      </c>
      <c r="M40" s="5">
        <f t="shared" si="3"/>
        <v>4.5274685358868847E-4</v>
      </c>
    </row>
    <row r="41" spans="2:13" ht="15.75" x14ac:dyDescent="0.25">
      <c r="B41" s="3"/>
      <c r="C41" s="3"/>
      <c r="D41" s="3"/>
      <c r="E41" s="3"/>
      <c r="I41" s="19">
        <v>0.33</v>
      </c>
      <c r="J41" s="5">
        <f>I41^2*COS(I41)</f>
        <v>0.10302401121024135</v>
      </c>
      <c r="K41" s="16">
        <f>K40+(J41+J40)*(I41-I40)/2</f>
        <v>1.1595084947570961E-2</v>
      </c>
      <c r="L41" s="44">
        <f t="shared" si="0"/>
        <v>1.1590175731199914E-2</v>
      </c>
      <c r="M41" s="5">
        <f t="shared" si="3"/>
        <v>4.2356703512541936E-4</v>
      </c>
    </row>
    <row r="42" spans="2:13" ht="15.75" x14ac:dyDescent="0.25">
      <c r="B42" s="3"/>
      <c r="C42" s="3"/>
      <c r="D42" s="3"/>
      <c r="E42" s="3"/>
      <c r="I42" s="19">
        <v>0.34</v>
      </c>
      <c r="J42" s="5">
        <f>I42^2*COS(I42)</f>
        <v>0.10898243933507684</v>
      </c>
      <c r="K42" s="16">
        <f>K41+(J42+J41)*(I42-I41)/2</f>
        <v>1.2655117200297553E-2</v>
      </c>
      <c r="L42" s="44">
        <f t="shared" si="0"/>
        <v>1.2650096129124822E-2</v>
      </c>
      <c r="M42" s="5">
        <f t="shared" si="3"/>
        <v>3.9691960610256362E-4</v>
      </c>
    </row>
    <row r="43" spans="2:13" ht="15.75" x14ac:dyDescent="0.25">
      <c r="B43" s="3"/>
      <c r="C43" s="3"/>
      <c r="D43" s="3"/>
      <c r="E43" s="3"/>
      <c r="I43" s="19">
        <v>0.35</v>
      </c>
      <c r="J43" s="5">
        <f>I43^2*COS(I43)</f>
        <v>0.1150731573238039</v>
      </c>
      <c r="K43" s="16">
        <f>K42+(J43+J42)*(I43-I42)/2</f>
        <v>1.3775395183591952E-2</v>
      </c>
      <c r="L43" s="44">
        <f t="shared" si="0"/>
        <v>1.3770265495555267E-2</v>
      </c>
      <c r="M43" s="5">
        <f t="shared" si="3"/>
        <v>3.7251918188071364E-4</v>
      </c>
    </row>
    <row r="44" spans="2:13" ht="15.75" x14ac:dyDescent="0.25">
      <c r="B44" s="3"/>
      <c r="C44" s="3"/>
      <c r="D44" s="3"/>
      <c r="E44" s="3"/>
      <c r="I44" s="19">
        <v>0.36</v>
      </c>
      <c r="J44" s="5">
        <f>I44^2*COS(I44)</f>
        <v>0.12129222834866034</v>
      </c>
      <c r="K44" s="16">
        <f>K43+(J44+J43)*(I44-I43)/2</f>
        <v>1.4957222111954275E-2</v>
      </c>
      <c r="L44" s="44">
        <f t="shared" si="0"/>
        <v>1.4951987130384814E-2</v>
      </c>
      <c r="M44" s="5">
        <f t="shared" si="3"/>
        <v>3.5011945394352353E-4</v>
      </c>
    </row>
    <row r="45" spans="2:13" ht="15.75" x14ac:dyDescent="0.25">
      <c r="B45" s="3"/>
      <c r="C45" s="3"/>
      <c r="D45" s="3"/>
      <c r="E45" s="3"/>
      <c r="I45" s="19">
        <v>0.37</v>
      </c>
      <c r="J45" s="5">
        <f>I45^2*COS(I45)</f>
        <v>0.12763561361346612</v>
      </c>
      <c r="K45" s="16">
        <f>K44+(J45+J44)*(I45-I44)/2</f>
        <v>1.6201861321764908E-2</v>
      </c>
      <c r="L45" s="44">
        <f t="shared" si="0"/>
        <v>1.6196524454544781E-2</v>
      </c>
      <c r="M45" s="5">
        <f t="shared" si="3"/>
        <v>3.2950694052325853E-4</v>
      </c>
    </row>
    <row r="46" spans="2:13" ht="15.75" x14ac:dyDescent="0.25">
      <c r="B46" s="3"/>
      <c r="C46" s="3"/>
      <c r="D46" s="3"/>
      <c r="E46" s="3"/>
      <c r="I46" s="19">
        <v>0.38</v>
      </c>
      <c r="J46" s="5">
        <f>I46^2*COS(I46)</f>
        <v>0.13409917337724808</v>
      </c>
      <c r="K46" s="16">
        <f>K45+(J46+J45)*(I46-I45)/2</f>
        <v>1.751053525671848E-2</v>
      </c>
      <c r="L46" s="44">
        <f t="shared" si="0"/>
        <v>1.7505099995417162E-2</v>
      </c>
      <c r="M46" s="5">
        <f t="shared" si="3"/>
        <v>3.1049587278803839E-4</v>
      </c>
    </row>
    <row r="47" spans="2:13" ht="15.75" x14ac:dyDescent="0.25">
      <c r="B47" s="3"/>
      <c r="C47" s="3"/>
      <c r="D47" s="3"/>
      <c r="E47" s="3"/>
      <c r="I47" s="19">
        <v>0.39</v>
      </c>
      <c r="J47" s="5">
        <f>I47^2*COS(I47)</f>
        <v>0.14067866800429732</v>
      </c>
      <c r="K47" s="16">
        <f>K46+(J47+J46)*(I47-I46)/2</f>
        <v>1.8884424463626207E-2</v>
      </c>
      <c r="L47" s="44">
        <f t="shared" si="0"/>
        <v>1.8878894382614253E-2</v>
      </c>
      <c r="M47" s="5">
        <f t="shared" si="3"/>
        <v>2.9292398696011086E-4</v>
      </c>
    </row>
    <row r="48" spans="2:13" ht="15.75" x14ac:dyDescent="0.25">
      <c r="B48" s="3"/>
      <c r="C48" s="3"/>
      <c r="D48" s="3"/>
      <c r="E48" s="3"/>
      <c r="I48" s="19">
        <v>0.4</v>
      </c>
      <c r="J48" s="5">
        <f>I48^2*COS(I48)</f>
        <v>0.14736975904046165</v>
      </c>
      <c r="K48" s="16">
        <f>K47+(J48+J47)*(I48-I47)/2</f>
        <v>2.0324666598850002E-2</v>
      </c>
      <c r="L48" s="44">
        <f t="shared" si="0"/>
        <v>2.0319045354391219E-2</v>
      </c>
      <c r="M48" s="5">
        <f t="shared" si="3"/>
        <v>2.7664904333554448E-4</v>
      </c>
    </row>
    <row r="49" spans="2:13" ht="15.75" x14ac:dyDescent="0.25">
      <c r="B49" s="3"/>
      <c r="C49" s="3"/>
      <c r="D49" s="3"/>
      <c r="E49" s="3"/>
      <c r="I49" s="19">
        <v>0.41</v>
      </c>
      <c r="J49" s="5">
        <f>I49^2*COS(I49)</f>
        <v>0.15416801031547128</v>
      </c>
      <c r="K49" s="16">
        <f>K48+(J49+J48)*(I49-I48)/2</f>
        <v>2.1832355445629659E-2</v>
      </c>
      <c r="L49" s="44">
        <f t="shared" si="0"/>
        <v>2.182664677495183E-2</v>
      </c>
      <c r="M49" s="5">
        <f t="shared" si="3"/>
        <v>2.6154593221257397E-4</v>
      </c>
    </row>
    <row r="50" spans="2:13" ht="15.75" x14ac:dyDescent="0.25">
      <c r="B50" s="3"/>
      <c r="C50" s="3"/>
      <c r="D50" s="3"/>
      <c r="E50" s="3"/>
      <c r="I50" s="19">
        <v>0.42</v>
      </c>
      <c r="J50" s="5">
        <f>I50^2*COS(I50)</f>
        <v>0.16106888907109115</v>
      </c>
      <c r="K50" s="16">
        <f>K49+(J50+J49)*(I50-I49)/2</f>
        <v>2.3408539942562472E-2</v>
      </c>
      <c r="L50" s="44">
        <f t="shared" si="0"/>
        <v>2.3402747662906731E-2</v>
      </c>
      <c r="M50" s="5">
        <f t="shared" si="3"/>
        <v>2.4750425630240292E-4</v>
      </c>
    </row>
    <row r="51" spans="2:13" ht="15.75" x14ac:dyDescent="0.25">
      <c r="B51" s="3"/>
      <c r="C51" s="3"/>
      <c r="D51" s="3"/>
      <c r="E51" s="3"/>
      <c r="I51" s="19">
        <v>0.43</v>
      </c>
      <c r="J51" s="5">
        <f>I51^2*COS(I51)</f>
        <v>0.16806776711488625</v>
      </c>
      <c r="K51" s="16">
        <f>K50+(J51+J50)*(I51-I50)/2</f>
        <v>2.5054223223492361E-2</v>
      </c>
      <c r="L51" s="44">
        <f t="shared" si="0"/>
        <v>2.5048351231140686E-2</v>
      </c>
      <c r="M51" s="5">
        <f t="shared" si="3"/>
        <v>2.3442630205432056E-4</v>
      </c>
    </row>
    <row r="52" spans="2:13" ht="15.75" x14ac:dyDescent="0.25">
      <c r="B52" s="3"/>
      <c r="C52" s="3"/>
      <c r="D52" s="3"/>
      <c r="E52" s="3"/>
      <c r="I52" s="19">
        <v>0.44</v>
      </c>
      <c r="J52" s="5">
        <f>I52^2*COS(I52)</f>
        <v>0.1751599219993849</v>
      </c>
      <c r="K52" s="16">
        <f>K51+(J52+J51)*(I52-I51)/2</f>
        <v>2.6770361669063717E-2</v>
      </c>
      <c r="L52" s="44">
        <f t="shared" si="0"/>
        <v>2.6764413938346054E-2</v>
      </c>
      <c r="M52" s="5">
        <f t="shared" si="3"/>
        <v>2.2222532992367149E-4</v>
      </c>
    </row>
    <row r="53" spans="2:13" ht="15.75" x14ac:dyDescent="0.25">
      <c r="B53" s="3"/>
      <c r="C53" s="3"/>
      <c r="D53" s="3"/>
      <c r="E53" s="3"/>
      <c r="I53" s="19">
        <v>0.45</v>
      </c>
      <c r="J53" s="5">
        <f>I53^2*COS(I53)</f>
        <v>0.18234053822641708</v>
      </c>
      <c r="K53" s="16">
        <f>K52+(J53+J52)*(I53-I52)/2</f>
        <v>2.8557863970192728E-2</v>
      </c>
      <c r="L53" s="44">
        <f t="shared" si="0"/>
        <v>2.8551844552472838E-2</v>
      </c>
      <c r="M53" s="5">
        <f t="shared" si="3"/>
        <v>2.108241276260403E-4</v>
      </c>
    </row>
    <row r="54" spans="2:13" ht="15.75" x14ac:dyDescent="0.25">
      <c r="B54" s="3"/>
      <c r="C54" s="3"/>
      <c r="D54" s="3"/>
      <c r="E54" s="3"/>
      <c r="I54" s="19">
        <v>0.46</v>
      </c>
      <c r="J54" s="5">
        <f>I54^2*COS(I54)</f>
        <v>0.18960470847640115</v>
      </c>
      <c r="K54" s="16">
        <f>K53+(J54+J53)*(I54-I53)/2</f>
        <v>3.041759020370682E-2</v>
      </c>
      <c r="L54" s="44">
        <f t="shared" si="0"/>
        <v>3.0411503226347669E-2</v>
      </c>
      <c r="M54" s="5">
        <f t="shared" si="3"/>
        <v>2.0015378108232597E-4</v>
      </c>
    </row>
    <row r="55" spans="2:13" ht="15.75" x14ac:dyDescent="0.25">
      <c r="B55" s="3"/>
      <c r="C55" s="3"/>
      <c r="D55" s="3"/>
      <c r="E55" s="3"/>
      <c r="I55" s="19">
        <v>0.47</v>
      </c>
      <c r="J55" s="5">
        <f>I55^2*COS(I55)</f>
        <v>0.19694743486234814</v>
      </c>
      <c r="K55" s="16">
        <f>K54+(J55+J54)*(I55-I54)/2</f>
        <v>3.2350350920400554E-2</v>
      </c>
      <c r="L55" s="44">
        <f t="shared" si="0"/>
        <v>3.2344200585708749E-2</v>
      </c>
      <c r="M55" s="5">
        <f t="shared" si="3"/>
        <v>1.9015262645022505E-4</v>
      </c>
    </row>
    <row r="56" spans="2:13" ht="15.75" x14ac:dyDescent="0.25">
      <c r="B56" s="3"/>
      <c r="C56" s="3"/>
      <c r="D56" s="3"/>
      <c r="E56" s="3"/>
      <c r="I56" s="19">
        <v>0.48</v>
      </c>
      <c r="J56" s="5">
        <f>I56^2*COS(I56)</f>
        <v>0.20436363020834705</v>
      </c>
      <c r="K56" s="16">
        <f>K55+(J56+J55)*(I56-I55)/2</f>
        <v>3.4356906245754035E-2</v>
      </c>
      <c r="L56" s="44">
        <f t="shared" si="0"/>
        <v>3.4350696829904548E-2</v>
      </c>
      <c r="M56" s="5">
        <f t="shared" si="3"/>
        <v>1.8076535332701488E-4</v>
      </c>
    </row>
    <row r="57" spans="2:13" ht="15.75" x14ac:dyDescent="0.25">
      <c r="B57" s="3"/>
      <c r="C57" s="3"/>
      <c r="D57" s="3"/>
      <c r="E57" s="3"/>
      <c r="I57" s="19">
        <v>0.49</v>
      </c>
      <c r="J57" s="5">
        <f>I57^2*COS(I57)</f>
        <v>0.21184811935229014</v>
      </c>
      <c r="K57" s="16">
        <f>K56+(J57+J56)*(I57-I56)/2</f>
        <v>3.6437964993557226E-2</v>
      </c>
      <c r="L57" s="44">
        <f t="shared" si="0"/>
        <v>3.6431700845497961E-2</v>
      </c>
      <c r="M57" s="5">
        <f t="shared" si="3"/>
        <v>1.7194223475402765E-4</v>
      </c>
    </row>
    <row r="58" spans="2:13" ht="15.75" x14ac:dyDescent="0.25">
      <c r="B58" s="3"/>
      <c r="C58" s="3"/>
      <c r="D58" s="3"/>
      <c r="E58" s="3"/>
      <c r="I58" s="19">
        <v>0.5</v>
      </c>
      <c r="J58" s="5">
        <f>I58^2*COS(I58)</f>
        <v>0.21939564047259319</v>
      </c>
      <c r="K58" s="16">
        <f>K57+(J58+J57)*(I58-I57)/2</f>
        <v>3.8594183792681647E-2</v>
      </c>
      <c r="L58" s="44">
        <f t="shared" si="0"/>
        <v>3.8587869333017499E-2</v>
      </c>
      <c r="M58" s="5">
        <f t="shared" si="3"/>
        <v>1.6363846393416725E-4</v>
      </c>
    </row>
    <row r="59" spans="2:13" ht="15.75" x14ac:dyDescent="0.25">
      <c r="B59" s="3"/>
      <c r="C59" s="3"/>
      <c r="D59" s="3"/>
      <c r="E59" s="3"/>
      <c r="I59" s="19">
        <v>0.51</v>
      </c>
      <c r="J59" s="5">
        <f>I59^2*COS(I59)</f>
        <v>0.22700084643865992</v>
      </c>
      <c r="K59" s="16">
        <f>K58+(J59+J58)*(I59-I58)/2</f>
        <v>4.0826166227237913E-2</v>
      </c>
      <c r="L59" s="44">
        <f t="shared" si="0"/>
        <v>4.0819805947095555E-2</v>
      </c>
      <c r="M59" s="5">
        <f t="shared" si="3"/>
        <v>1.5581358104937716E-4</v>
      </c>
    </row>
    <row r="60" spans="2:13" ht="15.75" x14ac:dyDescent="0.25">
      <c r="B60" s="3"/>
      <c r="C60" s="3"/>
      <c r="D60" s="3"/>
      <c r="E60" s="3"/>
      <c r="I60" s="19">
        <v>0.52</v>
      </c>
      <c r="J60" s="5">
        <f>I60^2*COS(I60)</f>
        <v>0.23465830618483655</v>
      </c>
      <c r="K60" s="16">
        <f>K59+(J60+J59)*(I60-I59)/2</f>
        <v>4.3134461990355394E-2</v>
      </c>
      <c r="L60" s="44">
        <f t="shared" si="0"/>
        <v>4.3128060450228878E-2</v>
      </c>
      <c r="M60" s="5">
        <f t="shared" si="3"/>
        <v>1.484309764846401E-4</v>
      </c>
    </row>
    <row r="61" spans="2:13" ht="15.75" x14ac:dyDescent="0.25">
      <c r="B61" s="3"/>
      <c r="C61" s="3"/>
      <c r="D61" s="3"/>
      <c r="E61" s="3"/>
      <c r="I61" s="19">
        <v>0.53</v>
      </c>
      <c r="J61" s="5">
        <f>I61^2*COS(I61)</f>
        <v>0.24236250610759641</v>
      </c>
      <c r="K61" s="16">
        <f>K60+(J61+J60)*(I61-I60)/2</f>
        <v>4.5519566051817562E-2</v>
      </c>
      <c r="L61" s="44">
        <f t="shared" si="0"/>
        <v>4.5513127880394411E-2</v>
      </c>
      <c r="M61" s="5">
        <f t="shared" si="3"/>
        <v>1.4145745904500464E-4</v>
      </c>
    </row>
    <row r="62" spans="2:13" ht="15.75" x14ac:dyDescent="0.25">
      <c r="B62" s="3"/>
      <c r="C62" s="3"/>
      <c r="D62" s="3"/>
      <c r="E62" s="3"/>
      <c r="I62" s="19">
        <v>0.54</v>
      </c>
      <c r="J62" s="5">
        <f>I62^2*COS(I62)</f>
        <v>0.25010785148569115</v>
      </c>
      <c r="K62" s="16">
        <f>K61+(J62+J61)*(I62-I61)/2</f>
        <v>4.7981917839784005E-2</v>
      </c>
      <c r="L62" s="44">
        <f t="shared" si="0"/>
        <v>4.7975447732751642E-2</v>
      </c>
      <c r="M62" s="5">
        <f t="shared" si="3"/>
        <v>1.3486287962137419E-4</v>
      </c>
    </row>
    <row r="63" spans="2:13" ht="15.75" x14ac:dyDescent="0.25">
      <c r="B63" s="3"/>
      <c r="C63" s="3"/>
      <c r="D63" s="3"/>
      <c r="E63" s="3"/>
      <c r="I63" s="19">
        <v>0.55000000000000004</v>
      </c>
      <c r="J63" s="5">
        <f>I63^2*COS(I63)</f>
        <v>0.25788866792300053</v>
      </c>
      <c r="K63" s="16">
        <f>K62+(J63+J62)*(I63-I62)/2</f>
        <v>5.0521900436827465E-2</v>
      </c>
      <c r="L63" s="44">
        <f t="shared" si="0"/>
        <v>5.0515403155662275E-2</v>
      </c>
      <c r="M63" s="5">
        <f t="shared" si="3"/>
        <v>1.2861980226443493E-4</v>
      </c>
    </row>
    <row r="64" spans="2:13" ht="15.75" x14ac:dyDescent="0.25">
      <c r="B64" s="3"/>
      <c r="C64" s="3"/>
      <c r="D64" s="3"/>
      <c r="E64" s="3"/>
      <c r="I64" s="19">
        <v>0.56000000000000005</v>
      </c>
      <c r="J64" s="5">
        <f>I64^2*COS(I64)</f>
        <v>0.26569920281380732</v>
      </c>
      <c r="K64" s="16">
        <f>K63+(J64+J63)*(I64-I63)/2</f>
        <v>5.3139839790511505E-2</v>
      </c>
      <c r="L64" s="44">
        <f t="shared" si="0"/>
        <v>5.3133320161248276E-2</v>
      </c>
      <c r="M64" s="5">
        <f t="shared" si="3"/>
        <v>1.2270321605054263E-4</v>
      </c>
    </row>
    <row r="65" spans="2:13" ht="15.75" x14ac:dyDescent="0.25">
      <c r="B65" s="3"/>
      <c r="C65" s="3"/>
      <c r="D65" s="3"/>
      <c r="E65" s="3"/>
      <c r="I65" s="19">
        <v>0.56999999999999995</v>
      </c>
      <c r="J65" s="5">
        <f>I65^2*COS(I65)</f>
        <v>0.27353362683022109</v>
      </c>
      <c r="K65" s="16">
        <f>K64+(J65+J64)*(I65-I64)/2</f>
        <v>5.5836003938731622E-2</v>
      </c>
      <c r="L65" s="44">
        <f t="shared" si="0"/>
        <v>5.582946685071466E-2</v>
      </c>
      <c r="M65" s="5">
        <f t="shared" si="3"/>
        <v>1.1709028199109514E-4</v>
      </c>
    </row>
    <row r="66" spans="2:13" ht="15.75" x14ac:dyDescent="0.25">
      <c r="B66" s="3"/>
      <c r="C66" s="3"/>
      <c r="D66" s="3"/>
      <c r="E66" s="3"/>
      <c r="I66" s="19">
        <v>0.57999999999999996</v>
      </c>
      <c r="J66" s="5">
        <f>I66^2*COS(I66)</f>
        <v>0.28138603543146884</v>
      </c>
      <c r="K66" s="16">
        <f>K65+(J66+J65)*(I66-I65)/2</f>
        <v>5.8610602250040077E-2</v>
      </c>
      <c r="L66" s="44">
        <f t="shared" si="0"/>
        <v>5.8604052654655847E-2</v>
      </c>
      <c r="M66" s="5">
        <f t="shared" si="3"/>
        <v>1.1176011022352425E-4</v>
      </c>
    </row>
    <row r="67" spans="2:13" ht="15.75" x14ac:dyDescent="0.25">
      <c r="B67" s="3"/>
      <c r="C67" s="3"/>
      <c r="D67" s="3"/>
      <c r="E67" s="3"/>
      <c r="I67" s="19">
        <v>0.59</v>
      </c>
      <c r="J67" s="5">
        <f>I67^2*COS(I67)</f>
        <v>0.28925045039476693</v>
      </c>
      <c r="K67" s="16">
        <f>K66+(J67+J66)*(I67-I66)/2</f>
        <v>6.1463784679171261E-2</v>
      </c>
      <c r="L67" s="44">
        <f t="shared" si="0"/>
        <v>6.1457227588565422E-2</v>
      </c>
      <c r="M67" s="5">
        <f t="shared" si="3"/>
        <v>1.0669356336307601E-4</v>
      </c>
    </row>
    <row r="68" spans="2:13" ht="15.75" x14ac:dyDescent="0.25">
      <c r="B68" s="3"/>
      <c r="C68" s="3"/>
      <c r="D68" s="3"/>
      <c r="E68" s="3"/>
      <c r="I68" s="19">
        <v>0.6</v>
      </c>
      <c r="J68" s="5">
        <f>I68^2*COS(I68)</f>
        <v>0.29712082136748419</v>
      </c>
      <c r="K68" s="16">
        <f>K67+(J68+J67)*(I68-I67)/2</f>
        <v>6.4395641037982523E-2</v>
      </c>
      <c r="L68" s="44">
        <f t="shared" si="0"/>
        <v>6.4389081523755998E-2</v>
      </c>
      <c r="M68" s="5">
        <f t="shared" si="3"/>
        <v>1.0187308269190917E-4</v>
      </c>
    </row>
    <row r="69" spans="2:13" ht="15.75" x14ac:dyDescent="0.25">
      <c r="B69" s="3"/>
      <c r="C69" s="3"/>
      <c r="D69" s="3"/>
      <c r="E69" s="3"/>
      <c r="I69" s="19">
        <v>0.61</v>
      </c>
      <c r="J69" s="5">
        <f>I69^2*COS(I69)</f>
        <v>0.30499102744030288</v>
      </c>
      <c r="K69" s="16">
        <f>K68+(J69+J68)*(I69-I68)/2</f>
        <v>6.7406200282021461E-2</v>
      </c>
      <c r="L69" s="44">
        <f t="shared" si="0"/>
        <v>6.7399643473911475E-2</v>
      </c>
      <c r="M69" s="5">
        <f t="shared" si="3"/>
        <v>9.7282534031866913E-5</v>
      </c>
    </row>
    <row r="70" spans="2:13" ht="15.75" x14ac:dyDescent="0.25">
      <c r="B70" s="3"/>
      <c r="C70" s="3"/>
      <c r="D70" s="3"/>
      <c r="E70" s="3"/>
      <c r="I70" s="19">
        <v>0.62</v>
      </c>
      <c r="J70" s="5">
        <f>I70^2*COS(I70)</f>
        <v>0.31285487874107804</v>
      </c>
      <c r="K70" s="16">
        <f>K69+(J70+J69)*(I70-I69)/2</f>
        <v>7.0495429812928362E-2</v>
      </c>
      <c r="L70" s="44">
        <f t="shared" si="0"/>
        <v>7.0488880897471962E-2</v>
      </c>
      <c r="M70" s="5">
        <f t="shared" si="3"/>
        <v>9.2907070916983613E-5</v>
      </c>
    </row>
    <row r="71" spans="2:13" ht="15.75" x14ac:dyDescent="0.25">
      <c r="B71" s="3"/>
      <c r="C71" s="3"/>
      <c r="D71" s="3"/>
      <c r="E71" s="3"/>
      <c r="I71" s="19">
        <v>0.63</v>
      </c>
      <c r="J71" s="5">
        <f>I71^2*COS(I71)</f>
        <v>0.3207061180490931</v>
      </c>
      <c r="K71" s="16">
        <f>K70+(J71+J70)*(I71-I70)/2</f>
        <v>7.3663234796879223E-2</v>
      </c>
      <c r="L71" s="44">
        <f t="shared" si="0"/>
        <v>7.3656699016059202E-2</v>
      </c>
      <c r="M71" s="5">
        <f t="shared" si="3"/>
        <v>8.8733012846485654E-5</v>
      </c>
    </row>
    <row r="72" spans="2:13" ht="15.75" x14ac:dyDescent="0.25">
      <c r="B72" s="3"/>
      <c r="C72" s="3"/>
      <c r="D72" s="3"/>
      <c r="E72" s="3"/>
      <c r="I72" s="19">
        <v>0.64</v>
      </c>
      <c r="J72" s="5">
        <f>I72^2*COS(I72)</f>
        <v>0.32853842242940628</v>
      </c>
      <c r="K72" s="16">
        <f>K71+(J72+J71)*(I72-I71)/2</f>
        <v>7.6909457499271722E-2</v>
      </c>
      <c r="L72" s="44">
        <f t="shared" si="0"/>
        <v>7.6902940149146337E-2</v>
      </c>
      <c r="M72" s="5">
        <f t="shared" si="3"/>
        <v>8.4747736728202512E-5</v>
      </c>
    </row>
    <row r="73" spans="2:13" ht="15.75" x14ac:dyDescent="0.25">
      <c r="B73" s="3"/>
      <c r="C73" s="3"/>
      <c r="D73" s="3"/>
      <c r="E73" s="3"/>
      <c r="I73" s="19">
        <v>0.65</v>
      </c>
      <c r="J73" s="5">
        <f>I73^2*COS(I73)</f>
        <v>0.33634540488697612</v>
      </c>
      <c r="K73" s="16">
        <f>K72+(J73+J72)*(I73-I72)/2</f>
        <v>8.0233876635853643E-2</v>
      </c>
      <c r="L73" s="44">
        <f t="shared" ref="L73:L108" si="4">(I73^2*SIN(I73))+(2*I73*COS(I73))-(2*SIN(I73))</f>
        <v>8.0227383065170299E-2</v>
      </c>
      <c r="M73" s="5">
        <f t="shared" si="3"/>
        <v>8.0939579919604896E-5</v>
      </c>
    </row>
    <row r="74" spans="2:13" ht="15.75" x14ac:dyDescent="0.25">
      <c r="B74" s="3"/>
      <c r="C74" s="3"/>
      <c r="D74" s="3"/>
      <c r="E74" s="3"/>
      <c r="I74" s="19">
        <v>0.66</v>
      </c>
      <c r="J74" s="5">
        <f>I74^2*COS(I74)</f>
        <v>0.34412061604025224</v>
      </c>
      <c r="K74" s="16">
        <f>K73+(J74+J73)*(I74-I73)/2</f>
        <v>8.3636206740489785E-2</v>
      </c>
      <c r="L74" s="44">
        <f t="shared" si="4"/>
        <v>8.3629742349282221E-2</v>
      </c>
      <c r="M74" s="5">
        <f t="shared" ref="M74:M108" si="5">(K74-L74)/L74</f>
        <v>7.7297753478245863E-5</v>
      </c>
    </row>
    <row r="75" spans="2:13" ht="15.75" x14ac:dyDescent="0.25">
      <c r="B75" s="3"/>
      <c r="C75" s="3"/>
      <c r="D75" s="3"/>
      <c r="E75" s="3"/>
      <c r="I75" s="19">
        <v>0.67</v>
      </c>
      <c r="J75" s="5">
        <f>I75^2*COS(I75)</f>
        <v>0.35185754581391326</v>
      </c>
      <c r="K75" s="16">
        <f>K74+(J75+J74)*(I75-I74)/2</f>
        <v>8.7116097549760615E-2</v>
      </c>
      <c r="L75" s="44">
        <f t="shared" si="4"/>
        <v>8.7109667787930167E-2</v>
      </c>
      <c r="M75" s="5">
        <f t="shared" si="5"/>
        <v>7.3812264398729463E-5</v>
      </c>
    </row>
    <row r="76" spans="2:13" ht="15.75" x14ac:dyDescent="0.25">
      <c r="B76" s="3"/>
      <c r="C76" s="3"/>
      <c r="D76" s="3"/>
      <c r="E76" s="3"/>
      <c r="I76" s="19">
        <v>0.68</v>
      </c>
      <c r="J76" s="5">
        <f>I76^2*COS(I76)</f>
        <v>0.35954962515042915</v>
      </c>
      <c r="K76" s="16">
        <f>K75+(J76+J75)*(I76-I75)/2</f>
        <v>9.0673133404582329E-2</v>
      </c>
      <c r="L76" s="44">
        <f t="shared" si="4"/>
        <v>9.0666743770464686E-2</v>
      </c>
      <c r="M76" s="5">
        <f t="shared" si="5"/>
        <v>7.0473845777665217E-5</v>
      </c>
    </row>
    <row r="77" spans="2:13" ht="15.75" x14ac:dyDescent="0.25">
      <c r="B77" s="3"/>
      <c r="C77" s="3"/>
      <c r="D77" s="3"/>
      <c r="E77" s="3"/>
      <c r="I77" s="19">
        <v>0.69</v>
      </c>
      <c r="J77" s="5">
        <f>I77^2*COS(I77)</f>
        <v>0.36719022774012239</v>
      </c>
      <c r="K77" s="16">
        <f>K76+(J77+J76)*(I77-I76)/2</f>
        <v>9.4306832669035057E-2</v>
      </c>
      <c r="L77" s="44">
        <f t="shared" si="4"/>
        <v>9.4300488707950159E-2</v>
      </c>
      <c r="M77" s="5">
        <f t="shared" si="5"/>
        <v>6.7273894036174375E-5</v>
      </c>
    </row>
    <row r="78" spans="2:13" ht="15.75" x14ac:dyDescent="0.25">
      <c r="B78" s="3"/>
      <c r="C78" s="3"/>
      <c r="D78" s="3"/>
      <c r="E78" s="3"/>
      <c r="I78" s="19">
        <v>0.7</v>
      </c>
      <c r="J78" s="5">
        <f>I78^2*COS(I78)</f>
        <v>0.37477267176939932</v>
      </c>
      <c r="K78" s="16">
        <f>K77+(J78+J77)*(I78-I77)/2</f>
        <v>9.8016647166582663E-2</v>
      </c>
      <c r="L78" s="44">
        <f t="shared" si="4"/>
        <v>9.8010354469370231E-2</v>
      </c>
      <c r="M78" s="5">
        <f t="shared" si="5"/>
        <v>6.4204412345005929E-5</v>
      </c>
    </row>
    <row r="79" spans="2:13" ht="15.75" x14ac:dyDescent="0.25">
      <c r="B79" s="3"/>
      <c r="C79" s="3"/>
      <c r="D79" s="3"/>
      <c r="E79" s="3"/>
      <c r="I79" s="19">
        <v>0.71</v>
      </c>
      <c r="J79" s="5">
        <f>I79^2*COS(I79)</f>
        <v>0.3822902216868152</v>
      </c>
      <c r="K79" s="16">
        <f>K78+(J79+J78)*(I79-I78)/2</f>
        <v>0.10180196163386374</v>
      </c>
      <c r="L79" s="44">
        <f t="shared" si="4"/>
        <v>0.10179572583540497</v>
      </c>
      <c r="M79" s="5">
        <f t="shared" si="5"/>
        <v>6.1257959581204887E-5</v>
      </c>
    </row>
    <row r="80" spans="2:13" ht="15.75" x14ac:dyDescent="0.25">
      <c r="B80" s="3"/>
      <c r="C80" s="3"/>
      <c r="D80" s="3"/>
      <c r="E80" s="3"/>
      <c r="I80" s="19">
        <v>0.72</v>
      </c>
      <c r="J80" s="5">
        <f>I80^2*COS(I80)</f>
        <v>0.38973608998664</v>
      </c>
      <c r="K80" s="16">
        <f>K79+(J80+J79)*(I80-I79)/2</f>
        <v>0.10566209319223102</v>
      </c>
      <c r="L80" s="44">
        <f t="shared" si="4"/>
        <v>0.10565591996995427</v>
      </c>
      <c r="M80" s="5">
        <f t="shared" si="5"/>
        <v>5.8427604231795696E-5</v>
      </c>
    </row>
    <row r="81" spans="2:13" ht="15.75" x14ac:dyDescent="0.25">
      <c r="B81" s="3"/>
      <c r="C81" s="3"/>
      <c r="D81" s="3"/>
      <c r="E81" s="3"/>
      <c r="I81" s="19">
        <v>0.73</v>
      </c>
      <c r="J81" s="5">
        <f>I81^2*COS(I81)</f>
        <v>0.39710343900958139</v>
      </c>
      <c r="K81" s="16">
        <f>K80+(J81+J80)*(I81-I80)/2</f>
        <v>0.10959629083721213</v>
      </c>
      <c r="L81" s="44">
        <f t="shared" si="4"/>
        <v>0.10959018590958558</v>
      </c>
      <c r="M81" s="5">
        <f t="shared" si="5"/>
        <v>5.5706882654515231E-5</v>
      </c>
    </row>
    <row r="82" spans="2:13" ht="15.75" x14ac:dyDescent="0.25">
      <c r="B82" s="3"/>
      <c r="C82" s="3"/>
      <c r="D82" s="3"/>
      <c r="E82" s="3"/>
      <c r="I82" s="19">
        <v>0.74</v>
      </c>
      <c r="J82" s="5">
        <f>I82^2*COS(I82)</f>
        <v>0.40438538276032232</v>
      </c>
      <c r="K82" s="16">
        <f>K81+(J82+J81)*(I82-I81)/2</f>
        <v>0.11360373494606166</v>
      </c>
      <c r="L82" s="44">
        <f t="shared" si="4"/>
        <v>0.11359770407107228</v>
      </c>
      <c r="M82" s="5">
        <f t="shared" si="5"/>
        <v>5.3089761264923989E-5</v>
      </c>
    </row>
    <row r="83" spans="2:13" ht="15.75" x14ac:dyDescent="0.25">
      <c r="B83" s="3"/>
      <c r="C83" s="3"/>
      <c r="D83" s="3"/>
      <c r="E83" s="3"/>
      <c r="I83" s="19">
        <v>0.75</v>
      </c>
      <c r="J83" s="5">
        <f>I83^2*COS(I83)</f>
        <v>0.41157498874152426</v>
      </c>
      <c r="K83" s="16">
        <f>K82+(J83+J82)*(I83-I82)/2</f>
        <v>0.1176835368035709</v>
      </c>
      <c r="L83" s="44">
        <f t="shared" si="4"/>
        <v>0.11767758577718856</v>
      </c>
      <c r="M83" s="5">
        <f t="shared" si="5"/>
        <v>5.0570602235149721E-5</v>
      </c>
    </row>
    <row r="84" spans="2:13" ht="15.75" x14ac:dyDescent="0.25">
      <c r="B84" s="3"/>
      <c r="C84" s="3"/>
      <c r="D84" s="3"/>
      <c r="E84" s="3"/>
      <c r="I84" s="19">
        <v>0.76</v>
      </c>
      <c r="J84" s="5">
        <f>I84^2*COS(I84)</f>
        <v>0.41866527980394685</v>
      </c>
      <c r="K84" s="16">
        <f>K83+(J84+J83)*(I84-I83)/2</f>
        <v>0.12183473814629825</v>
      </c>
      <c r="L84" s="44">
        <f t="shared" si="4"/>
        <v>0.12182887280092758</v>
      </c>
      <c r="M84" s="5">
        <f t="shared" si="5"/>
        <v>4.8144132304781834E-5</v>
      </c>
    </row>
    <row r="85" spans="2:13" ht="15.75" x14ac:dyDescent="0.25">
      <c r="B85" s="3"/>
      <c r="C85" s="3"/>
      <c r="D85" s="3"/>
      <c r="E85" s="3"/>
      <c r="I85" s="19">
        <v>0.77</v>
      </c>
      <c r="J85" s="5">
        <f>I85^2*COS(I85)</f>
        <v>0.42564923601232829</v>
      </c>
      <c r="K85" s="16">
        <f>K84+(J85+J84)*(I85-I84)/2</f>
        <v>0.12605631072537962</v>
      </c>
      <c r="L85" s="44">
        <f t="shared" si="4"/>
        <v>0.12605053692829893</v>
      </c>
      <c r="M85" s="5">
        <f t="shared" si="5"/>
        <v>4.5805414410713664E-5</v>
      </c>
    </row>
    <row r="86" spans="2:13" ht="15.75" x14ac:dyDescent="0.25">
      <c r="B86" s="3"/>
      <c r="C86" s="3"/>
      <c r="D86" s="3"/>
      <c r="E86" s="3"/>
      <c r="I86" s="19">
        <v>0.78</v>
      </c>
      <c r="J86" s="5">
        <f>I86^2*COS(I86)</f>
        <v>0.43251979652666955</v>
      </c>
      <c r="K86" s="16">
        <f>K85+(J86+J85)*(I86-I85)/2</f>
        <v>0.13034715588807461</v>
      </c>
      <c r="L86" s="44">
        <f t="shared" si="4"/>
        <v>0.13034147953986208</v>
      </c>
      <c r="M86" s="5">
        <f t="shared" si="5"/>
        <v>4.3549821841545067E-5</v>
      </c>
    </row>
    <row r="87" spans="2:13" ht="15.75" x14ac:dyDescent="0.25">
      <c r="B87" s="3"/>
      <c r="C87" s="3"/>
      <c r="D87" s="3"/>
      <c r="E87" s="3"/>
      <c r="I87" s="19">
        <v>0.79</v>
      </c>
      <c r="J87" s="5">
        <f>I87^2*COS(I87)</f>
        <v>0.43926986149856062</v>
      </c>
      <c r="K87" s="16">
        <f>K86+(J87+J86)*(I87-I86)/2</f>
        <v>0.13470610417820075</v>
      </c>
      <c r="L87" s="44">
        <f t="shared" si="4"/>
        <v>0.13470053121114667</v>
      </c>
      <c r="M87" s="5">
        <f t="shared" si="5"/>
        <v>4.1373014671702884E-5</v>
      </c>
    </row>
    <row r="88" spans="2:13" ht="15.75" x14ac:dyDescent="0.25">
      <c r="B88" s="3"/>
      <c r="C88" s="3"/>
      <c r="D88" s="3"/>
      <c r="E88" s="3"/>
      <c r="I88" s="19">
        <v>0.8</v>
      </c>
      <c r="J88" s="5">
        <f>I88^2*COS(I88)</f>
        <v>0.44589229398218594</v>
      </c>
      <c r="K88" s="16">
        <f>K87+(J88+J87)*(I88-I87)/2</f>
        <v>0.13913191495560448</v>
      </c>
      <c r="L88" s="44">
        <f t="shared" si="4"/>
        <v>0.13912645133211377</v>
      </c>
      <c r="M88" s="5">
        <f t="shared" si="5"/>
        <v>3.927091820715096E-5</v>
      </c>
    </row>
    <row r="89" spans="2:13" ht="15.75" x14ac:dyDescent="0.25">
      <c r="B89" s="3"/>
      <c r="C89" s="3"/>
      <c r="D89" s="3"/>
      <c r="E89" s="3"/>
      <c r="I89" s="19">
        <v>0.81</v>
      </c>
      <c r="J89" s="5">
        <f>I89^2*COS(I89)</f>
        <v>0.45237992185964127</v>
      </c>
      <c r="K89" s="16">
        <f>K88+(J89+J88)*(I89-I88)/2</f>
        <v>0.14362327603481362</v>
      </c>
      <c r="L89" s="44">
        <f t="shared" si="4"/>
        <v>0.14361792774579585</v>
      </c>
      <c r="M89" s="5">
        <f t="shared" si="5"/>
        <v>3.7239703299693745E-5</v>
      </c>
    </row>
    <row r="90" spans="2:13" ht="15.75" x14ac:dyDescent="0.25">
      <c r="B90" s="3"/>
      <c r="C90" s="3"/>
      <c r="D90" s="3"/>
      <c r="E90" s="3"/>
      <c r="I90" s="19">
        <v>0.82</v>
      </c>
      <c r="J90" s="5">
        <f>I90^2*COS(I90)</f>
        <v>0.45872553978019132</v>
      </c>
      <c r="K90" s="16">
        <f>K89+(J90+J89)*(I90-I89)/2</f>
        <v>0.14817880334301273</v>
      </c>
      <c r="L90" s="44">
        <f t="shared" si="4"/>
        <v>0.14817357640625928</v>
      </c>
      <c r="M90" s="5">
        <f t="shared" si="5"/>
        <v>3.5275768326726105E-5</v>
      </c>
    </row>
    <row r="91" spans="2:13" ht="15.75" x14ac:dyDescent="0.25">
      <c r="B91" s="3"/>
      <c r="C91" s="3"/>
      <c r="D91" s="3"/>
      <c r="E91" s="3"/>
      <c r="I91" s="19">
        <v>0.83</v>
      </c>
      <c r="J91" s="5">
        <f>I91^2*COS(I91)</f>
        <v>0.46492191111309589</v>
      </c>
      <c r="K91" s="16">
        <f>K90+(J91+J90)*(I91-I90)/2</f>
        <v>0.15279704059747917</v>
      </c>
      <c r="L91" s="44">
        <f t="shared" si="4"/>
        <v>0.15279194105603122</v>
      </c>
      <c r="M91" s="5">
        <f t="shared" si="5"/>
        <v>3.3375722650714657E-5</v>
      </c>
    </row>
    <row r="92" spans="2:13" ht="15.75" x14ac:dyDescent="0.25">
      <c r="B92" s="3"/>
      <c r="C92" s="3"/>
      <c r="D92" s="3"/>
      <c r="E92" s="3"/>
      <c r="I92" s="19">
        <v>0.84</v>
      </c>
      <c r="J92" s="5">
        <f>I92^2*COS(I92)</f>
        <v>0.47096176991362693</v>
      </c>
      <c r="K92" s="16">
        <f>K91+(J92+J91)*(I92-I91)/2</f>
        <v>0.15747645900261278</v>
      </c>
      <c r="L92" s="44">
        <f t="shared" si="4"/>
        <v>0.15747149292311713</v>
      </c>
      <c r="M92" s="5">
        <f t="shared" si="5"/>
        <v>3.1536371462991095E-5</v>
      </c>
    </row>
    <row r="93" spans="2:13" ht="15.75" x14ac:dyDescent="0.25">
      <c r="B93" s="3"/>
      <c r="C93" s="3"/>
      <c r="D93" s="3"/>
      <c r="E93" s="3"/>
      <c r="I93" s="19">
        <v>0.85</v>
      </c>
      <c r="J93" s="5">
        <f>I93^2*COS(I93)</f>
        <v>0.47683782290189958</v>
      </c>
      <c r="K93" s="16">
        <f>K92+(J93+J92)*(I93-I92)/2</f>
        <v>0.16221545696669043</v>
      </c>
      <c r="L93" s="44">
        <f t="shared" si="4"/>
        <v>0.16221063043774575</v>
      </c>
      <c r="M93" s="5">
        <f t="shared" si="5"/>
        <v>2.9754701844473266E-5</v>
      </c>
    </row>
    <row r="94" spans="2:13" ht="15.75" x14ac:dyDescent="0.25">
      <c r="B94" s="3"/>
      <c r="C94" s="3"/>
      <c r="D94" s="3"/>
      <c r="E94" s="3"/>
      <c r="I94" s="19">
        <v>0.86</v>
      </c>
      <c r="J94" s="5">
        <f>I94^2*COS(I94)</f>
        <v>0.48254275145413272</v>
      </c>
      <c r="K94" s="16">
        <f>K93+(J94+J93)*(I94-I93)/2</f>
        <v>0.1670123598384706</v>
      </c>
      <c r="L94" s="44">
        <f t="shared" si="4"/>
        <v>0.16700767896896207</v>
      </c>
      <c r="M94" s="5">
        <f t="shared" si="5"/>
        <v>2.8027869960384084E-5</v>
      </c>
    </row>
    <row r="95" spans="2:13" ht="15.75" x14ac:dyDescent="0.25">
      <c r="B95" s="3"/>
      <c r="C95" s="3"/>
      <c r="D95" s="3"/>
      <c r="E95" s="3"/>
      <c r="I95" s="19">
        <v>0.87</v>
      </c>
      <c r="J95" s="5">
        <f>I95^2*COS(I95)</f>
        <v>0.48806921360595695</v>
      </c>
      <c r="K95" s="16">
        <f>K94+(J95+J94)*(I95-I94)/2</f>
        <v>0.17186541966377106</v>
      </c>
      <c r="L95" s="44">
        <f t="shared" si="4"/>
        <v>0.17186089058119691</v>
      </c>
      <c r="M95" s="5">
        <f t="shared" si="5"/>
        <v>2.6353189249914219E-5</v>
      </c>
    </row>
    <row r="96" spans="2:13" ht="15.75" x14ac:dyDescent="0.25">
      <c r="B96" s="3"/>
      <c r="C96" s="3"/>
      <c r="D96" s="3"/>
      <c r="E96" s="3"/>
      <c r="I96" s="19">
        <v>0.88</v>
      </c>
      <c r="J96" s="5">
        <f>I96^2*COS(I96)</f>
        <v>0.49340984606738048</v>
      </c>
      <c r="K96" s="16">
        <f>K95+(J96+J95)*(I96-I95)/2</f>
        <v>0.17677281496213776</v>
      </c>
      <c r="L96" s="44">
        <f t="shared" si="4"/>
        <v>0.17676844381092427</v>
      </c>
      <c r="M96" s="5">
        <f t="shared" si="5"/>
        <v>2.4728119562814477E-5</v>
      </c>
    </row>
    <row r="97" spans="2:13" ht="15.75" x14ac:dyDescent="0.25">
      <c r="B97" s="3"/>
      <c r="C97" s="3"/>
      <c r="D97" s="3"/>
      <c r="E97" s="3"/>
      <c r="I97" s="19">
        <v>0.89</v>
      </c>
      <c r="J97" s="5">
        <f>I97^2*COS(I97)</f>
        <v>0.4985572662490253</v>
      </c>
      <c r="K97" s="16">
        <f>K96+(J97+J96)*(I97-I96)/2</f>
        <v>0.18173265052371979</v>
      </c>
      <c r="L97" s="44">
        <f t="shared" si="4"/>
        <v>0.18172844346353001</v>
      </c>
      <c r="M97" s="5">
        <f t="shared" si="5"/>
        <v>2.3150257106671314E-5</v>
      </c>
    </row>
    <row r="98" spans="2:13" ht="15.75" x14ac:dyDescent="0.25">
      <c r="B98" s="3"/>
      <c r="C98" s="3"/>
      <c r="D98" s="3"/>
      <c r="E98" s="3"/>
      <c r="I98" s="19">
        <v>0.9</v>
      </c>
      <c r="J98" s="5">
        <f>I98^2*COS(I98)</f>
        <v>0.50350407429923816</v>
      </c>
      <c r="K98" s="16">
        <f>K97+(J98+J97)*(I98-I97)/2</f>
        <v>0.18674295722646111</v>
      </c>
      <c r="L98" s="44">
        <f t="shared" si="4"/>
        <v>0.18673892043049078</v>
      </c>
      <c r="M98" s="5">
        <f t="shared" si="5"/>
        <v>2.1617325199397016E-5</v>
      </c>
    </row>
    <row r="99" spans="2:13" ht="15.75" x14ac:dyDescent="0.25">
      <c r="B99" s="3"/>
      <c r="C99" s="3"/>
      <c r="D99" s="3"/>
      <c r="E99" s="3"/>
      <c r="I99" s="19">
        <v>0.91</v>
      </c>
      <c r="J99" s="5">
        <f>I99^2*COS(I99)</f>
        <v>0.50824285515168488</v>
      </c>
      <c r="K99" s="16">
        <f>K98+(J99+J98)*(I99-I98)/2</f>
        <v>0.19180169187371574</v>
      </c>
      <c r="L99" s="44">
        <f t="shared" si="4"/>
        <v>0.19179783152698393</v>
      </c>
      <c r="M99" s="5">
        <f t="shared" si="5"/>
        <v>2.0127165677893726E-5</v>
      </c>
    </row>
    <row r="100" spans="2:13" ht="15.75" x14ac:dyDescent="0.25">
      <c r="B100" s="3"/>
      <c r="C100" s="3"/>
      <c r="D100" s="3"/>
      <c r="E100" s="3"/>
      <c r="I100" s="19">
        <v>0.92</v>
      </c>
      <c r="J100" s="5">
        <f>I100^2*COS(I100)</f>
        <v>0.51276618058302692</v>
      </c>
      <c r="K100" s="16">
        <f>K99+(J100+J99)*(I100-I99)/2</f>
        <v>0.19690673705238929</v>
      </c>
      <c r="L100" s="44">
        <f t="shared" si="4"/>
        <v>0.19690305935001984</v>
      </c>
      <c r="M100" s="5">
        <f t="shared" si="5"/>
        <v>1.8677730968670678E-5</v>
      </c>
    </row>
    <row r="101" spans="2:13" ht="15.75" x14ac:dyDescent="0.25">
      <c r="B101" s="3"/>
      <c r="C101" s="3"/>
      <c r="D101" s="3"/>
      <c r="E101" s="3"/>
      <c r="I101" s="19">
        <v>0.93</v>
      </c>
      <c r="J101" s="5">
        <f>I101^2*COS(I101)</f>
        <v>0.51706661128028431</v>
      </c>
      <c r="K101" s="16">
        <f>K100+(J101+J100)*(I101-I100)/2</f>
        <v>0.20205590101170584</v>
      </c>
      <c r="L101" s="44">
        <f t="shared" si="4"/>
        <v>0.20205241215719938</v>
      </c>
      <c r="M101" s="5">
        <f t="shared" si="5"/>
        <v>1.726707674119303E-5</v>
      </c>
    </row>
    <row r="102" spans="2:13" ht="15.75" x14ac:dyDescent="0.25">
      <c r="B102" s="3"/>
      <c r="C102" s="3"/>
      <c r="D102" s="3"/>
      <c r="E102" s="3"/>
      <c r="I102" s="19">
        <v>0.94</v>
      </c>
      <c r="J102" s="5">
        <f>I102^2*COS(I102)</f>
        <v>0.52113669891747838</v>
      </c>
      <c r="K102" s="16">
        <f>K101+(J102+J101)*(I102-I101)/2</f>
        <v>0.20724691756269459</v>
      </c>
      <c r="L102" s="44">
        <f t="shared" si="4"/>
        <v>0.20724362376619521</v>
      </c>
      <c r="M102" s="5">
        <f t="shared" si="5"/>
        <v>1.5893355074208295E-5</v>
      </c>
    </row>
    <row r="103" spans="2:13" ht="15.75" x14ac:dyDescent="0.25">
      <c r="B103" s="3"/>
      <c r="C103" s="3"/>
      <c r="D103" s="3"/>
      <c r="E103" s="3"/>
      <c r="I103" s="19">
        <v>0.95</v>
      </c>
      <c r="J103" s="5">
        <f>I103^2*COS(I103)</f>
        <v>0.5249689882411549</v>
      </c>
      <c r="K103" s="16">
        <f>K102+(J103+J102)*(I103-I102)/2</f>
        <v>0.21247744599848775</v>
      </c>
      <c r="L103" s="44">
        <f t="shared" si="4"/>
        <v>0.21247435347504084</v>
      </c>
      <c r="M103" s="5">
        <f t="shared" si="5"/>
        <v>1.4554808127797414E-5</v>
      </c>
    </row>
    <row r="104" spans="2:13" ht="15.75" x14ac:dyDescent="0.25">
      <c r="B104" s="3"/>
      <c r="C104" s="3"/>
      <c r="D104" s="3"/>
      <c r="E104" s="3"/>
      <c r="I104" s="19">
        <v>0.96</v>
      </c>
      <c r="J104" s="5">
        <f>I104^2*COS(I104)</f>
        <v>0.52855601916437611</v>
      </c>
      <c r="K104" s="16">
        <f>K103+(J104+J103)*(I104-I103)/2</f>
        <v>0.21774507103551541</v>
      </c>
      <c r="L104" s="44">
        <f t="shared" si="4"/>
        <v>0.21774218600332018</v>
      </c>
      <c r="M104" s="5">
        <f t="shared" si="5"/>
        <v>1.3249762244890577E-5</v>
      </c>
    </row>
    <row r="105" spans="2:13" ht="15.75" x14ac:dyDescent="0.25">
      <c r="B105" s="3"/>
      <c r="C105" s="3"/>
      <c r="D105" s="3"/>
      <c r="E105" s="3"/>
      <c r="I105" s="19">
        <v>0.97</v>
      </c>
      <c r="J105" s="5">
        <f>I105^2*COS(I105)</f>
        <v>0.53189032886877741</v>
      </c>
      <c r="K105" s="16">
        <f>K104+(J105+J104)*(I105-I104)/2</f>
        <v>0.22304730277568119</v>
      </c>
      <c r="L105" s="44">
        <f t="shared" si="4"/>
        <v>0.22304463145433506</v>
      </c>
      <c r="M105" s="5">
        <f t="shared" si="5"/>
        <v>1.1976622475546706E-5</v>
      </c>
    </row>
    <row r="106" spans="2:13" ht="15.75" x14ac:dyDescent="0.25">
      <c r="B106" s="3"/>
      <c r="C106" s="3"/>
      <c r="D106" s="3"/>
      <c r="E106" s="3"/>
      <c r="I106" s="19">
        <v>0.98</v>
      </c>
      <c r="J106" s="5">
        <f>I106^2*COS(I106)</f>
        <v>0.53496445391427505</v>
      </c>
      <c r="K106" s="16">
        <f>K105+(J106+J105)*(I106-I105)/2</f>
        <v>0.22838157668959647</v>
      </c>
      <c r="L106" s="44">
        <f t="shared" si="4"/>
        <v>0.22837912529833337</v>
      </c>
      <c r="M106" s="5">
        <f t="shared" si="5"/>
        <v>1.0733867466606836E-5</v>
      </c>
    </row>
    <row r="107" spans="2:13" ht="15.75" x14ac:dyDescent="0.25">
      <c r="B107" s="3"/>
      <c r="C107" s="3"/>
      <c r="D107" s="3"/>
      <c r="E107" s="3"/>
      <c r="I107" s="19">
        <v>0.99</v>
      </c>
      <c r="J107" s="5">
        <f>I107^2*COS(I107)</f>
        <v>0.53777093235601392</v>
      </c>
      <c r="K107" s="16">
        <f>K106+(J107+J106)*(I107-I106)/2</f>
        <v>0.23374525362094792</v>
      </c>
      <c r="L107" s="44">
        <f t="shared" si="4"/>
        <v>0.23374302837687244</v>
      </c>
      <c r="M107" s="5">
        <f t="shared" si="5"/>
        <v>9.5200446872314733E-6</v>
      </c>
    </row>
    <row r="108" spans="2:13" ht="15.75" x14ac:dyDescent="0.25">
      <c r="B108" s="3"/>
      <c r="C108" s="3"/>
      <c r="D108" s="3"/>
      <c r="E108" s="3"/>
      <c r="I108" s="21">
        <v>1</v>
      </c>
      <c r="J108" s="7">
        <f>I108^2*COS(I108)</f>
        <v>0.54030230586813977</v>
      </c>
      <c r="K108" s="16">
        <f>K107+(J108+J107)*(I108-I107)/2</f>
        <v>0.23913561981206868</v>
      </c>
      <c r="L108" s="44">
        <f t="shared" si="4"/>
        <v>0.23913362692838303</v>
      </c>
      <c r="M108" s="7">
        <f t="shared" si="5"/>
        <v>8.3337659837170486E-6</v>
      </c>
    </row>
  </sheetData>
  <mergeCells count="4">
    <mergeCell ref="C3:D3"/>
    <mergeCell ref="B6:M6"/>
    <mergeCell ref="B5:M5"/>
    <mergeCell ref="H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797E-0287-4916-BC13-D967E98D2CE0}">
  <dimension ref="A1:O18"/>
  <sheetViews>
    <sheetView topLeftCell="A2" workbookViewId="0">
      <selection activeCell="D6" sqref="D6"/>
    </sheetView>
  </sheetViews>
  <sheetFormatPr defaultRowHeight="15" x14ac:dyDescent="0.25"/>
  <cols>
    <col min="1" max="1" width="16.42578125" customWidth="1"/>
    <col min="2" max="2" width="9.42578125" bestFit="1" customWidth="1"/>
    <col min="3" max="3" width="10.7109375" bestFit="1" customWidth="1"/>
    <col min="4" max="4" width="9.42578125" customWidth="1"/>
    <col min="5" max="5" width="16.7109375" customWidth="1"/>
    <col min="6" max="6" width="8.28515625" customWidth="1"/>
    <col min="7" max="7" width="11.42578125" customWidth="1"/>
    <col min="8" max="8" width="10.85546875" bestFit="1" customWidth="1"/>
    <col min="9" max="9" width="13.7109375" customWidth="1"/>
    <col min="10" max="10" width="15.85546875" bestFit="1" customWidth="1"/>
    <col min="11" max="11" width="6.7109375" customWidth="1"/>
    <col min="12" max="12" width="9.42578125" bestFit="1" customWidth="1"/>
    <col min="13" max="13" width="10.85546875" bestFit="1" customWidth="1"/>
    <col min="14" max="14" width="13.7109375" customWidth="1"/>
    <col min="15" max="15" width="16" customWidth="1"/>
    <col min="16" max="16" width="15.42578125" customWidth="1"/>
  </cols>
  <sheetData>
    <row r="1" spans="1:15" ht="15.7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x14ac:dyDescent="0.25">
      <c r="A2" s="32" t="s">
        <v>38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x14ac:dyDescent="0.25">
      <c r="A7" s="9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1.5" x14ac:dyDescent="0.25">
      <c r="A8" s="54"/>
      <c r="B8" s="66" t="s">
        <v>42</v>
      </c>
      <c r="C8" s="67" t="s">
        <v>46</v>
      </c>
      <c r="D8" s="68" t="s">
        <v>47</v>
      </c>
      <c r="E8" s="64" t="s">
        <v>49</v>
      </c>
      <c r="F8" s="3"/>
      <c r="G8" s="66" t="s">
        <v>43</v>
      </c>
      <c r="H8" s="67" t="s">
        <v>46</v>
      </c>
      <c r="I8" s="68" t="s">
        <v>47</v>
      </c>
      <c r="J8" s="64" t="s">
        <v>49</v>
      </c>
      <c r="K8" s="3"/>
      <c r="L8" s="66" t="s">
        <v>44</v>
      </c>
      <c r="M8" s="67" t="s">
        <v>46</v>
      </c>
      <c r="N8" s="68" t="s">
        <v>47</v>
      </c>
      <c r="O8" s="64" t="s">
        <v>49</v>
      </c>
    </row>
    <row r="9" spans="1:15" ht="15.75" x14ac:dyDescent="0.25">
      <c r="A9" s="71" t="s">
        <v>39</v>
      </c>
      <c r="B9" s="69" t="s">
        <v>40</v>
      </c>
      <c r="C9" s="65" t="s">
        <v>41</v>
      </c>
      <c r="D9" s="65" t="s">
        <v>48</v>
      </c>
      <c r="E9" s="25" t="s">
        <v>45</v>
      </c>
      <c r="F9" s="9"/>
      <c r="G9" s="69" t="s">
        <v>40</v>
      </c>
      <c r="H9" s="65" t="s">
        <v>41</v>
      </c>
      <c r="I9" s="65" t="s">
        <v>48</v>
      </c>
      <c r="J9" s="25" t="s">
        <v>45</v>
      </c>
      <c r="K9" s="9"/>
      <c r="L9" s="69" t="s">
        <v>40</v>
      </c>
      <c r="M9" s="65" t="s">
        <v>41</v>
      </c>
      <c r="N9" s="65" t="s">
        <v>48</v>
      </c>
      <c r="O9" s="25" t="s">
        <v>45</v>
      </c>
    </row>
    <row r="10" spans="1:15" ht="15.75" x14ac:dyDescent="0.25">
      <c r="A10" s="72">
        <v>0</v>
      </c>
      <c r="B10" s="19">
        <v>1</v>
      </c>
      <c r="C10" s="37">
        <v>0</v>
      </c>
      <c r="D10" s="37">
        <v>0</v>
      </c>
      <c r="E10" s="13">
        <f>A10*EXP(D10)</f>
        <v>0</v>
      </c>
      <c r="F10" s="3"/>
      <c r="G10" s="19">
        <v>1</v>
      </c>
      <c r="H10" s="37">
        <v>0</v>
      </c>
      <c r="I10" s="37">
        <v>0</v>
      </c>
      <c r="J10" s="13">
        <v>0</v>
      </c>
      <c r="K10" s="3"/>
      <c r="L10" s="19">
        <v>1</v>
      </c>
      <c r="M10" s="37">
        <v>0</v>
      </c>
      <c r="N10" s="37">
        <v>0</v>
      </c>
      <c r="O10" s="13">
        <v>0</v>
      </c>
    </row>
    <row r="11" spans="1:15" ht="15.75" x14ac:dyDescent="0.25">
      <c r="A11" s="72">
        <v>10</v>
      </c>
      <c r="B11" s="19">
        <v>0.996</v>
      </c>
      <c r="C11" s="37">
        <f>(B11-1)/A11</f>
        <v>-4.0000000000000034E-4</v>
      </c>
      <c r="D11" s="37">
        <f>D10+(C11+C10)*(A11-A10)/2</f>
        <v>-2.0000000000000018E-3</v>
      </c>
      <c r="E11" s="13">
        <f>A11*EXP(D11)</f>
        <v>9.9800199866733301</v>
      </c>
      <c r="F11" s="3"/>
      <c r="G11" s="19">
        <v>0.998</v>
      </c>
      <c r="H11" s="37">
        <f>(G11-1)/A11</f>
        <v>-2.0000000000000017E-4</v>
      </c>
      <c r="I11" s="57">
        <f>I10+(H11+H10)*(A11-A10)/2</f>
        <v>-1.0000000000000009E-3</v>
      </c>
      <c r="J11" s="13">
        <f>A11*EXP(I11)</f>
        <v>9.9900049983337507</v>
      </c>
      <c r="K11" s="3"/>
      <c r="L11" s="19">
        <v>1</v>
      </c>
      <c r="M11" s="37">
        <f>(L11-1)/A11</f>
        <v>0</v>
      </c>
      <c r="N11" s="37">
        <f>N10+(M11+M10)*(A11-A10)/2</f>
        <v>0</v>
      </c>
      <c r="O11" s="13">
        <f>A11*EXP(N11)</f>
        <v>10</v>
      </c>
    </row>
    <row r="12" spans="1:15" ht="15.75" x14ac:dyDescent="0.25">
      <c r="A12" s="72">
        <v>50</v>
      </c>
      <c r="B12" s="19">
        <v>0.98499999999999999</v>
      </c>
      <c r="C12" s="37">
        <f t="shared" ref="C12:C18" si="0">(B12-1)/A12</f>
        <v>-3.0000000000000024E-4</v>
      </c>
      <c r="D12" s="37">
        <f t="shared" ref="D12:D18" si="1">D11+(C12+C11)*(A12-A11)/2</f>
        <v>-1.6000000000000014E-2</v>
      </c>
      <c r="E12" s="13">
        <f t="shared" ref="E12:E18" si="2">A12*EXP(D12)</f>
        <v>49.206366002764256</v>
      </c>
      <c r="F12" s="3"/>
      <c r="G12" s="19">
        <v>0.996</v>
      </c>
      <c r="H12" s="37">
        <f t="shared" ref="H12:H18" si="3">(G12-1)/A12</f>
        <v>-8.0000000000000074E-5</v>
      </c>
      <c r="I12" s="57">
        <f t="shared" ref="I12:I18" si="4">I11+(H12+H11)*(A12-A11)/2</f>
        <v>-6.600000000000006E-3</v>
      </c>
      <c r="J12" s="13">
        <f t="shared" ref="J12:J18" si="5">A12*EXP(I12)</f>
        <v>49.67108660814786</v>
      </c>
      <c r="K12" s="3"/>
      <c r="L12" s="19">
        <v>1.004</v>
      </c>
      <c r="M12" s="37">
        <f t="shared" ref="M12:M18" si="6">(L12-1)/A12</f>
        <v>8.0000000000000074E-5</v>
      </c>
      <c r="N12" s="37">
        <f t="shared" ref="N12:N18" si="7">N11+(M12+M11)*(A12-A11)/2</f>
        <v>1.6000000000000016E-3</v>
      </c>
      <c r="O12" s="13">
        <f t="shared" ref="O12:O18" si="8">A12*EXP(N12)</f>
        <v>50.080064034146986</v>
      </c>
    </row>
    <row r="13" spans="1:15" ht="15.75" x14ac:dyDescent="0.25">
      <c r="A13" s="72">
        <v>100</v>
      </c>
      <c r="B13" s="19">
        <v>0.98399999999999999</v>
      </c>
      <c r="C13" s="37">
        <f t="shared" si="0"/>
        <v>-1.6000000000000015E-4</v>
      </c>
      <c r="D13" s="37">
        <f t="shared" si="1"/>
        <v>-2.7500000000000024E-2</v>
      </c>
      <c r="E13" s="13">
        <f t="shared" si="2"/>
        <v>97.287468255345402</v>
      </c>
      <c r="F13" s="3"/>
      <c r="G13" s="19">
        <v>1.004</v>
      </c>
      <c r="H13" s="37">
        <f t="shared" si="3"/>
        <v>4.0000000000000037E-5</v>
      </c>
      <c r="I13" s="57">
        <f t="shared" si="4"/>
        <v>-7.6000000000000069E-3</v>
      </c>
      <c r="J13" s="13">
        <f t="shared" si="5"/>
        <v>99.242880697613131</v>
      </c>
      <c r="K13" s="3"/>
      <c r="L13" s="19">
        <v>1.018</v>
      </c>
      <c r="M13" s="37">
        <f t="shared" si="6"/>
        <v>1.8000000000000015E-4</v>
      </c>
      <c r="N13" s="37">
        <f t="shared" si="7"/>
        <v>8.1000000000000065E-3</v>
      </c>
      <c r="O13" s="13">
        <f t="shared" si="8"/>
        <v>100.81328937531524</v>
      </c>
    </row>
    <row r="14" spans="1:15" ht="15.75" x14ac:dyDescent="0.25">
      <c r="A14" s="72">
        <v>200</v>
      </c>
      <c r="B14" s="19">
        <v>1.036</v>
      </c>
      <c r="C14" s="37">
        <f t="shared" si="0"/>
        <v>1.8000000000000015E-4</v>
      </c>
      <c r="D14" s="37">
        <f t="shared" si="1"/>
        <v>-2.6500000000000024E-2</v>
      </c>
      <c r="E14" s="13">
        <f t="shared" si="2"/>
        <v>194.769608767107</v>
      </c>
      <c r="F14" s="3"/>
      <c r="G14" s="19">
        <v>1.0569999999999999</v>
      </c>
      <c r="H14" s="37">
        <f t="shared" si="3"/>
        <v>2.8499999999999972E-4</v>
      </c>
      <c r="I14" s="57">
        <f t="shared" si="4"/>
        <v>8.6499999999999806E-3</v>
      </c>
      <c r="J14" s="13">
        <f t="shared" si="5"/>
        <v>201.73750387055503</v>
      </c>
      <c r="K14" s="3"/>
      <c r="L14" s="19">
        <v>1.0720000000000001</v>
      </c>
      <c r="M14" s="37">
        <f t="shared" si="6"/>
        <v>3.6000000000000029E-4</v>
      </c>
      <c r="N14" s="37">
        <f t="shared" si="7"/>
        <v>3.5100000000000027E-2</v>
      </c>
      <c r="O14" s="13">
        <f t="shared" si="8"/>
        <v>207.1446551897549</v>
      </c>
    </row>
    <row r="15" spans="1:15" ht="15.75" x14ac:dyDescent="0.25">
      <c r="A15" s="72">
        <v>300</v>
      </c>
      <c r="B15" s="19">
        <v>1.1339999999999999</v>
      </c>
      <c r="C15" s="37">
        <f t="shared" si="0"/>
        <v>4.4666666666666634E-4</v>
      </c>
      <c r="D15" s="37">
        <f t="shared" si="1"/>
        <v>4.8333333333333006E-3</v>
      </c>
      <c r="E15" s="13">
        <f t="shared" si="2"/>
        <v>301.45350981909689</v>
      </c>
      <c r="F15" s="3"/>
      <c r="G15" s="19">
        <v>1.1459999999999999</v>
      </c>
      <c r="H15" s="37">
        <f t="shared" si="3"/>
        <v>4.8666666666666633E-4</v>
      </c>
      <c r="I15" s="57">
        <f t="shared" si="4"/>
        <v>4.723333333333328E-2</v>
      </c>
      <c r="J15" s="13">
        <f t="shared" si="5"/>
        <v>314.50997982486109</v>
      </c>
      <c r="K15" s="3"/>
      <c r="L15" s="19">
        <v>1.1539999999999999</v>
      </c>
      <c r="M15" s="37">
        <f t="shared" si="6"/>
        <v>5.1333333333333309E-4</v>
      </c>
      <c r="N15" s="37">
        <f t="shared" si="7"/>
        <v>7.8766666666666693E-2</v>
      </c>
      <c r="O15" s="13">
        <f t="shared" si="8"/>
        <v>324.58555115586415</v>
      </c>
    </row>
    <row r="16" spans="1:15" ht="15.75" x14ac:dyDescent="0.25">
      <c r="A16" s="72">
        <v>400</v>
      </c>
      <c r="B16" s="19">
        <v>1.256</v>
      </c>
      <c r="C16" s="37">
        <f t="shared" si="0"/>
        <v>6.4000000000000005E-4</v>
      </c>
      <c r="D16" s="37">
        <f t="shared" si="1"/>
        <v>5.9166666666666617E-2</v>
      </c>
      <c r="E16" s="13">
        <f t="shared" si="2"/>
        <v>424.38082053896943</v>
      </c>
      <c r="F16" s="3"/>
      <c r="G16" s="19">
        <v>1.254</v>
      </c>
      <c r="H16" s="37">
        <f t="shared" si="3"/>
        <v>6.3500000000000004E-4</v>
      </c>
      <c r="I16" s="57">
        <f t="shared" si="4"/>
        <v>0.1033166666666666</v>
      </c>
      <c r="J16" s="13">
        <f t="shared" si="5"/>
        <v>443.53699477597701</v>
      </c>
      <c r="K16" s="3"/>
      <c r="L16" s="19">
        <v>1.2529999999999999</v>
      </c>
      <c r="M16" s="37">
        <f t="shared" si="6"/>
        <v>6.3249999999999971E-4</v>
      </c>
      <c r="N16" s="37">
        <f t="shared" si="7"/>
        <v>0.13605833333333334</v>
      </c>
      <c r="O16" s="13">
        <f t="shared" si="8"/>
        <v>458.29949079517729</v>
      </c>
    </row>
    <row r="17" spans="1:15" ht="15.75" x14ac:dyDescent="0.25">
      <c r="A17" s="72">
        <v>600</v>
      </c>
      <c r="B17" s="19">
        <v>1.524</v>
      </c>
      <c r="C17" s="37">
        <f t="shared" si="0"/>
        <v>8.7333333333333338E-4</v>
      </c>
      <c r="D17" s="37">
        <f t="shared" si="1"/>
        <v>0.21049999999999996</v>
      </c>
      <c r="E17" s="13">
        <f t="shared" si="2"/>
        <v>740.57703193331031</v>
      </c>
      <c r="F17" s="3"/>
      <c r="G17" s="19">
        <v>1.4950000000000001</v>
      </c>
      <c r="H17" s="37">
        <f t="shared" si="3"/>
        <v>8.2500000000000021E-4</v>
      </c>
      <c r="I17" s="57">
        <f t="shared" si="4"/>
        <v>0.24931666666666663</v>
      </c>
      <c r="J17" s="13">
        <f t="shared" si="5"/>
        <v>769.88897942139988</v>
      </c>
      <c r="K17" s="3"/>
      <c r="L17" s="19">
        <v>1.4710000000000001</v>
      </c>
      <c r="M17" s="37">
        <f t="shared" si="6"/>
        <v>7.8500000000000011E-4</v>
      </c>
      <c r="N17" s="37">
        <f t="shared" si="7"/>
        <v>0.27780833333333332</v>
      </c>
      <c r="O17" s="13">
        <f t="shared" si="8"/>
        <v>792.13987696470679</v>
      </c>
    </row>
    <row r="18" spans="1:15" ht="15.75" x14ac:dyDescent="0.25">
      <c r="A18" s="72">
        <v>800</v>
      </c>
      <c r="B18" s="21">
        <v>1.798</v>
      </c>
      <c r="C18" s="38">
        <f t="shared" si="0"/>
        <v>9.9750000000000012E-4</v>
      </c>
      <c r="D18" s="38">
        <f t="shared" si="1"/>
        <v>0.39758333333333329</v>
      </c>
      <c r="E18" s="13">
        <f t="shared" si="2"/>
        <v>1190.5790459601076</v>
      </c>
      <c r="F18" s="3"/>
      <c r="G18" s="21">
        <v>1.7230000000000001</v>
      </c>
      <c r="H18" s="38">
        <f t="shared" si="3"/>
        <v>9.0375000000000015E-4</v>
      </c>
      <c r="I18" s="70">
        <f t="shared" si="4"/>
        <v>0.42219166666666663</v>
      </c>
      <c r="J18" s="13">
        <f t="shared" si="5"/>
        <v>1220.2406767976597</v>
      </c>
      <c r="K18" s="3"/>
      <c r="L18" s="21">
        <v>1.6970000000000001</v>
      </c>
      <c r="M18" s="38">
        <f t="shared" si="6"/>
        <v>8.7125000000000006E-4</v>
      </c>
      <c r="N18" s="38">
        <f t="shared" si="7"/>
        <v>0.44343333333333335</v>
      </c>
      <c r="O18" s="13">
        <f t="shared" si="8"/>
        <v>1246.4378735421935</v>
      </c>
    </row>
  </sheetData>
  <mergeCells count="1">
    <mergeCell ref="A2:O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8573-FB50-4047-9F5D-26EEAEB4043D}">
  <dimension ref="A1:H18"/>
  <sheetViews>
    <sheetView workbookViewId="0">
      <selection activeCell="I18" sqref="I18"/>
    </sheetView>
  </sheetViews>
  <sheetFormatPr defaultRowHeight="15" x14ac:dyDescent="0.25"/>
  <cols>
    <col min="1" max="1" width="16.7109375" customWidth="1"/>
    <col min="2" max="2" width="11" customWidth="1"/>
    <col min="3" max="3" width="12.28515625" customWidth="1"/>
    <col min="4" max="4" width="11.85546875" customWidth="1"/>
    <col min="5" max="5" width="12.42578125" customWidth="1"/>
    <col min="6" max="6" width="11.7109375" customWidth="1"/>
    <col min="7" max="7" width="11.140625" customWidth="1"/>
    <col min="8" max="8" width="14" customWidth="1"/>
  </cols>
  <sheetData>
    <row r="1" spans="1:8" ht="15.75" x14ac:dyDescent="0.25">
      <c r="A1" s="3"/>
      <c r="B1" s="3"/>
      <c r="C1" s="3"/>
      <c r="D1" s="3"/>
      <c r="E1" s="3"/>
      <c r="F1" s="3"/>
      <c r="G1" s="3"/>
      <c r="H1" s="3"/>
    </row>
    <row r="2" spans="1:8" ht="15.75" x14ac:dyDescent="0.25">
      <c r="A2" s="9" t="s">
        <v>6</v>
      </c>
      <c r="B2" s="32" t="s">
        <v>50</v>
      </c>
      <c r="C2" s="32"/>
      <c r="D2" s="32"/>
      <c r="E2" s="32"/>
      <c r="F2" s="32"/>
      <c r="G2" s="32"/>
      <c r="H2" s="32"/>
    </row>
    <row r="3" spans="1:8" ht="15.75" x14ac:dyDescent="0.25">
      <c r="A3" s="3"/>
      <c r="B3" s="3"/>
      <c r="C3" s="3"/>
      <c r="D3" s="3"/>
      <c r="E3" s="3"/>
      <c r="F3" s="3"/>
      <c r="G3" s="3"/>
      <c r="H3" s="3"/>
    </row>
    <row r="4" spans="1:8" ht="15.75" x14ac:dyDescent="0.25">
      <c r="A4" s="3"/>
      <c r="B4" s="3"/>
      <c r="C4" s="3"/>
      <c r="D4" s="3"/>
      <c r="E4" s="3"/>
      <c r="F4" s="3"/>
      <c r="G4" s="3"/>
      <c r="H4" s="3"/>
    </row>
    <row r="5" spans="1:8" ht="15.75" x14ac:dyDescent="0.25">
      <c r="A5" s="3"/>
      <c r="B5" s="3"/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3"/>
      <c r="B7" s="3"/>
      <c r="C7" s="3"/>
      <c r="D7" s="3"/>
      <c r="E7" s="3"/>
      <c r="F7" s="3"/>
      <c r="G7" s="3"/>
      <c r="H7" s="3"/>
    </row>
    <row r="8" spans="1:8" ht="15.75" x14ac:dyDescent="0.25">
      <c r="A8" s="3"/>
      <c r="B8" s="9"/>
      <c r="C8" s="25" t="s">
        <v>42</v>
      </c>
      <c r="D8" s="25" t="s">
        <v>43</v>
      </c>
      <c r="E8" s="25" t="s">
        <v>44</v>
      </c>
      <c r="F8" s="9"/>
      <c r="G8" s="9"/>
      <c r="H8" s="9"/>
    </row>
    <row r="9" spans="1:8" ht="15.75" x14ac:dyDescent="0.25">
      <c r="A9" s="63" t="s">
        <v>53</v>
      </c>
      <c r="B9" s="25" t="s">
        <v>39</v>
      </c>
      <c r="C9" s="25" t="s">
        <v>40</v>
      </c>
      <c r="D9" s="25" t="s">
        <v>40</v>
      </c>
      <c r="E9" s="25" t="s">
        <v>40</v>
      </c>
      <c r="F9" s="34" t="s">
        <v>51</v>
      </c>
      <c r="G9" s="25" t="s">
        <v>41</v>
      </c>
      <c r="H9" s="25" t="s">
        <v>52</v>
      </c>
    </row>
    <row r="10" spans="1:8" ht="15.75" x14ac:dyDescent="0.25">
      <c r="A10" s="72">
        <v>8.3140000000000001</v>
      </c>
      <c r="B10" s="19">
        <v>0</v>
      </c>
      <c r="C10" s="37">
        <v>1</v>
      </c>
      <c r="D10" s="37">
        <v>1</v>
      </c>
      <c r="E10" s="37">
        <v>1</v>
      </c>
      <c r="F10" s="37">
        <v>0</v>
      </c>
      <c r="G10" s="37">
        <v>-1.296</v>
      </c>
      <c r="H10" s="13">
        <v>0</v>
      </c>
    </row>
    <row r="11" spans="1:8" ht="15.75" x14ac:dyDescent="0.25">
      <c r="A11" s="3"/>
      <c r="B11" s="19">
        <v>10</v>
      </c>
      <c r="C11" s="37">
        <v>0.996</v>
      </c>
      <c r="D11" s="37">
        <v>0.998</v>
      </c>
      <c r="E11" s="37">
        <v>1</v>
      </c>
      <c r="F11" s="37">
        <f>(E11-C11)/(2*25)</f>
        <v>8.0000000000000074E-5</v>
      </c>
      <c r="G11" s="57">
        <f>(-constant*temp^2*F11/B11)</f>
        <v>-5.9065316480000059</v>
      </c>
      <c r="H11" s="13">
        <f>H10+(G11+G10)*(B11-B10)/2</f>
        <v>-36.012658240000029</v>
      </c>
    </row>
    <row r="12" spans="1:8" ht="15.75" x14ac:dyDescent="0.25">
      <c r="A12" s="63" t="s">
        <v>54</v>
      </c>
      <c r="B12" s="19">
        <v>50</v>
      </c>
      <c r="C12" s="37">
        <v>0.98499999999999999</v>
      </c>
      <c r="D12" s="37">
        <v>0.996</v>
      </c>
      <c r="E12" s="37">
        <v>1.004</v>
      </c>
      <c r="F12" s="37">
        <f t="shared" ref="F12:F18" si="0">(E12-C12)/(2*25)</f>
        <v>3.8000000000000035E-4</v>
      </c>
      <c r="G12" s="57">
        <f>(-constant*temp^2*F12/B12)</f>
        <v>-5.6112050656000054</v>
      </c>
      <c r="H12" s="13">
        <f t="shared" ref="H12:H18" si="1">H11+(G12+G11)*(B12-B11)/2</f>
        <v>-266.36739251200027</v>
      </c>
    </row>
    <row r="13" spans="1:8" ht="15.75" x14ac:dyDescent="0.25">
      <c r="A13" s="72">
        <v>298</v>
      </c>
      <c r="B13" s="19">
        <v>100</v>
      </c>
      <c r="C13" s="37">
        <v>0.98399999999999999</v>
      </c>
      <c r="D13" s="37">
        <v>1.004</v>
      </c>
      <c r="E13" s="37">
        <v>1.018</v>
      </c>
      <c r="F13" s="37">
        <f t="shared" si="0"/>
        <v>6.8000000000000059E-4</v>
      </c>
      <c r="G13" s="57">
        <f>(-constant*temp^2*F13/B13)</f>
        <v>-5.0205519008000046</v>
      </c>
      <c r="H13" s="13">
        <f t="shared" si="1"/>
        <v>-532.16131667200057</v>
      </c>
    </row>
    <row r="14" spans="1:8" ht="15.75" x14ac:dyDescent="0.25">
      <c r="A14" s="3"/>
      <c r="B14" s="19">
        <v>200</v>
      </c>
      <c r="C14" s="37">
        <v>1.036</v>
      </c>
      <c r="D14" s="37">
        <v>1.0569999999999999</v>
      </c>
      <c r="E14" s="37">
        <v>1.0720000000000001</v>
      </c>
      <c r="F14" s="37">
        <f t="shared" si="0"/>
        <v>7.2000000000000059E-4</v>
      </c>
      <c r="G14" s="57">
        <f>(-constant*temp^2*F14/B14)</f>
        <v>-2.6579392416000025</v>
      </c>
      <c r="H14" s="13">
        <f t="shared" si="1"/>
        <v>-916.08587379200094</v>
      </c>
    </row>
    <row r="15" spans="1:8" ht="15.75" x14ac:dyDescent="0.25">
      <c r="A15" s="3"/>
      <c r="B15" s="19">
        <v>300</v>
      </c>
      <c r="C15" s="37">
        <v>1.1339999999999999</v>
      </c>
      <c r="D15" s="37">
        <v>1.1459999999999999</v>
      </c>
      <c r="E15" s="37">
        <v>1.1539999999999999</v>
      </c>
      <c r="F15" s="37">
        <f t="shared" si="0"/>
        <v>4.0000000000000034E-4</v>
      </c>
      <c r="G15" s="57">
        <f>(-constant*temp^2*F15/B15)</f>
        <v>-0.98442194133333416</v>
      </c>
      <c r="H15" s="13">
        <f t="shared" si="1"/>
        <v>-1098.2039329386678</v>
      </c>
    </row>
    <row r="16" spans="1:8" ht="15.75" x14ac:dyDescent="0.25">
      <c r="A16" s="3"/>
      <c r="B16" s="19">
        <v>400</v>
      </c>
      <c r="C16" s="37">
        <v>1.256</v>
      </c>
      <c r="D16" s="37">
        <v>1.254</v>
      </c>
      <c r="E16" s="37">
        <v>1.2529999999999999</v>
      </c>
      <c r="F16" s="37">
        <f t="shared" si="0"/>
        <v>-6.0000000000002272E-5</v>
      </c>
      <c r="G16" s="57">
        <f>(-constant*temp^2*F16/B16)</f>
        <v>0.11074746840000418</v>
      </c>
      <c r="H16" s="13">
        <f t="shared" si="1"/>
        <v>-1141.8876565853343</v>
      </c>
    </row>
    <row r="17" spans="1:8" ht="15.75" x14ac:dyDescent="0.25">
      <c r="A17" s="3"/>
      <c r="B17" s="19">
        <v>600</v>
      </c>
      <c r="C17" s="37">
        <v>1.524</v>
      </c>
      <c r="D17" s="37">
        <v>1.4950000000000001</v>
      </c>
      <c r="E17" s="37">
        <v>1.4710000000000001</v>
      </c>
      <c r="F17" s="37">
        <f t="shared" si="0"/>
        <v>-1.0599999999999987E-3</v>
      </c>
      <c r="G17" s="57">
        <f>(-constant*temp^2*F17/B17)</f>
        <v>1.3043590722666651</v>
      </c>
      <c r="H17" s="13">
        <f t="shared" si="1"/>
        <v>-1000.3770025186674</v>
      </c>
    </row>
    <row r="18" spans="1:8" ht="15.75" x14ac:dyDescent="0.25">
      <c r="A18" s="3"/>
      <c r="B18" s="21">
        <v>800</v>
      </c>
      <c r="C18" s="38">
        <v>1.798</v>
      </c>
      <c r="D18" s="38">
        <v>1.7230000000000001</v>
      </c>
      <c r="E18" s="38">
        <v>1.6970000000000001</v>
      </c>
      <c r="F18" s="38">
        <f t="shared" si="0"/>
        <v>-2.0199999999999997E-3</v>
      </c>
      <c r="G18" s="73">
        <f>(-constant*temp^2*F18/B18)</f>
        <v>1.8642490513999996</v>
      </c>
      <c r="H18" s="13">
        <f t="shared" si="1"/>
        <v>-683.51619015200095</v>
      </c>
    </row>
  </sheetData>
  <mergeCells count="1">
    <mergeCell ref="B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4.1</vt:lpstr>
      <vt:lpstr>4.4</vt:lpstr>
      <vt:lpstr>4.5 a</vt:lpstr>
      <vt:lpstr>4.5 b</vt:lpstr>
      <vt:lpstr>4.7 a</vt:lpstr>
      <vt:lpstr>4.7 b</vt:lpstr>
      <vt:lpstr>constant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2020-03-10T10:22:15Z</dcterms:created>
  <dcterms:modified xsi:type="dcterms:W3CDTF">2020-03-12T02:53:39Z</dcterms:modified>
</cp:coreProperties>
</file>