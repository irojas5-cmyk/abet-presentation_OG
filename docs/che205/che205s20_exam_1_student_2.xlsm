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ata\Desktop\Che205\"/>
    </mc:Choice>
  </mc:AlternateContent>
  <xr:revisionPtr revIDLastSave="0" documentId="13_ncr:1_{7F28DBA2-289D-407E-8352-E104501C185C}" xr6:coauthVersionLast="45" xr6:coauthVersionMax="45" xr10:uidLastSave="{00000000-0000-0000-0000-000000000000}"/>
  <bookViews>
    <workbookView xWindow="-120" yWindow="-120" windowWidth="20730" windowHeight="11160" xr2:uid="{4AC3B1AF-6D5F-45F0-9543-45F4EE931208}"/>
  </bookViews>
  <sheets>
    <sheet name="Sheet1" sheetId="1" r:id="rId1"/>
    <sheet name="Sheet2" sheetId="2" r:id="rId2"/>
  </sheets>
  <functionGroups builtInGroupCount="19"/>
  <definedNames>
    <definedName name="a">Sheet1!$B$6</definedName>
    <definedName name="b">Sheet1!$B$7</definedName>
    <definedName name="constant">Sheet1!$B$5</definedName>
    <definedName name="P">Sheet1!$B$4</definedName>
    <definedName name="pr">Sheet1!$G$4</definedName>
    <definedName name="T">Sheet1!$B$3</definedName>
    <definedName name="temp">Sheet1!$G$3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9" i="1" l="1"/>
  <c r="B56" i="1"/>
  <c r="B48" i="1" l="1" a="1"/>
  <c r="B48" i="1" l="1"/>
  <c r="B54" i="1" l="1"/>
  <c r="B7" i="1" l="1"/>
  <c r="B6" i="1"/>
  <c r="D58" i="1" l="1"/>
  <c r="E59" i="1"/>
  <c r="E60" i="1"/>
  <c r="E55" i="1"/>
  <c r="D56" i="1"/>
  <c r="D57" i="1"/>
  <c r="E58" i="1"/>
  <c r="F58" i="1" s="1"/>
  <c r="C59" i="1" s="1"/>
  <c r="D59" i="1"/>
  <c r="D60" i="1"/>
  <c r="D55" i="1"/>
  <c r="E57" i="1"/>
  <c r="F57" i="1" s="1"/>
  <c r="C10" i="1"/>
  <c r="D54" i="1"/>
  <c r="E53" i="1"/>
  <c r="G12" i="1"/>
  <c r="C12" i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42" i="1"/>
  <c r="C44" i="1"/>
  <c r="C46" i="1"/>
  <c r="D53" i="1"/>
  <c r="C11" i="1"/>
  <c r="C13" i="1"/>
  <c r="C15" i="1"/>
  <c r="C17" i="1"/>
  <c r="C19" i="1"/>
  <c r="C21" i="1"/>
  <c r="C23" i="1"/>
  <c r="C25" i="1"/>
  <c r="C27" i="1"/>
  <c r="C29" i="1"/>
  <c r="C31" i="1"/>
  <c r="C33" i="1"/>
  <c r="C35" i="1"/>
  <c r="C37" i="1"/>
  <c r="C39" i="1"/>
  <c r="C41" i="1"/>
  <c r="C43" i="1"/>
  <c r="C45" i="1"/>
  <c r="F55" i="1" l="1"/>
  <c r="C56" i="1" s="1"/>
  <c r="F59" i="1"/>
  <c r="F60" i="1"/>
  <c r="F53" i="1"/>
  <c r="C54" i="1" s="1"/>
  <c r="E56" i="1" l="1"/>
  <c r="F56" i="1" s="1"/>
  <c r="E54" i="1"/>
  <c r="F5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<sst xmlns="http://schemas.openxmlformats.org/spreadsheetml/2006/main" count="45" uniqueCount="39">
  <si>
    <t>Formula:</t>
  </si>
  <si>
    <t>Tc</t>
  </si>
  <si>
    <t>k</t>
  </si>
  <si>
    <t>Pc</t>
  </si>
  <si>
    <t>atm</t>
  </si>
  <si>
    <t>R</t>
  </si>
  <si>
    <t>L atm K-1 mol-1</t>
  </si>
  <si>
    <t>a</t>
  </si>
  <si>
    <t>b</t>
  </si>
  <si>
    <t>V=R*t*exp(-a/RTV)+b</t>
  </si>
  <si>
    <t>v</t>
  </si>
  <si>
    <t>f(v)</t>
  </si>
  <si>
    <t>T</t>
  </si>
  <si>
    <t>P</t>
  </si>
  <si>
    <t>Goal seek</t>
  </si>
  <si>
    <t>x</t>
  </si>
  <si>
    <t>f(x)</t>
  </si>
  <si>
    <t>Secant Method (2 guesses)</t>
  </si>
  <si>
    <t>x^k-1</t>
  </si>
  <si>
    <t>x^k</t>
  </si>
  <si>
    <t>f(x^k-1)</t>
  </si>
  <si>
    <t>f(x^k)</t>
  </si>
  <si>
    <t>x^k+1</t>
  </si>
  <si>
    <t>initial guesses</t>
  </si>
  <si>
    <t>next guess= x^k first cell</t>
  </si>
  <si>
    <t>Molar Volume VBA</t>
  </si>
  <si>
    <t>D1</t>
  </si>
  <si>
    <t>D2</t>
  </si>
  <si>
    <t>B1</t>
  </si>
  <si>
    <t>B2</t>
  </si>
  <si>
    <t>F (mol/min)</t>
  </si>
  <si>
    <t>Xylene</t>
  </si>
  <si>
    <t>Styrene</t>
  </si>
  <si>
    <t>Toluene</t>
  </si>
  <si>
    <t>Benzene</t>
  </si>
  <si>
    <t>A</t>
  </si>
  <si>
    <t>B</t>
  </si>
  <si>
    <t>Ax=b</t>
  </si>
  <si>
    <t>Molar flow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</si>
</sst>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i/>
      <sz val="14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b/>
      <sz val="12"/>
      <color theme="3"/>
      <name val="Calibri Light"/>
      <family val="2"/>
      <scheme val="major"/>
    </font>
    <font>
      <sz val="12"/>
      <color theme="3"/>
      <name val="Calibri Light"/>
      <family val="2"/>
      <scheme val="major"/>
    </font>
    <font>
      <sz val="11"/>
      <color theme="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quotePrefix="1" applyFont="1"/>
    <xf numFmtId="0" fontId="4" fillId="0" borderId="0" xfId="0" quotePrefix="1" applyFont="1" applyAlignment="1">
      <alignment vertical="center" wrapText="1"/>
    </xf>
    <xf numFmtId="0" fontId="4" fillId="0" borderId="0" xfId="0" applyFont="1" applyAlignment="1">
      <alignment wrapText="1"/>
    </xf>
    <xf numFmtId="0" fontId="5" fillId="0" borderId="1" xfId="1" applyFont="1" applyBorder="1" applyAlignment="1">
      <alignment horizontal="center" wrapText="1"/>
    </xf>
    <xf numFmtId="0" fontId="5" fillId="0" borderId="1" xfId="1" applyFont="1" applyFill="1" applyBorder="1" applyAlignment="1">
      <alignment horizontal="center"/>
    </xf>
    <xf numFmtId="0" fontId="5" fillId="0" borderId="1" xfId="1" applyFont="1" applyBorder="1"/>
    <xf numFmtId="0" fontId="6" fillId="2" borderId="1" xfId="1" applyFont="1" applyFill="1" applyBorder="1" applyAlignment="1">
      <alignment wrapText="1"/>
    </xf>
    <xf numFmtId="0" fontId="6" fillId="2" borderId="1" xfId="1" applyFont="1" applyFill="1" applyBorder="1"/>
    <xf numFmtId="0" fontId="5" fillId="0" borderId="0" xfId="1" applyFont="1" applyFill="1" applyBorder="1"/>
    <xf numFmtId="0" fontId="5" fillId="0" borderId="1" xfId="1" applyFont="1" applyFill="1" applyBorder="1"/>
    <xf numFmtId="0" fontId="7" fillId="0" borderId="1" xfId="0" applyFont="1" applyBorder="1"/>
    <xf numFmtId="0" fontId="7" fillId="0" borderId="0" xfId="0" applyFont="1"/>
    <xf numFmtId="0" fontId="7" fillId="0" borderId="1" xfId="0" applyFont="1" applyBorder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Sheet1!$C$9</c:f>
              <c:strCache>
                <c:ptCount val="1"/>
                <c:pt idx="0">
                  <c:v>f(v)</c:v>
                </c:pt>
              </c:strCache>
            </c:strRef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63500" cap="rnd" cmpd="sng" algn="ctr">
                <a:solidFill>
                  <a:schemeClr val="accent1">
                    <a:alpha val="25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strRef>
              <c:f>Sheet1!$B$10:$B$90</c:f>
              <c:strCache>
                <c:ptCount val="51"/>
                <c:pt idx="0">
                  <c:v>0.002</c:v>
                </c:pt>
                <c:pt idx="1">
                  <c:v>0.0025</c:v>
                </c:pt>
                <c:pt idx="2">
                  <c:v>0.003</c:v>
                </c:pt>
                <c:pt idx="3">
                  <c:v>0.0035</c:v>
                </c:pt>
                <c:pt idx="4">
                  <c:v>0.004</c:v>
                </c:pt>
                <c:pt idx="5">
                  <c:v>0.0045</c:v>
                </c:pt>
                <c:pt idx="6">
                  <c:v>0.005</c:v>
                </c:pt>
                <c:pt idx="7">
                  <c:v>0.0055</c:v>
                </c:pt>
                <c:pt idx="8">
                  <c:v>0.006</c:v>
                </c:pt>
                <c:pt idx="9">
                  <c:v>0.0065</c:v>
                </c:pt>
                <c:pt idx="10">
                  <c:v>0.007</c:v>
                </c:pt>
                <c:pt idx="11">
                  <c:v>0.0075</c:v>
                </c:pt>
                <c:pt idx="12">
                  <c:v>0.008</c:v>
                </c:pt>
                <c:pt idx="13">
                  <c:v>0.0085</c:v>
                </c:pt>
                <c:pt idx="14">
                  <c:v>0.009</c:v>
                </c:pt>
                <c:pt idx="15">
                  <c:v>0.0095</c:v>
                </c:pt>
                <c:pt idx="16">
                  <c:v>0.01</c:v>
                </c:pt>
                <c:pt idx="17">
                  <c:v>0.0105</c:v>
                </c:pt>
                <c:pt idx="18">
                  <c:v>0.011</c:v>
                </c:pt>
                <c:pt idx="19">
                  <c:v>0.0115</c:v>
                </c:pt>
                <c:pt idx="20">
                  <c:v>0.012</c:v>
                </c:pt>
                <c:pt idx="21">
                  <c:v>0.0125</c:v>
                </c:pt>
                <c:pt idx="22">
                  <c:v>0.013</c:v>
                </c:pt>
                <c:pt idx="23">
                  <c:v>0.0135</c:v>
                </c:pt>
                <c:pt idx="24">
                  <c:v>0.014</c:v>
                </c:pt>
                <c:pt idx="25">
                  <c:v>0.0145</c:v>
                </c:pt>
                <c:pt idx="26">
                  <c:v>0.015</c:v>
                </c:pt>
                <c:pt idx="27">
                  <c:v>0.0155</c:v>
                </c:pt>
                <c:pt idx="28">
                  <c:v>0.016</c:v>
                </c:pt>
                <c:pt idx="29">
                  <c:v>0.0165</c:v>
                </c:pt>
                <c:pt idx="30">
                  <c:v>0.017</c:v>
                </c:pt>
                <c:pt idx="31">
                  <c:v>0.0175</c:v>
                </c:pt>
                <c:pt idx="32">
                  <c:v>0.018</c:v>
                </c:pt>
                <c:pt idx="33">
                  <c:v>0.0185</c:v>
                </c:pt>
                <c:pt idx="34">
                  <c:v>0.019</c:v>
                </c:pt>
                <c:pt idx="35">
                  <c:v>0.0195</c:v>
                </c:pt>
                <c:pt idx="36">
                  <c:v>0.02</c:v>
                </c:pt>
                <c:pt idx="38">
                  <c:v>-3.19091E-07</c:v>
                </c:pt>
                <c:pt idx="42">
                  <c:v>x^k-1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0.02</c:v>
                </c:pt>
                <c:pt idx="47">
                  <c:v>0.01</c:v>
                </c:pt>
                <c:pt idx="48">
                  <c:v>0.01</c:v>
                </c:pt>
                <c:pt idx="49">
                  <c:v>0.02</c:v>
                </c:pt>
                <c:pt idx="50">
                  <c:v>0.01</c:v>
                </c:pt>
              </c:strCache>
            </c:strRef>
          </c:xVal>
          <c:yVal>
            <c:numRef>
              <c:f>Sheet1!$C$10:$C$90</c:f>
              <c:numCache>
                <c:formatCode>General</c:formatCode>
                <c:ptCount val="81"/>
                <c:pt idx="0">
                  <c:v>-1.1580280549812982E-15</c:v>
                </c:pt>
                <c:pt idx="1">
                  <c:v>-6.9780457638356847E-20</c:v>
                </c:pt>
                <c:pt idx="2">
                  <c:v>-4.2055809359504718E-24</c:v>
                </c:pt>
                <c:pt idx="3">
                  <c:v>-2.5351154253491538E-28</c:v>
                </c:pt>
                <c:pt idx="4">
                  <c:v>-1.5284500098510597E-32</c:v>
                </c:pt>
                <c:pt idx="5">
                  <c:v>-9.2169830714349297E-37</c:v>
                </c:pt>
                <c:pt idx="6">
                  <c:v>-5.5592061415530786E-41</c:v>
                </c:pt>
                <c:pt idx="7">
                  <c:v>-3.3537114728776502E-45</c:v>
                </c:pt>
                <c:pt idx="8">
                  <c:v>-2.0236255080957814E-49</c:v>
                </c:pt>
                <c:pt idx="9">
                  <c:v>-1.2213182333306856E-53</c:v>
                </c:pt>
                <c:pt idx="10">
                  <c:v>-7.372667077760964E-58</c:v>
                </c:pt>
                <c:pt idx="11">
                  <c:v>-4.4516443668386067E-62</c:v>
                </c:pt>
                <c:pt idx="12">
                  <c:v>-2.6885583453434705E-66</c:v>
                </c:pt>
                <c:pt idx="13">
                  <c:v>-1.6241453358575882E-70</c:v>
                </c:pt>
                <c:pt idx="14">
                  <c:v>-9.8138664737790602E-75</c:v>
                </c:pt>
                <c:pt idx="15">
                  <c:v>-5.9315584001455608E-79</c:v>
                </c:pt>
                <c:pt idx="16">
                  <c:v>-3.5860359871196454E-83</c:v>
                </c:pt>
                <c:pt idx="17">
                  <c:v>-2.1686106663881142E-87</c:v>
                </c:pt>
                <c:pt idx="18">
                  <c:v>-1.3118186400513477E-91</c:v>
                </c:pt>
                <c:pt idx="19">
                  <c:v>-7.9377174136281563E-96</c:v>
                </c:pt>
                <c:pt idx="20">
                  <c:v>-4.8045387022407733E-100</c:v>
                </c:pt>
                <c:pt idx="21">
                  <c:v>-2.9090208368313519E-104</c:v>
                </c:pt>
                <c:pt idx="22">
                  <c:v>-1.7619198816764533E-108</c:v>
                </c:pt>
                <c:pt idx="23">
                  <c:v>-1.0675176661656845E-112</c:v>
                </c:pt>
                <c:pt idx="24">
                  <c:v>-6.4702235705807202E-117</c:v>
                </c:pt>
                <c:pt idx="25">
                  <c:v>-3.9230591035767548E-121</c:v>
                </c:pt>
                <c:pt idx="26">
                  <c:v>-2.3795682571518062E-125</c:v>
                </c:pt>
                <c:pt idx="27">
                  <c:v>-1.4439296319383797E-129</c:v>
                </c:pt>
                <c:pt idx="28">
                  <c:v>-8.7654789824724023E-134</c:v>
                </c:pt>
                <c:pt idx="29">
                  <c:v>-5.3234687696104381E-138</c:v>
                </c:pt>
                <c:pt idx="30">
                  <c:v>-3.2345313972263938E-142</c:v>
                </c:pt>
                <c:pt idx="31">
                  <c:v>-1.9662301127345746E-146</c:v>
                </c:pt>
                <c:pt idx="32">
                  <c:v>-1.195839579819768E-150</c:v>
                </c:pt>
                <c:pt idx="33">
                  <c:v>-7.2767432740278097E-155</c:v>
                </c:pt>
                <c:pt idx="34">
                  <c:v>-4.4303432533835884E-159</c:v>
                </c:pt>
                <c:pt idx="35">
                  <c:v>-2.6988907636834083E-163</c:v>
                </c:pt>
                <c:pt idx="36">
                  <c:v>-1.6451030631100596E-167</c:v>
                </c:pt>
                <c:pt idx="42">
                  <c:v>0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F-4F8F-9816-E228C54A2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73968"/>
        <c:axId val="426843240"/>
      </c:scatterChart>
      <c:valAx>
        <c:axId val="41637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43240"/>
        <c:crosses val="autoZero"/>
        <c:crossBetween val="midCat"/>
      </c:valAx>
      <c:valAx>
        <c:axId val="42684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7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13</xdr:row>
      <xdr:rowOff>185737</xdr:rowOff>
    </xdr:from>
    <xdr:to>
      <xdr:col>9</xdr:col>
      <xdr:colOff>1447800</xdr:colOff>
      <xdr:row>26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B5C262-45D5-445D-A08D-55B55D7CD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8087A-C11F-4F5F-A0F1-0470BC65F9FC}">
  <sheetPr codeName="Sheet1"/>
  <dimension ref="A1:Y60"/>
  <sheetViews>
    <sheetView tabSelected="1" topLeftCell="A40" workbookViewId="0">
      <selection activeCell="J58" sqref="J58"/>
    </sheetView>
  </sheetViews>
  <sheetFormatPr defaultRowHeight="15" x14ac:dyDescent="0.25"/>
  <cols>
    <col min="1" max="1" width="20.5703125" customWidth="1"/>
    <col min="2" max="2" width="12.7109375" bestFit="1" customWidth="1"/>
    <col min="3" max="3" width="14.7109375" bestFit="1" customWidth="1"/>
    <col min="4" max="4" width="11.28515625" customWidth="1"/>
    <col min="10" max="10" width="22" customWidth="1"/>
    <col min="16" max="16" width="19.5703125" customWidth="1"/>
    <col min="19" max="19" width="14.42578125" bestFit="1" customWidth="1"/>
    <col min="21" max="21" width="32" customWidth="1"/>
  </cols>
  <sheetData>
    <row r="1" spans="1:25" ht="18.75" x14ac:dyDescent="0.3">
      <c r="D1" s="1" t="s">
        <v>0</v>
      </c>
      <c r="E1" s="2" t="s">
        <v>9</v>
      </c>
    </row>
    <row r="2" spans="1:25" ht="15.75" x14ac:dyDescent="0.25">
      <c r="M2" s="5"/>
      <c r="N2" s="5"/>
      <c r="O2" s="5"/>
      <c r="P2" s="5"/>
    </row>
    <row r="3" spans="1:25" ht="15.75" x14ac:dyDescent="0.25">
      <c r="A3" s="2" t="s">
        <v>1</v>
      </c>
      <c r="B3" s="2">
        <v>406</v>
      </c>
      <c r="C3" s="2" t="s">
        <v>2</v>
      </c>
      <c r="F3" t="s">
        <v>12</v>
      </c>
      <c r="G3">
        <v>300</v>
      </c>
      <c r="H3" t="s">
        <v>2</v>
      </c>
      <c r="M3" s="6"/>
      <c r="N3" s="6"/>
      <c r="O3" s="6"/>
      <c r="P3" s="6"/>
    </row>
    <row r="4" spans="1:25" ht="15.75" x14ac:dyDescent="0.25">
      <c r="A4" s="2" t="s">
        <v>3</v>
      </c>
      <c r="B4" s="2">
        <v>112.8</v>
      </c>
      <c r="C4" s="2" t="s">
        <v>4</v>
      </c>
      <c r="F4" t="s">
        <v>13</v>
      </c>
      <c r="G4">
        <v>7</v>
      </c>
      <c r="H4" t="s">
        <v>4</v>
      </c>
      <c r="M4" s="6"/>
      <c r="N4" s="6"/>
      <c r="O4" s="6"/>
      <c r="P4" s="6"/>
    </row>
    <row r="5" spans="1:25" ht="15.75" x14ac:dyDescent="0.25">
      <c r="A5" s="2" t="s">
        <v>5</v>
      </c>
      <c r="B5" s="2">
        <v>8.2000000000000003E-2</v>
      </c>
      <c r="C5" s="2" t="s">
        <v>6</v>
      </c>
      <c r="M5" s="6"/>
      <c r="N5" s="6"/>
      <c r="O5" s="6"/>
      <c r="P5" s="6"/>
    </row>
    <row r="6" spans="1:25" ht="15.75" x14ac:dyDescent="0.25">
      <c r="A6" s="2" t="s">
        <v>7</v>
      </c>
      <c r="B6" s="2">
        <f>(4*(constant^2)*(T^2))/(EXP(2)*P)</f>
        <v>5.3191434131488347</v>
      </c>
      <c r="C6" s="2"/>
      <c r="M6" s="7"/>
      <c r="N6" s="6"/>
      <c r="O6" s="6"/>
      <c r="P6" s="6"/>
    </row>
    <row r="7" spans="1:25" x14ac:dyDescent="0.25">
      <c r="A7" s="2" t="s">
        <v>8</v>
      </c>
      <c r="B7" s="2">
        <f>(constant*T)/(EXP(2)*P)</f>
        <v>3.994310504887686E-2</v>
      </c>
      <c r="C7" s="2"/>
    </row>
    <row r="9" spans="1:25" ht="15.75" x14ac:dyDescent="0.25">
      <c r="B9" t="s">
        <v>10</v>
      </c>
      <c r="C9" t="s">
        <v>11</v>
      </c>
      <c r="F9" s="3" t="s">
        <v>14</v>
      </c>
      <c r="G9" s="3"/>
    </row>
    <row r="10" spans="1:25" x14ac:dyDescent="0.25">
      <c r="B10">
        <v>2E-3</v>
      </c>
      <c r="C10">
        <f>(constant*temp*EXP(-a/constant*temp*B10))/(pr*(B10-b))</f>
        <v>-1.1580280549812982E-15</v>
      </c>
    </row>
    <row r="11" spans="1:25" ht="15.75" x14ac:dyDescent="0.25">
      <c r="B11">
        <v>2.5000000000000001E-3</v>
      </c>
      <c r="C11">
        <f>(constant*temp*EXP(-a/constant*temp*B11))/(pr*(B11-b))</f>
        <v>-6.9780457638356847E-20</v>
      </c>
      <c r="F11" s="4" t="s">
        <v>15</v>
      </c>
      <c r="G11" s="2">
        <v>4.0000000000000001E-3</v>
      </c>
    </row>
    <row r="12" spans="1:25" ht="15.75" x14ac:dyDescent="0.25">
      <c r="B12">
        <v>3.0000000000000001E-3</v>
      </c>
      <c r="C12">
        <f>(constant*temp*EXP(-a/constant*temp*B12))/(pr*(B12-b))</f>
        <v>-4.2055809359504718E-24</v>
      </c>
      <c r="F12" s="4" t="s">
        <v>16</v>
      </c>
      <c r="G12" s="2">
        <f>(constant*temp*EXP(-a/constant*temp*B10))/(pr*(B10-b))</f>
        <v>-1.1580280549812982E-15</v>
      </c>
    </row>
    <row r="13" spans="1:25" x14ac:dyDescent="0.25">
      <c r="B13">
        <v>3.5000000000000001E-3</v>
      </c>
      <c r="C13">
        <f>(constant*temp*EXP(-a/constant*temp*B13))/(pr*(B13-b))</f>
        <v>-2.5351154253491538E-28</v>
      </c>
    </row>
    <row r="14" spans="1:25" ht="15.75" x14ac:dyDescent="0.25">
      <c r="B14">
        <v>4.0000000000000001E-3</v>
      </c>
      <c r="C14">
        <f>(constant*temp*EXP(-a/constant*temp*B14))/(pr*(B14-b))</f>
        <v>-1.5284500098510597E-32</v>
      </c>
      <c r="P14" s="8"/>
      <c r="Q14" s="8"/>
      <c r="R14" s="8"/>
      <c r="S14" s="8"/>
      <c r="T14" s="8"/>
      <c r="U14" s="8"/>
      <c r="V14" s="8"/>
      <c r="W14" s="8"/>
      <c r="X14" s="8"/>
      <c r="Y14" s="8"/>
    </row>
    <row r="15" spans="1:25" ht="15.75" x14ac:dyDescent="0.25">
      <c r="B15">
        <v>4.4999999999999997E-3</v>
      </c>
      <c r="C15">
        <f>(constant*temp*EXP(-a/constant*temp*B15))/(pr*(B15-b))</f>
        <v>-9.2169830714349297E-37</v>
      </c>
      <c r="P15" s="8"/>
      <c r="Q15" s="8"/>
      <c r="R15" s="8"/>
      <c r="S15" s="8"/>
      <c r="T15" s="8"/>
      <c r="U15" s="8"/>
      <c r="V15" s="8"/>
      <c r="W15" s="8"/>
      <c r="X15" s="8"/>
      <c r="Y15" s="8"/>
    </row>
    <row r="16" spans="1:25" ht="15.75" x14ac:dyDescent="0.25">
      <c r="B16">
        <v>5.0000000000000001E-3</v>
      </c>
      <c r="C16">
        <f>(constant*temp*EXP(-a/constant*temp*B16))/(pr*(B16-b))</f>
        <v>-5.5592061415530786E-41</v>
      </c>
      <c r="P16" s="8"/>
      <c r="Q16" s="8"/>
      <c r="R16" s="8"/>
      <c r="S16" s="8"/>
      <c r="T16" s="8"/>
      <c r="U16" s="6"/>
      <c r="V16" s="8"/>
      <c r="W16" s="8"/>
      <c r="X16" s="8"/>
      <c r="Y16" s="8"/>
    </row>
    <row r="17" spans="2:25" ht="15.75" x14ac:dyDescent="0.25">
      <c r="B17">
        <v>5.4999999999999997E-3</v>
      </c>
      <c r="C17">
        <f>(constant*temp*EXP(-a/constant*temp*B17))/(pr*(B17-b))</f>
        <v>-3.3537114728776502E-45</v>
      </c>
      <c r="P17" s="8"/>
      <c r="Q17" s="8"/>
      <c r="R17" s="8"/>
      <c r="S17" s="8"/>
      <c r="T17" s="8"/>
      <c r="U17" s="8"/>
      <c r="V17" s="8"/>
      <c r="W17" s="8"/>
      <c r="X17" s="8"/>
      <c r="Y17" s="8"/>
    </row>
    <row r="18" spans="2:25" ht="15.75" x14ac:dyDescent="0.25">
      <c r="B18">
        <v>6.0000000000000001E-3</v>
      </c>
      <c r="C18">
        <f>(constant*temp*EXP(-a/constant*temp*B18))/(pr*(B18-b))</f>
        <v>-2.0236255080957814E-49</v>
      </c>
      <c r="P18" s="8"/>
      <c r="Q18" s="8"/>
      <c r="R18" s="12"/>
      <c r="S18" s="8"/>
      <c r="T18" s="8"/>
      <c r="U18" s="8"/>
      <c r="V18" s="8"/>
      <c r="W18" s="8"/>
      <c r="X18" s="8"/>
      <c r="Y18" s="8"/>
    </row>
    <row r="19" spans="2:25" x14ac:dyDescent="0.25">
      <c r="B19">
        <v>6.4999999999999997E-3</v>
      </c>
      <c r="C19">
        <f>(constant*temp*EXP(-a/constant*temp*B19))/(pr*(B19-b))</f>
        <v>-1.2213182333306856E-53</v>
      </c>
    </row>
    <row r="20" spans="2:25" x14ac:dyDescent="0.25">
      <c r="B20">
        <v>7.0000000000000001E-3</v>
      </c>
      <c r="C20">
        <f>(constant*temp*EXP(-a/constant*temp*B20))/(pr*(B20-b))</f>
        <v>-7.372667077760964E-58</v>
      </c>
    </row>
    <row r="21" spans="2:25" x14ac:dyDescent="0.25">
      <c r="B21">
        <v>7.4999999999999997E-3</v>
      </c>
      <c r="C21">
        <f>(constant*temp*EXP(-a/constant*temp*B21))/(pr*(B21-b))</f>
        <v>-4.4516443668386067E-62</v>
      </c>
    </row>
    <row r="22" spans="2:25" x14ac:dyDescent="0.25">
      <c r="B22">
        <v>8.0000000000000002E-3</v>
      </c>
      <c r="C22">
        <f>(constant*temp*EXP(-a/constant*temp*B22))/(pr*(B22-b))</f>
        <v>-2.6885583453434705E-66</v>
      </c>
    </row>
    <row r="23" spans="2:25" x14ac:dyDescent="0.25">
      <c r="B23">
        <v>8.5000000000000006E-3</v>
      </c>
      <c r="C23">
        <f>(constant*temp*EXP(-a/constant*temp*B23))/(pr*(B23-b))</f>
        <v>-1.6241453358575882E-70</v>
      </c>
    </row>
    <row r="24" spans="2:25" x14ac:dyDescent="0.25">
      <c r="B24">
        <v>8.9999999999999993E-3</v>
      </c>
      <c r="C24">
        <f>(constant*temp*EXP(-a/constant*temp*B24))/(pr*(B24-b))</f>
        <v>-9.8138664737790602E-75</v>
      </c>
    </row>
    <row r="25" spans="2:25" x14ac:dyDescent="0.25">
      <c r="B25">
        <v>9.4999999999999998E-3</v>
      </c>
      <c r="C25">
        <f>(constant*temp*EXP(-a/constant*temp*B25))/(pr*(B25-b))</f>
        <v>-5.9315584001455608E-79</v>
      </c>
    </row>
    <row r="26" spans="2:25" x14ac:dyDescent="0.25">
      <c r="B26">
        <v>0.01</v>
      </c>
      <c r="C26">
        <f>(constant*temp*EXP(-a/constant*temp*B26))/(pr*(B26-b))</f>
        <v>-3.5860359871196454E-83</v>
      </c>
    </row>
    <row r="27" spans="2:25" x14ac:dyDescent="0.25">
      <c r="B27">
        <v>1.0500000000000001E-2</v>
      </c>
      <c r="C27">
        <f>(constant*temp*EXP(-a/constant*temp*B27))/(pr*(B27-b))</f>
        <v>-2.1686106663881142E-87</v>
      </c>
    </row>
    <row r="28" spans="2:25" x14ac:dyDescent="0.25">
      <c r="B28">
        <v>1.0999999999999999E-2</v>
      </c>
      <c r="C28">
        <f>(constant*temp*EXP(-a/constant*temp*B28))/(pr*(B28-b))</f>
        <v>-1.3118186400513477E-91</v>
      </c>
    </row>
    <row r="29" spans="2:25" x14ac:dyDescent="0.25">
      <c r="B29">
        <v>1.15E-2</v>
      </c>
      <c r="C29">
        <f>(constant*temp*EXP(-a/constant*temp*B29))/(pr*(B29-b))</f>
        <v>-7.9377174136281563E-96</v>
      </c>
    </row>
    <row r="30" spans="2:25" x14ac:dyDescent="0.25">
      <c r="B30">
        <v>1.2E-2</v>
      </c>
      <c r="C30">
        <f>(constant*temp*EXP(-a/constant*temp*B30))/(pr*(B30-b))</f>
        <v>-4.8045387022407733E-100</v>
      </c>
    </row>
    <row r="31" spans="2:25" x14ac:dyDescent="0.25">
      <c r="B31">
        <v>1.2500000000000001E-2</v>
      </c>
      <c r="C31">
        <f>(constant*temp*EXP(-a/constant*temp*B31))/(pr*(B31-b))</f>
        <v>-2.9090208368313519E-104</v>
      </c>
    </row>
    <row r="32" spans="2:25" x14ac:dyDescent="0.25">
      <c r="B32">
        <v>1.2999999999999999E-2</v>
      </c>
      <c r="C32">
        <f>(constant*temp*EXP(-a/constant*temp*B32))/(pr*(B32-b))</f>
        <v>-1.7619198816764533E-108</v>
      </c>
    </row>
    <row r="33" spans="1:3" x14ac:dyDescent="0.25">
      <c r="B33">
        <v>1.35E-2</v>
      </c>
      <c r="C33">
        <f>(constant*temp*EXP(-a/constant*temp*B33))/(pr*(B33-b))</f>
        <v>-1.0675176661656845E-112</v>
      </c>
    </row>
    <row r="34" spans="1:3" x14ac:dyDescent="0.25">
      <c r="B34">
        <v>1.4E-2</v>
      </c>
      <c r="C34">
        <f>(constant*temp*EXP(-a/constant*temp*B34))/(pr*(B34-b))</f>
        <v>-6.4702235705807202E-117</v>
      </c>
    </row>
    <row r="35" spans="1:3" x14ac:dyDescent="0.25">
      <c r="B35">
        <v>1.4500000000000001E-2</v>
      </c>
      <c r="C35">
        <f>(constant*temp*EXP(-a/constant*temp*B35))/(pr*(B35-b))</f>
        <v>-3.9230591035767548E-121</v>
      </c>
    </row>
    <row r="36" spans="1:3" x14ac:dyDescent="0.25">
      <c r="B36">
        <v>1.4999999999999999E-2</v>
      </c>
      <c r="C36">
        <f>(constant*temp*EXP(-a/constant*temp*B36))/(pr*(B36-b))</f>
        <v>-2.3795682571518062E-125</v>
      </c>
    </row>
    <row r="37" spans="1:3" x14ac:dyDescent="0.25">
      <c r="B37">
        <v>1.55E-2</v>
      </c>
      <c r="C37">
        <f>(constant*temp*EXP(-a/constant*temp*B37))/(pr*(B37-b))</f>
        <v>-1.4439296319383797E-129</v>
      </c>
    </row>
    <row r="38" spans="1:3" x14ac:dyDescent="0.25">
      <c r="B38">
        <v>1.6E-2</v>
      </c>
      <c r="C38">
        <f>(constant*temp*EXP(-a/constant*temp*B38))/(pr*(B38-b))</f>
        <v>-8.7654789824724023E-134</v>
      </c>
    </row>
    <row r="39" spans="1:3" x14ac:dyDescent="0.25">
      <c r="B39">
        <v>1.6500000000000001E-2</v>
      </c>
      <c r="C39">
        <f>(constant*temp*EXP(-a/constant*temp*B39))/(pr*(B39-b))</f>
        <v>-5.3234687696104381E-138</v>
      </c>
    </row>
    <row r="40" spans="1:3" x14ac:dyDescent="0.25">
      <c r="B40">
        <v>1.7000000000000001E-2</v>
      </c>
      <c r="C40">
        <f>(constant*temp*EXP(-a/constant*temp*B40))/(pr*(B40-b))</f>
        <v>-3.2345313972263938E-142</v>
      </c>
    </row>
    <row r="41" spans="1:3" x14ac:dyDescent="0.25">
      <c r="B41">
        <v>1.7500000000000002E-2</v>
      </c>
      <c r="C41">
        <f>(constant*temp*EXP(-a/constant*temp*B41))/(pr*(B41-b))</f>
        <v>-1.9662301127345746E-146</v>
      </c>
    </row>
    <row r="42" spans="1:3" x14ac:dyDescent="0.25">
      <c r="B42">
        <v>1.7999999999999999E-2</v>
      </c>
      <c r="C42">
        <f>(constant*temp*EXP(-a/constant*temp*B42))/(pr*(B42-b))</f>
        <v>-1.195839579819768E-150</v>
      </c>
    </row>
    <row r="43" spans="1:3" x14ac:dyDescent="0.25">
      <c r="B43">
        <v>1.8499999999999999E-2</v>
      </c>
      <c r="C43">
        <f>(constant*temp*EXP(-a/constant*temp*B43))/(pr*(B43-b))</f>
        <v>-7.2767432740278097E-155</v>
      </c>
    </row>
    <row r="44" spans="1:3" x14ac:dyDescent="0.25">
      <c r="B44">
        <v>1.9E-2</v>
      </c>
      <c r="C44">
        <f>(constant*temp*EXP(-a/constant*temp*B44))/(pr*(B44-b))</f>
        <v>-4.4303432533835884E-159</v>
      </c>
    </row>
    <row r="45" spans="1:3" x14ac:dyDescent="0.25">
      <c r="B45">
        <v>1.95E-2</v>
      </c>
      <c r="C45">
        <f>(constant*temp*EXP(-a/constant*temp*B45))/(pr*(B45-b))</f>
        <v>-2.6988907636834083E-163</v>
      </c>
    </row>
    <row r="46" spans="1:3" x14ac:dyDescent="0.25">
      <c r="B46">
        <v>0.02</v>
      </c>
      <c r="C46">
        <f>(constant*temp*EXP(-a/constant*temp*B46))/(pr*(B46-b))</f>
        <v>-1.6451030631100596E-167</v>
      </c>
    </row>
    <row r="48" spans="1:3" x14ac:dyDescent="0.25">
      <c r="A48" s="2" t="s">
        <v>25</v>
      </c>
      <c r="B48" s="2" cm="1">
        <f t="array" ref="B48">MolarVol(1,2,3,4,5,6)</f>
        <v>-3.190905427932707E-7</v>
      </c>
    </row>
    <row r="50" spans="1:10" ht="15.75" x14ac:dyDescent="0.25">
      <c r="A50" s="3" t="s">
        <v>17</v>
      </c>
      <c r="B50" s="3"/>
      <c r="C50" s="3"/>
      <c r="D50" s="3"/>
      <c r="E50" s="3"/>
      <c r="F50" s="3"/>
      <c r="G50" s="3"/>
      <c r="H50" s="3"/>
      <c r="I50" s="3"/>
      <c r="J50" s="3"/>
    </row>
    <row r="51" spans="1:10" ht="15.75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</row>
    <row r="52" spans="1:10" ht="15.75" x14ac:dyDescent="0.25">
      <c r="A52" s="8"/>
      <c r="B52" s="4" t="s">
        <v>18</v>
      </c>
      <c r="C52" s="4" t="s">
        <v>19</v>
      </c>
      <c r="D52" s="4" t="s">
        <v>20</v>
      </c>
      <c r="E52" s="4" t="s">
        <v>21</v>
      </c>
      <c r="F52" s="4" t="s">
        <v>22</v>
      </c>
      <c r="G52" s="9"/>
      <c r="H52" s="8"/>
      <c r="I52" s="8"/>
      <c r="J52" s="8"/>
    </row>
    <row r="53" spans="1:10" ht="15.75" x14ac:dyDescent="0.25">
      <c r="A53" s="6" t="s">
        <v>23</v>
      </c>
      <c r="B53" s="6">
        <v>0.01</v>
      </c>
      <c r="C53" s="6">
        <v>0.02</v>
      </c>
      <c r="D53" s="8">
        <f>(constant*temp*EXP(-a/constant*temp*B53))/(pr*(B53-b))</f>
        <v>-3.5860359871196454E-83</v>
      </c>
      <c r="E53" s="8">
        <f>(constant*temp*EXP(-a/constant*temp*C53))/(pr*(C53-b))</f>
        <v>-1.6451030631100596E-167</v>
      </c>
      <c r="F53" s="8">
        <f>C53-(E53/(E53-D53))*(C53-B53)</f>
        <v>0.02</v>
      </c>
      <c r="G53" s="10"/>
      <c r="H53" s="8"/>
      <c r="I53" s="8"/>
      <c r="J53" s="8"/>
    </row>
    <row r="54" spans="1:10" ht="31.5" x14ac:dyDescent="0.25">
      <c r="A54" s="7" t="s">
        <v>24</v>
      </c>
      <c r="B54" s="6">
        <f>C53</f>
        <v>0.02</v>
      </c>
      <c r="C54" s="11">
        <f>F53</f>
        <v>0.02</v>
      </c>
      <c r="D54" s="8">
        <f>(constant*temp*EXP(-a/constant*temp*B54))/(pr*(B54-b))</f>
        <v>-1.6451030631100596E-167</v>
      </c>
      <c r="E54" s="8">
        <f>(constant*temp*EXP(-a/constant*temp*C54))/(pr*(C54-b))</f>
        <v>-1.6451030631100596E-167</v>
      </c>
      <c r="F54" s="8" t="e">
        <f>C54-(E54/(E54-D54))*(C54-B54)</f>
        <v>#DIV/0!</v>
      </c>
      <c r="G54" s="8"/>
      <c r="H54" s="8"/>
      <c r="I54" s="8"/>
      <c r="J54" s="8"/>
    </row>
    <row r="55" spans="1:10" ht="15.75" x14ac:dyDescent="0.25">
      <c r="B55" s="6">
        <v>0.01</v>
      </c>
      <c r="C55" s="6">
        <v>0.02</v>
      </c>
      <c r="D55" s="8">
        <f>(constant*temp*EXP(-a/constant*temp*B55))/(pr*(B55-b))</f>
        <v>-3.5860359871196454E-83</v>
      </c>
      <c r="E55" s="8">
        <f>(constant*temp*EXP(-a/constant*temp*C55))/(pr*(C55-b))</f>
        <v>-1.6451030631100596E-167</v>
      </c>
      <c r="F55" s="8">
        <f t="shared" ref="F55:F57" si="0">C55-(E55/(E55-D55))*(C55-B55)</f>
        <v>0.02</v>
      </c>
    </row>
    <row r="56" spans="1:10" ht="15.75" x14ac:dyDescent="0.25">
      <c r="B56" s="6">
        <f t="shared" ref="B56:B57" si="1">C55</f>
        <v>0.02</v>
      </c>
      <c r="C56" s="11">
        <f t="shared" ref="C56:C57" si="2">F55</f>
        <v>0.02</v>
      </c>
      <c r="D56" s="8">
        <f>(constant*temp*EXP(-a/constant*temp*B56))/(pr*(B56-b))</f>
        <v>-1.6451030631100596E-167</v>
      </c>
      <c r="E56" s="8">
        <f>(constant*temp*EXP(-a/constant*temp*C56))/(pr*(C56-b))</f>
        <v>-1.6451030631100596E-167</v>
      </c>
      <c r="F56" s="8" t="e">
        <f t="shared" si="0"/>
        <v>#DIV/0!</v>
      </c>
    </row>
    <row r="57" spans="1:10" ht="15.75" x14ac:dyDescent="0.25">
      <c r="B57" s="6">
        <v>0.01</v>
      </c>
      <c r="C57" s="6">
        <v>0.02</v>
      </c>
      <c r="D57" s="8">
        <f>(constant*temp*EXP(-a/constant*temp*B57))/(pr*(B57-b))</f>
        <v>-3.5860359871196454E-83</v>
      </c>
      <c r="E57" s="8">
        <f>(constant*temp*EXP(-a/constant*temp*C57))/(pr*(C57-b))</f>
        <v>-1.6451030631100596E-167</v>
      </c>
      <c r="F57" s="8">
        <f t="shared" si="0"/>
        <v>0.02</v>
      </c>
    </row>
    <row r="58" spans="1:10" ht="15.75" x14ac:dyDescent="0.25">
      <c r="B58" s="6">
        <v>0.01</v>
      </c>
      <c r="C58" s="6">
        <v>0.02</v>
      </c>
      <c r="D58" s="8">
        <f>(constant*temp*EXP(-a/constant*temp*B58))/(pr*(B58-b))</f>
        <v>-3.5860359871196454E-83</v>
      </c>
      <c r="E58" s="8">
        <f>(constant*temp*EXP(-a/constant*temp*C58))/(pr*(C58-b))</f>
        <v>-1.6451030631100596E-167</v>
      </c>
      <c r="F58" s="8">
        <f>C58-(E58/(E58-D58))*(C58-B58)</f>
        <v>0.02</v>
      </c>
    </row>
    <row r="59" spans="1:10" ht="15.75" x14ac:dyDescent="0.25">
      <c r="B59" s="6">
        <f>C58</f>
        <v>0.02</v>
      </c>
      <c r="C59" s="11">
        <f>F58</f>
        <v>0.02</v>
      </c>
      <c r="D59" s="8">
        <f>(constant*temp*EXP(-a/constant*temp*B59))/(pr*(B59-b))</f>
        <v>-1.6451030631100596E-167</v>
      </c>
      <c r="E59" s="8">
        <f>(constant*temp*EXP(-a/constant*temp*C59))/(pr*(C59-b))</f>
        <v>-1.6451030631100596E-167</v>
      </c>
      <c r="F59" s="8" t="e">
        <f>C59-(E59/(E59-D59))*(C59-B59)</f>
        <v>#DIV/0!</v>
      </c>
    </row>
    <row r="60" spans="1:10" ht="15.75" x14ac:dyDescent="0.25">
      <c r="B60" s="6">
        <v>0.01</v>
      </c>
      <c r="C60" s="6">
        <v>0.02</v>
      </c>
      <c r="D60" s="8">
        <f>(constant*temp*EXP(-a/constant*temp*B60))/(pr*(B60-b))</f>
        <v>-3.5860359871196454E-83</v>
      </c>
      <c r="E60" s="8">
        <f>(constant*temp*EXP(-a/constant*temp*C60))/(pr*(C60-b))</f>
        <v>-1.6451030631100596E-167</v>
      </c>
      <c r="F60" s="8">
        <f t="shared" ref="F60" si="3">C60-(E60/(E60-D60))*(C60-B60)</f>
        <v>0.02</v>
      </c>
    </row>
  </sheetData>
  <mergeCells count="3">
    <mergeCell ref="F9:G9"/>
    <mergeCell ref="M2:P2"/>
    <mergeCell ref="A50:J5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40C6C-92E8-4489-A287-1760A38D89C3}">
  <sheetPr codeName="Sheet2"/>
  <dimension ref="B2:J13"/>
  <sheetViews>
    <sheetView workbookViewId="0">
      <selection activeCell="H15" sqref="H15"/>
    </sheetView>
  </sheetViews>
  <sheetFormatPr defaultRowHeight="15" x14ac:dyDescent="0.25"/>
  <cols>
    <col min="2" max="2" width="13.7109375" customWidth="1"/>
    <col min="10" max="10" width="15.85546875" customWidth="1"/>
  </cols>
  <sheetData>
    <row r="2" spans="2:10" ht="47.25" x14ac:dyDescent="0.25">
      <c r="B2" s="15"/>
      <c r="C2" s="13" t="s">
        <v>30</v>
      </c>
      <c r="D2" s="14" t="s">
        <v>26</v>
      </c>
      <c r="E2" s="14" t="s">
        <v>27</v>
      </c>
      <c r="F2" s="14" t="s">
        <v>28</v>
      </c>
      <c r="G2" s="14" t="s">
        <v>29</v>
      </c>
    </row>
    <row r="3" spans="2:10" ht="15.75" x14ac:dyDescent="0.25">
      <c r="B3" s="15" t="s">
        <v>31</v>
      </c>
      <c r="C3" s="16">
        <v>0.15</v>
      </c>
      <c r="D3" s="17">
        <v>7.0000000000000007E-2</v>
      </c>
      <c r="E3" s="17">
        <v>0.15</v>
      </c>
      <c r="F3" s="17">
        <v>0.18</v>
      </c>
      <c r="G3" s="20">
        <v>0.24</v>
      </c>
    </row>
    <row r="4" spans="2:10" ht="15.75" x14ac:dyDescent="0.25">
      <c r="B4" s="15" t="s">
        <v>32</v>
      </c>
      <c r="C4" s="17">
        <v>0.25</v>
      </c>
      <c r="D4" s="17">
        <v>0.04</v>
      </c>
      <c r="E4" s="17">
        <v>0.1</v>
      </c>
      <c r="F4" s="17">
        <v>0.24</v>
      </c>
      <c r="G4" s="20">
        <v>0.65</v>
      </c>
    </row>
    <row r="5" spans="2:10" ht="15.75" x14ac:dyDescent="0.25">
      <c r="B5" s="15" t="s">
        <v>33</v>
      </c>
      <c r="C5" s="17">
        <v>0.4</v>
      </c>
      <c r="D5" s="17">
        <v>0.54</v>
      </c>
      <c r="E5" s="17">
        <v>0.54</v>
      </c>
      <c r="F5" s="17">
        <v>0.42</v>
      </c>
      <c r="G5" s="20">
        <v>0.1</v>
      </c>
    </row>
    <row r="6" spans="2:10" ht="15.75" x14ac:dyDescent="0.25">
      <c r="B6" s="19" t="s">
        <v>34</v>
      </c>
      <c r="C6" s="20">
        <v>0.2</v>
      </c>
      <c r="D6" s="20">
        <v>0.35</v>
      </c>
      <c r="E6" s="20">
        <v>0.21</v>
      </c>
      <c r="F6" s="20">
        <v>0.16</v>
      </c>
      <c r="G6" s="20">
        <v>1</v>
      </c>
    </row>
    <row r="9" spans="2:10" ht="15.75" x14ac:dyDescent="0.25">
      <c r="B9" s="18" t="s">
        <v>35</v>
      </c>
      <c r="C9" s="21"/>
      <c r="D9" s="21"/>
      <c r="E9" s="21"/>
      <c r="F9" s="21"/>
      <c r="G9" s="21" t="s">
        <v>36</v>
      </c>
      <c r="H9" s="21"/>
      <c r="I9" s="20" t="s">
        <v>37</v>
      </c>
      <c r="J9" s="20" t="s">
        <v>38</v>
      </c>
    </row>
    <row r="10" spans="2:10" ht="15.75" x14ac:dyDescent="0.25">
      <c r="B10" s="17">
        <v>7.0000000000000007E-2</v>
      </c>
      <c r="C10" s="17">
        <v>0.15</v>
      </c>
      <c r="D10" s="17">
        <v>0.18</v>
      </c>
      <c r="E10" s="20">
        <v>0.24</v>
      </c>
      <c r="F10" s="21"/>
      <c r="G10" s="16">
        <v>0.15</v>
      </c>
      <c r="H10" s="21"/>
      <c r="I10" s="20">
        <v>0.16799999999999998</v>
      </c>
      <c r="J10" s="22" t="s">
        <v>26</v>
      </c>
    </row>
    <row r="11" spans="2:10" ht="15.75" x14ac:dyDescent="0.25">
      <c r="B11" s="17">
        <v>0.04</v>
      </c>
      <c r="C11" s="17">
        <v>0.1</v>
      </c>
      <c r="D11" s="17">
        <v>0.24</v>
      </c>
      <c r="E11" s="20">
        <v>0.65</v>
      </c>
      <c r="F11" s="21"/>
      <c r="G11" s="17">
        <v>0.25</v>
      </c>
      <c r="H11" s="21"/>
      <c r="I11" s="20">
        <v>0.25700000000000001</v>
      </c>
      <c r="J11" s="22" t="s">
        <v>27</v>
      </c>
    </row>
    <row r="12" spans="2:10" ht="15.75" x14ac:dyDescent="0.25">
      <c r="B12" s="17">
        <v>0.54</v>
      </c>
      <c r="C12" s="17">
        <v>0.54</v>
      </c>
      <c r="D12" s="17">
        <v>0.42</v>
      </c>
      <c r="E12" s="20">
        <v>0.1</v>
      </c>
      <c r="F12" s="21"/>
      <c r="G12" s="17">
        <v>0.4</v>
      </c>
      <c r="H12" s="21"/>
      <c r="I12" s="20">
        <v>0.40400000000000003</v>
      </c>
      <c r="J12" s="22" t="s">
        <v>28</v>
      </c>
    </row>
    <row r="13" spans="2:10" x14ac:dyDescent="0.25">
      <c r="B13" s="20">
        <v>0.35</v>
      </c>
      <c r="C13" s="20">
        <v>0.21</v>
      </c>
      <c r="D13" s="20">
        <v>0.16</v>
      </c>
      <c r="E13" s="20">
        <v>1</v>
      </c>
      <c r="F13" s="21"/>
      <c r="G13" s="20">
        <v>0.2</v>
      </c>
      <c r="H13" s="21"/>
      <c r="I13" s="20">
        <v>0.36899999999999999</v>
      </c>
      <c r="J13" s="22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Sheet2</vt:lpstr>
      <vt:lpstr>a</vt:lpstr>
      <vt:lpstr>b</vt:lpstr>
      <vt:lpstr>constant</vt:lpstr>
      <vt:lpstr>P</vt:lpstr>
      <vt:lpstr>pr</vt:lpstr>
      <vt:lpstr>T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</dc:creator>
  <cp:lastModifiedBy>Renata</cp:lastModifiedBy>
  <dcterms:created xsi:type="dcterms:W3CDTF">2020-02-26T16:01:16Z</dcterms:created>
  <dcterms:modified xsi:type="dcterms:W3CDTF">2020-02-26T17:21:36Z</dcterms:modified>
</cp:coreProperties>
</file>