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LuoZhen/Desktop/CHE205_Fall19/mid/exam3/"/>
    </mc:Choice>
  </mc:AlternateContent>
  <xr:revisionPtr revIDLastSave="0" documentId="13_ncr:1_{C1913214-C2EE-2843-A6ED-80083603A5DD}" xr6:coauthVersionLast="41" xr6:coauthVersionMax="45" xr10:uidLastSave="{00000000-0000-0000-0000-000000000000}"/>
  <bookViews>
    <workbookView xWindow="4660" yWindow="3100" windowWidth="20740" windowHeight="11160" xr2:uid="{00000000-000D-0000-FFFF-FFFF00000000}"/>
  </bookViews>
  <sheets>
    <sheet name="Sheet1" sheetId="1" r:id="rId1"/>
  </sheets>
  <definedNames>
    <definedName name="solver_adj" localSheetId="0" hidden="1">Sheet1!$B$7,Sheet1!$B$8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Sheet1!$E$7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E7" i="1"/>
</calcChain>
</file>

<file path=xl/sharedStrings.xml><?xml version="1.0" encoding="utf-8"?>
<sst xmlns="http://schemas.openxmlformats.org/spreadsheetml/2006/main" count="10" uniqueCount="10">
  <si>
    <t>PA</t>
  </si>
  <si>
    <t>PB</t>
  </si>
  <si>
    <t>r</t>
  </si>
  <si>
    <t>kA</t>
  </si>
  <si>
    <t>kB</t>
  </si>
  <si>
    <t>k1</t>
  </si>
  <si>
    <t>residual^2</t>
  </si>
  <si>
    <t>log10(r) = log10(k1PA) − 2log10(1 + kAPA + kBPB)</t>
  </si>
  <si>
    <t>rcalc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</si>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</sst>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278029</xdr:colOff>
      <xdr:row>8</xdr:row>
      <xdr:rowOff>147135</xdr:rowOff>
    </xdr:from>
    <xdr:ext cx="4066754" cy="875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D08586-2CAE-D74D-A573-C48188DECB7C}"/>
            </a:ext>
          </a:extLst>
        </xdr:cNvPr>
        <xdr:cNvSpPr/>
      </xdr:nvSpPr>
      <xdr:spPr>
        <a:xfrm>
          <a:off x="4405529" y="1671135"/>
          <a:ext cx="4066754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2/5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Error in optimization</a:t>
          </a:r>
          <a:r>
            <a:rPr lang="en-US" altLang="zh-CN" sz="25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method</a:t>
          </a:r>
          <a:endParaRPr lang="en-US" altLang="zh-CN" sz="25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K16" sqref="K16"/>
    </sheetView>
  </sheetViews>
  <sheetFormatPr baseColWidth="10" defaultColWidth="8.83203125" defaultRowHeight="15"/>
  <cols>
    <col min="4" max="4" width="10" customWidth="1"/>
  </cols>
  <sheetData>
    <row r="1" spans="1:9">
      <c r="A1" t="s">
        <v>0</v>
      </c>
      <c r="B1" t="s">
        <v>1</v>
      </c>
      <c r="C1" t="s">
        <v>2</v>
      </c>
      <c r="D1" t="s">
        <v>8</v>
      </c>
      <c r="E1" t="s">
        <v>6</v>
      </c>
      <c r="G1" t="s">
        <v>7</v>
      </c>
    </row>
    <row r="2" spans="1:9">
      <c r="A2">
        <v>1</v>
      </c>
      <c r="B2">
        <v>0</v>
      </c>
      <c r="C2" s="1">
        <v>3.4E-5</v>
      </c>
      <c r="D2">
        <f>(($B$9*A2)-2*((1+($B$7*A2)+($B$8*B2))))</f>
        <v>-107374185.38500001</v>
      </c>
      <c r="E2" s="1">
        <f>(D2-C2)^2</f>
        <v>1.1529215687099652E+16</v>
      </c>
      <c r="I2" s="1"/>
    </row>
    <row r="3" spans="1:9">
      <c r="A3">
        <v>0.9</v>
      </c>
      <c r="B3">
        <v>0.1</v>
      </c>
      <c r="C3" s="1">
        <v>3.6000000000000001E-5</v>
      </c>
      <c r="D3">
        <f t="shared" ref="D3:D6" si="0">(($B$9*A3)-2*((1+($B$7*A3)+($B$8*B3))))</f>
        <v>-99366665.148744643</v>
      </c>
      <c r="E3" s="1">
        <f t="shared" ref="E3:E6" si="1">(D3-C3)^2</f>
        <v>9873734142789898</v>
      </c>
    </row>
    <row r="4" spans="1:9">
      <c r="A4">
        <v>0.8</v>
      </c>
      <c r="B4">
        <v>0.2</v>
      </c>
      <c r="C4" s="1">
        <v>3.6999999999999998E-5</v>
      </c>
      <c r="D4">
        <f t="shared" si="0"/>
        <v>-91359144.91248931</v>
      </c>
      <c r="E4" s="1">
        <f t="shared" si="1"/>
        <v>8346493359147982</v>
      </c>
    </row>
    <row r="5" spans="1:9">
      <c r="A5">
        <v>0.7</v>
      </c>
      <c r="B5">
        <v>0.3</v>
      </c>
      <c r="C5" s="1">
        <v>3.8999999999999999E-5</v>
      </c>
      <c r="D5">
        <f t="shared" si="0"/>
        <v>-83351624.676233932</v>
      </c>
      <c r="E5" s="1">
        <f t="shared" si="1"/>
        <v>6947493336174270</v>
      </c>
    </row>
    <row r="6" spans="1:9">
      <c r="A6">
        <v>0.6</v>
      </c>
      <c r="B6">
        <v>0.4</v>
      </c>
      <c r="C6" s="1">
        <v>4.0000000000000003E-5</v>
      </c>
      <c r="D6">
        <f t="shared" si="0"/>
        <v>-75344104.439978585</v>
      </c>
      <c r="E6" s="1">
        <f t="shared" si="1"/>
        <v>5676734073868427</v>
      </c>
    </row>
    <row r="7" spans="1:9">
      <c r="A7" t="s">
        <v>3</v>
      </c>
      <c r="B7">
        <v>53687091.700000003</v>
      </c>
      <c r="D7" t="s">
        <v>9</v>
      </c>
      <c r="E7" s="1">
        <f>SUM(E2:E6)</f>
        <v>4.2373670599080232E+16</v>
      </c>
    </row>
    <row r="8" spans="1:9">
      <c r="A8" t="s">
        <v>4</v>
      </c>
      <c r="B8">
        <v>13649490.51122324</v>
      </c>
    </row>
    <row r="9" spans="1:9">
      <c r="A9" t="s">
        <v>5</v>
      </c>
      <c r="B9">
        <v>1.4999999999999999E-2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2020-05-13T01:23:27Z</dcterms:modified>
</cp:coreProperties>
</file>