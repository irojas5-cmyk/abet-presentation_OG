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halfan_Alasam/Desktop/ChE 205/HW/HW 4/"/>
    </mc:Choice>
  </mc:AlternateContent>
  <xr:revisionPtr revIDLastSave="0" documentId="13_ncr:1_{4414F193-25AA-954E-A688-6333ADF492E7}" xr6:coauthVersionLast="45" xr6:coauthVersionMax="45" xr10:uidLastSave="{00000000-0000-0000-0000-000000000000}"/>
  <bookViews>
    <workbookView xWindow="0" yWindow="460" windowWidth="25600" windowHeight="14180" activeTab="3" xr2:uid="{D265422B-E007-4342-839E-E8AB4C4BF10F}"/>
  </bookViews>
  <sheets>
    <sheet name="3.1" sheetId="1" r:id="rId1"/>
    <sheet name="3.2" sheetId="2" r:id="rId2"/>
    <sheet name="3.3" sheetId="3" r:id="rId3"/>
    <sheet name="3.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 a="1"/>
  <c r="L4" i="5" s="1"/>
  <c r="Y13" i="5" l="1" a="1"/>
  <c r="Y13" i="5" s="1"/>
  <c r="N13" i="5" a="1"/>
  <c r="N13" i="5" s="1"/>
  <c r="H4" i="5" a="1"/>
  <c r="H4" i="5" s="1"/>
  <c r="F27" i="2" a="1"/>
  <c r="F27" i="2" s="1"/>
  <c r="B27" i="2" a="1"/>
  <c r="B27" i="2" s="1"/>
  <c r="F26" i="1" a="1"/>
  <c r="F26" i="1" s="1"/>
  <c r="B26" i="1" a="1"/>
  <c r="B26" i="1" s="1"/>
  <c r="H19" i="1" a="1"/>
  <c r="H19" i="1" s="1"/>
  <c r="B12" i="3" l="1" a="1"/>
  <c r="B12" i="3" s="1"/>
  <c r="H12" i="3" s="1" a="1"/>
  <c r="H12" i="3" s="1"/>
  <c r="B20" i="2" a="1"/>
  <c r="B20" i="2" s="1"/>
  <c r="H20" i="2" s="1" a="1"/>
  <c r="H20" i="2" s="1"/>
  <c r="B19" i="1" a="1"/>
  <c r="B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<sst xmlns="http://schemas.openxmlformats.org/spreadsheetml/2006/main" count="109" uniqueCount="50">
  <si>
    <t>x</t>
  </si>
  <si>
    <t>P1</t>
  </si>
  <si>
    <t>F2</t>
  </si>
  <si>
    <t>P2</t>
  </si>
  <si>
    <t>b</t>
  </si>
  <si>
    <t>x =A^ (-1)*b</t>
  </si>
  <si>
    <t>B)</t>
  </si>
  <si>
    <t>C)</t>
  </si>
  <si>
    <t>A ^ (-1)</t>
  </si>
  <si>
    <t>P1 =</t>
  </si>
  <si>
    <t>F2 =</t>
  </si>
  <si>
    <t>P2 =</t>
  </si>
  <si>
    <t>A)</t>
  </si>
  <si>
    <t>Matrix A</t>
  </si>
  <si>
    <t>S2</t>
  </si>
  <si>
    <t>S3</t>
  </si>
  <si>
    <t>S4</t>
  </si>
  <si>
    <t>V1</t>
  </si>
  <si>
    <t>V2</t>
  </si>
  <si>
    <t>L2</t>
  </si>
  <si>
    <t xml:space="preserve">&lt;&lt;- the SysLin function will have a two inputs the first will be "Mat" which is </t>
  </si>
  <si>
    <t>the matrix A in our case and for the second input "v" the vector will be b in our case</t>
  </si>
  <si>
    <t>A^(+) = A^(-1)</t>
  </si>
  <si>
    <t>Because n=m A^(+) = A^(-1). "n" is number of rows and "m" is number of colums</t>
  </si>
  <si>
    <t>x =A^ (+)*b</t>
  </si>
  <si>
    <t>B</t>
  </si>
  <si>
    <t>A</t>
  </si>
  <si>
    <t>Part c</t>
  </si>
  <si>
    <t>Part b</t>
  </si>
  <si>
    <t>Part a</t>
  </si>
  <si>
    <t>A ^ (-1) * B</t>
  </si>
  <si>
    <t>A^(-1)</t>
  </si>
  <si>
    <t>A+</t>
  </si>
  <si>
    <t>A+*b</t>
  </si>
  <si>
    <t xml:space="preserve">&lt;---USED =mpsuedoinv() </t>
  </si>
  <si>
    <t>a. A-1*b</t>
  </si>
  <si>
    <t>b. SYSLIN</t>
  </si>
  <si>
    <t>c. A+</t>
  </si>
  <si>
    <t>x1</t>
  </si>
  <si>
    <t>x2</t>
  </si>
  <si>
    <t>x3</t>
  </si>
  <si>
    <t>D)</t>
  </si>
  <si>
    <t>A-1</t>
  </si>
  <si>
    <t>x4</t>
  </si>
  <si>
    <t>E)</t>
  </si>
  <si>
    <t>A+*A</t>
  </si>
  <si>
    <t>I</t>
  </si>
  <si>
    <t>z</t>
  </si>
  <si>
    <t>x=A+*b+(I-A+*A)z</t>
  </si>
  <si>
    <t>(I-A+*A)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</si>
</sst>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/>
    <xf numFmtId="0" fontId="2" fillId="2" borderId="0" xfId="1" applyFill="1"/>
    <xf numFmtId="0" fontId="2" fillId="3" borderId="0" xfId="1" applyFill="1"/>
    <xf numFmtId="0" fontId="0" fillId="3" borderId="0" xfId="0" applyFill="1"/>
  </cellXfs>
  <cellStyles count="2">
    <cellStyle name="Normal" xfId="0" builtinId="0"/>
    <cellStyle name="Normal 2" xfId="1" xr:uid="{DCE3FB63-F3B3-374B-A424-5820FC28F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208F-E4F0-F040-900D-EC1C8385DD92}">
  <sheetPr codeName="Sheet1"/>
  <dimension ref="A2:M28"/>
  <sheetViews>
    <sheetView topLeftCell="A13" workbookViewId="0">
      <selection activeCell="F33" sqref="F33"/>
    </sheetView>
  </sheetViews>
  <sheetFormatPr baseColWidth="10" defaultRowHeight="16"/>
  <sheetData>
    <row r="2" spans="1:13">
      <c r="A2" s="2" t="s">
        <v>13</v>
      </c>
      <c r="E2" s="2" t="s">
        <v>0</v>
      </c>
      <c r="G2" s="2" t="s">
        <v>4</v>
      </c>
    </row>
    <row r="3" spans="1:13">
      <c r="A3">
        <v>-1.7000000000000001E-2</v>
      </c>
      <c r="B3">
        <v>0.02</v>
      </c>
      <c r="C3">
        <v>-2.2000000000000001E-3</v>
      </c>
      <c r="E3" s="2" t="s">
        <v>1</v>
      </c>
      <c r="G3">
        <v>0</v>
      </c>
    </row>
    <row r="4" spans="1:13">
      <c r="A4">
        <v>0</v>
      </c>
      <c r="B4">
        <v>0.9</v>
      </c>
      <c r="C4">
        <v>-0.98899999999999999</v>
      </c>
      <c r="E4" s="2" t="s">
        <v>2</v>
      </c>
      <c r="G4">
        <v>0</v>
      </c>
    </row>
    <row r="5" spans="1:13">
      <c r="A5">
        <v>-1</v>
      </c>
      <c r="B5">
        <v>1</v>
      </c>
      <c r="C5">
        <v>-1</v>
      </c>
      <c r="E5" s="2" t="s">
        <v>3</v>
      </c>
      <c r="G5">
        <v>-100</v>
      </c>
    </row>
    <row r="7" spans="1:13">
      <c r="A7" t="s">
        <v>12</v>
      </c>
    </row>
    <row r="9" spans="1:13">
      <c r="A9" t="s">
        <v>13</v>
      </c>
      <c r="D9" t="s">
        <v>4</v>
      </c>
      <c r="E9" s="1" t="s">
        <v>0</v>
      </c>
    </row>
    <row r="10" spans="1:13">
      <c r="A10">
        <v>-1.7000000000000001E-2</v>
      </c>
      <c r="B10">
        <v>0.02</v>
      </c>
      <c r="C10">
        <v>-2.2000000000000001E-3</v>
      </c>
      <c r="D10">
        <v>0</v>
      </c>
      <c r="E10" s="1">
        <v>109.28961748633881</v>
      </c>
      <c r="G10" s="1" t="s">
        <v>20</v>
      </c>
      <c r="H10" s="1"/>
      <c r="I10" s="1"/>
      <c r="J10" s="1"/>
      <c r="K10" s="1"/>
      <c r="L10" s="1"/>
      <c r="M10" s="1"/>
    </row>
    <row r="11" spans="1:13">
      <c r="A11">
        <v>0</v>
      </c>
      <c r="B11">
        <v>0.9</v>
      </c>
      <c r="C11">
        <v>-0.98899999999999999</v>
      </c>
      <c r="D11">
        <v>0</v>
      </c>
      <c r="E11" s="1">
        <v>103.22956959538281</v>
      </c>
      <c r="G11" s="1" t="s">
        <v>21</v>
      </c>
      <c r="H11" s="1"/>
      <c r="I11" s="1"/>
      <c r="J11" s="1"/>
      <c r="K11" s="1"/>
      <c r="L11" s="1"/>
      <c r="M11" s="1"/>
    </row>
    <row r="12" spans="1:13">
      <c r="A12">
        <v>-1</v>
      </c>
      <c r="B12">
        <v>1</v>
      </c>
      <c r="C12">
        <v>-1</v>
      </c>
      <c r="D12">
        <v>-100</v>
      </c>
      <c r="E12" s="1">
        <v>93.939952109044029</v>
      </c>
    </row>
    <row r="16" spans="1:13">
      <c r="A16" t="s">
        <v>6</v>
      </c>
    </row>
    <row r="18" spans="1:8">
      <c r="B18" t="s">
        <v>8</v>
      </c>
      <c r="G18" t="s">
        <v>0</v>
      </c>
      <c r="H18" s="1" t="s">
        <v>5</v>
      </c>
    </row>
    <row r="19" spans="1:8">
      <c r="B19" cm="1">
        <f t="array" ref="B19:D21">MINVERSE(A3:C5)</f>
        <v>5.4644808743169406</v>
      </c>
      <c r="C19">
        <v>1.0928961748633879</v>
      </c>
      <c r="D19">
        <v>-1.0928961748633881</v>
      </c>
      <c r="G19" t="s">
        <v>9</v>
      </c>
      <c r="H19" s="1" cm="1">
        <f t="array" ref="H19:H21">MMULT(_xlfn.ANCHORARRAY(B19),G3:G5)</f>
        <v>109.28961748633881</v>
      </c>
    </row>
    <row r="20" spans="1:8">
      <c r="B20">
        <v>60.723276232578129</v>
      </c>
      <c r="C20">
        <v>0.9087001903358507</v>
      </c>
      <c r="D20">
        <v>-1.0322956959538281</v>
      </c>
      <c r="G20" t="s">
        <v>10</v>
      </c>
      <c r="H20" s="1">
        <v>103.22956959538281</v>
      </c>
    </row>
    <row r="21" spans="1:8">
      <c r="B21">
        <v>55.258795358261189</v>
      </c>
      <c r="C21">
        <v>-0.18419598452753724</v>
      </c>
      <c r="D21">
        <v>-0.93939952109044023</v>
      </c>
      <c r="G21" t="s">
        <v>11</v>
      </c>
      <c r="H21" s="1">
        <v>93.939952109044029</v>
      </c>
    </row>
    <row r="23" spans="1:8">
      <c r="A23" t="s">
        <v>7</v>
      </c>
    </row>
    <row r="24" spans="1:8">
      <c r="B24" s="1" t="s">
        <v>23</v>
      </c>
      <c r="C24" s="1"/>
      <c r="D24" s="1"/>
      <c r="E24" s="1"/>
      <c r="F24" s="1"/>
      <c r="G24" s="1"/>
      <c r="H24" s="1"/>
    </row>
    <row r="25" spans="1:8">
      <c r="B25" t="s">
        <v>22</v>
      </c>
      <c r="E25" s="2" t="s">
        <v>4</v>
      </c>
      <c r="F25" s="1" t="s">
        <v>24</v>
      </c>
    </row>
    <row r="26" spans="1:8">
      <c r="B26" cm="1">
        <f t="array" ref="B26:D28">MINVERSE(A3:C5)</f>
        <v>5.4644808743169406</v>
      </c>
      <c r="C26">
        <v>1.0928961748633879</v>
      </c>
      <c r="D26">
        <v>-1.0928961748633881</v>
      </c>
      <c r="E26">
        <v>0</v>
      </c>
      <c r="F26" s="1" cm="1">
        <f t="array" ref="F26:F28">MMULT(_xlfn.ANCHORARRAY(B26),E26:E28)</f>
        <v>109.28961748633881</v>
      </c>
    </row>
    <row r="27" spans="1:8">
      <c r="B27">
        <v>60.723276232578129</v>
      </c>
      <c r="C27">
        <v>0.9087001903358507</v>
      </c>
      <c r="D27">
        <v>-1.0322956959538281</v>
      </c>
      <c r="E27">
        <v>0</v>
      </c>
      <c r="F27" s="1">
        <v>103.22956959538281</v>
      </c>
    </row>
    <row r="28" spans="1:8">
      <c r="B28">
        <v>55.258795358261189</v>
      </c>
      <c r="C28">
        <v>-0.18419598452753724</v>
      </c>
      <c r="D28">
        <v>-0.93939952109044023</v>
      </c>
      <c r="E28">
        <v>-100</v>
      </c>
      <c r="F28" s="1">
        <v>93.939952109044029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6382-3F4E-2443-B21E-A1C1936BA3EE}">
  <sheetPr codeName="Sheet2"/>
  <dimension ref="A2:M29"/>
  <sheetViews>
    <sheetView workbookViewId="0">
      <selection activeCell="M18" sqref="M18"/>
    </sheetView>
  </sheetViews>
  <sheetFormatPr baseColWidth="10" defaultRowHeight="16"/>
  <sheetData>
    <row r="2" spans="1:13">
      <c r="A2" s="2" t="s">
        <v>13</v>
      </c>
      <c r="B2" s="2"/>
      <c r="C2" s="2"/>
      <c r="D2" s="2"/>
      <c r="E2" s="2" t="s">
        <v>0</v>
      </c>
      <c r="F2" s="2"/>
      <c r="G2" s="2" t="s">
        <v>4</v>
      </c>
    </row>
    <row r="3" spans="1:13">
      <c r="A3">
        <v>0</v>
      </c>
      <c r="B3">
        <v>-0.99199999999999999</v>
      </c>
      <c r="C3">
        <v>-0.185</v>
      </c>
      <c r="E3" s="2" t="s">
        <v>14</v>
      </c>
      <c r="G3">
        <v>-1.1000000000000001</v>
      </c>
    </row>
    <row r="4" spans="1:13">
      <c r="A4">
        <v>0.02</v>
      </c>
      <c r="B4">
        <v>-8.0000000000000002E-3</v>
      </c>
      <c r="C4">
        <v>-5.0000000000000001E-3</v>
      </c>
      <c r="E4" s="2" t="s">
        <v>15</v>
      </c>
      <c r="G4">
        <v>0</v>
      </c>
    </row>
    <row r="5" spans="1:13">
      <c r="A5">
        <v>0.98799999999999999</v>
      </c>
      <c r="B5">
        <v>0</v>
      </c>
      <c r="C5">
        <v>-0.81</v>
      </c>
      <c r="E5" s="2" t="s">
        <v>16</v>
      </c>
      <c r="G5">
        <v>0</v>
      </c>
    </row>
    <row r="9" spans="1:13">
      <c r="A9" t="s">
        <v>12</v>
      </c>
      <c r="B9" t="s">
        <v>13</v>
      </c>
      <c r="E9" t="s">
        <v>4</v>
      </c>
      <c r="F9" s="1" t="s">
        <v>0</v>
      </c>
      <c r="G9" s="1" t="s">
        <v>20</v>
      </c>
      <c r="H9" s="1"/>
      <c r="I9" s="1"/>
      <c r="J9" s="1"/>
      <c r="K9" s="1"/>
      <c r="L9" s="1"/>
      <c r="M9" s="1"/>
    </row>
    <row r="10" spans="1:13">
      <c r="B10">
        <v>0</v>
      </c>
      <c r="C10">
        <v>-0.99199999999999999</v>
      </c>
      <c r="D10">
        <v>-0.185</v>
      </c>
      <c r="E10">
        <v>-1.1000000000000001</v>
      </c>
      <c r="F10" s="1">
        <v>0.56427404339400411</v>
      </c>
      <c r="G10" s="1" t="s">
        <v>21</v>
      </c>
      <c r="H10" s="1"/>
      <c r="I10" s="1"/>
      <c r="J10" s="1"/>
      <c r="K10" s="1"/>
      <c r="L10" s="1"/>
      <c r="M10" s="1"/>
    </row>
    <row r="11" spans="1:13">
      <c r="B11">
        <v>0.02</v>
      </c>
      <c r="C11">
        <v>-8.0000000000000002E-3</v>
      </c>
      <c r="D11">
        <v>-5.0000000000000001E-3</v>
      </c>
      <c r="E11">
        <v>0</v>
      </c>
      <c r="F11" s="1">
        <v>0.98051322972476607</v>
      </c>
    </row>
    <row r="12" spans="1:13">
      <c r="B12">
        <v>0.98799999999999999</v>
      </c>
      <c r="C12">
        <v>0</v>
      </c>
      <c r="D12">
        <v>-0.81</v>
      </c>
      <c r="E12">
        <v>0</v>
      </c>
      <c r="F12" s="1">
        <v>0.68827500601639002</v>
      </c>
    </row>
    <row r="17" spans="1:8">
      <c r="A17" t="s">
        <v>6</v>
      </c>
    </row>
    <row r="19" spans="1:8">
      <c r="B19" t="s">
        <v>8</v>
      </c>
      <c r="G19" t="s">
        <v>0</v>
      </c>
      <c r="H19" s="1" t="s">
        <v>5</v>
      </c>
    </row>
    <row r="20" spans="1:8">
      <c r="B20" cm="1">
        <f t="array" ref="B20:D22">MINVERSE(A3:C5)</f>
        <v>-0.51297640308545822</v>
      </c>
      <c r="C20">
        <v>63.609073982596811</v>
      </c>
      <c r="D20">
        <v>-0.2754873275829316</v>
      </c>
      <c r="G20" t="s">
        <v>14</v>
      </c>
      <c r="H20" s="1" cm="1">
        <f t="array" ref="H20:H22">MMULT(_xlfn.ANCHORARRAY(B20),G3:G5)</f>
        <v>0.56427404339400411</v>
      </c>
    </row>
    <row r="21" spans="1:8">
      <c r="B21">
        <v>-0.89137566338615093</v>
      </c>
      <c r="C21">
        <v>-14.469417740117288</v>
      </c>
      <c r="D21">
        <v>0.29290319311978319</v>
      </c>
      <c r="G21" t="s">
        <v>15</v>
      </c>
      <c r="H21" s="1">
        <v>0.98051322972476607</v>
      </c>
    </row>
    <row r="22" spans="1:8">
      <c r="B22">
        <v>-0.62570455092399091</v>
      </c>
      <c r="C22">
        <v>77.58736431457487</v>
      </c>
      <c r="D22">
        <v>-1.5705944193233781</v>
      </c>
      <c r="G22" t="s">
        <v>16</v>
      </c>
      <c r="H22" s="1">
        <v>0.68827500601639002</v>
      </c>
    </row>
    <row r="24" spans="1:8">
      <c r="A24" t="s">
        <v>7</v>
      </c>
    </row>
    <row r="25" spans="1:8">
      <c r="B25" s="1" t="s">
        <v>23</v>
      </c>
      <c r="C25" s="1"/>
      <c r="D25" s="1"/>
      <c r="E25" s="1"/>
      <c r="F25" s="1"/>
      <c r="G25" s="1"/>
      <c r="H25" s="1"/>
    </row>
    <row r="26" spans="1:8">
      <c r="B26" t="s">
        <v>22</v>
      </c>
      <c r="E26" s="2" t="s">
        <v>4</v>
      </c>
      <c r="F26" s="1" t="s">
        <v>24</v>
      </c>
    </row>
    <row r="27" spans="1:8">
      <c r="B27" cm="1">
        <f t="array" ref="B27:D29">MINVERSE(B10:D12)</f>
        <v>-0.51297640308545822</v>
      </c>
      <c r="C27">
        <v>63.609073982596811</v>
      </c>
      <c r="D27">
        <v>-0.2754873275829316</v>
      </c>
      <c r="E27">
        <v>-1.1000000000000001</v>
      </c>
      <c r="F27" s="1" cm="1">
        <f t="array" ref="F27:F29">MMULT(_xlfn.ANCHORARRAY(B27),E27:E29)</f>
        <v>0.56427404339400411</v>
      </c>
    </row>
    <row r="28" spans="1:8">
      <c r="B28">
        <v>-0.89137566338615093</v>
      </c>
      <c r="C28">
        <v>-14.469417740117288</v>
      </c>
      <c r="D28">
        <v>0.29290319311978319</v>
      </c>
      <c r="E28">
        <v>0</v>
      </c>
      <c r="F28" s="1">
        <v>0.98051322972476607</v>
      </c>
    </row>
    <row r="29" spans="1:8">
      <c r="B29">
        <v>-0.62570455092399091</v>
      </c>
      <c r="C29">
        <v>77.58736431457487</v>
      </c>
      <c r="D29">
        <v>-1.5705944193233781</v>
      </c>
      <c r="E29">
        <v>0</v>
      </c>
      <c r="F29" s="1">
        <v>0.68827500601639002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9546-2A3A-7944-8065-A2948E661447}">
  <sheetPr codeName="Sheet3"/>
  <dimension ref="A2:H14"/>
  <sheetViews>
    <sheetView zoomScale="125" workbookViewId="0">
      <selection activeCell="F16" sqref="F16"/>
    </sheetView>
  </sheetViews>
  <sheetFormatPr baseColWidth="10" defaultRowHeight="16"/>
  <sheetData>
    <row r="2" spans="1:8">
      <c r="A2" t="s">
        <v>13</v>
      </c>
      <c r="E2" t="s">
        <v>0</v>
      </c>
      <c r="G2" t="s">
        <v>4</v>
      </c>
    </row>
    <row r="3" spans="1:8">
      <c r="A3">
        <v>-0.71</v>
      </c>
      <c r="B3">
        <v>-0.44</v>
      </c>
      <c r="C3">
        <v>-0.08</v>
      </c>
      <c r="E3" t="s">
        <v>17</v>
      </c>
      <c r="G3">
        <v>-300</v>
      </c>
    </row>
    <row r="4" spans="1:8">
      <c r="A4">
        <v>-0.27</v>
      </c>
      <c r="B4">
        <v>-0.55000000000000004</v>
      </c>
      <c r="C4">
        <v>-0.39</v>
      </c>
      <c r="E4" t="s">
        <v>18</v>
      </c>
      <c r="G4">
        <v>-400</v>
      </c>
    </row>
    <row r="5" spans="1:8">
      <c r="A5">
        <v>-0.02</v>
      </c>
      <c r="B5">
        <v>-0.01</v>
      </c>
      <c r="C5">
        <v>-0.53</v>
      </c>
      <c r="E5" t="s">
        <v>19</v>
      </c>
      <c r="G5">
        <v>-300</v>
      </c>
    </row>
    <row r="11" spans="1:8">
      <c r="B11" t="s">
        <v>8</v>
      </c>
      <c r="G11" t="s">
        <v>0</v>
      </c>
      <c r="H11" s="1" t="s">
        <v>5</v>
      </c>
    </row>
    <row r="12" spans="1:8">
      <c r="B12" cm="1">
        <f t="array" ref="B12:D14">MINVERSE(A3:C5)</f>
        <v>-1.9972222222222225</v>
      </c>
      <c r="C12">
        <v>1.6138888888888885</v>
      </c>
      <c r="D12">
        <v>-0.88611111111111107</v>
      </c>
      <c r="G12" t="s">
        <v>17</v>
      </c>
      <c r="H12" s="1" cm="1">
        <f t="array" ref="H12:H14">MMULT(_xlfn.ANCHORARRAY(B12),G3:G5)</f>
        <v>219.44444444444463</v>
      </c>
    </row>
    <row r="13" spans="1:8">
      <c r="B13">
        <v>0.93958333333333344</v>
      </c>
      <c r="C13">
        <v>-2.6020833333333329</v>
      </c>
      <c r="D13">
        <v>1.7729166666666665</v>
      </c>
      <c r="G13" t="s">
        <v>18</v>
      </c>
      <c r="H13" s="1">
        <v>227.08333333333314</v>
      </c>
    </row>
    <row r="14" spans="1:8">
      <c r="B14">
        <v>5.7638888888888885E-2</v>
      </c>
      <c r="C14">
        <v>-1.1805555555555552E-2</v>
      </c>
      <c r="D14">
        <v>-1.8868055555555554</v>
      </c>
      <c r="G14" t="s">
        <v>19</v>
      </c>
      <c r="H14" s="1">
        <v>553.47222222222217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B51B-BB26-D447-BA9C-3E4E9616AE31}">
  <sheetPr codeName="Sheet4"/>
  <dimension ref="A1:AA76"/>
  <sheetViews>
    <sheetView tabSelected="1" workbookViewId="0">
      <selection activeCell="M55" sqref="M55"/>
    </sheetView>
  </sheetViews>
  <sheetFormatPr baseColWidth="10" defaultColWidth="8.83203125" defaultRowHeight="15"/>
  <cols>
    <col min="1" max="16384" width="8.83203125" style="3"/>
  </cols>
  <sheetData>
    <row r="1" spans="1:27">
      <c r="A1" s="5" t="s">
        <v>29</v>
      </c>
    </row>
    <row r="3" spans="1:27" ht="16">
      <c r="A3" s="3" t="s">
        <v>26</v>
      </c>
      <c r="E3" s="3" t="s">
        <v>25</v>
      </c>
      <c r="H3" s="3" t="s">
        <v>8</v>
      </c>
      <c r="L3" s="4" t="s">
        <v>30</v>
      </c>
      <c r="N3" s="1" t="s">
        <v>20</v>
      </c>
      <c r="O3" s="1"/>
      <c r="P3" s="1"/>
      <c r="Q3" s="1"/>
      <c r="R3" s="1"/>
      <c r="S3" s="1"/>
      <c r="T3" s="1"/>
      <c r="U3" s="4"/>
    </row>
    <row r="4" spans="1:27" ht="16">
      <c r="A4" s="3">
        <v>-7</v>
      </c>
      <c r="B4" s="3">
        <v>-12</v>
      </c>
      <c r="C4" s="3">
        <v>13</v>
      </c>
      <c r="E4" s="3">
        <v>-4</v>
      </c>
      <c r="H4" s="3" cm="1">
        <f t="array" ref="H4:J6">MINVERSE(A4:C6)</f>
        <v>-0.10227272727272731</v>
      </c>
      <c r="I4" s="3">
        <v>-1.0568181818181821</v>
      </c>
      <c r="J4" s="3">
        <v>-1.613636363636364</v>
      </c>
      <c r="L4" s="4" cm="1">
        <f t="array" ref="L4:L6">MMULT(_xlfn.ANCHORARRAY(H4),E4:E6)</f>
        <v>-2.3181818181818183</v>
      </c>
      <c r="N4" s="1" t="s">
        <v>21</v>
      </c>
      <c r="O4" s="1"/>
      <c r="P4" s="1"/>
      <c r="Q4" s="1"/>
      <c r="R4" s="1"/>
      <c r="S4" s="1"/>
      <c r="T4" s="1"/>
      <c r="U4" s="4"/>
    </row>
    <row r="5" spans="1:27">
      <c r="A5" s="3">
        <v>15</v>
      </c>
      <c r="B5" s="3">
        <v>-8</v>
      </c>
      <c r="C5" s="3">
        <v>-15</v>
      </c>
      <c r="E5" s="3">
        <v>-2</v>
      </c>
      <c r="H5" s="3">
        <v>-8.5227272727272735E-2</v>
      </c>
      <c r="I5" s="3">
        <v>-0.38068181818181823</v>
      </c>
      <c r="J5" s="3">
        <v>-0.51136363636363646</v>
      </c>
      <c r="L5" s="4">
        <v>-0.43181818181818188</v>
      </c>
    </row>
    <row r="6" spans="1:27">
      <c r="A6" s="3">
        <v>-10</v>
      </c>
      <c r="B6" s="3">
        <v>6</v>
      </c>
      <c r="C6" s="3">
        <v>9</v>
      </c>
      <c r="E6" s="3">
        <v>3</v>
      </c>
      <c r="H6" s="3">
        <v>-5.6818181818181851E-2</v>
      </c>
      <c r="I6" s="3">
        <v>-0.92045454545454553</v>
      </c>
      <c r="J6" s="3">
        <v>-1.3409090909090911</v>
      </c>
      <c r="L6" s="4">
        <v>-1.954545454545455</v>
      </c>
    </row>
    <row r="10" spans="1:27">
      <c r="A10" s="5" t="s">
        <v>28</v>
      </c>
    </row>
    <row r="12" spans="1:27">
      <c r="A12" s="3" t="s">
        <v>26</v>
      </c>
      <c r="L12" s="3" t="s">
        <v>4</v>
      </c>
      <c r="N12" s="3" t="s">
        <v>31</v>
      </c>
      <c r="Y12" s="4" t="s">
        <v>30</v>
      </c>
    </row>
    <row r="13" spans="1:27" ht="16">
      <c r="A13" s="3">
        <v>-6</v>
      </c>
      <c r="B13" s="3">
        <v>-4</v>
      </c>
      <c r="C13" s="3">
        <v>-4</v>
      </c>
      <c r="D13" s="3">
        <v>5</v>
      </c>
      <c r="E13" s="3">
        <v>3</v>
      </c>
      <c r="F13" s="3">
        <v>0</v>
      </c>
      <c r="G13" s="3">
        <v>-2</v>
      </c>
      <c r="H13" s="3">
        <v>9</v>
      </c>
      <c r="I13" s="3">
        <v>-7</v>
      </c>
      <c r="J13" s="3">
        <v>8</v>
      </c>
      <c r="L13" s="3">
        <v>4</v>
      </c>
      <c r="N13" s="3" cm="1">
        <f t="array" ref="N13:W22">MINVERSE(A13:J22)</f>
        <v>-6.632582453118048E-2</v>
      </c>
      <c r="O13" s="3">
        <v>7.0700132952184608E-2</v>
      </c>
      <c r="P13" s="3">
        <v>3.4138341899409355E-2</v>
      </c>
      <c r="Q13" s="3">
        <v>6.9002379808112288E-2</v>
      </c>
      <c r="R13" s="3">
        <v>-3.5982870888491281E-2</v>
      </c>
      <c r="S13" s="3">
        <v>-8.5967513326871171E-3</v>
      </c>
      <c r="T13" s="3">
        <v>5.1183619349843154E-2</v>
      </c>
      <c r="U13" s="3">
        <v>-5.450570595272515E-2</v>
      </c>
      <c r="V13" s="3">
        <v>7.2444803783409409E-2</v>
      </c>
      <c r="W13" s="3">
        <v>-1.3620410515976145E-2</v>
      </c>
      <c r="Y13" s="4" cm="1">
        <f t="array" ref="Y13:Y22">MMULT(_xlfn.ANCHORARRAY(N13),L13:L22)</f>
        <v>0.11753825877257323</v>
      </c>
      <c r="AA13" s="1" t="s">
        <v>20</v>
      </c>
    </row>
    <row r="14" spans="1:27" ht="16">
      <c r="A14" s="3">
        <v>4</v>
      </c>
      <c r="B14" s="3">
        <v>8</v>
      </c>
      <c r="C14" s="3">
        <v>-7</v>
      </c>
      <c r="D14" s="3">
        <v>-1</v>
      </c>
      <c r="E14" s="3">
        <v>-2</v>
      </c>
      <c r="F14" s="3">
        <v>3</v>
      </c>
      <c r="G14" s="3">
        <v>-9</v>
      </c>
      <c r="H14" s="3">
        <v>-4</v>
      </c>
      <c r="I14" s="3">
        <v>-8</v>
      </c>
      <c r="J14" s="3">
        <v>2</v>
      </c>
      <c r="L14" s="3">
        <v>3</v>
      </c>
      <c r="N14" s="3">
        <v>4.2043152548601314E-3</v>
      </c>
      <c r="O14" s="3">
        <v>6.6261800253992878E-2</v>
      </c>
      <c r="P14" s="3">
        <v>-9.8145777986586677E-2</v>
      </c>
      <c r="Q14" s="3">
        <v>1.9544183340596495E-2</v>
      </c>
      <c r="R14" s="3">
        <v>4.8162557688435192E-2</v>
      </c>
      <c r="S14" s="3">
        <v>-5.5639499269868713E-2</v>
      </c>
      <c r="T14" s="3">
        <v>-4.2059284892506432E-2</v>
      </c>
      <c r="U14" s="3">
        <v>5.1672953714481461E-2</v>
      </c>
      <c r="V14" s="3">
        <v>0.10676774079261274</v>
      </c>
      <c r="W14" s="3">
        <v>-5.9274927501955371E-2</v>
      </c>
      <c r="Y14" s="4">
        <v>-0.38272520254333819</v>
      </c>
      <c r="AA14" s="1" t="s">
        <v>21</v>
      </c>
    </row>
    <row r="15" spans="1:27">
      <c r="A15" s="3">
        <v>-3</v>
      </c>
      <c r="B15" s="3">
        <v>-2</v>
      </c>
      <c r="C15" s="3">
        <v>-4</v>
      </c>
      <c r="D15" s="3">
        <v>8</v>
      </c>
      <c r="E15" s="3">
        <v>-9</v>
      </c>
      <c r="F15" s="3">
        <v>6</v>
      </c>
      <c r="G15" s="3">
        <v>5</v>
      </c>
      <c r="H15" s="3">
        <v>-6</v>
      </c>
      <c r="I15" s="3">
        <v>2</v>
      </c>
      <c r="J15" s="3">
        <v>6</v>
      </c>
      <c r="L15" s="3">
        <v>4</v>
      </c>
      <c r="N15" s="3">
        <v>-3.9897278731782261E-2</v>
      </c>
      <c r="O15" s="3">
        <v>3.9774431928961658E-3</v>
      </c>
      <c r="P15" s="3">
        <v>-7.1239099472785949E-2</v>
      </c>
      <c r="Q15" s="3">
        <v>-1.6703536574774969E-2</v>
      </c>
      <c r="R15" s="3">
        <v>-7.2454316548992478E-3</v>
      </c>
      <c r="S15" s="3">
        <v>-3.6352386750851978E-2</v>
      </c>
      <c r="T15" s="3">
        <v>-5.2447132350240927E-2</v>
      </c>
      <c r="U15" s="3">
        <v>-1.6824643876439287E-3</v>
      </c>
      <c r="V15" s="3">
        <v>9.3673402435133224E-3</v>
      </c>
      <c r="W15" s="3">
        <v>-5.8487054835489452E-2</v>
      </c>
      <c r="Y15" s="4">
        <v>-1.2615844061331987</v>
      </c>
    </row>
    <row r="16" spans="1:27">
      <c r="A16" s="3">
        <v>0</v>
      </c>
      <c r="B16" s="3">
        <v>-10</v>
      </c>
      <c r="C16" s="3">
        <v>-1</v>
      </c>
      <c r="D16" s="3">
        <v>-10</v>
      </c>
      <c r="E16" s="3">
        <v>6</v>
      </c>
      <c r="F16" s="3">
        <v>-3</v>
      </c>
      <c r="G16" s="3">
        <v>3</v>
      </c>
      <c r="H16" s="3">
        <v>6</v>
      </c>
      <c r="I16" s="3">
        <v>5</v>
      </c>
      <c r="J16" s="3">
        <v>9</v>
      </c>
      <c r="L16" s="3">
        <v>6</v>
      </c>
      <c r="N16" s="3">
        <v>2.244339934562474E-2</v>
      </c>
      <c r="O16" s="3">
        <v>-3.537707521175066E-2</v>
      </c>
      <c r="P16" s="3">
        <v>0.17147609480092904</v>
      </c>
      <c r="Q16" s="3">
        <v>1.0120363957137593E-2</v>
      </c>
      <c r="R16" s="3">
        <v>-2.6446227820807671E-2</v>
      </c>
      <c r="S16" s="3">
        <v>1.0781651085381016E-2</v>
      </c>
      <c r="T16" s="3">
        <v>0.1247707169800225</v>
      </c>
      <c r="U16" s="3">
        <v>-0.12015378734533357</v>
      </c>
      <c r="V16" s="3">
        <v>3.6899035294417501E-2</v>
      </c>
      <c r="W16" s="3">
        <v>0.12316953599926526</v>
      </c>
      <c r="Y16" s="4">
        <v>1.6993511445422387</v>
      </c>
    </row>
    <row r="17" spans="1:25">
      <c r="A17" s="3">
        <v>-10</v>
      </c>
      <c r="B17" s="3">
        <v>6</v>
      </c>
      <c r="C17" s="3">
        <v>-2</v>
      </c>
      <c r="D17" s="3">
        <v>-4</v>
      </c>
      <c r="E17" s="3">
        <v>-8</v>
      </c>
      <c r="F17" s="3">
        <v>9</v>
      </c>
      <c r="G17" s="3">
        <v>-10</v>
      </c>
      <c r="H17" s="3">
        <v>-1</v>
      </c>
      <c r="I17" s="3">
        <v>8</v>
      </c>
      <c r="J17" s="3">
        <v>0</v>
      </c>
      <c r="L17" s="3">
        <v>8</v>
      </c>
      <c r="N17" s="3">
        <v>3.1635225710609741E-2</v>
      </c>
      <c r="O17" s="3">
        <v>-7.557980982893478E-2</v>
      </c>
      <c r="P17" s="3">
        <v>0.13702487703198424</v>
      </c>
      <c r="Q17" s="3">
        <v>1.0667801722886774E-2</v>
      </c>
      <c r="R17" s="3">
        <v>-5.3197484431643186E-3</v>
      </c>
      <c r="S17" s="3">
        <v>5.8429206979489869E-2</v>
      </c>
      <c r="T17" s="3">
        <v>8.3035448873757231E-2</v>
      </c>
      <c r="U17" s="3">
        <v>-0.11151274503498093</v>
      </c>
      <c r="V17" s="3">
        <v>-3.3551733422350905E-2</v>
      </c>
      <c r="W17" s="3">
        <v>0.17697419732489703</v>
      </c>
      <c r="Y17" s="4">
        <v>2.5551831346478373</v>
      </c>
    </row>
    <row r="18" spans="1:25">
      <c r="A18" s="3">
        <v>8</v>
      </c>
      <c r="B18" s="3">
        <v>1</v>
      </c>
      <c r="C18" s="3">
        <v>-9</v>
      </c>
      <c r="D18" s="3">
        <v>2</v>
      </c>
      <c r="E18" s="3">
        <v>5</v>
      </c>
      <c r="F18" s="3">
        <v>7</v>
      </c>
      <c r="G18" s="3">
        <v>4</v>
      </c>
      <c r="H18" s="3">
        <v>3</v>
      </c>
      <c r="I18" s="3">
        <v>-4</v>
      </c>
      <c r="J18" s="3">
        <v>-6</v>
      </c>
      <c r="L18" s="3">
        <v>9</v>
      </c>
      <c r="N18" s="3">
        <v>-2.3912496913590084E-2</v>
      </c>
      <c r="O18" s="3">
        <v>-1.1036457214486274E-2</v>
      </c>
      <c r="P18" s="3">
        <v>-1.6501055252173467E-2</v>
      </c>
      <c r="Q18" s="3">
        <v>-1.3373382796080408E-2</v>
      </c>
      <c r="R18" s="3">
        <v>2.6454537946425549E-2</v>
      </c>
      <c r="S18" s="3">
        <v>5.3272590225258161E-2</v>
      </c>
      <c r="T18" s="3">
        <v>-5.07761713982453E-2</v>
      </c>
      <c r="U18" s="3">
        <v>-8.552767818517203E-3</v>
      </c>
      <c r="V18" s="3">
        <v>-3.096404033454319E-2</v>
      </c>
      <c r="W18" s="3">
        <v>-2.5997831117931591E-2</v>
      </c>
      <c r="Y18" s="4">
        <v>0.28342552756280259</v>
      </c>
    </row>
    <row r="19" spans="1:25">
      <c r="A19" s="3">
        <v>0</v>
      </c>
      <c r="B19" s="3">
        <v>-1</v>
      </c>
      <c r="C19" s="3">
        <v>-4</v>
      </c>
      <c r="D19" s="3">
        <v>-4</v>
      </c>
      <c r="E19" s="3">
        <v>-5</v>
      </c>
      <c r="F19" s="3">
        <v>-6</v>
      </c>
      <c r="G19" s="3">
        <v>-9</v>
      </c>
      <c r="H19" s="3">
        <v>5</v>
      </c>
      <c r="I19" s="3">
        <v>4</v>
      </c>
      <c r="J19" s="3">
        <v>-10</v>
      </c>
      <c r="L19" s="3">
        <v>-4</v>
      </c>
      <c r="N19" s="3">
        <v>2.269389723700185E-3</v>
      </c>
      <c r="O19" s="3">
        <v>6.8153272889419358E-3</v>
      </c>
      <c r="P19" s="3">
        <v>-0.13877898902534058</v>
      </c>
      <c r="Q19" s="3">
        <v>-1.810226650558374E-2</v>
      </c>
      <c r="R19" s="3">
        <v>1.699497689624932E-2</v>
      </c>
      <c r="S19" s="3">
        <v>-1.7016288373488488E-2</v>
      </c>
      <c r="T19" s="3">
        <v>-0.12063185289522797</v>
      </c>
      <c r="U19" s="3">
        <v>0.12423526953770683</v>
      </c>
      <c r="V19" s="3">
        <v>2.1395953501249457E-2</v>
      </c>
      <c r="W19" s="3">
        <v>-0.12071748761171096</v>
      </c>
      <c r="Y19" s="4">
        <v>-1.560322937672503</v>
      </c>
    </row>
    <row r="20" spans="1:25">
      <c r="A20" s="3">
        <v>3</v>
      </c>
      <c r="B20" s="3">
        <v>2</v>
      </c>
      <c r="C20" s="3">
        <v>-9</v>
      </c>
      <c r="D20" s="3">
        <v>-3</v>
      </c>
      <c r="E20" s="3">
        <v>-3</v>
      </c>
      <c r="F20" s="3">
        <v>-6</v>
      </c>
      <c r="G20" s="3">
        <v>8</v>
      </c>
      <c r="H20" s="3">
        <v>-7</v>
      </c>
      <c r="I20" s="3">
        <v>4</v>
      </c>
      <c r="J20" s="3">
        <v>-5</v>
      </c>
      <c r="L20" s="3">
        <v>-2</v>
      </c>
      <c r="N20" s="3">
        <v>1.1435555168401893E-2</v>
      </c>
      <c r="O20" s="3">
        <v>5.1466026562590597E-2</v>
      </c>
      <c r="P20" s="3">
        <v>-0.13371326818648088</v>
      </c>
      <c r="Q20" s="3">
        <v>3.484413240013489E-2</v>
      </c>
      <c r="R20" s="3">
        <v>2.7611976229063504E-2</v>
      </c>
      <c r="S20" s="3">
        <v>-3.3936511517276544E-2</v>
      </c>
      <c r="T20" s="3">
        <v>-3.6539755510140423E-2</v>
      </c>
      <c r="U20" s="3">
        <v>5.4485356330218934E-2</v>
      </c>
      <c r="V20" s="3">
        <v>9.4864796125415707E-2</v>
      </c>
      <c r="W20" s="3">
        <v>-0.1257117549976563</v>
      </c>
      <c r="Y20" s="4">
        <v>-1.1455156240269078</v>
      </c>
    </row>
    <row r="21" spans="1:25">
      <c r="A21" s="3">
        <v>5</v>
      </c>
      <c r="B21" s="3">
        <v>6</v>
      </c>
      <c r="C21" s="3">
        <v>0</v>
      </c>
      <c r="D21" s="3">
        <v>9</v>
      </c>
      <c r="E21" s="3">
        <v>3</v>
      </c>
      <c r="F21" s="3">
        <v>1</v>
      </c>
      <c r="G21" s="3">
        <v>10</v>
      </c>
      <c r="H21" s="3">
        <v>-1</v>
      </c>
      <c r="I21" s="3">
        <v>-1</v>
      </c>
      <c r="J21" s="3">
        <v>-4</v>
      </c>
      <c r="L21" s="3">
        <v>3</v>
      </c>
      <c r="N21" s="3">
        <v>-2.2010170826179839E-2</v>
      </c>
      <c r="O21" s="3">
        <v>-2.6226743839051644E-2</v>
      </c>
      <c r="P21" s="3">
        <v>0.14961120278216331</v>
      </c>
      <c r="Q21" s="3">
        <v>7.9919675876082466E-2</v>
      </c>
      <c r="R21" s="3">
        <v>1.8479135814982381E-2</v>
      </c>
      <c r="S21" s="3">
        <v>2.7153271107441826E-4</v>
      </c>
      <c r="T21" s="3">
        <v>0.12959891939811546</v>
      </c>
      <c r="U21" s="3">
        <v>-0.10717048227208346</v>
      </c>
      <c r="V21" s="3">
        <v>7.1157405189138254E-2</v>
      </c>
      <c r="W21" s="3">
        <v>0.11400461521548098</v>
      </c>
      <c r="Y21" s="4">
        <v>2.1109824871567318</v>
      </c>
    </row>
    <row r="22" spans="1:25">
      <c r="A22" s="3">
        <v>5</v>
      </c>
      <c r="B22" s="3">
        <v>9</v>
      </c>
      <c r="C22" s="3">
        <v>0</v>
      </c>
      <c r="D22" s="3">
        <v>-6</v>
      </c>
      <c r="E22" s="3">
        <v>10</v>
      </c>
      <c r="F22" s="3">
        <v>-6</v>
      </c>
      <c r="G22" s="3">
        <v>2</v>
      </c>
      <c r="H22" s="3">
        <v>-7</v>
      </c>
      <c r="I22" s="3">
        <v>-2</v>
      </c>
      <c r="J22" s="3">
        <v>-3</v>
      </c>
      <c r="L22" s="3">
        <v>10</v>
      </c>
      <c r="N22" s="3">
        <v>-3.7735975774986477E-5</v>
      </c>
      <c r="O22" s="3">
        <v>5.945397321092856E-2</v>
      </c>
      <c r="P22" s="3">
        <v>2.8996911445144762E-2</v>
      </c>
      <c r="Q22" s="3">
        <v>6.9050955934725947E-2</v>
      </c>
      <c r="R22" s="3">
        <v>1.3497227090663968E-3</v>
      </c>
      <c r="S22" s="3">
        <v>-4.6930896569793434E-2</v>
      </c>
      <c r="T22" s="3">
        <v>6.3628306492877051E-3</v>
      </c>
      <c r="U22" s="3">
        <v>-2.2982018797316407E-2</v>
      </c>
      <c r="V22" s="3">
        <v>6.2809968604706404E-2</v>
      </c>
      <c r="W22" s="3">
        <v>-1.4421922691002496E-3</v>
      </c>
      <c r="Y22" s="4">
        <v>0.49144476778360946</v>
      </c>
    </row>
    <row r="26" spans="1:25">
      <c r="A26" s="5" t="s">
        <v>27</v>
      </c>
    </row>
    <row r="27" spans="1:25" ht="16">
      <c r="A27"/>
      <c r="B27"/>
      <c r="C27" t="s">
        <v>26</v>
      </c>
      <c r="D27"/>
      <c r="E27"/>
      <c r="F27" t="s">
        <v>4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5" ht="16">
      <c r="A28"/>
      <c r="B28">
        <v>-9</v>
      </c>
      <c r="C28">
        <v>-5</v>
      </c>
      <c r="D28">
        <v>11</v>
      </c>
      <c r="E28"/>
      <c r="F28">
        <v>-7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5" ht="16">
      <c r="A29"/>
      <c r="B29">
        <v>-6</v>
      </c>
      <c r="C29">
        <v>10</v>
      </c>
      <c r="D29">
        <v>1</v>
      </c>
      <c r="E29"/>
      <c r="F29">
        <v>10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5" ht="16">
      <c r="A30"/>
      <c r="B30">
        <v>4</v>
      </c>
      <c r="C30">
        <v>9</v>
      </c>
      <c r="D30">
        <v>8</v>
      </c>
      <c r="E30"/>
      <c r="F30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5" ht="16">
      <c r="A31"/>
      <c r="B31">
        <v>-9</v>
      </c>
      <c r="C31">
        <v>-1</v>
      </c>
      <c r="D31">
        <v>7</v>
      </c>
      <c r="E31"/>
      <c r="F31">
        <v>-1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5" ht="1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ht="16">
      <c r="A33"/>
      <c r="B33" s="1"/>
      <c r="C33" s="1" t="s">
        <v>32</v>
      </c>
      <c r="D33" s="1"/>
      <c r="E33" s="1"/>
      <c r="F33"/>
      <c r="G33" t="s">
        <v>33</v>
      </c>
      <c r="H33"/>
      <c r="I33" s="1" t="s">
        <v>34</v>
      </c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ht="16">
      <c r="A34"/>
      <c r="B34" s="1">
        <v>-1.1286120798071193E-2</v>
      </c>
      <c r="C34" s="1">
        <v>-5.8554909951841663E-2</v>
      </c>
      <c r="D34" s="1">
        <v>5.4739883203197851E-2</v>
      </c>
      <c r="E34" s="1">
        <v>-3.6459546699279768E-2</v>
      </c>
      <c r="F34"/>
      <c r="G34" s="1">
        <v>-0.47008670723263846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ht="16">
      <c r="A35"/>
      <c r="B35" s="1">
        <v>-2.6629383351701636E-2</v>
      </c>
      <c r="C35" s="1">
        <v>6.0152999693843807E-2</v>
      </c>
      <c r="D35" s="1">
        <v>2.9437067905581024E-2</v>
      </c>
      <c r="E35" s="1">
        <v>-3.8947515282489013E-4</v>
      </c>
      <c r="F35"/>
      <c r="G35" s="1">
        <v>0.78832515555317439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ht="16">
      <c r="A36"/>
      <c r="B36" s="1">
        <v>4.2543298887218528E-2</v>
      </c>
      <c r="C36" s="1">
        <v>-3.4751181903520618E-2</v>
      </c>
      <c r="D36" s="1">
        <v>6.3216522372439521E-2</v>
      </c>
      <c r="E36" s="1">
        <v>8.7203878806572255E-3</v>
      </c>
      <c r="F36"/>
      <c r="G36" s="1">
        <v>-0.65403529912639313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 ht="16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 ht="16">
      <c r="A38"/>
      <c r="B38" s="1" t="s">
        <v>35</v>
      </c>
      <c r="C38"/>
      <c r="D38" s="1" t="s">
        <v>36</v>
      </c>
      <c r="E38"/>
      <c r="F38" s="1" t="s">
        <v>37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ht="16">
      <c r="A39" t="s">
        <v>38</v>
      </c>
      <c r="B39" s="1">
        <v>-0.47008670723263846</v>
      </c>
      <c r="C39"/>
      <c r="D39" s="1">
        <v>-0.47008670723263846</v>
      </c>
      <c r="E39"/>
      <c r="F39" s="1">
        <v>-0.47008670723263846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ht="16">
      <c r="A40" t="s">
        <v>39</v>
      </c>
      <c r="B40" s="1">
        <v>0.78832515555317439</v>
      </c>
      <c r="C40"/>
      <c r="D40" s="1">
        <v>0.78832515555317439</v>
      </c>
      <c r="E40"/>
      <c r="F40" s="1">
        <v>0.78832515555317439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ht="16">
      <c r="A41" t="s">
        <v>40</v>
      </c>
      <c r="B41" s="1">
        <v>-0.65403529912639313</v>
      </c>
      <c r="C41"/>
      <c r="D41" s="1">
        <v>-0.65403529912639313</v>
      </c>
      <c r="E41"/>
      <c r="F41" s="1">
        <v>-0.65403529912639313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ht="16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ht="16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ht="16">
      <c r="A44" s="6" t="s">
        <v>41</v>
      </c>
      <c r="B44"/>
      <c r="C44" t="s">
        <v>26</v>
      </c>
      <c r="D44"/>
      <c r="E44"/>
      <c r="F44"/>
      <c r="G44" t="s">
        <v>4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ht="16">
      <c r="A45"/>
      <c r="B45">
        <v>7</v>
      </c>
      <c r="C45">
        <v>2</v>
      </c>
      <c r="D45">
        <v>-9</v>
      </c>
      <c r="E45">
        <v>10</v>
      </c>
      <c r="F45"/>
      <c r="G45">
        <v>-6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ht="16">
      <c r="A46"/>
      <c r="B46">
        <v>9</v>
      </c>
      <c r="C46">
        <v>-7</v>
      </c>
      <c r="D46">
        <v>-6</v>
      </c>
      <c r="E46">
        <v>-3</v>
      </c>
      <c r="F46"/>
      <c r="G46">
        <v>-10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ht="16">
      <c r="A47"/>
      <c r="B47">
        <v>2</v>
      </c>
      <c r="C47">
        <v>1</v>
      </c>
      <c r="D47">
        <v>10</v>
      </c>
      <c r="E47">
        <v>0</v>
      </c>
      <c r="F47"/>
      <c r="G47">
        <v>5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ht="16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ht="16">
      <c r="A49"/>
      <c r="B49"/>
      <c r="C49" t="s">
        <v>42</v>
      </c>
      <c r="D49"/>
      <c r="E49"/>
      <c r="F49"/>
      <c r="G49" t="s">
        <v>33</v>
      </c>
      <c r="H49"/>
      <c r="I49" s="1" t="s">
        <v>34</v>
      </c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ht="16">
      <c r="A50"/>
      <c r="B50">
        <v>3.4265914084438881E-2</v>
      </c>
      <c r="C50">
        <v>5.6629521285398221E-2</v>
      </c>
      <c r="D50">
        <v>6.9624039859361775E-2</v>
      </c>
      <c r="E50"/>
      <c r="F50"/>
      <c r="G50" s="1">
        <v>-0.42377049806380657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ht="16">
      <c r="A51"/>
      <c r="B51">
        <v>2.5311814980867195E-2</v>
      </c>
      <c r="C51">
        <v>-4.9344836653795097E-2</v>
      </c>
      <c r="D51">
        <v>4.3350220242686817E-3</v>
      </c>
      <c r="E51"/>
      <c r="F51"/>
      <c r="G51" s="1">
        <v>0.36325258677409128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ht="16">
      <c r="A52"/>
      <c r="B52">
        <v>-9.3843643149745005E-3</v>
      </c>
      <c r="C52">
        <v>-6.391420591700156E-3</v>
      </c>
      <c r="D52">
        <v>8.5641689825700737E-2</v>
      </c>
      <c r="E52"/>
      <c r="F52"/>
      <c r="G52" s="1">
        <v>0.54842884093535227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ht="16">
      <c r="A53"/>
      <c r="B53">
        <v>6.2505569261242261E-2</v>
      </c>
      <c r="C53">
        <v>-3.5523976101549892E-2</v>
      </c>
      <c r="D53">
        <v>2.7473688536723648E-2</v>
      </c>
      <c r="E53"/>
      <c r="F53"/>
      <c r="G53" s="1">
        <v>0.11757478813166361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ht="1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ht="16">
      <c r="A55"/>
      <c r="B55" s="1" t="s">
        <v>35</v>
      </c>
      <c r="C55"/>
      <c r="D55" s="1" t="s">
        <v>36</v>
      </c>
      <c r="E55"/>
      <c r="F55" s="1" t="s">
        <v>37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ht="16">
      <c r="A56" t="s">
        <v>38</v>
      </c>
      <c r="B56" s="1">
        <v>-0.42377049806380657</v>
      </c>
      <c r="C56"/>
      <c r="D56" s="1">
        <v>-0.42377049806380657</v>
      </c>
      <c r="E56"/>
      <c r="F56" s="1">
        <v>-0.42377049806380657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ht="16">
      <c r="A57" t="s">
        <v>39</v>
      </c>
      <c r="B57" s="1">
        <v>0.36325258677409128</v>
      </c>
      <c r="C57"/>
      <c r="D57" s="1">
        <v>0.36325258677409128</v>
      </c>
      <c r="E57"/>
      <c r="F57" s="1">
        <v>0.36325258677409128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ht="16">
      <c r="A58" t="s">
        <v>40</v>
      </c>
      <c r="B58" s="1">
        <v>0.54842884093535227</v>
      </c>
      <c r="C58"/>
      <c r="D58" s="1">
        <v>0.54842884093535227</v>
      </c>
      <c r="E58"/>
      <c r="F58" s="1">
        <v>0.54842884093535227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ht="16">
      <c r="A59" t="s">
        <v>43</v>
      </c>
      <c r="B59" s="1">
        <v>0.11757478813166361</v>
      </c>
      <c r="C59"/>
      <c r="D59" s="1">
        <v>0.11757478813166361</v>
      </c>
      <c r="E59"/>
      <c r="F59" s="1">
        <v>0.11757478813166361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ht="1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ht="1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ht="16">
      <c r="A62" s="6" t="s">
        <v>44</v>
      </c>
      <c r="B62"/>
      <c r="C62" t="s">
        <v>26</v>
      </c>
      <c r="D62"/>
      <c r="E62"/>
      <c r="F62"/>
      <c r="G62" t="s">
        <v>4</v>
      </c>
      <c r="H62"/>
      <c r="I62" t="s">
        <v>33</v>
      </c>
      <c r="J62"/>
      <c r="K62" t="s">
        <v>45</v>
      </c>
      <c r="L62"/>
      <c r="M62"/>
      <c r="N62"/>
      <c r="O62"/>
      <c r="P62"/>
      <c r="Q62" t="s">
        <v>46</v>
      </c>
      <c r="R62"/>
      <c r="S62"/>
      <c r="T62"/>
      <c r="U62"/>
      <c r="V62" t="s">
        <v>47</v>
      </c>
    </row>
    <row r="63" spans="1:22" ht="16">
      <c r="A63"/>
      <c r="B63">
        <v>7</v>
      </c>
      <c r="C63">
        <v>2</v>
      </c>
      <c r="D63">
        <v>-9</v>
      </c>
      <c r="E63">
        <v>10</v>
      </c>
      <c r="F63"/>
      <c r="G63">
        <v>-6</v>
      </c>
      <c r="H63"/>
      <c r="I63">
        <v>-0.42377049806380657</v>
      </c>
      <c r="J63"/>
      <c r="K63">
        <v>0.88877516987837968</v>
      </c>
      <c r="L63">
        <v>-0.25825078096954801</v>
      </c>
      <c r="M63">
        <v>4.8070044121278466E-2</v>
      </c>
      <c r="N63">
        <v>0.17277057698819415</v>
      </c>
      <c r="O63"/>
      <c r="P63">
        <v>1</v>
      </c>
      <c r="Q63">
        <v>0</v>
      </c>
      <c r="R63">
        <v>0</v>
      </c>
      <c r="S63">
        <v>0</v>
      </c>
      <c r="T63"/>
      <c r="U63">
        <v>1</v>
      </c>
      <c r="V63"/>
    </row>
    <row r="64" spans="1:22" ht="16">
      <c r="A64"/>
      <c r="B64">
        <v>9</v>
      </c>
      <c r="C64">
        <v>-7</v>
      </c>
      <c r="D64">
        <v>-6</v>
      </c>
      <c r="E64">
        <v>-3</v>
      </c>
      <c r="F64"/>
      <c r="G64">
        <v>-10</v>
      </c>
      <c r="H64"/>
      <c r="I64">
        <v>0.36325258677409128</v>
      </c>
      <c r="J64"/>
      <c r="K64">
        <v>-0.25825078096954812</v>
      </c>
      <c r="L64">
        <v>0.40037250856256873</v>
      </c>
      <c r="M64">
        <v>0.11161290533765261</v>
      </c>
      <c r="N64">
        <v>0.40115265977005726</v>
      </c>
      <c r="O64"/>
      <c r="P64">
        <v>0</v>
      </c>
      <c r="Q64">
        <v>1</v>
      </c>
      <c r="R64">
        <v>0</v>
      </c>
      <c r="S64">
        <v>0</v>
      </c>
      <c r="T64"/>
      <c r="U64">
        <v>1</v>
      </c>
      <c r="V64"/>
    </row>
    <row r="65" spans="1:22" ht="16">
      <c r="A65"/>
      <c r="B65">
        <v>2</v>
      </c>
      <c r="C65">
        <v>1</v>
      </c>
      <c r="D65">
        <v>10</v>
      </c>
      <c r="E65">
        <v>0</v>
      </c>
      <c r="F65"/>
      <c r="G65">
        <v>5</v>
      </c>
      <c r="H65"/>
      <c r="I65">
        <v>0.54842884093535227</v>
      </c>
      <c r="J65"/>
      <c r="K65">
        <v>4.8070044121278563E-2</v>
      </c>
      <c r="L65">
        <v>0.11161290533765283</v>
      </c>
      <c r="M65">
        <v>0.97922470064197886</v>
      </c>
      <c r="N65">
        <v>-7.4669381374644531E-2</v>
      </c>
      <c r="O65"/>
      <c r="P65">
        <v>0</v>
      </c>
      <c r="Q65">
        <v>0</v>
      </c>
      <c r="R65">
        <v>1</v>
      </c>
      <c r="S65">
        <v>0</v>
      </c>
      <c r="T65"/>
      <c r="U65">
        <v>1</v>
      </c>
      <c r="V65"/>
    </row>
    <row r="66" spans="1:22" ht="16">
      <c r="A66"/>
      <c r="B66"/>
      <c r="C66"/>
      <c r="D66"/>
      <c r="E66"/>
      <c r="F66"/>
      <c r="G66"/>
      <c r="H66"/>
      <c r="I66">
        <v>0.11757478813166361</v>
      </c>
      <c r="J66"/>
      <c r="K66">
        <v>0.17277057698819406</v>
      </c>
      <c r="L66">
        <v>0.40115265977005743</v>
      </c>
      <c r="M66">
        <v>-7.4669381374644517E-2</v>
      </c>
      <c r="N66">
        <v>0.73162762091707234</v>
      </c>
      <c r="O66"/>
      <c r="P66">
        <v>0</v>
      </c>
      <c r="Q66">
        <v>0</v>
      </c>
      <c r="R66">
        <v>0</v>
      </c>
      <c r="S66">
        <v>1</v>
      </c>
      <c r="T66"/>
      <c r="U66">
        <v>1</v>
      </c>
      <c r="V66"/>
    </row>
    <row r="67" spans="1:22" ht="1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ht="16">
      <c r="A68"/>
      <c r="B68"/>
      <c r="C68" t="s">
        <v>32</v>
      </c>
      <c r="D68"/>
      <c r="E68"/>
      <c r="F68" t="s">
        <v>48</v>
      </c>
      <c r="G68"/>
      <c r="H68"/>
      <c r="I68"/>
      <c r="J68" t="s">
        <v>49</v>
      </c>
      <c r="K68">
        <v>0.11122483012162032</v>
      </c>
      <c r="L68">
        <v>0.25825078096954801</v>
      </c>
      <c r="M68">
        <v>-4.8070044121278466E-2</v>
      </c>
      <c r="N68">
        <v>-0.17277057698819415</v>
      </c>
      <c r="O68"/>
      <c r="P68">
        <v>0.14863498998169572</v>
      </c>
      <c r="Q68"/>
      <c r="R68"/>
      <c r="S68"/>
      <c r="T68"/>
      <c r="U68"/>
      <c r="V68"/>
    </row>
    <row r="69" spans="1:22" ht="16">
      <c r="A69"/>
      <c r="B69">
        <v>3.4265914084438881E-2</v>
      </c>
      <c r="C69">
        <v>5.6629521285398221E-2</v>
      </c>
      <c r="D69">
        <v>6.9624039859361775E-2</v>
      </c>
      <c r="E69"/>
      <c r="F69"/>
      <c r="G69"/>
      <c r="H69"/>
      <c r="I69"/>
      <c r="J69"/>
      <c r="K69">
        <v>0.25825078096954812</v>
      </c>
      <c r="L69">
        <v>0.59962749143743133</v>
      </c>
      <c r="M69">
        <v>-0.11161290533765261</v>
      </c>
      <c r="N69">
        <v>-0.40115265977005726</v>
      </c>
      <c r="O69"/>
      <c r="P69">
        <v>0.34511270729926963</v>
      </c>
      <c r="Q69"/>
      <c r="R69"/>
      <c r="S69"/>
      <c r="T69"/>
      <c r="U69"/>
      <c r="V69"/>
    </row>
    <row r="70" spans="1:22" ht="16">
      <c r="A70"/>
      <c r="B70">
        <v>2.5311814980867195E-2</v>
      </c>
      <c r="C70">
        <v>-4.9344836653795097E-2</v>
      </c>
      <c r="D70">
        <v>4.3350220242686817E-3</v>
      </c>
      <c r="E70"/>
      <c r="F70"/>
      <c r="G70"/>
      <c r="H70"/>
      <c r="I70"/>
      <c r="J70"/>
      <c r="K70">
        <v>-4.8070044121278563E-2</v>
      </c>
      <c r="L70">
        <v>-0.11161290533765283</v>
      </c>
      <c r="M70">
        <v>2.0775299358021138E-2</v>
      </c>
      <c r="N70">
        <v>7.4669381374644531E-2</v>
      </c>
      <c r="O70"/>
      <c r="P70">
        <v>-6.4238268726265743E-2</v>
      </c>
      <c r="Q70"/>
      <c r="R70"/>
      <c r="S70"/>
      <c r="T70"/>
      <c r="U70"/>
      <c r="V70"/>
    </row>
    <row r="71" spans="1:22" ht="16">
      <c r="A71"/>
      <c r="B71">
        <v>-9.3843643149745005E-3</v>
      </c>
      <c r="C71">
        <v>-6.391420591700156E-3</v>
      </c>
      <c r="D71">
        <v>8.5641689825700737E-2</v>
      </c>
      <c r="E71"/>
      <c r="F71"/>
      <c r="G71"/>
      <c r="H71"/>
      <c r="I71"/>
      <c r="J71"/>
      <c r="K71">
        <v>-0.17277057698819406</v>
      </c>
      <c r="L71">
        <v>-0.40115265977005743</v>
      </c>
      <c r="M71">
        <v>7.4669381374644517E-2</v>
      </c>
      <c r="N71">
        <v>0.26837237908292766</v>
      </c>
      <c r="O71"/>
      <c r="P71">
        <v>-0.23088147630067934</v>
      </c>
      <c r="Q71"/>
      <c r="R71"/>
      <c r="S71"/>
      <c r="T71"/>
      <c r="U71"/>
      <c r="V71"/>
    </row>
    <row r="72" spans="1:22" ht="16">
      <c r="A72"/>
      <c r="B72">
        <v>6.2505569261242261E-2</v>
      </c>
      <c r="C72">
        <v>-3.5523976101549892E-2</v>
      </c>
      <c r="D72">
        <v>2.7473688536723648E-2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ht="16">
      <c r="A73"/>
      <c r="B73"/>
      <c r="C73"/>
      <c r="D73"/>
      <c r="E73"/>
      <c r="F73" s="1">
        <v>-0.27513550808211085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ht="16">
      <c r="A74"/>
      <c r="B74"/>
      <c r="C74"/>
      <c r="D74"/>
      <c r="E74"/>
      <c r="F74" s="1">
        <v>0.70836529407336091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ht="16">
      <c r="A75"/>
      <c r="B75"/>
      <c r="C75"/>
      <c r="D75"/>
      <c r="E75"/>
      <c r="F75" s="1">
        <v>0.48419057220908651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ht="16">
      <c r="A76"/>
      <c r="B76"/>
      <c r="C76"/>
      <c r="D76"/>
      <c r="E76"/>
      <c r="F76" s="1">
        <v>-0.11330668816901573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3.1</vt:lpstr>
      <vt:lpstr>3.2</vt:lpstr>
      <vt:lpstr>3.3</vt:lpstr>
      <vt:lpstr>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2020-02-23T18:58:18Z</dcterms:created>
  <dcterms:modified xsi:type="dcterms:W3CDTF">2020-02-26T01:51:31Z</dcterms:modified>
</cp:coreProperties>
</file>