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srakhalid/OneDrive/Documents/PhD/Year 2/CHE 205/"/>
    </mc:Choice>
  </mc:AlternateContent>
  <xr:revisionPtr revIDLastSave="14" documentId="8_{9D01A508-2233-5247-A6F6-F4603AB00FE9}" xr6:coauthVersionLast="45" xr6:coauthVersionMax="45" xr10:uidLastSave="{85ED5286-42AA-D047-884F-E68A2D5C8C7D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2" i="1" l="1"/>
  <c r="E33" i="1"/>
  <c r="H34" i="1"/>
  <c r="F32" i="1"/>
  <c r="E31" i="1"/>
  <c r="K8" i="1" l="1"/>
  <c r="F31" i="1" l="1"/>
  <c r="H32" i="1"/>
  <c r="E38" i="1" l="1"/>
  <c r="F38" i="1" s="1"/>
  <c r="E37" i="1"/>
  <c r="F37" i="1" s="1"/>
  <c r="F36" i="1"/>
  <c r="E36" i="1"/>
  <c r="E35" i="1"/>
  <c r="F35" i="1" s="1"/>
  <c r="E34" i="1"/>
  <c r="F34" i="1" s="1"/>
  <c r="F33" i="1"/>
  <c r="H31" i="1"/>
  <c r="E30" i="1"/>
  <c r="K9" i="1"/>
  <c r="H33" i="1" l="1"/>
  <c r="H35" i="1" s="1"/>
  <c r="H36" i="1" s="1"/>
  <c r="H37" i="1" s="1"/>
  <c r="H38" i="1" s="1"/>
</calcChain>
</file>

<file path=xl/sharedStrings.xml><?xml version="1.0" encoding="utf-8"?>
<sst xmlns="http://schemas.openxmlformats.org/spreadsheetml/2006/main" count="47" uniqueCount="23">
  <si>
    <t>Compressibility Data for Nitrogen</t>
  </si>
  <si>
    <t>Pressure (atm)</t>
  </si>
  <si>
    <t>Compressibility Factor, z</t>
  </si>
  <si>
    <t>(z - 1)/P</t>
  </si>
  <si>
    <t>Integral {(z - 1)/P}</t>
  </si>
  <si>
    <t>Fugacity (atm)</t>
  </si>
  <si>
    <t>0oC</t>
  </si>
  <si>
    <t>25oC</t>
  </si>
  <si>
    <t>50oC</t>
  </si>
  <si>
    <t>R</t>
  </si>
  <si>
    <t>cal/K/gmol</t>
  </si>
  <si>
    <t>(dz/dT)p</t>
  </si>
  <si>
    <t>T (K)</t>
  </si>
  <si>
    <t>-RT^2/P(dz/dT)p</t>
  </si>
  <si>
    <t>enthalpy</t>
  </si>
  <si>
    <t>Units of the integrand:</t>
  </si>
  <si>
    <t>cal</t>
  </si>
  <si>
    <t>K^2</t>
  </si>
  <si>
    <t>=</t>
  </si>
  <si>
    <t>K-gmol</t>
  </si>
  <si>
    <t>atm</t>
  </si>
  <si>
    <t>K</t>
  </si>
  <si>
    <t>atm-gmol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</si>
</sst>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H12" sqref="H12:J12"/>
    </sheetView>
  </sheetViews>
  <sheetFormatPr baseColWidth="10" defaultColWidth="8.83203125" defaultRowHeight="15"/>
  <cols>
    <col min="1" max="1" width="14" customWidth="1"/>
    <col min="12" max="12" width="12.5" bestFit="1" customWidth="1"/>
    <col min="257" max="257" width="14" customWidth="1"/>
    <col min="268" max="268" width="12.5" bestFit="1" customWidth="1"/>
    <col min="513" max="513" width="14" customWidth="1"/>
    <col min="524" max="524" width="12.5" bestFit="1" customWidth="1"/>
    <col min="769" max="769" width="14" customWidth="1"/>
    <col min="780" max="780" width="12.5" bestFit="1" customWidth="1"/>
    <col min="1025" max="1025" width="14" customWidth="1"/>
    <col min="1036" max="1036" width="12.5" bestFit="1" customWidth="1"/>
    <col min="1281" max="1281" width="14" customWidth="1"/>
    <col min="1292" max="1292" width="12.5" bestFit="1" customWidth="1"/>
    <col min="1537" max="1537" width="14" customWidth="1"/>
    <col min="1548" max="1548" width="12.5" bestFit="1" customWidth="1"/>
    <col min="1793" max="1793" width="14" customWidth="1"/>
    <col min="1804" max="1804" width="12.5" bestFit="1" customWidth="1"/>
    <col min="2049" max="2049" width="14" customWidth="1"/>
    <col min="2060" max="2060" width="12.5" bestFit="1" customWidth="1"/>
    <col min="2305" max="2305" width="14" customWidth="1"/>
    <col min="2316" max="2316" width="12.5" bestFit="1" customWidth="1"/>
    <col min="2561" max="2561" width="14" customWidth="1"/>
    <col min="2572" max="2572" width="12.5" bestFit="1" customWidth="1"/>
    <col min="2817" max="2817" width="14" customWidth="1"/>
    <col min="2828" max="2828" width="12.5" bestFit="1" customWidth="1"/>
    <col min="3073" max="3073" width="14" customWidth="1"/>
    <col min="3084" max="3084" width="12.5" bestFit="1" customWidth="1"/>
    <col min="3329" max="3329" width="14" customWidth="1"/>
    <col min="3340" max="3340" width="12.5" bestFit="1" customWidth="1"/>
    <col min="3585" max="3585" width="14" customWidth="1"/>
    <col min="3596" max="3596" width="12.5" bestFit="1" customWidth="1"/>
    <col min="3841" max="3841" width="14" customWidth="1"/>
    <col min="3852" max="3852" width="12.5" bestFit="1" customWidth="1"/>
    <col min="4097" max="4097" width="14" customWidth="1"/>
    <col min="4108" max="4108" width="12.5" bestFit="1" customWidth="1"/>
    <col min="4353" max="4353" width="14" customWidth="1"/>
    <col min="4364" max="4364" width="12.5" bestFit="1" customWidth="1"/>
    <col min="4609" max="4609" width="14" customWidth="1"/>
    <col min="4620" max="4620" width="12.5" bestFit="1" customWidth="1"/>
    <col min="4865" max="4865" width="14" customWidth="1"/>
    <col min="4876" max="4876" width="12.5" bestFit="1" customWidth="1"/>
    <col min="5121" max="5121" width="14" customWidth="1"/>
    <col min="5132" max="5132" width="12.5" bestFit="1" customWidth="1"/>
    <col min="5377" max="5377" width="14" customWidth="1"/>
    <col min="5388" max="5388" width="12.5" bestFit="1" customWidth="1"/>
    <col min="5633" max="5633" width="14" customWidth="1"/>
    <col min="5644" max="5644" width="12.5" bestFit="1" customWidth="1"/>
    <col min="5889" max="5889" width="14" customWidth="1"/>
    <col min="5900" max="5900" width="12.5" bestFit="1" customWidth="1"/>
    <col min="6145" max="6145" width="14" customWidth="1"/>
    <col min="6156" max="6156" width="12.5" bestFit="1" customWidth="1"/>
    <col min="6401" max="6401" width="14" customWidth="1"/>
    <col min="6412" max="6412" width="12.5" bestFit="1" customWidth="1"/>
    <col min="6657" max="6657" width="14" customWidth="1"/>
    <col min="6668" max="6668" width="12.5" bestFit="1" customWidth="1"/>
    <col min="6913" max="6913" width="14" customWidth="1"/>
    <col min="6924" max="6924" width="12.5" bestFit="1" customWidth="1"/>
    <col min="7169" max="7169" width="14" customWidth="1"/>
    <col min="7180" max="7180" width="12.5" bestFit="1" customWidth="1"/>
    <col min="7425" max="7425" width="14" customWidth="1"/>
    <col min="7436" max="7436" width="12.5" bestFit="1" customWidth="1"/>
    <col min="7681" max="7681" width="14" customWidth="1"/>
    <col min="7692" max="7692" width="12.5" bestFit="1" customWidth="1"/>
    <col min="7937" max="7937" width="14" customWidth="1"/>
    <col min="7948" max="7948" width="12.5" bestFit="1" customWidth="1"/>
    <col min="8193" max="8193" width="14" customWidth="1"/>
    <col min="8204" max="8204" width="12.5" bestFit="1" customWidth="1"/>
    <col min="8449" max="8449" width="14" customWidth="1"/>
    <col min="8460" max="8460" width="12.5" bestFit="1" customWidth="1"/>
    <col min="8705" max="8705" width="14" customWidth="1"/>
    <col min="8716" max="8716" width="12.5" bestFit="1" customWidth="1"/>
    <col min="8961" max="8961" width="14" customWidth="1"/>
    <col min="8972" max="8972" width="12.5" bestFit="1" customWidth="1"/>
    <col min="9217" max="9217" width="14" customWidth="1"/>
    <col min="9228" max="9228" width="12.5" bestFit="1" customWidth="1"/>
    <col min="9473" max="9473" width="14" customWidth="1"/>
    <col min="9484" max="9484" width="12.5" bestFit="1" customWidth="1"/>
    <col min="9729" max="9729" width="14" customWidth="1"/>
    <col min="9740" max="9740" width="12.5" bestFit="1" customWidth="1"/>
    <col min="9985" max="9985" width="14" customWidth="1"/>
    <col min="9996" max="9996" width="12.5" bestFit="1" customWidth="1"/>
    <col min="10241" max="10241" width="14" customWidth="1"/>
    <col min="10252" max="10252" width="12.5" bestFit="1" customWidth="1"/>
    <col min="10497" max="10497" width="14" customWidth="1"/>
    <col min="10508" max="10508" width="12.5" bestFit="1" customWidth="1"/>
    <col min="10753" max="10753" width="14" customWidth="1"/>
    <col min="10764" max="10764" width="12.5" bestFit="1" customWidth="1"/>
    <col min="11009" max="11009" width="14" customWidth="1"/>
    <col min="11020" max="11020" width="12.5" bestFit="1" customWidth="1"/>
    <col min="11265" max="11265" width="14" customWidth="1"/>
    <col min="11276" max="11276" width="12.5" bestFit="1" customWidth="1"/>
    <col min="11521" max="11521" width="14" customWidth="1"/>
    <col min="11532" max="11532" width="12.5" bestFit="1" customWidth="1"/>
    <col min="11777" max="11777" width="14" customWidth="1"/>
    <col min="11788" max="11788" width="12.5" bestFit="1" customWidth="1"/>
    <col min="12033" max="12033" width="14" customWidth="1"/>
    <col min="12044" max="12044" width="12.5" bestFit="1" customWidth="1"/>
    <col min="12289" max="12289" width="14" customWidth="1"/>
    <col min="12300" max="12300" width="12.5" bestFit="1" customWidth="1"/>
    <col min="12545" max="12545" width="14" customWidth="1"/>
    <col min="12556" max="12556" width="12.5" bestFit="1" customWidth="1"/>
    <col min="12801" max="12801" width="14" customWidth="1"/>
    <col min="12812" max="12812" width="12.5" bestFit="1" customWidth="1"/>
    <col min="13057" max="13057" width="14" customWidth="1"/>
    <col min="13068" max="13068" width="12.5" bestFit="1" customWidth="1"/>
    <col min="13313" max="13313" width="14" customWidth="1"/>
    <col min="13324" max="13324" width="12.5" bestFit="1" customWidth="1"/>
    <col min="13569" max="13569" width="14" customWidth="1"/>
    <col min="13580" max="13580" width="12.5" bestFit="1" customWidth="1"/>
    <col min="13825" max="13825" width="14" customWidth="1"/>
    <col min="13836" max="13836" width="12.5" bestFit="1" customWidth="1"/>
    <col min="14081" max="14081" width="14" customWidth="1"/>
    <col min="14092" max="14092" width="12.5" bestFit="1" customWidth="1"/>
    <col min="14337" max="14337" width="14" customWidth="1"/>
    <col min="14348" max="14348" width="12.5" bestFit="1" customWidth="1"/>
    <col min="14593" max="14593" width="14" customWidth="1"/>
    <col min="14604" max="14604" width="12.5" bestFit="1" customWidth="1"/>
    <col min="14849" max="14849" width="14" customWidth="1"/>
    <col min="14860" max="14860" width="12.5" bestFit="1" customWidth="1"/>
    <col min="15105" max="15105" width="14" customWidth="1"/>
    <col min="15116" max="15116" width="12.5" bestFit="1" customWidth="1"/>
    <col min="15361" max="15361" width="14" customWidth="1"/>
    <col min="15372" max="15372" width="12.5" bestFit="1" customWidth="1"/>
    <col min="15617" max="15617" width="14" customWidth="1"/>
    <col min="15628" max="15628" width="12.5" bestFit="1" customWidth="1"/>
    <col min="15873" max="15873" width="14" customWidth="1"/>
    <col min="15884" max="15884" width="12.5" bestFit="1" customWidth="1"/>
    <col min="16129" max="16129" width="14" customWidth="1"/>
    <col min="16140" max="16140" width="12.5" bestFit="1" customWidth="1"/>
  </cols>
  <sheetData>
    <row r="1" spans="1:13">
      <c r="A1" t="s">
        <v>0</v>
      </c>
    </row>
    <row r="2" spans="1:13">
      <c r="A2" t="s">
        <v>1</v>
      </c>
      <c r="B2" s="15" t="s">
        <v>2</v>
      </c>
      <c r="C2" s="15"/>
      <c r="D2" s="15"/>
      <c r="E2" s="15" t="s">
        <v>3</v>
      </c>
      <c r="F2" s="15"/>
      <c r="G2" s="15"/>
      <c r="H2" s="15" t="s">
        <v>4</v>
      </c>
      <c r="I2" s="15"/>
      <c r="J2" s="15"/>
      <c r="K2" s="15" t="s">
        <v>5</v>
      </c>
      <c r="L2" s="15"/>
      <c r="M2" s="15"/>
    </row>
    <row r="3" spans="1:13">
      <c r="B3" t="s">
        <v>6</v>
      </c>
      <c r="C3" t="s">
        <v>7</v>
      </c>
      <c r="D3" t="s">
        <v>8</v>
      </c>
      <c r="E3" t="s">
        <v>6</v>
      </c>
      <c r="F3" t="s">
        <v>7</v>
      </c>
      <c r="G3" t="s">
        <v>8</v>
      </c>
      <c r="H3" t="s">
        <v>6</v>
      </c>
      <c r="I3" t="s">
        <v>7</v>
      </c>
      <c r="J3" t="s">
        <v>8</v>
      </c>
      <c r="K3" t="s">
        <v>6</v>
      </c>
      <c r="L3" t="s">
        <v>7</v>
      </c>
      <c r="M3" t="s">
        <v>8</v>
      </c>
    </row>
    <row r="4" spans="1:13">
      <c r="A4">
        <v>0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>
        <v>10</v>
      </c>
      <c r="B5">
        <v>0.996</v>
      </c>
      <c r="C5">
        <v>0.998</v>
      </c>
      <c r="D5">
        <v>1</v>
      </c>
      <c r="E5">
        <v>-4.0000000000000002E-4</v>
      </c>
      <c r="F5">
        <v>-2.0000000000000001E-4</v>
      </c>
      <c r="G5">
        <v>0</v>
      </c>
      <c r="H5">
        <v>-2E-3</v>
      </c>
      <c r="I5">
        <v>-1E-3</v>
      </c>
      <c r="J5">
        <v>0</v>
      </c>
      <c r="K5">
        <v>10</v>
      </c>
      <c r="L5">
        <v>10</v>
      </c>
      <c r="M5">
        <v>10</v>
      </c>
    </row>
    <row r="6" spans="1:13">
      <c r="A6">
        <v>50</v>
      </c>
      <c r="B6">
        <v>0.98499999999999999</v>
      </c>
      <c r="C6">
        <v>0.996</v>
      </c>
      <c r="D6">
        <v>1.004</v>
      </c>
      <c r="E6">
        <v>-2.9999999999999997E-4</v>
      </c>
      <c r="F6">
        <v>-8.0000000000000007E-5</v>
      </c>
      <c r="G6">
        <v>8.0000000000000007E-5</v>
      </c>
      <c r="H6">
        <v>-1.6E-2</v>
      </c>
      <c r="I6">
        <v>-6.6E-3</v>
      </c>
      <c r="J6">
        <v>1.6000000000000001E-3</v>
      </c>
      <c r="K6">
        <v>49.2</v>
      </c>
      <c r="L6">
        <v>49.7</v>
      </c>
      <c r="M6">
        <v>50.1</v>
      </c>
    </row>
    <row r="7" spans="1:13">
      <c r="A7">
        <v>100</v>
      </c>
      <c r="B7">
        <v>0.98399999999999999</v>
      </c>
      <c r="C7">
        <v>1.004</v>
      </c>
      <c r="D7">
        <v>1.018</v>
      </c>
      <c r="E7">
        <v>-1.6000000000000001E-4</v>
      </c>
      <c r="F7">
        <v>4.0000000000000003E-5</v>
      </c>
      <c r="G7">
        <v>1.8000000000000001E-4</v>
      </c>
      <c r="H7">
        <v>-2.75E-2</v>
      </c>
      <c r="I7">
        <v>-7.6E-3</v>
      </c>
      <c r="J7">
        <v>8.0999999999999996E-3</v>
      </c>
      <c r="K7">
        <v>97.3</v>
      </c>
      <c r="L7">
        <v>99.2</v>
      </c>
      <c r="M7">
        <v>100.8</v>
      </c>
    </row>
    <row r="8" spans="1:13">
      <c r="A8">
        <v>200</v>
      </c>
      <c r="B8">
        <v>1.036</v>
      </c>
      <c r="C8">
        <v>1.0569999999999999</v>
      </c>
      <c r="D8">
        <v>1.0720000000000001</v>
      </c>
      <c r="E8">
        <v>1.8000000000000001E-4</v>
      </c>
      <c r="F8">
        <v>2.8499999999999999E-4</v>
      </c>
      <c r="G8">
        <v>3.6000000000000002E-4</v>
      </c>
      <c r="H8">
        <v>-2.6499999999999999E-2</v>
      </c>
      <c r="I8">
        <v>8.6499999999999997E-3</v>
      </c>
      <c r="J8">
        <v>3.5099999999999999E-2</v>
      </c>
      <c r="K8" s="1">
        <f>A8*EXP(H8)</f>
        <v>194.769608767107</v>
      </c>
      <c r="L8">
        <v>201.7</v>
      </c>
      <c r="M8">
        <v>207.1</v>
      </c>
    </row>
    <row r="9" spans="1:13">
      <c r="A9">
        <v>300</v>
      </c>
      <c r="B9">
        <v>1.1339999999999999</v>
      </c>
      <c r="C9">
        <v>1.1459999999999999</v>
      </c>
      <c r="D9">
        <v>1.1539999999999999</v>
      </c>
      <c r="E9">
        <v>4.4700000000000002E-4</v>
      </c>
      <c r="F9">
        <v>4.8700000000000002E-4</v>
      </c>
      <c r="G9">
        <v>5.13E-4</v>
      </c>
      <c r="H9">
        <v>4.8333330000000004E-3</v>
      </c>
      <c r="I9">
        <v>4.7233333000000002E-2</v>
      </c>
      <c r="J9">
        <v>7.8766666999999999E-2</v>
      </c>
      <c r="K9" s="1">
        <f>A9*EXP(H9)</f>
        <v>301.45350971861239</v>
      </c>
      <c r="L9">
        <v>314.5</v>
      </c>
      <c r="M9">
        <v>324.60000000000002</v>
      </c>
    </row>
    <row r="10" spans="1:13">
      <c r="A10">
        <v>400</v>
      </c>
      <c r="B10">
        <v>1.256</v>
      </c>
      <c r="C10">
        <v>1.254</v>
      </c>
      <c r="D10">
        <v>1.2529999999999999</v>
      </c>
      <c r="E10">
        <v>6.4000000000000005E-4</v>
      </c>
      <c r="F10">
        <v>6.3500000000000004E-4</v>
      </c>
      <c r="G10">
        <v>6.3299999999999999E-4</v>
      </c>
      <c r="H10">
        <v>5.9166666999999999E-2</v>
      </c>
      <c r="I10">
        <v>0.103316667</v>
      </c>
      <c r="J10">
        <v>0.136058333</v>
      </c>
      <c r="K10">
        <v>424.4</v>
      </c>
      <c r="L10">
        <v>443.5</v>
      </c>
      <c r="M10">
        <v>458.3</v>
      </c>
    </row>
    <row r="11" spans="1:13">
      <c r="A11">
        <v>600</v>
      </c>
      <c r="B11">
        <v>1.524</v>
      </c>
      <c r="C11">
        <v>1.4950000000000001</v>
      </c>
      <c r="D11">
        <v>1.4710000000000001</v>
      </c>
      <c r="E11">
        <v>8.7299999999999997E-4</v>
      </c>
      <c r="F11">
        <v>8.25E-4</v>
      </c>
      <c r="G11">
        <v>7.85E-4</v>
      </c>
      <c r="H11">
        <v>0.21049999999999999</v>
      </c>
      <c r="I11">
        <v>0.24931666699999999</v>
      </c>
      <c r="J11">
        <v>0.27780833300000002</v>
      </c>
      <c r="K11">
        <v>740.6</v>
      </c>
      <c r="L11">
        <v>769.9</v>
      </c>
      <c r="M11">
        <v>792.1</v>
      </c>
    </row>
    <row r="12" spans="1:13">
      <c r="A12">
        <v>800</v>
      </c>
      <c r="B12">
        <v>1.798</v>
      </c>
      <c r="C12">
        <v>1.7230000000000001</v>
      </c>
      <c r="D12">
        <v>1.6970000000000001</v>
      </c>
      <c r="E12">
        <v>9.9799999999999997E-4</v>
      </c>
      <c r="F12">
        <v>9.0399999999999996E-4</v>
      </c>
      <c r="G12">
        <v>8.7100000000000003E-4</v>
      </c>
      <c r="H12" s="18">
        <v>0.39758333299999998</v>
      </c>
      <c r="I12" s="18">
        <v>0.42219166699999999</v>
      </c>
      <c r="J12" s="18">
        <v>0.44343333299999999</v>
      </c>
      <c r="K12">
        <v>1190.5999999999999</v>
      </c>
      <c r="L12">
        <v>1220.2</v>
      </c>
      <c r="M12">
        <v>1246.4000000000001</v>
      </c>
    </row>
    <row r="15" spans="1:13">
      <c r="A15" t="s">
        <v>0</v>
      </c>
      <c r="F15" t="s">
        <v>9</v>
      </c>
      <c r="G15">
        <v>8.3140000000000001</v>
      </c>
      <c r="H15" t="s">
        <v>10</v>
      </c>
    </row>
    <row r="16" spans="1:13">
      <c r="A16" t="s">
        <v>1</v>
      </c>
      <c r="B16" t="s">
        <v>2</v>
      </c>
      <c r="E16" t="s">
        <v>11</v>
      </c>
      <c r="F16" t="s">
        <v>12</v>
      </c>
      <c r="G16">
        <v>298</v>
      </c>
    </row>
    <row r="17" spans="1:13">
      <c r="B17" t="s">
        <v>6</v>
      </c>
      <c r="C17" t="s">
        <v>7</v>
      </c>
      <c r="D17" t="s">
        <v>8</v>
      </c>
      <c r="F17" t="s">
        <v>13</v>
      </c>
      <c r="H17" t="s">
        <v>14</v>
      </c>
    </row>
    <row r="18" spans="1:13">
      <c r="A18">
        <v>0</v>
      </c>
      <c r="B18">
        <v>1</v>
      </c>
      <c r="C18">
        <v>1</v>
      </c>
      <c r="D18">
        <v>1</v>
      </c>
      <c r="E18">
        <v>0</v>
      </c>
      <c r="F18">
        <v>-1.296</v>
      </c>
      <c r="H18">
        <v>0</v>
      </c>
    </row>
    <row r="19" spans="1:13">
      <c r="A19">
        <v>10</v>
      </c>
      <c r="B19">
        <v>0.996</v>
      </c>
      <c r="C19">
        <v>0.998</v>
      </c>
      <c r="D19">
        <v>1</v>
      </c>
      <c r="E19" s="2">
        <v>8.0000000000000007E-5</v>
      </c>
      <c r="F19">
        <v>-1.41177047</v>
      </c>
      <c r="H19">
        <v>-13.54</v>
      </c>
      <c r="K19" s="3"/>
      <c r="L19" s="3"/>
      <c r="M19" s="3"/>
    </row>
    <row r="20" spans="1:13">
      <c r="A20">
        <v>50</v>
      </c>
      <c r="B20">
        <v>0.98499999999999999</v>
      </c>
      <c r="C20">
        <v>0.996</v>
      </c>
      <c r="D20">
        <v>1.004</v>
      </c>
      <c r="E20" s="2">
        <v>3.8000000000000002E-4</v>
      </c>
      <c r="F20">
        <v>-1.3411819469999999</v>
      </c>
      <c r="H20">
        <v>-68.599999999999994</v>
      </c>
      <c r="J20" s="3"/>
      <c r="K20" s="3"/>
    </row>
    <row r="21" spans="1:13">
      <c r="A21">
        <v>100</v>
      </c>
      <c r="B21">
        <v>0.98399999999999999</v>
      </c>
      <c r="C21">
        <v>1.004</v>
      </c>
      <c r="D21">
        <v>1.018</v>
      </c>
      <c r="E21" s="2">
        <v>6.8000000000000005E-4</v>
      </c>
      <c r="F21">
        <v>-1.2000048999999999</v>
      </c>
      <c r="H21">
        <v>-132.13</v>
      </c>
    </row>
    <row r="22" spans="1:13">
      <c r="A22">
        <v>200</v>
      </c>
      <c r="B22">
        <v>1.036</v>
      </c>
      <c r="C22">
        <v>1.0569999999999999</v>
      </c>
      <c r="D22">
        <v>1.0720000000000001</v>
      </c>
      <c r="E22" s="2">
        <v>7.2000000000000005E-4</v>
      </c>
      <c r="F22">
        <v>-0.63529671200000004</v>
      </c>
      <c r="H22">
        <v>-223.89</v>
      </c>
    </row>
    <row r="23" spans="1:13">
      <c r="A23">
        <v>300</v>
      </c>
      <c r="B23">
        <v>1.1339999999999999</v>
      </c>
      <c r="C23">
        <v>1.1459999999999999</v>
      </c>
      <c r="D23">
        <v>1.1539999999999999</v>
      </c>
      <c r="E23" s="2">
        <v>4.0000000000000002E-4</v>
      </c>
      <c r="F23">
        <v>-0.23529507799999999</v>
      </c>
      <c r="H23">
        <v>-267.42</v>
      </c>
    </row>
    <row r="24" spans="1:13">
      <c r="A24">
        <v>400</v>
      </c>
      <c r="B24">
        <v>1.256</v>
      </c>
      <c r="C24">
        <v>1.254</v>
      </c>
      <c r="D24">
        <v>1.2529999999999999</v>
      </c>
      <c r="E24" s="2">
        <v>-6.0000000000000002E-5</v>
      </c>
      <c r="F24">
        <v>2.6470695999999998E-2</v>
      </c>
      <c r="H24">
        <v>-277.86</v>
      </c>
    </row>
    <row r="25" spans="1:13">
      <c r="A25">
        <v>600</v>
      </c>
      <c r="B25">
        <v>1.524</v>
      </c>
      <c r="C25">
        <v>1.4950000000000001</v>
      </c>
      <c r="D25">
        <v>1.4710000000000001</v>
      </c>
      <c r="E25" s="2">
        <v>-1.06E-3</v>
      </c>
      <c r="F25">
        <v>0.31176597900000003</v>
      </c>
      <c r="H25">
        <v>-244.04</v>
      </c>
    </row>
    <row r="26" spans="1:13">
      <c r="A26">
        <v>800</v>
      </c>
      <c r="B26">
        <v>1.798</v>
      </c>
      <c r="C26">
        <v>1.7230000000000001</v>
      </c>
      <c r="D26">
        <v>1.6970000000000001</v>
      </c>
      <c r="E26" s="2">
        <v>-2.0200000000000001E-3</v>
      </c>
      <c r="F26">
        <v>0.44559005499999998</v>
      </c>
      <c r="H26">
        <v>-168.3</v>
      </c>
    </row>
    <row r="27" spans="1:13" ht="16" thickBot="1"/>
    <row r="28" spans="1:13">
      <c r="A28" s="4" t="s">
        <v>1</v>
      </c>
      <c r="B28" s="5" t="s">
        <v>2</v>
      </c>
      <c r="C28" s="5"/>
      <c r="D28" s="5"/>
      <c r="E28" s="5"/>
      <c r="F28" s="5"/>
      <c r="G28" s="5"/>
      <c r="H28" s="6"/>
    </row>
    <row r="29" spans="1:13">
      <c r="A29" s="7"/>
      <c r="B29" s="8" t="s">
        <v>6</v>
      </c>
      <c r="C29" s="8" t="s">
        <v>7</v>
      </c>
      <c r="D29" s="8" t="s">
        <v>8</v>
      </c>
      <c r="E29" s="8" t="s">
        <v>11</v>
      </c>
      <c r="F29" s="8" t="s">
        <v>13</v>
      </c>
      <c r="G29" s="8"/>
      <c r="H29" s="9" t="s">
        <v>14</v>
      </c>
    </row>
    <row r="30" spans="1:13">
      <c r="A30" s="7">
        <v>0</v>
      </c>
      <c r="B30" s="8">
        <v>1</v>
      </c>
      <c r="C30" s="8">
        <v>1</v>
      </c>
      <c r="D30" s="8">
        <v>1</v>
      </c>
      <c r="E30" s="8">
        <f>(D30-B30)/50</f>
        <v>0</v>
      </c>
      <c r="F30" s="8">
        <v>-1.296</v>
      </c>
      <c r="G30" s="8"/>
      <c r="H30" s="9">
        <v>0</v>
      </c>
    </row>
    <row r="31" spans="1:13">
      <c r="A31" s="7">
        <v>10</v>
      </c>
      <c r="B31" s="8">
        <v>0.996</v>
      </c>
      <c r="C31" s="8">
        <v>0.998</v>
      </c>
      <c r="D31" s="8">
        <v>1</v>
      </c>
      <c r="E31" s="8">
        <f>(D31-B31)/50</f>
        <v>8.0000000000000074E-5</v>
      </c>
      <c r="F31" s="8">
        <f>-$G$15*($G$16^2)*E31/A31</f>
        <v>-5.9065316480000059</v>
      </c>
      <c r="G31" s="8"/>
      <c r="H31" s="9">
        <f>H30+(F31+F30)*(A31-A30)/2</f>
        <v>-36.012658240000029</v>
      </c>
      <c r="J31" s="10"/>
    </row>
    <row r="32" spans="1:13">
      <c r="A32" s="7">
        <v>50</v>
      </c>
      <c r="B32" s="8">
        <v>0.98499999999999999</v>
      </c>
      <c r="C32" s="8">
        <v>0.996</v>
      </c>
      <c r="D32" s="8">
        <v>1.004</v>
      </c>
      <c r="E32" s="8">
        <f>(D32-B32)/50</f>
        <v>3.8000000000000035E-4</v>
      </c>
      <c r="F32" s="8">
        <f>-$G$15*$G$16^2*E32/A32</f>
        <v>-5.6112050656000054</v>
      </c>
      <c r="G32" s="8"/>
      <c r="H32" s="9">
        <f>H31+(F32+F31)*(A32-A31)/2</f>
        <v>-266.36739251200027</v>
      </c>
      <c r="L32" s="2"/>
    </row>
    <row r="33" spans="1:12">
      <c r="A33" s="7">
        <v>100</v>
      </c>
      <c r="B33" s="8">
        <v>0.98399999999999999</v>
      </c>
      <c r="C33" s="8">
        <v>1.004</v>
      </c>
      <c r="D33" s="8">
        <v>1.018</v>
      </c>
      <c r="E33" s="8">
        <f>(D33-B33)/50</f>
        <v>6.8000000000000059E-4</v>
      </c>
      <c r="F33" s="8">
        <f t="shared" ref="F33:F38" si="0">-$G$15*$G$16^2*E33/A33</f>
        <v>-5.0205519008000046</v>
      </c>
      <c r="G33" s="8"/>
      <c r="H33" s="9">
        <f t="shared" ref="H33:H38" si="1">H32+(F33+F32)*(A33-A32)/2</f>
        <v>-532.16131667200057</v>
      </c>
      <c r="L33" s="2"/>
    </row>
    <row r="34" spans="1:12">
      <c r="A34" s="7">
        <v>200</v>
      </c>
      <c r="B34" s="8">
        <v>1.036</v>
      </c>
      <c r="C34" s="8">
        <v>1.0569999999999999</v>
      </c>
      <c r="D34" s="8">
        <v>1.0720000000000001</v>
      </c>
      <c r="E34" s="8">
        <f t="shared" ref="E31:E38" si="2">(D34-B34)/50</f>
        <v>7.2000000000000059E-4</v>
      </c>
      <c r="F34" s="8">
        <f t="shared" si="0"/>
        <v>-2.6579392416000025</v>
      </c>
      <c r="G34" s="8"/>
      <c r="H34" s="9">
        <f>H33+(F34+F33)*(A34-A33)/2</f>
        <v>-916.08587379200094</v>
      </c>
    </row>
    <row r="35" spans="1:12">
      <c r="A35" s="7">
        <v>300</v>
      </c>
      <c r="B35" s="8">
        <v>1.1339999999999999</v>
      </c>
      <c r="C35" s="8">
        <v>1.1459999999999999</v>
      </c>
      <c r="D35" s="8">
        <v>1.1539999999999999</v>
      </c>
      <c r="E35" s="8">
        <f t="shared" si="2"/>
        <v>4.0000000000000034E-4</v>
      </c>
      <c r="F35" s="8">
        <f t="shared" si="0"/>
        <v>-0.98442194133333416</v>
      </c>
      <c r="G35" s="8"/>
      <c r="H35" s="9">
        <f t="shared" si="1"/>
        <v>-1098.2039329386678</v>
      </c>
    </row>
    <row r="36" spans="1:12">
      <c r="A36" s="7">
        <v>400</v>
      </c>
      <c r="B36" s="8">
        <v>1.256</v>
      </c>
      <c r="C36" s="8">
        <v>1.254</v>
      </c>
      <c r="D36" s="8">
        <v>1.2529999999999999</v>
      </c>
      <c r="E36" s="8">
        <f t="shared" si="2"/>
        <v>-6.0000000000002272E-5</v>
      </c>
      <c r="F36" s="8">
        <f t="shared" si="0"/>
        <v>0.11074746840000418</v>
      </c>
      <c r="G36" s="8"/>
      <c r="H36" s="9">
        <f t="shared" si="1"/>
        <v>-1141.8876565853343</v>
      </c>
    </row>
    <row r="37" spans="1:12">
      <c r="A37" s="7">
        <v>600</v>
      </c>
      <c r="B37" s="8">
        <v>1.524</v>
      </c>
      <c r="C37" s="8">
        <v>1.4950000000000001</v>
      </c>
      <c r="D37" s="8">
        <v>1.4710000000000001</v>
      </c>
      <c r="E37" s="8">
        <f t="shared" si="2"/>
        <v>-1.0599999999999987E-3</v>
      </c>
      <c r="F37" s="8">
        <f t="shared" si="0"/>
        <v>1.3043590722666651</v>
      </c>
      <c r="G37" s="8"/>
      <c r="H37" s="9">
        <f t="shared" si="1"/>
        <v>-1000.3770025186674</v>
      </c>
    </row>
    <row r="38" spans="1:12" ht="16" thickBot="1">
      <c r="A38" s="11">
        <v>800</v>
      </c>
      <c r="B38" s="12">
        <v>1.798</v>
      </c>
      <c r="C38" s="12">
        <v>1.7230000000000001</v>
      </c>
      <c r="D38" s="12">
        <v>1.6970000000000001</v>
      </c>
      <c r="E38" s="12">
        <f t="shared" si="2"/>
        <v>-2.0199999999999997E-3</v>
      </c>
      <c r="F38" s="12">
        <f t="shared" si="0"/>
        <v>1.8642490513999996</v>
      </c>
      <c r="G38" s="12"/>
      <c r="H38" s="13">
        <f t="shared" si="1"/>
        <v>-683.51619015200095</v>
      </c>
    </row>
    <row r="41" spans="1:12">
      <c r="A41" s="3" t="s">
        <v>15</v>
      </c>
      <c r="C41" s="3" t="s">
        <v>16</v>
      </c>
      <c r="D41" s="3" t="s">
        <v>17</v>
      </c>
      <c r="E41">
        <v>1</v>
      </c>
      <c r="F41" s="16" t="s">
        <v>18</v>
      </c>
      <c r="G41" s="14" t="s">
        <v>16</v>
      </c>
    </row>
    <row r="42" spans="1:12">
      <c r="C42" s="3" t="s">
        <v>19</v>
      </c>
      <c r="D42" s="3" t="s">
        <v>20</v>
      </c>
      <c r="E42" s="3" t="s">
        <v>21</v>
      </c>
      <c r="F42" s="17"/>
      <c r="G42" s="14" t="s">
        <v>22</v>
      </c>
    </row>
  </sheetData>
  <mergeCells count="5">
    <mergeCell ref="B2:D2"/>
    <mergeCell ref="E2:G2"/>
    <mergeCell ref="H2:J2"/>
    <mergeCell ref="K2:M2"/>
    <mergeCell ref="F41:F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pansdad</dc:creator>
  <cp:lastModifiedBy>Yusra Khalid</cp:lastModifiedBy>
  <dcterms:created xsi:type="dcterms:W3CDTF">2011-09-24T21:45:40Z</dcterms:created>
  <dcterms:modified xsi:type="dcterms:W3CDTF">2020-03-13T02:41:36Z</dcterms:modified>
</cp:coreProperties>
</file>