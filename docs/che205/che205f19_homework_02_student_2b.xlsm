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211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uoZhen/Desktop/CHE205_Fall19/strong/hw2/"/>
    </mc:Choice>
  </mc:AlternateContent>
  <xr:revisionPtr revIDLastSave="0" documentId="13_ncr:1_{F9C83045-8027-FA4F-907F-7113635E1F37}" xr6:coauthVersionLast="41" xr6:coauthVersionMax="44" xr10:uidLastSave="{00000000-0000-0000-0000-000000000000}"/>
  <bookViews>
    <workbookView xWindow="-120" yWindow="460" windowWidth="19420" windowHeight="10420" xr2:uid="{00000000-000D-0000-FFFF-FFFF00000000}"/>
  </bookViews>
  <sheets>
    <sheet name="2.2a" sheetId="1" r:id="rId1"/>
    <sheet name="2.2b" sheetId="3" r:id="rId2"/>
    <sheet name="2.2c" sheetId="4" r:id="rId3"/>
  </sheets>
  <functionGroups builtInGroupCount="19"/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5" i="4" l="1"/>
  <c r="M16" i="4"/>
  <c r="M17" i="4"/>
  <c r="N17" i="4" s="1"/>
  <c r="M18" i="4"/>
  <c r="M19" i="4" s="1"/>
  <c r="N16" i="4"/>
  <c r="N15" i="4"/>
  <c r="N14" i="4"/>
  <c r="N13" i="4"/>
  <c r="N12" i="4"/>
  <c r="N11" i="4"/>
  <c r="N10" i="4"/>
  <c r="N9" i="4"/>
  <c r="N8" i="4"/>
  <c r="N7" i="4"/>
  <c r="N6" i="4"/>
  <c r="N5" i="4"/>
  <c r="N4" i="4"/>
  <c r="N3" i="4"/>
  <c r="N2" i="4"/>
  <c r="N17" i="3"/>
  <c r="N16" i="3"/>
  <c r="N15" i="3"/>
  <c r="N14" i="3"/>
  <c r="N13" i="3"/>
  <c r="N12" i="3"/>
  <c r="N11" i="3"/>
  <c r="N10" i="3"/>
  <c r="N9" i="3"/>
  <c r="N8" i="3"/>
  <c r="N7" i="3"/>
  <c r="N6" i="3"/>
  <c r="N7" i="1"/>
  <c r="N8" i="1"/>
  <c r="N9" i="1"/>
  <c r="N10" i="1"/>
  <c r="N11" i="1"/>
  <c r="N12" i="1"/>
  <c r="N13" i="1"/>
  <c r="N14" i="1"/>
  <c r="N15" i="1"/>
  <c r="N16" i="1"/>
  <c r="N17" i="1"/>
  <c r="N6" i="1"/>
  <c r="M20" i="4" l="1"/>
  <c r="N19" i="4"/>
  <c r="N18" i="4"/>
  <c r="M21" i="4" l="1"/>
  <c r="N20" i="4"/>
  <c r="N21" i="4" l="1"/>
  <c r="M22" i="4"/>
  <c r="N22" i="4" s="1"/>
</calcChain>
</file>

<file path=xl/sharedStrings.xml><?xml version="1.0" encoding="utf-8"?>
<sst xmlns="http://schemas.openxmlformats.org/spreadsheetml/2006/main" count="51" uniqueCount="27">
  <si>
    <t>Iteration</t>
  </si>
  <si>
    <t>xL</t>
  </si>
  <si>
    <t>xR</t>
  </si>
  <si>
    <t>f(xL)</t>
  </si>
  <si>
    <t>f(xR)</t>
  </si>
  <si>
    <t>xM</t>
  </si>
  <si>
    <t>f(xM)</t>
  </si>
  <si>
    <t>RepeatL</t>
  </si>
  <si>
    <t>RepeatR</t>
  </si>
  <si>
    <t>X</t>
  </si>
  <si>
    <t>F(X)</t>
  </si>
  <si>
    <t>Maximum iteration reached;</t>
  </si>
  <si>
    <t>Solution might not be valid</t>
  </si>
  <si>
    <t>Solution is within tolerance</t>
  </si>
  <si>
    <t>x =</t>
  </si>
  <si>
    <t>x</t>
  </si>
  <si>
    <t>f(x)</t>
  </si>
  <si>
    <t>Ammonia at 250K and 10 atm</t>
  </si>
  <si>
    <t>R =</t>
  </si>
  <si>
    <t>P =</t>
  </si>
  <si>
    <t>atm</t>
  </si>
  <si>
    <t>T =</t>
  </si>
  <si>
    <t>K</t>
  </si>
  <si>
    <t>Tc =</t>
  </si>
  <si>
    <t>Pc =</t>
  </si>
  <si>
    <t>a =</t>
  </si>
  <si>
    <t>b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</si>
</sst>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4">
    <font>
      <sz val="11"/>
      <color theme="1"/>
      <name val="宋体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0" borderId="4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4" xfId="0" applyFill="1" applyBorder="1"/>
    <xf numFmtId="0" fontId="0" fillId="0" borderId="5" xfId="0" applyFill="1" applyBorder="1"/>
    <xf numFmtId="0" fontId="0" fillId="0" borderId="19" xfId="0" applyBorder="1"/>
    <xf numFmtId="0" fontId="1" fillId="0" borderId="8" xfId="0" applyFont="1" applyBorder="1"/>
    <xf numFmtId="176" fontId="1" fillId="0" borderId="9" xfId="0" applyNumberFormat="1" applyFont="1" applyBorder="1"/>
    <xf numFmtId="0" fontId="0" fillId="0" borderId="8" xfId="0" applyBorder="1" applyAlignment="1">
      <alignment horizontal="right"/>
    </xf>
    <xf numFmtId="0" fontId="0" fillId="0" borderId="10" xfId="0" applyBorder="1" applyAlignment="1">
      <alignment horizontal="right"/>
    </xf>
    <xf numFmtId="0" fontId="2" fillId="0" borderId="20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'2.2a'!$M$6:$M$17</c:f>
              <c:numCache>
                <c:formatCode>General</c:formatCode>
                <c:ptCount val="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</c:numCache>
            </c:numRef>
          </c:xVal>
          <c:yVal>
            <c:numRef>
              <c:f>'2.2a'!$N$6:$N$17</c:f>
              <c:numCache>
                <c:formatCode>General</c:formatCode>
                <c:ptCount val="12"/>
                <c:pt idx="0">
                  <c:v>-0.5</c:v>
                </c:pt>
                <c:pt idx="1">
                  <c:v>-0.49966532791454943</c:v>
                </c:pt>
                <c:pt idx="2">
                  <c:v>-0.49728996449132751</c:v>
                </c:pt>
                <c:pt idx="3">
                  <c:v>-0.49066375039037674</c:v>
                </c:pt>
                <c:pt idx="4">
                  <c:v>-0.47720678126183824</c:v>
                </c:pt>
                <c:pt idx="5">
                  <c:v>-0.45369751015620952</c:v>
                </c:pt>
                <c:pt idx="6">
                  <c:v>-0.41586319165830765</c:v>
                </c:pt>
                <c:pt idx="7">
                  <c:v>-0.35771161953692054</c:v>
                </c:pt>
                <c:pt idx="8">
                  <c:v>-0.27036144294963593</c:v>
                </c:pt>
                <c:pt idx="9">
                  <c:v>-0.13984178244966083</c:v>
                </c:pt>
                <c:pt idx="10">
                  <c:v>5.7407724654902292E-2</c:v>
                </c:pt>
                <c:pt idx="11">
                  <c:v>0.36475965724865222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06-4D24-99E2-FB50FB853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230680"/>
        <c:axId val="344385704"/>
      </c:scatterChart>
      <c:valAx>
        <c:axId val="575230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385704"/>
        <c:crosses val="autoZero"/>
        <c:crossBetween val="midCat"/>
      </c:valAx>
      <c:valAx>
        <c:axId val="344385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230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'2.2a'!$M$6:$M$17</c:f>
              <c:numCache>
                <c:formatCode>General</c:formatCode>
                <c:ptCount val="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</c:numCache>
            </c:numRef>
          </c:xVal>
          <c:yVal>
            <c:numRef>
              <c:f>'2.2a'!$N$6:$N$17</c:f>
              <c:numCache>
                <c:formatCode>General</c:formatCode>
                <c:ptCount val="12"/>
                <c:pt idx="0">
                  <c:v>-0.5</c:v>
                </c:pt>
                <c:pt idx="1">
                  <c:v>-0.49966532791454943</c:v>
                </c:pt>
                <c:pt idx="2">
                  <c:v>-0.49728996449132751</c:v>
                </c:pt>
                <c:pt idx="3">
                  <c:v>-0.49066375039037674</c:v>
                </c:pt>
                <c:pt idx="4">
                  <c:v>-0.47720678126183824</c:v>
                </c:pt>
                <c:pt idx="5">
                  <c:v>-0.45369751015620952</c:v>
                </c:pt>
                <c:pt idx="6">
                  <c:v>-0.41586319165830765</c:v>
                </c:pt>
                <c:pt idx="7">
                  <c:v>-0.35771161953692054</c:v>
                </c:pt>
                <c:pt idx="8">
                  <c:v>-0.27036144294963593</c:v>
                </c:pt>
                <c:pt idx="9">
                  <c:v>-0.13984178244966083</c:v>
                </c:pt>
                <c:pt idx="10">
                  <c:v>5.7407724654902292E-2</c:v>
                </c:pt>
                <c:pt idx="11">
                  <c:v>0.36475965724865222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61-49B7-BEE7-672012BD00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230680"/>
        <c:axId val="344385704"/>
      </c:scatterChart>
      <c:valAx>
        <c:axId val="575230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385704"/>
        <c:crosses val="autoZero"/>
        <c:crossBetween val="midCat"/>
      </c:valAx>
      <c:valAx>
        <c:axId val="344385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230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'2.2c'!$M$2:$M$22</c:f>
              <c:numCache>
                <c:formatCode>General</c:formatCode>
                <c:ptCount val="21"/>
                <c:pt idx="0">
                  <c:v>0.04</c:v>
                </c:pt>
                <c:pt idx="1">
                  <c:v>0.05</c:v>
                </c:pt>
                <c:pt idx="2">
                  <c:v>0.06</c:v>
                </c:pt>
                <c:pt idx="3">
                  <c:v>0.1</c:v>
                </c:pt>
                <c:pt idx="4">
                  <c:v>0.2</c:v>
                </c:pt>
                <c:pt idx="5">
                  <c:v>0.30000000000000004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0.79999999999999993</c:v>
                </c:pt>
                <c:pt idx="11">
                  <c:v>0.89999999999999991</c:v>
                </c:pt>
                <c:pt idx="12">
                  <c:v>0.99999999999999989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</c:numCache>
            </c:numRef>
          </c:xVal>
          <c:yVal>
            <c:numRef>
              <c:f>'2.2c'!$N$2:$N$22</c:f>
              <c:numCache>
                <c:formatCode>0.0000</c:formatCode>
                <c:ptCount val="21"/>
                <c:pt idx="0">
                  <c:v>-14.015098849324357</c:v>
                </c:pt>
                <c:pt idx="1">
                  <c:v>0.70752950382206592</c:v>
                </c:pt>
                <c:pt idx="2">
                  <c:v>6.1343596123207078</c:v>
                </c:pt>
                <c:pt idx="3">
                  <c:v>6.576206724680457</c:v>
                </c:pt>
                <c:pt idx="4">
                  <c:v>-1.6777444076075767</c:v>
                </c:pt>
                <c:pt idx="5">
                  <c:v>-5.5310303024765091</c:v>
                </c:pt>
                <c:pt idx="6">
                  <c:v>-7.2892924094309013</c:v>
                </c:pt>
                <c:pt idx="7">
                  <c:v>-8.0503678046499072</c:v>
                </c:pt>
                <c:pt idx="8">
                  <c:v>-8.2686339560652371</c:v>
                </c:pt>
                <c:pt idx="9">
                  <c:v>-8.1604808256570802</c:v>
                </c:pt>
                <c:pt idx="10">
                  <c:v>-7.841209519262387</c:v>
                </c:pt>
                <c:pt idx="11">
                  <c:v>-7.3776835647547685</c:v>
                </c:pt>
                <c:pt idx="12">
                  <c:v>-6.8112843899422728</c:v>
                </c:pt>
                <c:pt idx="13">
                  <c:v>-3.1356686724039768</c:v>
                </c:pt>
                <c:pt idx="14">
                  <c:v>1.1888744199843728</c:v>
                </c:pt>
                <c:pt idx="15">
                  <c:v>5.7793555501755272</c:v>
                </c:pt>
                <c:pt idx="16">
                  <c:v>10.504574334785527</c:v>
                </c:pt>
                <c:pt idx="17">
                  <c:v>15.307435767620856</c:v>
                </c:pt>
                <c:pt idx="18">
                  <c:v>20.159108100590903</c:v>
                </c:pt>
                <c:pt idx="19">
                  <c:v>25.043461401548964</c:v>
                </c:pt>
                <c:pt idx="20">
                  <c:v>29.950767178763673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BE-455B-94C5-1CDA7C439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904416"/>
        <c:axId val="577065456"/>
      </c:scatterChart>
      <c:valAx>
        <c:axId val="487904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065456"/>
        <c:crosses val="autoZero"/>
        <c:crossBetween val="midCat"/>
      </c:valAx>
      <c:valAx>
        <c:axId val="57706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04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320675</xdr:colOff>
      <xdr:row>18</xdr:row>
      <xdr:rowOff>76200</xdr:rowOff>
    </xdr:from>
    <xdr:to>
      <xdr:col>16</xdr:col>
      <xdr:colOff>581025</xdr:colOff>
      <xdr:row>33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7D12EF-F34A-4F12-8734-491A85E17F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550776</xdr:colOff>
      <xdr:row>13</xdr:row>
      <xdr:rowOff>127000</xdr:rowOff>
    </xdr:from>
    <xdr:ext cx="2791277" cy="875111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09243F5-BBF7-B74B-9A23-9E6D3FE59391}"/>
            </a:ext>
          </a:extLst>
        </xdr:cNvPr>
        <xdr:cNvSpPr/>
      </xdr:nvSpPr>
      <xdr:spPr>
        <a:xfrm>
          <a:off x="6748376" y="2476500"/>
          <a:ext cx="2791277" cy="875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zh-CN" sz="25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8/10</a:t>
          </a:r>
        </a:p>
        <a:p>
          <a:pPr algn="ctr"/>
          <a:r>
            <a:rPr lang="en-US" altLang="zh-CN" sz="25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part a is not</a:t>
          </a:r>
          <a:r>
            <a:rPr lang="en-US" altLang="zh-CN" sz="25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correct</a:t>
          </a:r>
          <a:endParaRPr lang="en-US" altLang="zh-CN" sz="25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320675</xdr:colOff>
      <xdr:row>18</xdr:row>
      <xdr:rowOff>76200</xdr:rowOff>
    </xdr:from>
    <xdr:to>
      <xdr:col>16</xdr:col>
      <xdr:colOff>581025</xdr:colOff>
      <xdr:row>33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6487E01-57BA-4F24-80AF-8010677BEB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3175</xdr:colOff>
      <xdr:row>13</xdr:row>
      <xdr:rowOff>88900</xdr:rowOff>
    </xdr:from>
    <xdr:to>
      <xdr:col>22</xdr:col>
      <xdr:colOff>307975</xdr:colOff>
      <xdr:row>28</xdr:row>
      <xdr:rowOff>69850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FCF8FB-E82D-4518-A39B-852827DF45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04"/>
  <sheetViews>
    <sheetView tabSelected="1" topLeftCell="A5" workbookViewId="0">
      <selection activeCell="K10" sqref="K10"/>
    </sheetView>
  </sheetViews>
  <sheetFormatPr baseColWidth="10" defaultColWidth="8.83203125" defaultRowHeight="14"/>
  <cols>
    <col min="1" max="1" width="28.33203125" customWidth="1"/>
  </cols>
  <sheetData>
    <row r="1" spans="1:14" ht="15" thickBot="1">
      <c r="A1" s="3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6" t="s">
        <v>6</v>
      </c>
      <c r="H1" s="19" t="s">
        <v>7</v>
      </c>
      <c r="I1" s="20" t="s">
        <v>8</v>
      </c>
    </row>
    <row r="2" spans="1:14" ht="15" thickTop="1">
      <c r="A2" s="5">
        <v>1</v>
      </c>
      <c r="B2" s="6">
        <v>0.1</v>
      </c>
      <c r="C2" s="6">
        <v>1.5</v>
      </c>
      <c r="D2" s="6">
        <v>-0.49966532791454943</v>
      </c>
      <c r="E2" s="6">
        <v>12.101419947171719</v>
      </c>
      <c r="F2" s="6">
        <v>0.15551358821953376</v>
      </c>
      <c r="G2" s="12">
        <v>-0.49873408079747372</v>
      </c>
      <c r="H2" s="2"/>
      <c r="I2" s="21"/>
    </row>
    <row r="3" spans="1:14">
      <c r="A3" s="7">
        <v>2</v>
      </c>
      <c r="B3" s="1">
        <v>0.15551358821953376</v>
      </c>
      <c r="C3" s="1">
        <v>1.5</v>
      </c>
      <c r="D3" s="1">
        <v>-0.49873408079747372</v>
      </c>
      <c r="E3" s="1">
        <v>12.101419947171719</v>
      </c>
      <c r="F3" s="1">
        <v>0.20873049280939757</v>
      </c>
      <c r="G3" s="13">
        <v>-0.49691487064365158</v>
      </c>
      <c r="H3" s="1"/>
      <c r="I3" s="8"/>
    </row>
    <row r="4" spans="1:14">
      <c r="A4" s="7">
        <v>3</v>
      </c>
      <c r="B4" s="1">
        <v>0.20873049280939757</v>
      </c>
      <c r="C4" s="1">
        <v>1.5</v>
      </c>
      <c r="D4" s="1">
        <v>-0.49691487064365158</v>
      </c>
      <c r="E4" s="1">
        <v>12.101419947171719</v>
      </c>
      <c r="F4" s="1">
        <v>0.25966190790596633</v>
      </c>
      <c r="G4" s="13">
        <v>-0.49400235164959827</v>
      </c>
      <c r="H4" s="1"/>
      <c r="I4" s="8"/>
    </row>
    <row r="5" spans="1:14">
      <c r="A5" s="7">
        <v>4</v>
      </c>
      <c r="B5" s="1">
        <v>0.25966190790596633</v>
      </c>
      <c r="C5" s="1">
        <v>1.5</v>
      </c>
      <c r="D5" s="1">
        <v>-0.49400235164959827</v>
      </c>
      <c r="E5" s="1">
        <v>12.101419947171719</v>
      </c>
      <c r="F5" s="1">
        <v>0.30830894170906226</v>
      </c>
      <c r="G5" s="13">
        <v>-0.48984500621852944</v>
      </c>
      <c r="H5" s="1"/>
      <c r="I5" s="8"/>
      <c r="M5" t="s">
        <v>9</v>
      </c>
      <c r="N5" t="s">
        <v>10</v>
      </c>
    </row>
    <row r="6" spans="1:14">
      <c r="A6" s="7">
        <v>5</v>
      </c>
      <c r="B6" s="1">
        <v>0.30830894170906226</v>
      </c>
      <c r="C6" s="1">
        <v>1.5</v>
      </c>
      <c r="D6" s="1">
        <v>-0.48984500621852944</v>
      </c>
      <c r="E6" s="1">
        <v>12.101419947171719</v>
      </c>
      <c r="F6" s="1">
        <v>0.35466996389547212</v>
      </c>
      <c r="G6" s="13">
        <v>-0.48434017659325773</v>
      </c>
      <c r="H6" s="1"/>
      <c r="I6" s="8"/>
      <c r="M6">
        <v>0</v>
      </c>
      <c r="N6">
        <f>TAN(M6)-M6-0.5</f>
        <v>-0.5</v>
      </c>
    </row>
    <row r="7" spans="1:14">
      <c r="A7" s="7">
        <v>6</v>
      </c>
      <c r="B7" s="1">
        <v>0.35466996389547212</v>
      </c>
      <c r="C7" s="1">
        <v>1.5</v>
      </c>
      <c r="D7" s="1">
        <v>-0.48434017659325773</v>
      </c>
      <c r="E7" s="1">
        <v>12.101419947171719</v>
      </c>
      <c r="F7" s="1">
        <v>0.39874591532704001</v>
      </c>
      <c r="G7" s="13">
        <v>-0.47743017143622946</v>
      </c>
      <c r="H7" s="1"/>
      <c r="I7" s="8"/>
      <c r="J7" s="4"/>
      <c r="K7" s="4"/>
      <c r="L7" s="4"/>
      <c r="M7" s="4">
        <v>0.1</v>
      </c>
      <c r="N7">
        <f t="shared" ref="N7:N17" si="0">TAN(M7)-M7-0.5</f>
        <v>-0.49966532791454943</v>
      </c>
    </row>
    <row r="8" spans="1:14">
      <c r="A8" s="7">
        <v>7</v>
      </c>
      <c r="B8" s="1">
        <v>0.39874591532704001</v>
      </c>
      <c r="C8" s="1">
        <v>1.5</v>
      </c>
      <c r="D8" s="1">
        <v>-0.47743017143622946</v>
      </c>
      <c r="E8" s="1">
        <v>12.101419947171719</v>
      </c>
      <c r="F8" s="1">
        <v>0.44054400668536559</v>
      </c>
      <c r="G8" s="13">
        <v>-0.46909873186625023</v>
      </c>
      <c r="H8" s="1"/>
      <c r="I8" s="8"/>
      <c r="J8" s="4"/>
      <c r="K8" s="4"/>
      <c r="L8" s="4"/>
      <c r="M8">
        <v>0.2</v>
      </c>
      <c r="N8">
        <f t="shared" si="0"/>
        <v>-0.49728996449132751</v>
      </c>
    </row>
    <row r="9" spans="1:14">
      <c r="A9" s="7">
        <v>8</v>
      </c>
      <c r="B9" s="1">
        <v>0.44054400668536559</v>
      </c>
      <c r="C9" s="1">
        <v>1.5</v>
      </c>
      <c r="D9" s="1">
        <v>-0.46909873186625023</v>
      </c>
      <c r="E9" s="1">
        <v>12.101419947171719</v>
      </c>
      <c r="F9" s="1">
        <v>0.48008012095571395</v>
      </c>
      <c r="G9" s="13">
        <v>-0.45936743592515761</v>
      </c>
      <c r="H9" s="1"/>
      <c r="I9" s="8"/>
      <c r="M9" s="4">
        <v>0.3</v>
      </c>
      <c r="N9">
        <f t="shared" si="0"/>
        <v>-0.49066375039037674</v>
      </c>
    </row>
    <row r="10" spans="1:14">
      <c r="A10" s="7">
        <v>9</v>
      </c>
      <c r="B10" s="1">
        <v>0.48008012095571395</v>
      </c>
      <c r="C10" s="1">
        <v>1.5</v>
      </c>
      <c r="D10" s="1">
        <v>-0.45936743592515761</v>
      </c>
      <c r="E10" s="1">
        <v>12.101419947171719</v>
      </c>
      <c r="F10" s="1">
        <v>0.51738016954312638</v>
      </c>
      <c r="G10" s="13">
        <v>-0.44829181871289492</v>
      </c>
      <c r="H10" s="1"/>
      <c r="I10" s="8"/>
      <c r="M10">
        <v>0.4</v>
      </c>
      <c r="N10">
        <f t="shared" si="0"/>
        <v>-0.47720678126183824</v>
      </c>
    </row>
    <row r="11" spans="1:14">
      <c r="A11" s="7">
        <v>10</v>
      </c>
      <c r="B11" s="1">
        <v>0.51738016954312638</v>
      </c>
      <c r="C11" s="1">
        <v>1.5</v>
      </c>
      <c r="D11" s="1">
        <v>-0.44829181871289492</v>
      </c>
      <c r="E11" s="1">
        <v>12.101419947171719</v>
      </c>
      <c r="F11" s="1">
        <v>0.55248061161832474</v>
      </c>
      <c r="G11" s="13">
        <v>-0.43595712397689224</v>
      </c>
      <c r="H11" s="1"/>
      <c r="I11" s="8"/>
      <c r="M11" s="4">
        <v>0.5</v>
      </c>
      <c r="N11">
        <f t="shared" si="0"/>
        <v>-0.45369751015620952</v>
      </c>
    </row>
    <row r="12" spans="1:14" ht="15" thickBot="1">
      <c r="A12" s="9">
        <v>11</v>
      </c>
      <c r="B12" s="10">
        <v>0.55248061161832474</v>
      </c>
      <c r="C12" s="10">
        <v>1.5</v>
      </c>
      <c r="D12" s="10">
        <v>-0.43595712397689224</v>
      </c>
      <c r="E12" s="10">
        <v>12.101419947171719</v>
      </c>
      <c r="F12" s="10">
        <v>0.58542831871264245</v>
      </c>
      <c r="G12" s="14">
        <v>-0.42247370109300408</v>
      </c>
      <c r="H12" s="10"/>
      <c r="I12" s="11"/>
      <c r="M12">
        <v>0.6</v>
      </c>
      <c r="N12">
        <f t="shared" si="0"/>
        <v>-0.41586319165830765</v>
      </c>
    </row>
    <row r="13" spans="1:14">
      <c r="A13" s="17">
        <v>12</v>
      </c>
      <c r="B13" s="2">
        <v>0.58542831871264245</v>
      </c>
      <c r="C13" s="2">
        <v>1.5</v>
      </c>
      <c r="D13" s="2">
        <v>-0.42247370109300408</v>
      </c>
      <c r="E13" s="2">
        <v>12.101419947171719</v>
      </c>
      <c r="F13" s="2">
        <v>0.61627994472927328</v>
      </c>
      <c r="G13" s="18">
        <v>-0.40797212959014795</v>
      </c>
      <c r="H13" s="2"/>
      <c r="I13" s="2"/>
      <c r="M13" s="4">
        <v>0.7</v>
      </c>
      <c r="N13">
        <f t="shared" si="0"/>
        <v>-0.35771161953692054</v>
      </c>
    </row>
    <row r="14" spans="1:14" ht="15" thickBot="1">
      <c r="A14" s="9">
        <v>13</v>
      </c>
      <c r="B14" s="10">
        <v>0.61627994472927328</v>
      </c>
      <c r="C14" s="10">
        <v>1.5</v>
      </c>
      <c r="D14" s="10">
        <v>-0.40797212959014795</v>
      </c>
      <c r="E14" s="10">
        <v>12.101419947171719</v>
      </c>
      <c r="F14" s="10">
        <v>0.64510094184072109</v>
      </c>
      <c r="G14" s="14">
        <v>-0.39259819758914927</v>
      </c>
      <c r="H14" s="1"/>
      <c r="I14" s="1"/>
      <c r="M14">
        <v>0.8</v>
      </c>
      <c r="N14">
        <f t="shared" si="0"/>
        <v>-0.27036144294963593</v>
      </c>
    </row>
    <row r="15" spans="1:14">
      <c r="A15">
        <v>14</v>
      </c>
      <c r="B15">
        <v>0.64510094184072109</v>
      </c>
      <c r="C15">
        <v>1.5</v>
      </c>
      <c r="D15">
        <v>-0.39259819758914927</v>
      </c>
      <c r="E15">
        <v>12.101419947171719</v>
      </c>
      <c r="F15">
        <v>0.67196434362749813</v>
      </c>
      <c r="G15">
        <v>-0.37650788452974382</v>
      </c>
      <c r="M15" s="4">
        <v>0.9</v>
      </c>
      <c r="N15">
        <f t="shared" si="0"/>
        <v>-0.13984178244966083</v>
      </c>
    </row>
    <row r="16" spans="1:14">
      <c r="A16">
        <v>15</v>
      </c>
      <c r="B16">
        <v>0.67196434362749813</v>
      </c>
      <c r="C16">
        <v>1.5</v>
      </c>
      <c r="D16">
        <v>-0.37650788452974382</v>
      </c>
      <c r="E16">
        <v>12.101419947171719</v>
      </c>
      <c r="F16">
        <v>0.69694941787227338</v>
      </c>
      <c r="G16">
        <v>-0.35986250528067898</v>
      </c>
      <c r="M16">
        <v>1</v>
      </c>
      <c r="N16">
        <f t="shared" si="0"/>
        <v>5.7407724654902292E-2</v>
      </c>
    </row>
    <row r="17" spans="1:14">
      <c r="A17">
        <v>16</v>
      </c>
      <c r="B17">
        <v>0.69694941787227338</v>
      </c>
      <c r="C17">
        <v>1.5</v>
      </c>
      <c r="D17">
        <v>-0.35986250528067898</v>
      </c>
      <c r="E17">
        <v>12.101419947171719</v>
      </c>
      <c r="F17">
        <v>0.72014027286286209</v>
      </c>
      <c r="G17">
        <v>-0.34282416495341783</v>
      </c>
      <c r="M17" s="4">
        <v>1.1000000000000001</v>
      </c>
      <c r="N17">
        <f t="shared" si="0"/>
        <v>0.36475965724865222</v>
      </c>
    </row>
    <row r="18" spans="1:14">
      <c r="A18">
        <v>17</v>
      </c>
      <c r="B18">
        <v>0.72014027286286209</v>
      </c>
      <c r="C18">
        <v>1.5</v>
      </c>
      <c r="D18">
        <v>-0.34282416495341783</v>
      </c>
      <c r="E18">
        <v>12.101419947171719</v>
      </c>
      <c r="F18">
        <v>0.74162448334022568</v>
      </c>
      <c r="G18">
        <v>-0.32555165443321721</v>
      </c>
    </row>
    <row r="19" spans="1:14">
      <c r="A19">
        <v>18</v>
      </c>
      <c r="B19">
        <v>0.74162448334022568</v>
      </c>
      <c r="C19">
        <v>1.5</v>
      </c>
      <c r="D19">
        <v>-0.32555165443321721</v>
      </c>
      <c r="E19">
        <v>12.101419947171719</v>
      </c>
      <c r="F19">
        <v>0.76149178585328126</v>
      </c>
      <c r="G19">
        <v>-0.30819688900536757</v>
      </c>
    </row>
    <row r="20" spans="1:14">
      <c r="A20">
        <v>19</v>
      </c>
      <c r="B20">
        <v>0.76149178585328126</v>
      </c>
      <c r="C20">
        <v>1.5</v>
      </c>
      <c r="D20">
        <v>-0.30819688900536757</v>
      </c>
      <c r="E20">
        <v>12.101419947171719</v>
      </c>
      <c r="F20">
        <v>0.77983287866135254</v>
      </c>
      <c r="G20">
        <v>-0.29090195982399136</v>
      </c>
    </row>
    <row r="21" spans="1:14">
      <c r="A21">
        <v>20</v>
      </c>
      <c r="B21">
        <v>0.77983287866135254</v>
      </c>
      <c r="C21">
        <v>1.5</v>
      </c>
      <c r="D21">
        <v>-0.29090195982399136</v>
      </c>
      <c r="E21">
        <v>12.101419947171719</v>
      </c>
      <c r="F21">
        <v>0.79673834872341964</v>
      </c>
      <c r="G21">
        <v>-0.27379683360516949</v>
      </c>
    </row>
    <row r="22" spans="1:14">
      <c r="A22">
        <v>21</v>
      </c>
      <c r="B22">
        <v>0.79673834872341964</v>
      </c>
      <c r="C22">
        <v>1.5</v>
      </c>
      <c r="D22">
        <v>-0.27379683360516949</v>
      </c>
      <c r="E22">
        <v>12.101419947171719</v>
      </c>
      <c r="F22">
        <v>0.81229773784172343</v>
      </c>
      <c r="G22">
        <v>-0.2569977027687248</v>
      </c>
    </row>
    <row r="23" spans="1:14">
      <c r="A23">
        <v>22</v>
      </c>
      <c r="B23">
        <v>0.81229773784172343</v>
      </c>
      <c r="C23">
        <v>1.5</v>
      </c>
      <c r="D23">
        <v>-0.2569977027687248</v>
      </c>
      <c r="E23">
        <v>12.101419947171719</v>
      </c>
      <c r="F23">
        <v>0.8265987516583575</v>
      </c>
      <c r="G23">
        <v>-0.24060595871560464</v>
      </c>
    </row>
    <row r="24" spans="1:14">
      <c r="A24">
        <v>23</v>
      </c>
      <c r="B24">
        <v>0.8265987516583575</v>
      </c>
      <c r="C24">
        <v>1.5</v>
      </c>
      <c r="D24">
        <v>-0.24060595871560464</v>
      </c>
      <c r="E24">
        <v>12.101419947171719</v>
      </c>
      <c r="F24">
        <v>0.83972660880215411</v>
      </c>
      <c r="G24">
        <v>-0.2247077367413054</v>
      </c>
    </row>
    <row r="25" spans="1:14">
      <c r="A25">
        <v>24</v>
      </c>
      <c r="B25">
        <v>0.83972660880215411</v>
      </c>
      <c r="C25">
        <v>1.5</v>
      </c>
      <c r="D25">
        <v>-0.2247077367413054</v>
      </c>
      <c r="E25">
        <v>12.101419947171719</v>
      </c>
      <c r="F25">
        <v>0.85176352284128187</v>
      </c>
      <c r="G25">
        <v>-0.20937396323854873</v>
      </c>
    </row>
    <row r="26" spans="1:14">
      <c r="A26">
        <v>25</v>
      </c>
      <c r="B26">
        <v>0.85176352284128187</v>
      </c>
      <c r="C26">
        <v>1.5</v>
      </c>
      <c r="D26">
        <v>-0.20937396323854873</v>
      </c>
      <c r="E26">
        <v>12.101419947171719</v>
      </c>
      <c r="F26">
        <v>0.86278830656572914</v>
      </c>
      <c r="G26">
        <v>-0.19466082460878598</v>
      </c>
    </row>
    <row r="27" spans="1:14">
      <c r="A27">
        <v>26</v>
      </c>
      <c r="B27">
        <v>0.86278830656572914</v>
      </c>
      <c r="C27">
        <v>1.5</v>
      </c>
      <c r="D27">
        <v>-0.19466082460878598</v>
      </c>
      <c r="E27">
        <v>12.101419947171719</v>
      </c>
      <c r="F27">
        <v>0.8728760862409366</v>
      </c>
      <c r="G27">
        <v>-0.18061057234535927</v>
      </c>
    </row>
    <row r="28" spans="1:14">
      <c r="A28">
        <v>27</v>
      </c>
      <c r="B28">
        <v>0.8728760862409366</v>
      </c>
      <c r="C28">
        <v>1.5</v>
      </c>
      <c r="D28">
        <v>-0.18061057234535927</v>
      </c>
      <c r="E28">
        <v>12.101419947171719</v>
      </c>
      <c r="F28">
        <v>0.88209811258385273</v>
      </c>
      <c r="G28">
        <v>-0.16725257927542514</v>
      </c>
    </row>
    <row r="29" spans="1:14">
      <c r="A29">
        <v>28</v>
      </c>
      <c r="B29">
        <v>0.88209811258385273</v>
      </c>
      <c r="C29">
        <v>1.5</v>
      </c>
      <c r="D29">
        <v>-0.16725257927542514</v>
      </c>
      <c r="E29">
        <v>12.101419947171719</v>
      </c>
      <c r="F29">
        <v>0.8905216550809506</v>
      </c>
      <c r="G29">
        <v>-0.1546045668697672</v>
      </c>
    </row>
    <row r="30" spans="1:14">
      <c r="A30">
        <v>29</v>
      </c>
      <c r="B30">
        <v>0.8905216550809506</v>
      </c>
      <c r="C30">
        <v>1.5</v>
      </c>
      <c r="D30">
        <v>-0.1546045668697672</v>
      </c>
      <c r="E30">
        <v>12.101419947171719</v>
      </c>
      <c r="F30">
        <v>0.89820996668841813</v>
      </c>
      <c r="G30">
        <v>-0.14267393164427589</v>
      </c>
    </row>
    <row r="31" spans="1:14">
      <c r="A31">
        <v>30</v>
      </c>
      <c r="B31">
        <v>0.89820996668841813</v>
      </c>
      <c r="C31">
        <v>1.5</v>
      </c>
      <c r="D31">
        <v>-0.14267393164427589</v>
      </c>
      <c r="E31">
        <v>12.101419947171719</v>
      </c>
      <c r="F31">
        <v>0.90522230675430515</v>
      </c>
      <c r="G31">
        <v>-0.13145910879694245</v>
      </c>
    </row>
    <row r="32" spans="1:14">
      <c r="A32">
        <v>31</v>
      </c>
      <c r="B32">
        <v>0.90522230675430515</v>
      </c>
      <c r="C32">
        <v>1.5</v>
      </c>
      <c r="D32">
        <v>-0.13145910879694245</v>
      </c>
      <c r="E32">
        <v>12.101419947171719</v>
      </c>
      <c r="F32">
        <v>0.91161401103983308</v>
      </c>
      <c r="G32">
        <v>-0.1209509222838604</v>
      </c>
    </row>
    <row r="33" spans="1:7">
      <c r="A33">
        <v>32</v>
      </c>
      <c r="B33">
        <v>0.91161401103983308</v>
      </c>
      <c r="C33">
        <v>1.5</v>
      </c>
      <c r="D33">
        <v>-0.1209509222838604</v>
      </c>
      <c r="E33">
        <v>12.101419947171719</v>
      </c>
      <c r="F33">
        <v>0.9174365988817289</v>
      </c>
      <c r="G33">
        <v>-0.11113388165636706</v>
      </c>
    </row>
    <row r="34" spans="1:7">
      <c r="A34">
        <v>33</v>
      </c>
      <c r="B34">
        <v>0.9174365988817289</v>
      </c>
      <c r="C34">
        <v>1.5</v>
      </c>
      <c r="D34">
        <v>-0.11113388165636706</v>
      </c>
      <c r="E34">
        <v>12.101419947171719</v>
      </c>
      <c r="F34">
        <v>0.92273790874571349</v>
      </c>
      <c r="G34">
        <v>-0.10198739649185695</v>
      </c>
    </row>
    <row r="35" spans="1:7">
      <c r="A35">
        <v>34</v>
      </c>
      <c r="B35">
        <v>0.92273790874571349</v>
      </c>
      <c r="C35">
        <v>1.5</v>
      </c>
      <c r="D35">
        <v>-0.10198739649185695</v>
      </c>
      <c r="E35">
        <v>12.101419947171719</v>
      </c>
      <c r="F35">
        <v>0.92756225461261099</v>
      </c>
      <c r="G35">
        <v>-9.3486888697933423E-2</v>
      </c>
    </row>
    <row r="36" spans="1:7">
      <c r="A36">
        <v>35</v>
      </c>
      <c r="B36">
        <v>0.92756225461261099</v>
      </c>
      <c r="C36">
        <v>1.5</v>
      </c>
      <c r="D36">
        <v>-9.3486888697933423E-2</v>
      </c>
      <c r="E36">
        <v>12.101419947171719</v>
      </c>
      <c r="F36">
        <v>0.93195059677133241</v>
      </c>
      <c r="G36">
        <v>-8.5604791089687993E-2</v>
      </c>
    </row>
    <row r="37" spans="1:7">
      <c r="A37">
        <v>36</v>
      </c>
      <c r="B37">
        <v>0.93195059677133241</v>
      </c>
      <c r="C37">
        <v>1.5</v>
      </c>
      <c r="D37">
        <v>-8.5604791089687993E-2</v>
      </c>
      <c r="E37">
        <v>12.101419947171719</v>
      </c>
      <c r="F37">
        <v>0.93594072164072273</v>
      </c>
      <c r="G37">
        <v>-7.8311427327491634E-2</v>
      </c>
    </row>
    <row r="38" spans="1:7">
      <c r="A38">
        <v>37</v>
      </c>
      <c r="B38">
        <v>0.93594072164072273</v>
      </c>
      <c r="C38">
        <v>1.5</v>
      </c>
      <c r="D38">
        <v>-7.8311427327491634E-2</v>
      </c>
      <c r="E38">
        <v>12.101419947171719</v>
      </c>
      <c r="F38">
        <v>0.93956742619006228</v>
      </c>
      <c r="G38">
        <v>-7.1575773573260615E-2</v>
      </c>
    </row>
    <row r="39" spans="1:7">
      <c r="A39">
        <v>38</v>
      </c>
      <c r="B39">
        <v>0.93956742619006228</v>
      </c>
      <c r="C39">
        <v>1.5</v>
      </c>
      <c r="D39">
        <v>-7.1575773573260615E-2</v>
      </c>
      <c r="E39">
        <v>12.101419947171719</v>
      </c>
      <c r="F39">
        <v>0.94286270336967548</v>
      </c>
      <c r="G39">
        <v>-6.5366106176532268E-2</v>
      </c>
    </row>
    <row r="40" spans="1:7">
      <c r="A40">
        <v>39</v>
      </c>
      <c r="B40">
        <v>0.94286270336967548</v>
      </c>
      <c r="C40">
        <v>1.5</v>
      </c>
      <c r="D40">
        <v>-6.5366106176532268E-2</v>
      </c>
      <c r="E40">
        <v>12.101419947171719</v>
      </c>
      <c r="F40">
        <v>0.94585592569862587</v>
      </c>
      <c r="G40">
        <v>-5.9650542489702696E-2</v>
      </c>
    </row>
    <row r="41" spans="1:7">
      <c r="A41">
        <v>40</v>
      </c>
      <c r="B41">
        <v>0.94585592569862587</v>
      </c>
      <c r="C41">
        <v>1.5</v>
      </c>
      <c r="D41">
        <v>-5.9650542489702696E-2</v>
      </c>
      <c r="E41">
        <v>12.101419947171719</v>
      </c>
      <c r="F41">
        <v>0.94857402479011887</v>
      </c>
      <c r="G41">
        <v>-5.4397483711795314E-2</v>
      </c>
    </row>
    <row r="42" spans="1:7">
      <c r="A42">
        <v>41</v>
      </c>
      <c r="B42">
        <v>0.94857402479011887</v>
      </c>
      <c r="C42">
        <v>1.5</v>
      </c>
      <c r="D42">
        <v>-5.4397483711795314E-2</v>
      </c>
      <c r="E42">
        <v>12.101419947171719</v>
      </c>
      <c r="F42">
        <v>0.95104166513395383</v>
      </c>
      <c r="G42">
        <v>-4.9575969655087149E-2</v>
      </c>
    </row>
    <row r="43" spans="1:7">
      <c r="A43">
        <v>42</v>
      </c>
      <c r="B43">
        <v>0.95104166513395383</v>
      </c>
      <c r="C43">
        <v>1.5</v>
      </c>
      <c r="D43">
        <v>-4.9575969655087149E-2</v>
      </c>
      <c r="E43">
        <v>12.101419947171719</v>
      </c>
      <c r="F43">
        <v>0.95328141090767582</v>
      </c>
      <c r="G43">
        <v>-4.5155955693399696E-2</v>
      </c>
    </row>
    <row r="44" spans="1:7">
      <c r="A44">
        <v>43</v>
      </c>
      <c r="B44">
        <v>0.95328141090767582</v>
      </c>
      <c r="C44">
        <v>1.5</v>
      </c>
      <c r="D44">
        <v>-4.5155955693399696E-2</v>
      </c>
      <c r="E44">
        <v>12.101419947171719</v>
      </c>
      <c r="F44">
        <v>0.95531388496318204</v>
      </c>
      <c r="G44">
        <v>-4.1108522042375584E-2</v>
      </c>
    </row>
    <row r="45" spans="1:7">
      <c r="A45">
        <v>44</v>
      </c>
      <c r="B45">
        <v>0.95531388496318204</v>
      </c>
      <c r="C45">
        <v>1.5</v>
      </c>
      <c r="D45">
        <v>-4.1108522042375584E-2</v>
      </c>
      <c r="E45">
        <v>12.101419947171719</v>
      </c>
      <c r="F45">
        <v>0.95715791944273354</v>
      </c>
      <c r="G45">
        <v>-3.7406025076543559E-2</v>
      </c>
    </row>
    <row r="46" spans="1:7">
      <c r="A46">
        <v>45</v>
      </c>
      <c r="B46">
        <v>0.95715791944273354</v>
      </c>
      <c r="C46">
        <v>1.5</v>
      </c>
      <c r="D46">
        <v>-3.7406025076543559E-2</v>
      </c>
      <c r="E46">
        <v>12.101419947171719</v>
      </c>
      <c r="F46">
        <v>0.95883069772659313</v>
      </c>
      <c r="G46">
        <v>-3.4022199718208523E-2</v>
      </c>
    </row>
    <row r="47" spans="1:7">
      <c r="A47">
        <v>46</v>
      </c>
      <c r="B47">
        <v>0.95883069772659313</v>
      </c>
      <c r="C47">
        <v>1.5</v>
      </c>
      <c r="D47">
        <v>-3.4022199718208523E-2</v>
      </c>
      <c r="E47">
        <v>12.101419947171719</v>
      </c>
      <c r="F47">
        <v>0.96034788761225609</v>
      </c>
      <c r="G47">
        <v>-3.0932221129567394E-2</v>
      </c>
    </row>
    <row r="48" spans="1:7">
      <c r="A48">
        <v>47</v>
      </c>
      <c r="B48">
        <v>0.96034788761225609</v>
      </c>
      <c r="C48">
        <v>1.5</v>
      </c>
      <c r="D48">
        <v>-3.0932221129567394E-2</v>
      </c>
      <c r="E48">
        <v>12.101419947171719</v>
      </c>
      <c r="F48">
        <v>0.96172376578013763</v>
      </c>
      <c r="G48">
        <v>-2.811273307174833E-2</v>
      </c>
    </row>
    <row r="49" spans="1:7">
      <c r="A49">
        <v>48</v>
      </c>
      <c r="B49">
        <v>0.96172376578013763</v>
      </c>
      <c r="C49">
        <v>1.5</v>
      </c>
      <c r="D49">
        <v>-2.811273307174833E-2</v>
      </c>
      <c r="E49">
        <v>12.101419947171719</v>
      </c>
      <c r="F49">
        <v>0.96297133371951393</v>
      </c>
      <c r="G49">
        <v>-2.5541849414645434E-2</v>
      </c>
    </row>
    <row r="50" spans="1:7">
      <c r="A50">
        <v>49</v>
      </c>
      <c r="B50">
        <v>0.96297133371951393</v>
      </c>
      <c r="C50">
        <v>1.5</v>
      </c>
      <c r="D50">
        <v>-2.5541849414645434E-2</v>
      </c>
      <c r="E50">
        <v>12.101419947171719</v>
      </c>
      <c r="F50">
        <v>0.96410242537755353</v>
      </c>
      <c r="G50">
        <v>-2.3199134426376777E-2</v>
      </c>
    </row>
    <row r="51" spans="1:7">
      <c r="A51">
        <v>50</v>
      </c>
      <c r="B51">
        <v>0.96410242537755353</v>
      </c>
      <c r="C51">
        <v>1.5</v>
      </c>
      <c r="D51">
        <v>-2.3199134426376777E-2</v>
      </c>
      <c r="E51">
        <v>12.101419947171719</v>
      </c>
      <c r="F51">
        <v>0.96512780685871724</v>
      </c>
      <c r="G51">
        <v>-2.1065566665704027E-2</v>
      </c>
    </row>
    <row r="52" spans="1:7">
      <c r="A52">
        <v>51</v>
      </c>
      <c r="B52">
        <v>0.96512780685871724</v>
      </c>
      <c r="C52">
        <v>1.5</v>
      </c>
      <c r="D52">
        <v>-2.1065566665704027E-2</v>
      </c>
      <c r="E52">
        <v>12.101419947171719</v>
      </c>
      <c r="F52">
        <v>0.96605726854620599</v>
      </c>
      <c r="G52">
        <v>-1.9123490560016942E-2</v>
      </c>
    </row>
    <row r="53" spans="1:7">
      <c r="A53">
        <v>52</v>
      </c>
      <c r="B53">
        <v>0.96605726854620599</v>
      </c>
      <c r="C53">
        <v>1.5</v>
      </c>
      <c r="D53">
        <v>-1.9123490560016942E-2</v>
      </c>
      <c r="E53">
        <v>12.101419947171719</v>
      </c>
      <c r="F53">
        <v>0.966899710045385</v>
      </c>
      <c r="G53">
        <v>-1.7356559083428258E-2</v>
      </c>
    </row>
    <row r="54" spans="1:7">
      <c r="A54">
        <v>53</v>
      </c>
      <c r="B54">
        <v>0.966899710045385</v>
      </c>
      <c r="C54">
        <v>1.5</v>
      </c>
      <c r="D54">
        <v>-1.7356559083428258E-2</v>
      </c>
      <c r="E54">
        <v>12.101419947171719</v>
      </c>
      <c r="F54">
        <v>0.96766321836449742</v>
      </c>
      <c r="G54">
        <v>-1.5749670356767997E-2</v>
      </c>
    </row>
    <row r="55" spans="1:7">
      <c r="A55">
        <v>54</v>
      </c>
      <c r="B55">
        <v>0.96766321836449742</v>
      </c>
      <c r="C55">
        <v>1.5</v>
      </c>
      <c r="D55">
        <v>-1.5749670356767997E-2</v>
      </c>
      <c r="E55">
        <v>12.101419947171719</v>
      </c>
      <c r="F55">
        <v>0.9683551397532526</v>
      </c>
      <c r="G55">
        <v>-1.4288900472619881E-2</v>
      </c>
    </row>
    <row r="56" spans="1:7">
      <c r="A56">
        <v>55</v>
      </c>
      <c r="B56">
        <v>0.9683551397532526</v>
      </c>
      <c r="C56">
        <v>1.5</v>
      </c>
      <c r="D56">
        <v>-1.4288900472619881E-2</v>
      </c>
      <c r="E56">
        <v>12.101419947171719</v>
      </c>
      <c r="F56">
        <v>0.96898214561732321</v>
      </c>
      <c r="G56">
        <v>-1.2961434400333816E-2</v>
      </c>
    </row>
    <row r="57" spans="1:7">
      <c r="A57">
        <v>56</v>
      </c>
      <c r="B57">
        <v>0.96898214561732321</v>
      </c>
      <c r="C57">
        <v>1.5</v>
      </c>
      <c r="D57">
        <v>-1.2961434400333816E-2</v>
      </c>
      <c r="E57">
        <v>12.101419947171719</v>
      </c>
      <c r="F57">
        <v>0.96955029291830364</v>
      </c>
      <c r="G57">
        <v>-1.1755496442918623E-2</v>
      </c>
    </row>
    <row r="58" spans="1:7">
      <c r="A58">
        <v>57</v>
      </c>
      <c r="B58">
        <v>0.96955029291830364</v>
      </c>
      <c r="C58">
        <v>1.5</v>
      </c>
      <c r="D58">
        <v>-1.1755496442918623E-2</v>
      </c>
      <c r="E58">
        <v>12.101419947171719</v>
      </c>
      <c r="F58">
        <v>0.97006507945580345</v>
      </c>
      <c r="G58">
        <v>-1.0660281393792159E-2</v>
      </c>
    </row>
    <row r="59" spans="1:7">
      <c r="A59">
        <v>58</v>
      </c>
      <c r="B59">
        <v>0.97006507945580345</v>
      </c>
      <c r="C59">
        <v>1.5</v>
      </c>
      <c r="D59">
        <v>-1.0660281393792159E-2</v>
      </c>
      <c r="E59">
        <v>12.101419947171719</v>
      </c>
      <c r="F59">
        <v>0.97053149441234199</v>
      </c>
      <c r="G59">
        <v>-9.6658872701009813E-3</v>
      </c>
    </row>
    <row r="60" spans="1:7">
      <c r="A60">
        <v>59</v>
      </c>
      <c r="B60">
        <v>0.97053149441234199</v>
      </c>
      <c r="C60">
        <v>1.5</v>
      </c>
      <c r="D60">
        <v>-9.6658872701009813E-3</v>
      </c>
      <c r="E60">
        <v>12.101419947171719</v>
      </c>
      <c r="F60">
        <v>0.97095406452356403</v>
      </c>
      <c r="G60">
        <v>-8.763250274388068E-3</v>
      </c>
    </row>
    <row r="61" spans="1:7">
      <c r="A61">
        <v>60</v>
      </c>
      <c r="B61">
        <v>0.97095406452356403</v>
      </c>
      <c r="C61">
        <v>1.5</v>
      </c>
      <c r="D61">
        <v>-8.763250274388068E-3</v>
      </c>
      <c r="E61">
        <v>12.101419947171719</v>
      </c>
      <c r="F61">
        <v>0.97133689621682906</v>
      </c>
      <c r="G61">
        <v>-7.9440824516449071E-3</v>
      </c>
    </row>
    <row r="62" spans="1:7">
      <c r="A62">
        <v>61</v>
      </c>
      <c r="B62">
        <v>0.97133689621682906</v>
      </c>
      <c r="C62">
        <v>1.5</v>
      </c>
      <c r="D62">
        <v>-7.9440824516449071E-3</v>
      </c>
      <c r="E62">
        <v>12.101419947171719</v>
      </c>
      <c r="F62">
        <v>0.9716837140410618</v>
      </c>
      <c r="G62">
        <v>-7.2008123586223549E-3</v>
      </c>
    </row>
    <row r="63" spans="1:7">
      <c r="A63">
        <v>62</v>
      </c>
      <c r="B63">
        <v>0.9716837140410618</v>
      </c>
      <c r="C63">
        <v>1.5</v>
      </c>
      <c r="D63">
        <v>-7.2008123586223549E-3</v>
      </c>
      <c r="E63">
        <v>12.101419947171719</v>
      </c>
      <c r="F63">
        <v>0.97199789569037975</v>
      </c>
      <c r="G63">
        <v>-6.5265289415196159E-3</v>
      </c>
    </row>
    <row r="64" spans="1:7">
      <c r="A64">
        <v>63</v>
      </c>
      <c r="B64">
        <v>0.97199789569037975</v>
      </c>
      <c r="C64">
        <v>1.5</v>
      </c>
      <c r="D64">
        <v>-6.5265289415196159E-3</v>
      </c>
      <c r="E64">
        <v>12.101419947171719</v>
      </c>
      <c r="F64">
        <v>0.97228250390381699</v>
      </c>
      <c r="G64">
        <v>-5.9149287222333147E-3</v>
      </c>
    </row>
    <row r="65" spans="1:7">
      <c r="A65">
        <v>64</v>
      </c>
      <c r="B65">
        <v>0.97228250390381699</v>
      </c>
      <c r="C65">
        <v>1.5</v>
      </c>
      <c r="D65">
        <v>-5.9149287222333147E-3</v>
      </c>
      <c r="E65">
        <v>12.101419947171719</v>
      </c>
      <c r="F65">
        <v>0.97254031550371745</v>
      </c>
      <c r="G65">
        <v>-5.3602663181854249E-3</v>
      </c>
    </row>
    <row r="66" spans="1:7">
      <c r="A66">
        <v>65</v>
      </c>
      <c r="B66">
        <v>0.97254031550371745</v>
      </c>
      <c r="C66">
        <v>1.5</v>
      </c>
      <c r="D66">
        <v>-5.3602663181854249E-3</v>
      </c>
      <c r="E66">
        <v>12.101419947171719</v>
      </c>
      <c r="F66">
        <v>0.97277384781628518</v>
      </c>
      <c r="G66">
        <v>-4.8573082628148301E-3</v>
      </c>
    </row>
    <row r="67" spans="1:7">
      <c r="A67">
        <v>66</v>
      </c>
      <c r="B67">
        <v>0.97277384781628518</v>
      </c>
      <c r="C67">
        <v>1.5</v>
      </c>
      <c r="D67">
        <v>-4.8573082628148301E-3</v>
      </c>
      <c r="E67">
        <v>12.101419947171719</v>
      </c>
      <c r="F67">
        <v>0.9729853826994983</v>
      </c>
      <c r="G67">
        <v>-4.4012900500840502E-3</v>
      </c>
    </row>
    <row r="68" spans="1:7">
      <c r="A68">
        <v>67</v>
      </c>
      <c r="B68">
        <v>0.9729853826994983</v>
      </c>
      <c r="C68">
        <v>1.5</v>
      </c>
      <c r="D68">
        <v>-4.4012900500840502E-3</v>
      </c>
      <c r="E68">
        <v>12.101419947171719</v>
      </c>
      <c r="F68">
        <v>0.97317698838621058</v>
      </c>
      <c r="G68">
        <v>-3.9878762942259227E-3</v>
      </c>
    </row>
    <row r="69" spans="1:7">
      <c r="A69">
        <v>68</v>
      </c>
      <c r="B69">
        <v>0.97317698838621058</v>
      </c>
      <c r="C69">
        <v>1.5</v>
      </c>
      <c r="D69">
        <v>-3.9878762942259227E-3</v>
      </c>
      <c r="E69">
        <v>12.101419947171719</v>
      </c>
      <c r="F69">
        <v>0.9733505393338453</v>
      </c>
      <c r="G69">
        <v>-3.613123873199342E-3</v>
      </c>
    </row>
    <row r="70" spans="1:7">
      <c r="A70">
        <v>69</v>
      </c>
      <c r="B70">
        <v>0.9733505393338453</v>
      </c>
      <c r="C70">
        <v>1.5</v>
      </c>
      <c r="D70">
        <v>-3.613123873199342E-3</v>
      </c>
      <c r="E70">
        <v>12.101419947171719</v>
      </c>
      <c r="F70">
        <v>0.97350773425664916</v>
      </c>
      <c r="G70">
        <v>-3.2734479091387492E-3</v>
      </c>
    </row>
    <row r="71" spans="1:7">
      <c r="A71">
        <v>70</v>
      </c>
      <c r="B71">
        <v>0.97350773425664916</v>
      </c>
      <c r="C71">
        <v>1.5</v>
      </c>
      <c r="D71">
        <v>-3.2734479091387492E-3</v>
      </c>
      <c r="E71">
        <v>12.101419947171719</v>
      </c>
      <c r="F71">
        <v>0.97365011250203093</v>
      </c>
      <c r="G71">
        <v>-2.9655904298711011E-3</v>
      </c>
    </row>
    <row r="72" spans="1:7">
      <c r="A72">
        <v>71</v>
      </c>
      <c r="B72">
        <v>0.97365011250203093</v>
      </c>
      <c r="C72">
        <v>1.5</v>
      </c>
      <c r="D72">
        <v>-2.9655904298711011E-3</v>
      </c>
      <c r="E72">
        <v>12.101419947171719</v>
      </c>
      <c r="F72">
        <v>0.97377906891904842</v>
      </c>
      <c r="G72">
        <v>-2.686591551082973E-3</v>
      </c>
    </row>
    <row r="73" spans="1:7">
      <c r="A73">
        <v>72</v>
      </c>
      <c r="B73">
        <v>0.97377906891904842</v>
      </c>
      <c r="C73">
        <v>1.5</v>
      </c>
      <c r="D73">
        <v>-2.686591551082973E-3</v>
      </c>
      <c r="E73">
        <v>12.101419947171719</v>
      </c>
      <c r="F73">
        <v>0.97389586735459777</v>
      </c>
      <c r="G73">
        <v>-2.4337630178742353E-3</v>
      </c>
    </row>
    <row r="74" spans="1:7">
      <c r="A74">
        <v>73</v>
      </c>
      <c r="B74">
        <v>0.97389586735459777</v>
      </c>
      <c r="C74">
        <v>1.5</v>
      </c>
      <c r="D74">
        <v>-2.4337630178742353E-3</v>
      </c>
      <c r="E74">
        <v>12.101419947171719</v>
      </c>
      <c r="F74">
        <v>0.97400165290127083</v>
      </c>
      <c r="G74">
        <v>-2.2046639463805251E-3</v>
      </c>
    </row>
    <row r="75" spans="1:7">
      <c r="A75">
        <v>74</v>
      </c>
      <c r="B75">
        <v>0.97400165290127083</v>
      </c>
      <c r="C75">
        <v>1.5</v>
      </c>
      <c r="D75">
        <v>-2.2046639463805251E-3</v>
      </c>
      <c r="E75">
        <v>12.101419947171719</v>
      </c>
      <c r="F75">
        <v>0.97409746301014011</v>
      </c>
      <c r="G75">
        <v>-1.9970786101587423E-3</v>
      </c>
    </row>
    <row r="76" spans="1:7">
      <c r="A76">
        <v>75</v>
      </c>
      <c r="B76">
        <v>0.97409746301014011</v>
      </c>
      <c r="C76">
        <v>1.5</v>
      </c>
      <c r="D76">
        <v>-1.9970786101587423E-3</v>
      </c>
      <c r="E76">
        <v>12.101419947171719</v>
      </c>
      <c r="F76">
        <v>0.97418423757185379</v>
      </c>
      <c r="G76">
        <v>-1.8089961215571604E-3</v>
      </c>
    </row>
    <row r="77" spans="1:7">
      <c r="A77">
        <v>76</v>
      </c>
      <c r="B77">
        <v>0.97418423757185379</v>
      </c>
      <c r="C77">
        <v>1.5</v>
      </c>
      <c r="D77">
        <v>-1.8089961215571604E-3</v>
      </c>
      <c r="E77">
        <v>12.101419947171719</v>
      </c>
      <c r="F77">
        <v>0.9742628280603377</v>
      </c>
      <c r="G77">
        <v>-1.6385918648661457E-3</v>
      </c>
    </row>
    <row r="78" spans="1:7">
      <c r="A78">
        <v>77</v>
      </c>
      <c r="B78">
        <v>0.9742628280603377</v>
      </c>
      <c r="C78">
        <v>1.5</v>
      </c>
      <c r="D78">
        <v>-1.6385918648661457E-3</v>
      </c>
      <c r="E78">
        <v>12.101419947171719</v>
      </c>
      <c r="F78">
        <v>0.97433400582505059</v>
      </c>
      <c r="G78">
        <v>-1.4842105453046761E-3</v>
      </c>
    </row>
    <row r="79" spans="1:7">
      <c r="A79">
        <v>78</v>
      </c>
      <c r="B79">
        <v>0.97433400582505059</v>
      </c>
      <c r="C79">
        <v>1.5</v>
      </c>
      <c r="D79">
        <v>-1.4842105453046761E-3</v>
      </c>
      <c r="E79">
        <v>12.101419947171719</v>
      </c>
      <c r="F79">
        <v>0.9743984696100807</v>
      </c>
      <c r="G79">
        <v>-1.344350725561716E-3</v>
      </c>
    </row>
    <row r="80" spans="1:7">
      <c r="A80">
        <v>79</v>
      </c>
      <c r="B80">
        <v>0.9743984696100807</v>
      </c>
      <c r="C80">
        <v>1.5</v>
      </c>
      <c r="D80">
        <v>-1.344350725561716E-3</v>
      </c>
      <c r="E80">
        <v>12.101419947171719</v>
      </c>
      <c r="F80">
        <v>0.97445685237135271</v>
      </c>
      <c r="G80">
        <v>-1.2176507294413552E-3</v>
      </c>
    </row>
    <row r="81" spans="1:7">
      <c r="A81">
        <v>80</v>
      </c>
      <c r="B81">
        <v>0.97445685237135271</v>
      </c>
      <c r="C81">
        <v>1.5</v>
      </c>
      <c r="D81">
        <v>-1.2176507294413552E-3</v>
      </c>
      <c r="E81">
        <v>12.101419947171719</v>
      </c>
      <c r="F81">
        <v>0.97450972745679476</v>
      </c>
      <c r="G81">
        <v>-1.1028758000165562E-3</v>
      </c>
    </row>
    <row r="82" spans="1:7">
      <c r="A82">
        <v>81</v>
      </c>
      <c r="B82">
        <v>0.97450972745679476</v>
      </c>
      <c r="C82">
        <v>1.5</v>
      </c>
      <c r="D82">
        <v>-1.1028758000165562E-3</v>
      </c>
      <c r="E82">
        <v>12.101419947171719</v>
      </c>
      <c r="F82">
        <v>0.97455761420844222</v>
      </c>
      <c r="G82">
        <v>-9.989064074038545E-4</v>
      </c>
    </row>
    <row r="83" spans="1:7">
      <c r="A83">
        <v>82</v>
      </c>
      <c r="B83">
        <v>0.97455761420844222</v>
      </c>
      <c r="C83">
        <v>1.5</v>
      </c>
      <c r="D83">
        <v>-9.989064074038545E-4</v>
      </c>
      <c r="E83">
        <v>12.101419947171719</v>
      </c>
      <c r="F83">
        <v>0.97460098304009801</v>
      </c>
      <c r="G83">
        <v>-9.0472760878335112E-4</v>
      </c>
    </row>
    <row r="84" spans="1:7">
      <c r="A84">
        <v>83</v>
      </c>
      <c r="B84">
        <v>0.97460098304009801</v>
      </c>
      <c r="C84">
        <v>1.5</v>
      </c>
      <c r="D84">
        <v>-9.0472760878335112E-4</v>
      </c>
      <c r="E84">
        <v>12.101419947171719</v>
      </c>
      <c r="F84">
        <v>0.9746402600392734</v>
      </c>
      <c r="G84">
        <v>-8.1941937050311608E-4</v>
      </c>
    </row>
    <row r="85" spans="1:7">
      <c r="A85">
        <v>84</v>
      </c>
      <c r="B85">
        <v>0.9746402600392734</v>
      </c>
      <c r="C85">
        <v>1.5</v>
      </c>
      <c r="D85">
        <v>-8.1941937050311608E-4</v>
      </c>
      <c r="E85">
        <v>12.101419947171719</v>
      </c>
      <c r="F85">
        <v>0.97467583113767664</v>
      </c>
      <c r="G85">
        <v>-7.4214776898484658E-4</v>
      </c>
    </row>
    <row r="86" spans="1:7">
      <c r="A86">
        <v>85</v>
      </c>
      <c r="B86">
        <v>0.97467583113767664</v>
      </c>
      <c r="C86">
        <v>1.5</v>
      </c>
      <c r="D86">
        <v>-7.4214776898484658E-4</v>
      </c>
      <c r="E86">
        <v>12.101419947171719</v>
      </c>
      <c r="F86">
        <v>0.97470804589045024</v>
      </c>
      <c r="G86">
        <v>-6.7215699367628723E-4</v>
      </c>
    </row>
    <row r="87" spans="1:7">
      <c r="A87">
        <v>86</v>
      </c>
      <c r="B87">
        <v>0.97470804589045024</v>
      </c>
      <c r="C87">
        <v>1.5</v>
      </c>
      <c r="D87">
        <v>-6.7215699367628723E-4</v>
      </c>
      <c r="E87">
        <v>12.101419947171719</v>
      </c>
      <c r="F87">
        <v>0.97473722090065817</v>
      </c>
      <c r="G87">
        <v>-6.08762081433456E-4</v>
      </c>
    </row>
    <row r="88" spans="1:7">
      <c r="A88">
        <v>87</v>
      </c>
      <c r="B88">
        <v>0.97473722090065817</v>
      </c>
      <c r="C88">
        <v>1.5</v>
      </c>
      <c r="D88">
        <v>-6.08762081433456E-4</v>
      </c>
      <c r="E88">
        <v>12.101419947171719</v>
      </c>
      <c r="F88">
        <v>0.97476364292215445</v>
      </c>
      <c r="G88">
        <v>-5.5134231748010798E-4</v>
      </c>
    </row>
    <row r="89" spans="1:7">
      <c r="A89">
        <v>88</v>
      </c>
      <c r="B89">
        <v>0.97476364292215445</v>
      </c>
      <c r="C89">
        <v>1.5</v>
      </c>
      <c r="D89">
        <v>-5.5134231748010798E-4</v>
      </c>
      <c r="E89">
        <v>12.101419947171719</v>
      </c>
      <c r="F89">
        <v>0.97478757167090202</v>
      </c>
      <c r="G89">
        <v>-4.9933524345791014E-4</v>
      </c>
    </row>
    <row r="90" spans="1:7">
      <c r="A90">
        <v>89</v>
      </c>
      <c r="B90">
        <v>0.97478757167090202</v>
      </c>
      <c r="C90">
        <v>1.5</v>
      </c>
      <c r="D90">
        <v>-4.9933524345791014E-4</v>
      </c>
      <c r="E90">
        <v>12.101419947171719</v>
      </c>
      <c r="F90">
        <v>0.9748092423720236</v>
      </c>
      <c r="G90">
        <v>-4.522312180932353E-4</v>
      </c>
    </row>
    <row r="91" spans="1:7">
      <c r="A91">
        <v>90</v>
      </c>
      <c r="B91">
        <v>0.9748092423720236</v>
      </c>
      <c r="C91">
        <v>1.5</v>
      </c>
      <c r="D91">
        <v>-4.522312180932353E-4</v>
      </c>
      <c r="E91">
        <v>12.101419947171719</v>
      </c>
      <c r="F91">
        <v>0.9748288680673336</v>
      </c>
      <c r="G91">
        <v>-4.0956848063333773E-4</v>
      </c>
    </row>
    <row r="92" spans="1:7">
      <c r="A92">
        <v>91</v>
      </c>
      <c r="B92">
        <v>0.9748288680673336</v>
      </c>
      <c r="C92">
        <v>1.5</v>
      </c>
      <c r="D92">
        <v>-4.0956848063333773E-4</v>
      </c>
      <c r="E92">
        <v>12.101419947171719</v>
      </c>
      <c r="F92">
        <v>0.97484664170579871</v>
      </c>
      <c r="G92">
        <v>-3.7092867150867459E-4</v>
      </c>
    </row>
    <row r="93" spans="1:7">
      <c r="A93">
        <v>92</v>
      </c>
      <c r="B93">
        <v>0.97484664170579871</v>
      </c>
      <c r="C93">
        <v>1.5</v>
      </c>
      <c r="D93">
        <v>-3.7092867150867459E-4</v>
      </c>
      <c r="E93">
        <v>12.101419947171719</v>
      </c>
      <c r="F93">
        <v>0.97486273803728629</v>
      </c>
      <c r="G93">
        <v>-3.3593276861743071E-4</v>
      </c>
    </row>
    <row r="94" spans="1:7">
      <c r="A94">
        <v>93</v>
      </c>
      <c r="B94">
        <v>0.97486273803728629</v>
      </c>
      <c r="C94">
        <v>1.5</v>
      </c>
      <c r="D94">
        <v>-3.3593276861743071E-4</v>
      </c>
      <c r="E94">
        <v>12.101419947171719</v>
      </c>
      <c r="F94">
        <v>0.97487731532805844</v>
      </c>
      <c r="G94">
        <v>-3.0423740129814636E-4</v>
      </c>
    </row>
    <row r="95" spans="1:7">
      <c r="A95">
        <v>94</v>
      </c>
      <c r="B95">
        <v>0.97487731532805844</v>
      </c>
      <c r="C95">
        <v>1.5</v>
      </c>
      <c r="D95">
        <v>-3.0423740129814636E-4</v>
      </c>
      <c r="E95">
        <v>12.101419947171719</v>
      </c>
      <c r="F95">
        <v>0.97489051691475059</v>
      </c>
      <c r="G95">
        <v>-2.7553150738568455E-4</v>
      </c>
    </row>
    <row r="96" spans="1:7">
      <c r="A96">
        <v>95</v>
      </c>
      <c r="B96">
        <v>0.97489051691475059</v>
      </c>
      <c r="C96">
        <v>1.5</v>
      </c>
      <c r="D96">
        <v>-2.7553150738568455E-4</v>
      </c>
      <c r="E96">
        <v>12.101419947171719</v>
      </c>
      <c r="F96">
        <v>0.97490247261200569</v>
      </c>
      <c r="G96">
        <v>-2.4953330183974387E-4</v>
      </c>
    </row>
    <row r="97" spans="1:7">
      <c r="A97">
        <v>96</v>
      </c>
      <c r="B97">
        <v>0.97490247261200569</v>
      </c>
      <c r="C97">
        <v>1.5</v>
      </c>
      <c r="D97">
        <v>-2.4953330183974387E-4</v>
      </c>
      <c r="E97">
        <v>12.101419947171719</v>
      </c>
      <c r="F97">
        <v>0.97491329998751852</v>
      </c>
      <c r="G97">
        <v>-2.2598752824243284E-4</v>
      </c>
    </row>
    <row r="98" spans="1:7">
      <c r="A98">
        <v>97</v>
      </c>
      <c r="B98">
        <v>0.97491329998751852</v>
      </c>
      <c r="C98">
        <v>1.5</v>
      </c>
      <c r="D98">
        <v>-2.2598752824243284E-4</v>
      </c>
      <c r="E98">
        <v>12.101419947171719</v>
      </c>
      <c r="F98">
        <v>0.97492310551695549</v>
      </c>
      <c r="G98">
        <v>-2.046629670547917E-4</v>
      </c>
    </row>
    <row r="99" spans="1:7">
      <c r="A99">
        <v>98</v>
      </c>
      <c r="B99">
        <v>0.97492310551695549</v>
      </c>
      <c r="C99">
        <v>1.5</v>
      </c>
      <c r="D99">
        <v>-2.046629670547917E-4</v>
      </c>
      <c r="E99">
        <v>12.101419947171719</v>
      </c>
      <c r="F99">
        <v>0.97493198563004935</v>
      </c>
      <c r="G99">
        <v>-1.8535017686827082E-4</v>
      </c>
    </row>
    <row r="100" spans="1:7">
      <c r="A100">
        <v>99</v>
      </c>
      <c r="B100">
        <v>0.97493198563004935</v>
      </c>
      <c r="C100">
        <v>1.5</v>
      </c>
      <c r="D100">
        <v>-1.8535017686827082E-4</v>
      </c>
      <c r="E100">
        <v>12.101419947171719</v>
      </c>
      <c r="F100">
        <v>0.97494002765810595</v>
      </c>
      <c r="G100">
        <v>-1.6785944705977052E-4</v>
      </c>
    </row>
    <row r="101" spans="1:7">
      <c r="A101">
        <v>100</v>
      </c>
      <c r="B101">
        <v>0.97494002765810595</v>
      </c>
      <c r="C101">
        <v>1.5</v>
      </c>
      <c r="D101">
        <v>-1.6785944705977052E-4</v>
      </c>
      <c r="E101">
        <v>12.101419947171719</v>
      </c>
      <c r="F101">
        <v>0.97494731069220353</v>
      </c>
      <c r="G101">
        <v>-1.5201894221172907E-4</v>
      </c>
    </row>
    <row r="102" spans="1:7">
      <c r="A102">
        <v>101</v>
      </c>
      <c r="B102">
        <v>0.97494731069220353</v>
      </c>
      <c r="C102">
        <v>1.5</v>
      </c>
      <c r="D102">
        <v>-1.5201894221172907E-4</v>
      </c>
      <c r="E102">
        <v>12.101419947171719</v>
      </c>
    </row>
    <row r="103" spans="1:7">
      <c r="A103" t="s">
        <v>11</v>
      </c>
    </row>
    <row r="104" spans="1:7">
      <c r="A104" t="s">
        <v>12</v>
      </c>
    </row>
  </sheetData>
  <phoneticPr fontId="3" type="noConversion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04"/>
  <sheetViews>
    <sheetView workbookViewId="0">
      <selection sqref="A1:I1"/>
    </sheetView>
  </sheetViews>
  <sheetFormatPr baseColWidth="10" defaultColWidth="8.83203125" defaultRowHeight="14"/>
  <cols>
    <col min="1" max="1" width="28.33203125" customWidth="1"/>
  </cols>
  <sheetData>
    <row r="1" spans="1:14" ht="15" thickBot="1">
      <c r="A1" s="3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6" t="s">
        <v>6</v>
      </c>
      <c r="H1" s="19" t="s">
        <v>7</v>
      </c>
      <c r="I1" s="20" t="s">
        <v>8</v>
      </c>
    </row>
    <row r="2" spans="1:14" ht="15" thickTop="1">
      <c r="A2" s="5">
        <v>1</v>
      </c>
      <c r="B2" s="6">
        <v>0.01</v>
      </c>
      <c r="C2" s="6">
        <v>1.55</v>
      </c>
      <c r="D2" s="6">
        <v>-0.49999966665333279</v>
      </c>
      <c r="E2" s="6">
        <v>46.028482479219072</v>
      </c>
      <c r="F2" s="6">
        <v>2.6548992168540793E-2</v>
      </c>
      <c r="G2" s="12">
        <v>-0.49999376056412104</v>
      </c>
      <c r="H2" s="2"/>
      <c r="I2" s="21"/>
    </row>
    <row r="3" spans="1:14">
      <c r="A3" s="7">
        <v>2</v>
      </c>
      <c r="B3" s="1">
        <v>2.6548992168540793E-2</v>
      </c>
      <c r="C3" s="1">
        <v>1.55</v>
      </c>
      <c r="D3" s="1">
        <v>-0.49999376056412104</v>
      </c>
      <c r="E3" s="1">
        <v>46.028482479219072</v>
      </c>
      <c r="F3" s="1">
        <v>4.2919955930933729E-2</v>
      </c>
      <c r="G3" s="13">
        <v>-0.49997362595896055</v>
      </c>
      <c r="H3" s="1">
        <v>0</v>
      </c>
      <c r="I3" s="8">
        <v>0</v>
      </c>
    </row>
    <row r="4" spans="1:14">
      <c r="A4" s="7">
        <v>3</v>
      </c>
      <c r="B4" s="1">
        <v>4.2919955930933729E-2</v>
      </c>
      <c r="C4" s="1">
        <v>1.55</v>
      </c>
      <c r="D4" s="1">
        <v>-0.49997362595896055</v>
      </c>
      <c r="E4" s="1">
        <v>46.028482479219072</v>
      </c>
      <c r="F4" s="1">
        <v>5.9114352593060374E-2</v>
      </c>
      <c r="G4" s="13">
        <v>-0.49993104511301456</v>
      </c>
      <c r="H4" s="1">
        <v>0</v>
      </c>
      <c r="I4" s="8">
        <v>0</v>
      </c>
    </row>
    <row r="5" spans="1:14">
      <c r="A5" s="7">
        <v>4</v>
      </c>
      <c r="B5" s="1">
        <v>5.9114352593060374E-2</v>
      </c>
      <c r="C5" s="1">
        <v>1.55</v>
      </c>
      <c r="D5" s="1">
        <v>-0.49993104511301456</v>
      </c>
      <c r="E5" s="1">
        <v>46.028482479219072</v>
      </c>
      <c r="F5" s="1">
        <v>7.5133381900009955E-2</v>
      </c>
      <c r="G5" s="13">
        <v>-0.49985830343083937</v>
      </c>
      <c r="H5" s="1">
        <v>0</v>
      </c>
      <c r="I5" s="8">
        <v>0</v>
      </c>
      <c r="M5" t="s">
        <v>9</v>
      </c>
      <c r="N5" t="s">
        <v>10</v>
      </c>
    </row>
    <row r="6" spans="1:14">
      <c r="A6" s="7">
        <v>5</v>
      </c>
      <c r="B6" s="1">
        <v>7.5133381900009955E-2</v>
      </c>
      <c r="C6" s="1">
        <v>1.55</v>
      </c>
      <c r="D6" s="1">
        <v>-0.49985830343083937</v>
      </c>
      <c r="E6" s="1">
        <v>46.028482479219072</v>
      </c>
      <c r="F6" s="1">
        <v>9.0978011498002123E-2</v>
      </c>
      <c r="G6" s="13">
        <v>-0.49974815787782695</v>
      </c>
      <c r="H6" s="1">
        <v>0</v>
      </c>
      <c r="I6" s="8">
        <v>0</v>
      </c>
      <c r="M6">
        <v>0</v>
      </c>
      <c r="N6">
        <f>TAN(M6)-M6-0.5</f>
        <v>-0.5</v>
      </c>
    </row>
    <row r="7" spans="1:14">
      <c r="A7" s="7">
        <v>6</v>
      </c>
      <c r="B7" s="1">
        <v>9.0978011498002123E-2</v>
      </c>
      <c r="C7" s="1">
        <v>1.55</v>
      </c>
      <c r="D7" s="1">
        <v>-0.49974815787782695</v>
      </c>
      <c r="E7" s="1">
        <v>46.028482479219072</v>
      </c>
      <c r="F7" s="1">
        <v>0.10664900394867512</v>
      </c>
      <c r="G7" s="13">
        <v>-0.49959380961377342</v>
      </c>
      <c r="H7" s="1">
        <v>0</v>
      </c>
      <c r="I7" s="8">
        <v>0</v>
      </c>
      <c r="J7" s="4"/>
      <c r="K7" s="4"/>
      <c r="L7" s="4"/>
      <c r="M7" s="4">
        <v>0.1</v>
      </c>
      <c r="N7">
        <f t="shared" ref="N7:N17" si="0">TAN(M7)-M7-0.5</f>
        <v>-0.49966532791454943</v>
      </c>
    </row>
    <row r="8" spans="1:14">
      <c r="A8" s="7">
        <v>7</v>
      </c>
      <c r="B8" s="1">
        <v>0.10664900394867512</v>
      </c>
      <c r="C8" s="1">
        <v>1.55</v>
      </c>
      <c r="D8" s="1">
        <v>-0.49959380961377342</v>
      </c>
      <c r="E8" s="1">
        <v>46.028482479219072</v>
      </c>
      <c r="F8" s="1">
        <v>0.122146941543404</v>
      </c>
      <c r="G8" s="13">
        <v>-0.49938888022853178</v>
      </c>
      <c r="H8" s="1">
        <v>0</v>
      </c>
      <c r="I8" s="8">
        <v>0</v>
      </c>
      <c r="J8" s="4"/>
      <c r="K8" s="4"/>
      <c r="L8" s="4"/>
      <c r="M8">
        <v>0.2</v>
      </c>
      <c r="N8">
        <f t="shared" si="0"/>
        <v>-0.49728996449132751</v>
      </c>
    </row>
    <row r="9" spans="1:14">
      <c r="A9" s="7">
        <v>8</v>
      </c>
      <c r="B9" s="1">
        <v>0.122146941543404</v>
      </c>
      <c r="C9" s="1">
        <v>1.55</v>
      </c>
      <c r="D9" s="1">
        <v>-0.49938888022853178</v>
      </c>
      <c r="E9" s="1">
        <v>46.028482479219072</v>
      </c>
      <c r="F9" s="1">
        <v>0.13747224913129855</v>
      </c>
      <c r="G9" s="13">
        <v>-0.49912739106489112</v>
      </c>
      <c r="H9" s="1">
        <v>0</v>
      </c>
      <c r="I9" s="8">
        <v>0</v>
      </c>
      <c r="M9" s="4">
        <v>0.3</v>
      </c>
      <c r="N9">
        <f t="shared" si="0"/>
        <v>-0.49066375039037674</v>
      </c>
    </row>
    <row r="10" spans="1:14">
      <c r="A10" s="7">
        <v>9</v>
      </c>
      <c r="B10" s="1">
        <v>0.13747224913129855</v>
      </c>
      <c r="C10" s="1">
        <v>1.55</v>
      </c>
      <c r="D10" s="1">
        <v>-0.49912739106489112</v>
      </c>
      <c r="E10" s="1">
        <v>46.028482479219072</v>
      </c>
      <c r="F10" s="1">
        <v>0.15262521514574537</v>
      </c>
      <c r="G10" s="13">
        <v>-0.49880374518534482</v>
      </c>
      <c r="H10" s="1">
        <v>0</v>
      </c>
      <c r="I10" s="8">
        <v>0</v>
      </c>
      <c r="M10">
        <v>0.4</v>
      </c>
      <c r="N10">
        <f t="shared" si="0"/>
        <v>-0.47720678126183824</v>
      </c>
    </row>
    <row r="11" spans="1:14">
      <c r="A11" s="7">
        <v>10</v>
      </c>
      <c r="B11" s="1">
        <v>0.15262521514574537</v>
      </c>
      <c r="C11" s="1">
        <v>1.55</v>
      </c>
      <c r="D11" s="1">
        <v>-0.49880374518534482</v>
      </c>
      <c r="E11" s="1">
        <v>46.028482479219072</v>
      </c>
      <c r="F11" s="1">
        <v>0.16760601098995409</v>
      </c>
      <c r="G11" s="13">
        <v>-0.49841271159972544</v>
      </c>
      <c r="H11" s="1">
        <v>0</v>
      </c>
      <c r="I11" s="8">
        <v>0</v>
      </c>
      <c r="M11" s="4">
        <v>0.5</v>
      </c>
      <c r="N11">
        <f t="shared" si="0"/>
        <v>-0.45369751015620952</v>
      </c>
    </row>
    <row r="12" spans="1:14" ht="15" thickBot="1">
      <c r="A12" s="9">
        <v>11</v>
      </c>
      <c r="B12" s="10">
        <v>0.16760601098995409</v>
      </c>
      <c r="C12" s="10">
        <v>1.55</v>
      </c>
      <c r="D12" s="10">
        <v>-0.49841271159972544</v>
      </c>
      <c r="E12" s="10">
        <v>46.028482479219072</v>
      </c>
      <c r="F12" s="10">
        <v>0.18241470892124481</v>
      </c>
      <c r="G12" s="14">
        <v>-0.49794941142177285</v>
      </c>
      <c r="H12" s="10">
        <v>0</v>
      </c>
      <c r="I12" s="11">
        <v>0</v>
      </c>
      <c r="M12">
        <v>0.6</v>
      </c>
      <c r="N12">
        <f t="shared" si="0"/>
        <v>-0.41586319165830765</v>
      </c>
    </row>
    <row r="13" spans="1:14">
      <c r="A13" s="17">
        <v>12</v>
      </c>
      <c r="B13" s="2">
        <v>0.18241470892124481</v>
      </c>
      <c r="C13" s="2">
        <v>1.55</v>
      </c>
      <c r="D13" s="2">
        <v>-0.49794941142177285</v>
      </c>
      <c r="E13" s="2">
        <v>46.028482479219072</v>
      </c>
      <c r="F13" s="2">
        <v>0.19705129855619435</v>
      </c>
      <c r="G13" s="18">
        <v>-0.49740930566617325</v>
      </c>
      <c r="H13" s="2">
        <v>0</v>
      </c>
      <c r="I13" s="2">
        <v>0</v>
      </c>
      <c r="M13" s="4">
        <v>0.7</v>
      </c>
      <c r="N13">
        <f t="shared" si="0"/>
        <v>-0.35771161953692054</v>
      </c>
    </row>
    <row r="14" spans="1:14" ht="15" thickBot="1">
      <c r="A14" s="9">
        <v>13</v>
      </c>
      <c r="B14" s="10">
        <v>0.19705129855619435</v>
      </c>
      <c r="C14" s="10">
        <v>1.55</v>
      </c>
      <c r="D14" s="10">
        <v>-0.49740930566617325</v>
      </c>
      <c r="E14" s="10">
        <v>46.028482479219072</v>
      </c>
      <c r="F14" s="10">
        <v>0.21151570210376353</v>
      </c>
      <c r="G14" s="14">
        <v>-0.49678818443475437</v>
      </c>
      <c r="H14" s="1">
        <v>0</v>
      </c>
      <c r="I14" s="1">
        <v>0</v>
      </c>
      <c r="M14">
        <v>0.8</v>
      </c>
      <c r="N14">
        <f t="shared" si="0"/>
        <v>-0.27036144294963593</v>
      </c>
    </row>
    <row r="15" spans="1:14">
      <c r="A15">
        <v>14</v>
      </c>
      <c r="B15">
        <v>0.21151570210376353</v>
      </c>
      <c r="C15">
        <v>1.55</v>
      </c>
      <c r="D15">
        <v>-0.49678818443475437</v>
      </c>
      <c r="E15">
        <v>46.028482479219072</v>
      </c>
      <c r="F15">
        <v>0.22580778842075427</v>
      </c>
      <c r="G15">
        <v>-0.49608215727242017</v>
      </c>
      <c r="H15">
        <v>0</v>
      </c>
      <c r="I15">
        <v>0</v>
      </c>
      <c r="M15" s="4">
        <v>0.9</v>
      </c>
      <c r="N15">
        <f t="shared" si="0"/>
        <v>-0.13984178244966083</v>
      </c>
    </row>
    <row r="16" spans="1:14">
      <c r="A16">
        <v>15</v>
      </c>
      <c r="B16">
        <v>0.22580778842075427</v>
      </c>
      <c r="C16">
        <v>1.55</v>
      </c>
      <c r="D16">
        <v>-0.49608215727242017</v>
      </c>
      <c r="E16">
        <v>46.028482479219072</v>
      </c>
      <c r="F16">
        <v>0.2399273859730616</v>
      </c>
      <c r="G16">
        <v>-0.49528764450090934</v>
      </c>
      <c r="H16">
        <v>0</v>
      </c>
      <c r="I16">
        <v>0</v>
      </c>
      <c r="M16">
        <v>1</v>
      </c>
      <c r="N16">
        <f t="shared" si="0"/>
        <v>5.7407724654902292E-2</v>
      </c>
    </row>
    <row r="17" spans="1:14">
      <c r="A17">
        <v>16</v>
      </c>
      <c r="B17">
        <v>0.2399273859730616</v>
      </c>
      <c r="C17">
        <v>1.55</v>
      </c>
      <c r="D17">
        <v>-0.49528764450090934</v>
      </c>
      <c r="E17">
        <v>46.028482479219072</v>
      </c>
      <c r="F17">
        <v>0.25387429477690615</v>
      </c>
      <c r="G17">
        <v>-0.49440136936229412</v>
      </c>
      <c r="H17">
        <v>0</v>
      </c>
      <c r="I17">
        <v>0</v>
      </c>
      <c r="M17" s="4">
        <v>1.1000000000000001</v>
      </c>
      <c r="N17">
        <f t="shared" si="0"/>
        <v>0.36475965724865222</v>
      </c>
    </row>
    <row r="18" spans="1:14">
      <c r="A18">
        <v>17</v>
      </c>
      <c r="B18">
        <v>0.25387429477690615</v>
      </c>
      <c r="C18">
        <v>1.55</v>
      </c>
      <c r="D18">
        <v>-0.49440136936229412</v>
      </c>
      <c r="E18">
        <v>46.028482479219072</v>
      </c>
      <c r="F18">
        <v>0.26764829738632323</v>
      </c>
      <c r="G18">
        <v>-0.49342035082487373</v>
      </c>
      <c r="H18">
        <v>0</v>
      </c>
      <c r="I18">
        <v>0</v>
      </c>
    </row>
    <row r="19" spans="1:14">
      <c r="A19">
        <v>18</v>
      </c>
      <c r="B19">
        <v>0.26764829738632323</v>
      </c>
      <c r="C19">
        <v>1.55</v>
      </c>
      <c r="D19">
        <v>-0.49342035082487373</v>
      </c>
      <c r="E19">
        <v>46.028482479219072</v>
      </c>
      <c r="F19">
        <v>0.28124916898643954</v>
      </c>
      <c r="G19">
        <v>-0.49234189692225255</v>
      </c>
      <c r="H19">
        <v>0</v>
      </c>
      <c r="I19">
        <v>0</v>
      </c>
    </row>
    <row r="20" spans="1:14">
      <c r="A20">
        <v>19</v>
      </c>
      <c r="B20">
        <v>0.28124916898643954</v>
      </c>
      <c r="C20">
        <v>1.55</v>
      </c>
      <c r="D20">
        <v>-0.49234189692225255</v>
      </c>
      <c r="E20">
        <v>46.028482479219072</v>
      </c>
      <c r="F20">
        <v>0.29467668664632141</v>
      </c>
      <c r="G20">
        <v>-0.49116359851231906</v>
      </c>
      <c r="H20">
        <v>0</v>
      </c>
      <c r="I20">
        <v>0</v>
      </c>
    </row>
    <row r="21" spans="1:14">
      <c r="A21">
        <v>20</v>
      </c>
      <c r="B21">
        <v>0.29467668664632141</v>
      </c>
      <c r="C21">
        <v>1.55</v>
      </c>
      <c r="D21">
        <v>-0.49116359851231906</v>
      </c>
      <c r="E21">
        <v>46.028482479219072</v>
      </c>
      <c r="F21">
        <v>0.30793063778027785</v>
      </c>
      <c r="G21">
        <v>-0.48988332335689927</v>
      </c>
      <c r="H21">
        <v>0</v>
      </c>
      <c r="I21">
        <v>0</v>
      </c>
    </row>
    <row r="22" spans="1:14">
      <c r="A22">
        <v>21</v>
      </c>
      <c r="B22">
        <v>0.30793063778027785</v>
      </c>
      <c r="C22">
        <v>1.55</v>
      </c>
      <c r="D22">
        <v>-0.48988332335689927</v>
      </c>
      <c r="E22">
        <v>46.028482479219072</v>
      </c>
      <c r="F22">
        <v>0.32101082786232688</v>
      </c>
      <c r="G22">
        <v>-0.48849921043531486</v>
      </c>
      <c r="H22">
        <v>0</v>
      </c>
      <c r="I22">
        <v>0</v>
      </c>
    </row>
    <row r="23" spans="1:14">
      <c r="A23">
        <v>22</v>
      </c>
      <c r="B23">
        <v>0.32101082786232688</v>
      </c>
      <c r="C23">
        <v>1.55</v>
      </c>
      <c r="D23">
        <v>-0.48849921043531486</v>
      </c>
      <c r="E23">
        <v>46.028482479219072</v>
      </c>
      <c r="F23">
        <v>0.33391708743497511</v>
      </c>
      <c r="G23">
        <v>-0.48700966441616761</v>
      </c>
      <c r="H23">
        <v>0</v>
      </c>
      <c r="I23">
        <v>0</v>
      </c>
    </row>
    <row r="24" spans="1:14">
      <c r="A24">
        <v>23</v>
      </c>
      <c r="B24">
        <v>0.33391708743497511</v>
      </c>
      <c r="C24">
        <v>1.55</v>
      </c>
      <c r="D24">
        <v>-0.48700966441616761</v>
      </c>
      <c r="E24">
        <v>46.028482479219072</v>
      </c>
      <c r="F24">
        <v>0.34664927845042726</v>
      </c>
      <c r="G24">
        <v>-0.48541335022158599</v>
      </c>
      <c r="H24">
        <v>0</v>
      </c>
      <c r="I24">
        <v>0</v>
      </c>
    </row>
    <row r="25" spans="1:14">
      <c r="A25">
        <v>24</v>
      </c>
      <c r="B25">
        <v>0.34664927845042726</v>
      </c>
      <c r="C25">
        <v>1.55</v>
      </c>
      <c r="D25">
        <v>-0.48541335022158599</v>
      </c>
      <c r="E25">
        <v>46.028482479219072</v>
      </c>
      <c r="F25">
        <v>0.3592072999797532</v>
      </c>
      <c r="G25">
        <v>-0.48370918762706999</v>
      </c>
      <c r="H25">
        <v>0</v>
      </c>
      <c r="I25">
        <v>0</v>
      </c>
    </row>
    <row r="26" spans="1:14">
      <c r="A26">
        <v>25</v>
      </c>
      <c r="B26">
        <v>0.3592072999797532</v>
      </c>
      <c r="C26">
        <v>1.55</v>
      </c>
      <c r="D26">
        <v>-0.48370918762706999</v>
      </c>
      <c r="E26">
        <v>46.028482479219072</v>
      </c>
      <c r="F26">
        <v>0.37159109332332962</v>
      </c>
      <c r="G26">
        <v>-0.48189634584808644</v>
      </c>
      <c r="H26">
        <v>0</v>
      </c>
      <c r="I26">
        <v>0</v>
      </c>
    </row>
    <row r="27" spans="1:14">
      <c r="A27">
        <v>26</v>
      </c>
      <c r="B27">
        <v>0.37159109332332962</v>
      </c>
      <c r="C27">
        <v>1.55</v>
      </c>
      <c r="D27">
        <v>-0.48189634584808644</v>
      </c>
      <c r="E27">
        <v>46.028482479219072</v>
      </c>
      <c r="F27">
        <v>0.38380064655397905</v>
      </c>
      <c r="G27">
        <v>-0.47997423807181877</v>
      </c>
      <c r="H27">
        <v>0</v>
      </c>
      <c r="I27">
        <v>0</v>
      </c>
    </row>
    <row r="28" spans="1:14">
      <c r="A28">
        <v>27</v>
      </c>
      <c r="B28">
        <v>0.38380064655397905</v>
      </c>
      <c r="C28">
        <v>1.55</v>
      </c>
      <c r="D28">
        <v>-0.47997423807181877</v>
      </c>
      <c r="E28">
        <v>46.028482479219072</v>
      </c>
      <c r="F28">
        <v>0.39583599852260287</v>
      </c>
      <c r="G28">
        <v>-0.47794251589904518</v>
      </c>
      <c r="H28">
        <v>0</v>
      </c>
      <c r="I28">
        <v>0</v>
      </c>
    </row>
    <row r="29" spans="1:14">
      <c r="A29">
        <v>28</v>
      </c>
      <c r="B29">
        <v>0.39583599852260287</v>
      </c>
      <c r="C29">
        <v>1.55</v>
      </c>
      <c r="D29">
        <v>-0.47794251589904518</v>
      </c>
      <c r="E29">
        <v>46.028482479219072</v>
      </c>
      <c r="F29">
        <v>0.40769724235469967</v>
      </c>
      <c r="G29">
        <v>-0.47580106366709984</v>
      </c>
      <c r="H29">
        <v>0</v>
      </c>
      <c r="I29">
        <v>0</v>
      </c>
    </row>
    <row r="30" spans="1:14">
      <c r="A30">
        <v>29</v>
      </c>
      <c r="B30">
        <v>0.40769724235469967</v>
      </c>
      <c r="C30">
        <v>1.55</v>
      </c>
      <c r="D30">
        <v>-0.47580106366709984</v>
      </c>
      <c r="E30">
        <v>46.028482479219072</v>
      </c>
      <c r="F30">
        <v>0.41938452846494095</v>
      </c>
      <c r="G30">
        <v>-0.47354999263031861</v>
      </c>
      <c r="H30">
        <v>0</v>
      </c>
      <c r="I30">
        <v>0</v>
      </c>
    </row>
    <row r="31" spans="1:14">
      <c r="A31">
        <v>30</v>
      </c>
      <c r="B31">
        <v>0.41938452846494095</v>
      </c>
      <c r="C31">
        <v>1.55</v>
      </c>
      <c r="D31">
        <v>-0.47354999263031861</v>
      </c>
      <c r="E31">
        <v>46.028482479219072</v>
      </c>
      <c r="F31">
        <v>0.43089806711590778</v>
      </c>
      <c r="G31">
        <v>-0.47118963497934341</v>
      </c>
      <c r="H31">
        <v>0</v>
      </c>
      <c r="I31">
        <v>0</v>
      </c>
    </row>
    <row r="32" spans="1:14">
      <c r="A32">
        <v>31</v>
      </c>
      <c r="B32">
        <v>0.43089806711590778</v>
      </c>
      <c r="C32">
        <v>1.55</v>
      </c>
      <c r="D32">
        <v>-0.47118963497934341</v>
      </c>
      <c r="E32">
        <v>46.028482479219072</v>
      </c>
      <c r="F32">
        <v>0.44223813054614691</v>
      </c>
      <c r="G32">
        <v>-0.46872053768520988</v>
      </c>
      <c r="H32">
        <v>0</v>
      </c>
      <c r="I32">
        <v>0</v>
      </c>
    </row>
    <row r="33" spans="1:9">
      <c r="A33">
        <v>32</v>
      </c>
      <c r="B33">
        <v>0.44223813054614691</v>
      </c>
      <c r="C33">
        <v>1.55</v>
      </c>
      <c r="D33">
        <v>-0.46872053768520988</v>
      </c>
      <c r="E33">
        <v>46.028482479219072</v>
      </c>
      <c r="F33">
        <v>0.45340505469185982</v>
      </c>
      <c r="G33">
        <v>-0.46614345615829805</v>
      </c>
      <c r="H33">
        <v>0</v>
      </c>
      <c r="I33">
        <v>0</v>
      </c>
    </row>
    <row r="34" spans="1:9">
      <c r="A34">
        <v>33</v>
      </c>
      <c r="B34">
        <v>0.45340505469185982</v>
      </c>
      <c r="C34">
        <v>1.55</v>
      </c>
      <c r="D34">
        <v>-0.46614345615829805</v>
      </c>
      <c r="E34">
        <v>46.028482479219072</v>
      </c>
      <c r="F34">
        <v>0.46439924052576953</v>
      </c>
      <c r="G34">
        <v>-0.46345934771603481</v>
      </c>
      <c r="H34">
        <v>0</v>
      </c>
      <c r="I34">
        <v>0</v>
      </c>
    </row>
    <row r="35" spans="1:9">
      <c r="A35">
        <v>34</v>
      </c>
      <c r="B35">
        <v>0.46439924052576953</v>
      </c>
      <c r="C35">
        <v>1.55</v>
      </c>
      <c r="D35">
        <v>-0.46345934771603481</v>
      </c>
      <c r="E35">
        <v>46.028482479219072</v>
      </c>
      <c r="F35">
        <v>0.47522115503600559</v>
      </c>
      <c r="G35">
        <v>-0.46066936485671328</v>
      </c>
      <c r="H35">
        <v>0</v>
      </c>
      <c r="I35">
        <v>0</v>
      </c>
    </row>
    <row r="36" spans="1:9">
      <c r="A36">
        <v>35</v>
      </c>
      <c r="B36">
        <v>0.47522115503600559</v>
      </c>
      <c r="C36">
        <v>1.55</v>
      </c>
      <c r="D36">
        <v>-0.46066936485671328</v>
      </c>
      <c r="E36">
        <v>46.028482479219072</v>
      </c>
      <c r="F36">
        <v>0.48587133186718584</v>
      </c>
      <c r="G36">
        <v>-0.45777484833997178</v>
      </c>
      <c r="H36">
        <v>0</v>
      </c>
      <c r="I36">
        <v>0</v>
      </c>
    </row>
    <row r="37" spans="1:9">
      <c r="A37">
        <v>36</v>
      </c>
      <c r="B37">
        <v>0.48587133186718584</v>
      </c>
      <c r="C37">
        <v>1.55</v>
      </c>
      <c r="D37">
        <v>-0.45777484833997178</v>
      </c>
      <c r="E37">
        <v>46.028482479219072</v>
      </c>
      <c r="F37">
        <v>0.49635037164524781</v>
      </c>
      <c r="G37">
        <v>-0.45477732007736865</v>
      </c>
      <c r="H37">
        <v>0</v>
      </c>
      <c r="I37">
        <v>0</v>
      </c>
    </row>
    <row r="38" spans="1:9">
      <c r="A38">
        <v>37</v>
      </c>
      <c r="B38">
        <v>0.49635037164524781</v>
      </c>
      <c r="C38">
        <v>1.55</v>
      </c>
      <c r="D38">
        <v>-0.45477732007736865</v>
      </c>
      <c r="E38">
        <v>46.028482479219072</v>
      </c>
      <c r="F38">
        <v>0.50665894200697925</v>
      </c>
      <c r="G38">
        <v>-0.45167847583911769</v>
      </c>
      <c r="H38">
        <v>0</v>
      </c>
      <c r="I38">
        <v>0</v>
      </c>
    </row>
    <row r="39" spans="1:9">
      <c r="A39">
        <v>38</v>
      </c>
      <c r="B39">
        <v>0.50665894200697925</v>
      </c>
      <c r="C39">
        <v>1.55</v>
      </c>
      <c r="D39">
        <v>-0.45167847583911769</v>
      </c>
      <c r="E39">
        <v>46.028482479219072</v>
      </c>
      <c r="F39">
        <v>0.51679777735460897</v>
      </c>
      <c r="G39">
        <v>-0.44848017778542704</v>
      </c>
      <c r="H39">
        <v>0</v>
      </c>
      <c r="I39">
        <v>0</v>
      </c>
    </row>
    <row r="40" spans="1:9">
      <c r="A40">
        <v>39</v>
      </c>
      <c r="B40">
        <v>0.51679777735460897</v>
      </c>
      <c r="C40">
        <v>1.55</v>
      </c>
      <c r="D40">
        <v>-0.44848017778542704</v>
      </c>
      <c r="E40">
        <v>46.028482479219072</v>
      </c>
      <c r="F40">
        <v>0.52676767835523874</v>
      </c>
      <c r="G40">
        <v>-0.44518444683302349</v>
      </c>
      <c r="H40">
        <v>0</v>
      </c>
      <c r="I40">
        <v>0</v>
      </c>
    </row>
    <row r="41" spans="1:9">
      <c r="A41">
        <v>40</v>
      </c>
      <c r="B41">
        <v>0.52676767835523874</v>
      </c>
      <c r="C41">
        <v>1.55</v>
      </c>
      <c r="D41">
        <v>-0.44518444683302349</v>
      </c>
      <c r="E41">
        <v>46.028482479219072</v>
      </c>
      <c r="F41">
        <v>0.53656951120432117</v>
      </c>
      <c r="G41">
        <v>-0.44179345486935684</v>
      </c>
      <c r="H41">
        <v>0</v>
      </c>
      <c r="I41">
        <v>0</v>
      </c>
    </row>
    <row r="42" spans="1:9">
      <c r="A42">
        <v>41</v>
      </c>
      <c r="B42">
        <v>0.53656951120432117</v>
      </c>
      <c r="C42">
        <v>1.55</v>
      </c>
      <c r="D42">
        <v>-0.44179345486935684</v>
      </c>
      <c r="E42">
        <v>46.028482479219072</v>
      </c>
      <c r="F42">
        <v>0.54620420667180714</v>
      </c>
      <c r="G42">
        <v>-0.43830951682867481</v>
      </c>
      <c r="H42">
        <v>0</v>
      </c>
      <c r="I42">
        <v>0</v>
      </c>
    </row>
    <row r="43" spans="1:9">
      <c r="A43">
        <v>42</v>
      </c>
      <c r="B43">
        <v>0.54620420667180714</v>
      </c>
      <c r="C43">
        <v>1.55</v>
      </c>
      <c r="D43">
        <v>-0.43830951682867481</v>
      </c>
      <c r="E43">
        <v>46.028482479219072</v>
      </c>
      <c r="F43">
        <v>0.5556727589490067</v>
      </c>
      <c r="G43">
        <v>-0.43473508264564464</v>
      </c>
      <c r="H43">
        <v>0</v>
      </c>
      <c r="I43">
        <v>0</v>
      </c>
    </row>
    <row r="44" spans="1:9">
      <c r="A44">
        <v>43</v>
      </c>
      <c r="B44">
        <v>0.5556727589490067</v>
      </c>
      <c r="C44">
        <v>1.55</v>
      </c>
      <c r="D44">
        <v>-0.43473508264564464</v>
      </c>
      <c r="E44">
        <v>46.028482479219072</v>
      </c>
      <c r="F44">
        <v>0.56497622431361605</v>
      </c>
      <c r="G44">
        <v>-0.43107272910348149</v>
      </c>
      <c r="H44">
        <v>0</v>
      </c>
      <c r="I44">
        <v>0</v>
      </c>
    </row>
    <row r="45" spans="1:9">
      <c r="A45">
        <v>44</v>
      </c>
      <c r="B45">
        <v>0.56497622431361605</v>
      </c>
      <c r="C45">
        <v>1.55</v>
      </c>
      <c r="D45">
        <v>-0.43107272910348149</v>
      </c>
      <c r="E45">
        <v>46.028482479219072</v>
      </c>
      <c r="F45">
        <v>0.57411571962976748</v>
      </c>
      <c r="G45">
        <v>-0.42732515159463924</v>
      </c>
      <c r="H45">
        <v>0</v>
      </c>
      <c r="I45">
        <v>0</v>
      </c>
    </row>
    <row r="46" spans="1:9">
      <c r="A46">
        <v>45</v>
      </c>
      <c r="B46">
        <v>0.57411571962976748</v>
      </c>
      <c r="C46">
        <v>1.55</v>
      </c>
      <c r="D46">
        <v>-0.42732515159463924</v>
      </c>
      <c r="E46">
        <v>46.028482479219072</v>
      </c>
      <c r="F46">
        <v>0.58309242069935407</v>
      </c>
      <c r="G46">
        <v>-0.42349515581302077</v>
      </c>
      <c r="H46">
        <v>0</v>
      </c>
      <c r="I46">
        <v>0</v>
      </c>
    </row>
    <row r="47" spans="1:9">
      <c r="A47">
        <v>46</v>
      </c>
      <c r="B47">
        <v>0.58309242069935407</v>
      </c>
      <c r="C47">
        <v>1.55</v>
      </c>
      <c r="D47">
        <v>-0.42349515581302077</v>
      </c>
      <c r="E47">
        <v>46.028482479219072</v>
      </c>
      <c r="F47">
        <v>0.59190756048026849</v>
      </c>
      <c r="G47">
        <v>-0.41958564939739129</v>
      </c>
      <c r="H47">
        <v>0</v>
      </c>
      <c r="I47">
        <v>0</v>
      </c>
    </row>
    <row r="48" spans="1:9">
      <c r="A48">
        <v>47</v>
      </c>
      <c r="B48">
        <v>0.59190756048026849</v>
      </c>
      <c r="C48">
        <v>1.55</v>
      </c>
      <c r="D48">
        <v>-0.41958564939739129</v>
      </c>
      <c r="E48">
        <v>46.028482479219072</v>
      </c>
      <c r="F48">
        <v>0.60056242718657493</v>
      </c>
      <c r="G48">
        <v>-0.41559963354623286</v>
      </c>
      <c r="H48">
        <v>0</v>
      </c>
      <c r="I48">
        <v>0</v>
      </c>
    </row>
    <row r="49" spans="1:9">
      <c r="A49">
        <v>48</v>
      </c>
      <c r="B49">
        <v>0.60056242718657493</v>
      </c>
      <c r="C49">
        <v>1.55</v>
      </c>
      <c r="D49">
        <v>-0.41559963354623286</v>
      </c>
      <c r="E49">
        <v>46.028482479219072</v>
      </c>
      <c r="F49">
        <v>0.60905836228500654</v>
      </c>
      <c r="G49">
        <v>-0.41154019462465896</v>
      </c>
      <c r="H49">
        <v>0</v>
      </c>
      <c r="I49">
        <v>0</v>
      </c>
    </row>
    <row r="50" spans="1:9">
      <c r="A50">
        <v>49</v>
      </c>
      <c r="B50">
        <v>0.60905836228500654</v>
      </c>
      <c r="C50">
        <v>1.55</v>
      </c>
      <c r="D50">
        <v>-0.41154019462465896</v>
      </c>
      <c r="E50">
        <v>46.028482479219072</v>
      </c>
      <c r="F50">
        <v>0.61739675840154795</v>
      </c>
      <c r="G50">
        <v>-0.40741049578423805</v>
      </c>
      <c r="H50">
        <v>0</v>
      </c>
      <c r="I50">
        <v>0</v>
      </c>
    </row>
    <row r="51" spans="1:9">
      <c r="A51">
        <v>50</v>
      </c>
      <c r="B51">
        <v>0.61739675840154795</v>
      </c>
      <c r="C51">
        <v>1.55</v>
      </c>
      <c r="D51">
        <v>-0.40741049578423805</v>
      </c>
      <c r="E51">
        <v>46.028482479219072</v>
      </c>
      <c r="F51">
        <v>0.6255790571512273</v>
      </c>
      <c r="G51">
        <v>-0.40321376861664548</v>
      </c>
      <c r="H51">
        <v>0</v>
      </c>
      <c r="I51">
        <v>0</v>
      </c>
    </row>
    <row r="52" spans="1:9">
      <c r="A52">
        <v>51</v>
      </c>
      <c r="B52">
        <v>0.6255790571512273</v>
      </c>
      <c r="C52">
        <v>1.55</v>
      </c>
      <c r="D52">
        <v>-0.40321376861664548</v>
      </c>
      <c r="E52">
        <v>46.028482479219072</v>
      </c>
      <c r="F52">
        <v>0.63360674690360375</v>
      </c>
      <c r="G52">
        <v>-0.39895330486198965</v>
      </c>
      <c r="H52">
        <v>0</v>
      </c>
      <c r="I52">
        <v>0</v>
      </c>
    </row>
    <row r="53" spans="1:9">
      <c r="A53">
        <v>52</v>
      </c>
      <c r="B53">
        <v>0.63360674690360375</v>
      </c>
      <c r="C53">
        <v>1.55</v>
      </c>
      <c r="D53">
        <v>-0.39895330486198965</v>
      </c>
      <c r="E53">
        <v>46.028482479219072</v>
      </c>
      <c r="F53">
        <v>0.64148136049579774</v>
      </c>
      <c r="G53">
        <v>-0.39463244819244525</v>
      </c>
      <c r="H53">
        <v>0</v>
      </c>
      <c r="I53">
        <v>0</v>
      </c>
    </row>
    <row r="54" spans="1:9">
      <c r="A54">
        <v>53</v>
      </c>
      <c r="B54">
        <v>0.64148136049579774</v>
      </c>
      <c r="C54">
        <v>1.55</v>
      </c>
      <c r="D54">
        <v>-0.39463244819244525</v>
      </c>
      <c r="E54">
        <v>46.028482479219072</v>
      </c>
      <c r="F54">
        <v>0.64920447290427408</v>
      </c>
      <c r="G54">
        <v>-0.39025458609148822</v>
      </c>
      <c r="H54">
        <v>0</v>
      </c>
      <c r="I54">
        <v>0</v>
      </c>
    </row>
    <row r="55" spans="1:9">
      <c r="A55">
        <v>54</v>
      </c>
      <c r="B55">
        <v>0.64920447290427408</v>
      </c>
      <c r="C55">
        <v>1.55</v>
      </c>
      <c r="D55">
        <v>-0.39025458609148822</v>
      </c>
      <c r="E55">
        <v>46.028482479219072</v>
      </c>
      <c r="F55">
        <v>0.65677769888595461</v>
      </c>
      <c r="G55">
        <v>-0.38582314184855271</v>
      </c>
      <c r="H55">
        <v>0</v>
      </c>
      <c r="I55">
        <v>0</v>
      </c>
    </row>
    <row r="56" spans="1:9">
      <c r="A56">
        <v>55</v>
      </c>
      <c r="B56">
        <v>0.65677769888595461</v>
      </c>
      <c r="C56">
        <v>1.55</v>
      </c>
      <c r="D56">
        <v>-0.38582314184855271</v>
      </c>
      <c r="E56">
        <v>46.028482479219072</v>
      </c>
      <c r="F56">
        <v>0.66420269059860859</v>
      </c>
      <c r="G56">
        <v>-0.38134156668835661</v>
      </c>
      <c r="H56">
        <v>0</v>
      </c>
      <c r="I56">
        <v>0</v>
      </c>
    </row>
    <row r="57" spans="1:9">
      <c r="A57">
        <v>56</v>
      </c>
      <c r="B57">
        <v>0.66420269059860859</v>
      </c>
      <c r="C57">
        <v>1.55</v>
      </c>
      <c r="D57">
        <v>-0.38134156668835661</v>
      </c>
      <c r="E57">
        <v>46.028482479219072</v>
      </c>
      <c r="F57">
        <v>0.67148113520984698</v>
      </c>
      <c r="G57">
        <v>-0.37681333205345091</v>
      </c>
      <c r="H57">
        <v>0</v>
      </c>
      <c r="I57">
        <v>0</v>
      </c>
    </row>
    <row r="58" spans="1:9">
      <c r="A58">
        <v>57</v>
      </c>
      <c r="B58">
        <v>0.67148113520984698</v>
      </c>
      <c r="C58">
        <v>1.55</v>
      </c>
      <c r="D58">
        <v>-0.37681333205345091</v>
      </c>
      <c r="E58">
        <v>46.028482479219072</v>
      </c>
      <c r="F58">
        <v>0.67861475250343573</v>
      </c>
      <c r="G58">
        <v>-0.37224192205776119</v>
      </c>
      <c r="H58">
        <v>0</v>
      </c>
      <c r="I58">
        <v>0</v>
      </c>
    </row>
    <row r="59" spans="1:9">
      <c r="A59">
        <v>58</v>
      </c>
      <c r="B59">
        <v>0.67861475250343573</v>
      </c>
      <c r="C59">
        <v>1.55</v>
      </c>
      <c r="D59">
        <v>-0.37224192205776119</v>
      </c>
      <c r="E59">
        <v>46.028482479219072</v>
      </c>
      <c r="F59">
        <v>0.6856052924910393</v>
      </c>
      <c r="G59">
        <v>-0.36763082612801801</v>
      </c>
      <c r="H59">
        <v>0</v>
      </c>
      <c r="I59">
        <v>0</v>
      </c>
    </row>
    <row r="60" spans="1:9">
      <c r="A60">
        <v>59</v>
      </c>
      <c r="B60">
        <v>0.6856052924910393</v>
      </c>
      <c r="C60">
        <v>1.55</v>
      </c>
      <c r="D60">
        <v>-0.36763082612801801</v>
      </c>
      <c r="E60">
        <v>46.028482479219072</v>
      </c>
      <c r="F60">
        <v>0.69245453303691884</v>
      </c>
      <c r="G60">
        <v>-0.36298353184901644</v>
      </c>
      <c r="H60">
        <v>0</v>
      </c>
      <c r="I60">
        <v>0</v>
      </c>
    </row>
    <row r="61" spans="1:9">
      <c r="A61">
        <v>60</v>
      </c>
      <c r="B61">
        <v>0.69245453303691884</v>
      </c>
      <c r="C61">
        <v>1.55</v>
      </c>
      <c r="D61">
        <v>-0.36298353184901644</v>
      </c>
      <c r="E61">
        <v>46.028482479219072</v>
      </c>
      <c r="F61">
        <v>0.69916427750253041</v>
      </c>
      <c r="G61">
        <v>-0.35830351802761973</v>
      </c>
      <c r="H61">
        <v>0</v>
      </c>
      <c r="I61">
        <v>0</v>
      </c>
    </row>
    <row r="62" spans="1:9">
      <c r="A62">
        <v>61</v>
      </c>
      <c r="B62">
        <v>0.69916427750253041</v>
      </c>
      <c r="C62">
        <v>1.55</v>
      </c>
      <c r="D62">
        <v>-0.35830351802761973</v>
      </c>
      <c r="E62">
        <v>46.028482479219072</v>
      </c>
      <c r="F62">
        <v>0.70573635241741051</v>
      </c>
      <c r="G62">
        <v>-0.35359424798933436</v>
      </c>
      <c r="H62">
        <v>0</v>
      </c>
      <c r="I62">
        <v>0</v>
      </c>
    </row>
    <row r="63" spans="1:9">
      <c r="A63">
        <v>62</v>
      </c>
      <c r="B63">
        <v>0.70573635241741051</v>
      </c>
      <c r="C63">
        <v>1.55</v>
      </c>
      <c r="D63">
        <v>-0.35359424798933436</v>
      </c>
      <c r="E63">
        <v>46.028482479219072</v>
      </c>
      <c r="F63">
        <v>0.71217260518218972</v>
      </c>
      <c r="G63">
        <v>-0.34885916312014831</v>
      </c>
      <c r="H63">
        <v>0</v>
      </c>
      <c r="I63">
        <v>0</v>
      </c>
    </row>
    <row r="64" spans="1:9">
      <c r="A64">
        <v>63</v>
      </c>
      <c r="B64">
        <v>0.71217260518218972</v>
      </c>
      <c r="C64">
        <v>1.55</v>
      </c>
      <c r="D64">
        <v>-0.34885916312014831</v>
      </c>
      <c r="E64">
        <v>46.028482479219072</v>
      </c>
      <c r="F64">
        <v>0.71847490180905027</v>
      </c>
      <c r="G64">
        <v>-0.34410167666513813</v>
      </c>
      <c r="H64">
        <v>0</v>
      </c>
      <c r="I64">
        <v>0</v>
      </c>
    </row>
    <row r="65" spans="1:9">
      <c r="A65">
        <v>64</v>
      </c>
      <c r="B65">
        <v>0.71847490180905027</v>
      </c>
      <c r="C65">
        <v>1.55</v>
      </c>
      <c r="D65">
        <v>-0.34410167666513813</v>
      </c>
      <c r="E65">
        <v>46.028482479219072</v>
      </c>
      <c r="F65">
        <v>0.72464512470443188</v>
      </c>
      <c r="G65">
        <v>-0.33932516779413813</v>
      </c>
      <c r="H65">
        <v>0</v>
      </c>
      <c r="I65">
        <v>0</v>
      </c>
    </row>
    <row r="66" spans="1:9">
      <c r="A66">
        <v>65</v>
      </c>
      <c r="B66">
        <v>0.72464512470443188</v>
      </c>
      <c r="C66">
        <v>1.55</v>
      </c>
      <c r="D66">
        <v>-0.33932516779413813</v>
      </c>
      <c r="E66">
        <v>46.028482479219072</v>
      </c>
      <c r="F66">
        <v>0.73068517049830328</v>
      </c>
      <c r="G66">
        <v>-0.33453297594352593</v>
      </c>
      <c r="H66">
        <v>0</v>
      </c>
      <c r="I66">
        <v>0</v>
      </c>
    </row>
    <row r="67" spans="1:9">
      <c r="A67">
        <v>66</v>
      </c>
      <c r="B67">
        <v>0.73068517049830328</v>
      </c>
      <c r="C67">
        <v>1.55</v>
      </c>
      <c r="D67">
        <v>-0.33453297594352593</v>
      </c>
      <c r="E67">
        <v>46.028482479219072</v>
      </c>
      <c r="F67">
        <v>0.73659694792384489</v>
      </c>
      <c r="G67">
        <v>-0.3297283954419219</v>
      </c>
      <c r="H67">
        <v>0</v>
      </c>
      <c r="I67">
        <v>0</v>
      </c>
    </row>
    <row r="68" spans="1:9">
      <c r="A68">
        <v>67</v>
      </c>
      <c r="B68">
        <v>0.73659694792384489</v>
      </c>
      <c r="C68">
        <v>1.55</v>
      </c>
      <c r="D68">
        <v>-0.3297283954419219</v>
      </c>
      <c r="E68">
        <v>46.028482479219072</v>
      </c>
      <c r="F68">
        <v>0.74238237575094057</v>
      </c>
      <c r="G68">
        <v>-0.32491467042633793</v>
      </c>
      <c r="H68">
        <v>0</v>
      </c>
      <c r="I68">
        <v>0</v>
      </c>
    </row>
    <row r="69" spans="1:9">
      <c r="A69">
        <v>68</v>
      </c>
      <c r="B69">
        <v>0.74238237575094057</v>
      </c>
      <c r="C69">
        <v>1.55</v>
      </c>
      <c r="D69">
        <v>-0.32491467042633793</v>
      </c>
      <c r="E69">
        <v>46.028482479219072</v>
      </c>
      <c r="F69">
        <v>0.74804338077644583</v>
      </c>
      <c r="G69">
        <v>-0.32009499005405473</v>
      </c>
      <c r="H69">
        <v>0</v>
      </c>
      <c r="I69">
        <v>0</v>
      </c>
    </row>
    <row r="70" spans="1:9">
      <c r="A70">
        <v>69</v>
      </c>
      <c r="B70">
        <v>0.74804338077644583</v>
      </c>
      <c r="C70">
        <v>1.55</v>
      </c>
      <c r="D70">
        <v>-0.32009499005405473</v>
      </c>
      <c r="E70">
        <v>46.028482479219072</v>
      </c>
      <c r="F70">
        <v>0.75358189587379332</v>
      </c>
      <c r="G70">
        <v>-0.31527248401425201</v>
      </c>
      <c r="H70">
        <v>0</v>
      </c>
      <c r="I70">
        <v>0</v>
      </c>
    </row>
    <row r="71" spans="1:9">
      <c r="A71">
        <v>70</v>
      </c>
      <c r="B71">
        <v>0.75358189587379332</v>
      </c>
      <c r="C71">
        <v>1.55</v>
      </c>
      <c r="D71">
        <v>-0.31527248401425201</v>
      </c>
      <c r="E71">
        <v>46.028482479219072</v>
      </c>
      <c r="F71">
        <v>0.75899985810410875</v>
      </c>
      <c r="G71">
        <v>-0.31045021834218511</v>
      </c>
      <c r="H71">
        <v>0</v>
      </c>
      <c r="I71">
        <v>0</v>
      </c>
    </row>
    <row r="72" spans="1:9">
      <c r="A72">
        <v>71</v>
      </c>
      <c r="B72">
        <v>0.75899985810410875</v>
      </c>
      <c r="C72">
        <v>1.55</v>
      </c>
      <c r="D72">
        <v>-0.31045021834218511</v>
      </c>
      <c r="E72">
        <v>46.028482479219072</v>
      </c>
      <c r="F72">
        <v>0.76429920689064657</v>
      </c>
      <c r="G72">
        <v>-0.30563119153749307</v>
      </c>
      <c r="H72">
        <v>0</v>
      </c>
      <c r="I72">
        <v>0</v>
      </c>
    </row>
    <row r="73" spans="1:9">
      <c r="A73">
        <v>72</v>
      </c>
      <c r="B73">
        <v>0.76429920689064657</v>
      </c>
      <c r="C73">
        <v>1.55</v>
      </c>
      <c r="D73">
        <v>-0.30563119153749307</v>
      </c>
      <c r="E73">
        <v>46.028482479219072</v>
      </c>
      <c r="F73">
        <v>0.76948188225800818</v>
      </c>
      <c r="G73">
        <v>-0.3008183309870458</v>
      </c>
      <c r="H73">
        <v>0</v>
      </c>
      <c r="I73">
        <v>0</v>
      </c>
    </row>
    <row r="74" spans="1:9">
      <c r="A74">
        <v>73</v>
      </c>
      <c r="B74">
        <v>0.76948188225800818</v>
      </c>
      <c r="C74">
        <v>1.55</v>
      </c>
      <c r="D74">
        <v>-0.3008183309870458</v>
      </c>
      <c r="E74">
        <v>46.028482479219072</v>
      </c>
      <c r="F74">
        <v>0.77454982313728371</v>
      </c>
      <c r="G74">
        <v>-0.29601448969159672</v>
      </c>
      <c r="H74">
        <v>0</v>
      </c>
      <c r="I74">
        <v>0</v>
      </c>
    </row>
    <row r="75" spans="1:9">
      <c r="A75">
        <v>74</v>
      </c>
      <c r="B75">
        <v>0.77454982313728371</v>
      </c>
      <c r="C75">
        <v>1.55</v>
      </c>
      <c r="D75">
        <v>-0.29601448969159672</v>
      </c>
      <c r="E75">
        <v>46.028482479219072</v>
      </c>
      <c r="F75">
        <v>0.77950496573795414</v>
      </c>
      <c r="G75">
        <v>-0.29122244329441294</v>
      </c>
      <c r="H75">
        <v>0</v>
      </c>
      <c r="I75">
        <v>0</v>
      </c>
    </row>
    <row r="76" spans="1:9">
      <c r="A76">
        <v>75</v>
      </c>
      <c r="B76">
        <v>0.77950496573795414</v>
      </c>
      <c r="C76">
        <v>1.55</v>
      </c>
      <c r="D76">
        <v>-0.29122244329441294</v>
      </c>
      <c r="E76">
        <v>46.028482479219072</v>
      </c>
      <c r="F76">
        <v>0.7843492419871092</v>
      </c>
      <c r="G76">
        <v>-0.2864448874090042</v>
      </c>
      <c r="H76">
        <v>0</v>
      </c>
      <c r="I76">
        <v>0</v>
      </c>
    </row>
    <row r="77" spans="1:9">
      <c r="A77">
        <v>76</v>
      </c>
      <c r="B77">
        <v>0.7843492419871092</v>
      </c>
      <c r="C77">
        <v>1.55</v>
      </c>
      <c r="D77">
        <v>-0.2864448874090042</v>
      </c>
      <c r="E77">
        <v>46.028482479219072</v>
      </c>
      <c r="F77">
        <v>0.78908457803627352</v>
      </c>
      <c r="G77">
        <v>-0.28168443524207609</v>
      </c>
      <c r="H77">
        <v>0</v>
      </c>
      <c r="I77">
        <v>0</v>
      </c>
    </row>
    <row r="78" spans="1:9">
      <c r="A78">
        <v>77</v>
      </c>
      <c r="B78">
        <v>0.78908457803627352</v>
      </c>
      <c r="C78">
        <v>1.55</v>
      </c>
      <c r="D78">
        <v>-0.28168443524207609</v>
      </c>
      <c r="E78">
        <v>46.028482479219072</v>
      </c>
      <c r="F78">
        <v>0.79371289283588842</v>
      </c>
      <c r="G78">
        <v>-0.27694361550689595</v>
      </c>
      <c r="H78">
        <v>0</v>
      </c>
      <c r="I78">
        <v>0</v>
      </c>
    </row>
    <row r="79" spans="1:9">
      <c r="A79">
        <v>78</v>
      </c>
      <c r="B79">
        <v>0.79371289283588842</v>
      </c>
      <c r="C79">
        <v>1.55</v>
      </c>
      <c r="D79">
        <v>-0.27694361550689595</v>
      </c>
      <c r="E79">
        <v>46.028482479219072</v>
      </c>
      <c r="F79">
        <v>0.79823609677727569</v>
      </c>
      <c r="G79">
        <v>-0.27222487062137546</v>
      </c>
      <c r="H79">
        <v>0</v>
      </c>
      <c r="I79">
        <v>0</v>
      </c>
    </row>
    <row r="80" spans="1:9">
      <c r="A80">
        <v>79</v>
      </c>
      <c r="B80">
        <v>0.79823609677727569</v>
      </c>
      <c r="C80">
        <v>1.55</v>
      </c>
      <c r="D80">
        <v>-0.27222487062137546</v>
      </c>
      <c r="E80">
        <v>46.028482479219072</v>
      </c>
      <c r="F80">
        <v>0.80265609040169994</v>
      </c>
      <c r="G80">
        <v>-0.2675305551843643</v>
      </c>
      <c r="H80">
        <v>0</v>
      </c>
      <c r="I80">
        <v>0</v>
      </c>
    </row>
    <row r="81" spans="1:9">
      <c r="A81">
        <v>80</v>
      </c>
      <c r="B81">
        <v>0.80265609040169994</v>
      </c>
      <c r="C81">
        <v>1.55</v>
      </c>
      <c r="D81">
        <v>-0.2675305551843643</v>
      </c>
      <c r="E81">
        <v>46.028482479219072</v>
      </c>
      <c r="F81">
        <v>0.8069747631759604</v>
      </c>
      <c r="G81">
        <v>-0.2628629347228878</v>
      </c>
      <c r="H81">
        <v>0</v>
      </c>
      <c r="I81">
        <v>0</v>
      </c>
    </row>
    <row r="82" spans="1:9">
      <c r="A82">
        <v>81</v>
      </c>
      <c r="B82">
        <v>0.8069747631759604</v>
      </c>
      <c r="C82">
        <v>1.55</v>
      </c>
      <c r="D82">
        <v>-0.2628629347228878</v>
      </c>
      <c r="E82">
        <v>46.028482479219072</v>
      </c>
      <c r="F82">
        <v>0.81119399233376988</v>
      </c>
      <c r="G82">
        <v>-0.25822418470238451</v>
      </c>
      <c r="H82">
        <v>0</v>
      </c>
      <c r="I82">
        <v>0</v>
      </c>
    </row>
    <row r="83" spans="1:9">
      <c r="A83">
        <v>82</v>
      </c>
      <c r="B83">
        <v>0.81119399233376988</v>
      </c>
      <c r="C83">
        <v>1.55</v>
      </c>
      <c r="D83">
        <v>-0.25822418470238451</v>
      </c>
      <c r="E83">
        <v>46.028482479219072</v>
      </c>
      <c r="F83">
        <v>0.81531564178202365</v>
      </c>
      <c r="G83">
        <v>-0.25361638979137557</v>
      </c>
      <c r="H83">
        <v>0</v>
      </c>
      <c r="I83">
        <v>0</v>
      </c>
    </row>
    <row r="84" spans="1:9">
      <c r="A84">
        <v>83</v>
      </c>
      <c r="B84">
        <v>0.81531564178202365</v>
      </c>
      <c r="C84">
        <v>1.55</v>
      </c>
      <c r="D84">
        <v>-0.25361638979137557</v>
      </c>
      <c r="E84">
        <v>46.028482479219072</v>
      </c>
      <c r="F84">
        <v>0.81934156107092171</v>
      </c>
      <c r="G84">
        <v>-0.24904154337144824</v>
      </c>
      <c r="H84">
        <v>0</v>
      </c>
      <c r="I84">
        <v>0</v>
      </c>
    </row>
    <row r="85" spans="1:9">
      <c r="A85">
        <v>84</v>
      </c>
      <c r="B85">
        <v>0.81934156107092171</v>
      </c>
      <c r="C85">
        <v>1.55</v>
      </c>
      <c r="D85">
        <v>-0.24904154337144824</v>
      </c>
      <c r="E85">
        <v>46.028482479219072</v>
      </c>
      <c r="F85">
        <v>0.82327358442678322</v>
      </c>
      <c r="G85">
        <v>-0.2445015472829527</v>
      </c>
      <c r="H85">
        <v>0</v>
      </c>
      <c r="I85">
        <v>0</v>
      </c>
    </row>
    <row r="86" spans="1:9">
      <c r="A86">
        <v>85</v>
      </c>
      <c r="B86">
        <v>0.82327358442678322</v>
      </c>
      <c r="C86">
        <v>1.55</v>
      </c>
      <c r="D86">
        <v>-0.2445015472829527</v>
      </c>
      <c r="E86">
        <v>46.028482479219072</v>
      </c>
      <c r="F86">
        <v>0.82711352984628073</v>
      </c>
      <c r="G86">
        <v>-0.23999821179639713</v>
      </c>
      <c r="H86">
        <v>0</v>
      </c>
      <c r="I86">
        <v>0</v>
      </c>
    </row>
    <row r="87" spans="1:9">
      <c r="A87">
        <v>86</v>
      </c>
      <c r="B87">
        <v>0.82711352984628073</v>
      </c>
      <c r="C87">
        <v>1.55</v>
      </c>
      <c r="D87">
        <v>-0.23999821179639713</v>
      </c>
      <c r="E87">
        <v>46.028482479219072</v>
      </c>
      <c r="F87">
        <v>0.83086319825072419</v>
      </c>
      <c r="G87">
        <v>-0.23553325579917228</v>
      </c>
      <c r="H87">
        <v>0</v>
      </c>
      <c r="I87">
        <v>0</v>
      </c>
    </row>
    <row r="88" spans="1:9">
      <c r="A88">
        <v>87</v>
      </c>
      <c r="B88">
        <v>0.83086319825072419</v>
      </c>
      <c r="C88">
        <v>1.55</v>
      </c>
      <c r="D88">
        <v>-0.23553325579917228</v>
      </c>
      <c r="E88">
        <v>46.028482479219072</v>
      </c>
      <c r="F88">
        <v>0.83452437269894231</v>
      </c>
      <c r="G88">
        <v>-0.23110830718695674</v>
      </c>
      <c r="H88">
        <v>0</v>
      </c>
      <c r="I88">
        <v>0</v>
      </c>
    </row>
    <row r="89" spans="1:9">
      <c r="A89">
        <v>88</v>
      </c>
      <c r="B89">
        <v>0.83452437269894231</v>
      </c>
      <c r="C89">
        <v>1.55</v>
      </c>
      <c r="D89">
        <v>-0.23110830718695674</v>
      </c>
      <c r="E89">
        <v>46.028482479219072</v>
      </c>
      <c r="F89">
        <v>0.83809881765723326</v>
      </c>
      <c r="G89">
        <v>-0.22672490344892648</v>
      </c>
      <c r="H89">
        <v>0</v>
      </c>
      <c r="I89">
        <v>0</v>
      </c>
    </row>
    <row r="90" spans="1:9">
      <c r="A90">
        <v>89</v>
      </c>
      <c r="B90">
        <v>0.83809881765723326</v>
      </c>
      <c r="C90">
        <v>1.55</v>
      </c>
      <c r="D90">
        <v>-0.22672490344892648</v>
      </c>
      <c r="E90">
        <v>46.028482479219072</v>
      </c>
      <c r="F90">
        <v>0.84158827832479732</v>
      </c>
      <c r="G90">
        <v>-0.2223844924357371</v>
      </c>
      <c r="H90">
        <v>0</v>
      </c>
      <c r="I90">
        <v>0</v>
      </c>
    </row>
    <row r="91" spans="1:9">
      <c r="A91">
        <v>90</v>
      </c>
      <c r="B91">
        <v>0.84158827832479732</v>
      </c>
      <c r="C91">
        <v>1.55</v>
      </c>
      <c r="D91">
        <v>-0.2223844924357371</v>
      </c>
      <c r="E91">
        <v>46.028482479219072</v>
      </c>
      <c r="F91">
        <v>0.84499448001301247</v>
      </c>
      <c r="G91">
        <v>-0.21808843329913929</v>
      </c>
      <c r="H91">
        <v>0</v>
      </c>
      <c r="I91">
        <v>0</v>
      </c>
    </row>
    <row r="92" spans="1:9">
      <c r="A92">
        <v>91</v>
      </c>
      <c r="B92">
        <v>0.84499448001301247</v>
      </c>
      <c r="C92">
        <v>1.55</v>
      </c>
      <c r="D92">
        <v>-0.21808843329913929</v>
      </c>
      <c r="E92">
        <v>46.028482479219072</v>
      </c>
      <c r="F92">
        <v>0.848319127576873</v>
      </c>
      <c r="G92">
        <v>-0.21383799759204514</v>
      </c>
      <c r="H92">
        <v>0</v>
      </c>
      <c r="I92">
        <v>0</v>
      </c>
    </row>
    <row r="93" spans="1:9">
      <c r="A93">
        <v>92</v>
      </c>
      <c r="B93">
        <v>0.848319127576873</v>
      </c>
      <c r="C93">
        <v>1.55</v>
      </c>
      <c r="D93">
        <v>-0.21383799759204514</v>
      </c>
      <c r="E93">
        <v>46.028482479219072</v>
      </c>
      <c r="F93">
        <v>0.85156390489687894</v>
      </c>
      <c r="G93">
        <v>-0.20963437051786593</v>
      </c>
      <c r="H93">
        <v>0</v>
      </c>
      <c r="I93">
        <v>0</v>
      </c>
    </row>
    <row r="94" spans="1:9">
      <c r="A94">
        <v>93</v>
      </c>
      <c r="B94">
        <v>0.85156390489687894</v>
      </c>
      <c r="C94">
        <v>1.55</v>
      </c>
      <c r="D94">
        <v>-0.20963437051786593</v>
      </c>
      <c r="E94">
        <v>46.028482479219072</v>
      </c>
      <c r="F94">
        <v>0.85473047440964089</v>
      </c>
      <c r="G94">
        <v>-0.20547865231800166</v>
      </c>
      <c r="H94">
        <v>0</v>
      </c>
      <c r="I94">
        <v>0</v>
      </c>
    </row>
    <row r="95" spans="1:9">
      <c r="A95">
        <v>94</v>
      </c>
      <c r="B95">
        <v>0.85473047440964089</v>
      </c>
      <c r="C95">
        <v>1.55</v>
      </c>
      <c r="D95">
        <v>-0.20547865231800166</v>
      </c>
      <c r="E95">
        <v>46.028482479219072</v>
      </c>
      <c r="F95">
        <v>0.85782047668544925</v>
      </c>
      <c r="G95">
        <v>-0.201371859786459</v>
      </c>
      <c r="H95">
        <v>0</v>
      </c>
      <c r="I95">
        <v>0</v>
      </c>
    </row>
    <row r="96" spans="1:9">
      <c r="A96">
        <v>95</v>
      </c>
      <c r="B96">
        <v>0.85782047668544925</v>
      </c>
      <c r="C96">
        <v>1.55</v>
      </c>
      <c r="D96">
        <v>-0.201371859786459</v>
      </c>
      <c r="E96">
        <v>46.028482479219072</v>
      </c>
      <c r="F96">
        <v>0.86083553005104796</v>
      </c>
      <c r="G96">
        <v>-0.1973149279007278</v>
      </c>
      <c r="H96">
        <v>0</v>
      </c>
      <c r="I96">
        <v>0</v>
      </c>
    </row>
    <row r="97" spans="1:9">
      <c r="A97">
        <v>96</v>
      </c>
      <c r="B97">
        <v>0.86083553005104796</v>
      </c>
      <c r="C97">
        <v>1.55</v>
      </c>
      <c r="D97">
        <v>-0.1973149279007278</v>
      </c>
      <c r="E97">
        <v>46.028482479219072</v>
      </c>
      <c r="F97">
        <v>0.86377723025585129</v>
      </c>
      <c r="G97">
        <v>-0.19330871155822527</v>
      </c>
      <c r="H97">
        <v>0</v>
      </c>
      <c r="I97">
        <v>0</v>
      </c>
    </row>
    <row r="98" spans="1:9">
      <c r="A98">
        <v>97</v>
      </c>
      <c r="B98">
        <v>0.86377723025585129</v>
      </c>
      <c r="C98">
        <v>1.55</v>
      </c>
      <c r="D98">
        <v>-0.19330871155822527</v>
      </c>
      <c r="E98">
        <v>46.028482479219072</v>
      </c>
      <c r="F98">
        <v>0.8666471501798465</v>
      </c>
      <c r="G98">
        <v>-0.18935398740784204</v>
      </c>
      <c r="H98">
        <v>0</v>
      </c>
      <c r="I98">
        <v>0</v>
      </c>
    </row>
    <row r="99" spans="1:9">
      <c r="A99">
        <v>98</v>
      </c>
      <c r="B99">
        <v>0.8666471501798465</v>
      </c>
      <c r="C99">
        <v>1.55</v>
      </c>
      <c r="D99">
        <v>-0.18935398740784204</v>
      </c>
      <c r="E99">
        <v>46.028482479219072</v>
      </c>
      <c r="F99">
        <v>0.86944683958143487</v>
      </c>
      <c r="G99">
        <v>-0.185451455766377</v>
      </c>
      <c r="H99">
        <v>0</v>
      </c>
      <c r="I99">
        <v>0</v>
      </c>
    </row>
    <row r="100" spans="1:9">
      <c r="A100">
        <v>99</v>
      </c>
      <c r="B100">
        <v>0.86944683958143487</v>
      </c>
      <c r="C100">
        <v>1.55</v>
      </c>
      <c r="D100">
        <v>-0.185451455766377</v>
      </c>
      <c r="E100">
        <v>46.028482479219072</v>
      </c>
      <c r="F100">
        <v>0.87217782488347784</v>
      </c>
      <c r="G100">
        <v>-0.18160174260993467</v>
      </c>
      <c r="H100">
        <v>0</v>
      </c>
      <c r="I100">
        <v>0</v>
      </c>
    </row>
    <row r="101" spans="1:9">
      <c r="A101">
        <v>100</v>
      </c>
      <c r="B101">
        <v>0.87217782488347784</v>
      </c>
      <c r="C101">
        <v>1.55</v>
      </c>
      <c r="D101">
        <v>-0.18160174260993467</v>
      </c>
      <c r="E101">
        <v>46.028482479219072</v>
      </c>
      <c r="F101">
        <v>0.87484160899583552</v>
      </c>
      <c r="G101">
        <v>-0.17780540163066605</v>
      </c>
      <c r="H101">
        <v>0</v>
      </c>
      <c r="I101">
        <v>0</v>
      </c>
    </row>
    <row r="102" spans="1:9">
      <c r="A102">
        <v>101</v>
      </c>
      <c r="B102">
        <v>0.87484160899583552</v>
      </c>
      <c r="C102">
        <v>1.55</v>
      </c>
      <c r="D102">
        <v>-0.17780540163066605</v>
      </c>
      <c r="E102">
        <v>46.028482479219072</v>
      </c>
      <c r="H102">
        <v>0</v>
      </c>
      <c r="I102">
        <v>0</v>
      </c>
    </row>
    <row r="103" spans="1:9">
      <c r="A103" t="s">
        <v>11</v>
      </c>
    </row>
    <row r="104" spans="1:9">
      <c r="A104" t="s">
        <v>12</v>
      </c>
    </row>
  </sheetData>
  <phoneticPr fontId="3" type="noConversion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1A5A2-1A6E-4884-94CC-E34CDA3BFCCF}">
  <sheetPr codeName="Sheet2"/>
  <dimension ref="A1:R22"/>
  <sheetViews>
    <sheetView workbookViewId="0">
      <selection activeCell="J13" sqref="J13"/>
    </sheetView>
  </sheetViews>
  <sheetFormatPr baseColWidth="10" defaultColWidth="8.83203125" defaultRowHeight="14"/>
  <sheetData>
    <row r="1" spans="1:18" ht="15" thickBot="1">
      <c r="A1" s="3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6" t="s">
        <v>6</v>
      </c>
      <c r="H1" s="19" t="s">
        <v>7</v>
      </c>
      <c r="I1" s="20" t="s">
        <v>8</v>
      </c>
      <c r="M1" t="s">
        <v>15</v>
      </c>
      <c r="N1" t="s">
        <v>16</v>
      </c>
    </row>
    <row r="2" spans="1:18" ht="15" thickTop="1">
      <c r="B2">
        <v>1.7</v>
      </c>
      <c r="C2">
        <v>2</v>
      </c>
      <c r="D2">
        <v>-1.4524291761449106</v>
      </c>
      <c r="E2">
        <v>1.1888744181853035</v>
      </c>
      <c r="F2">
        <v>1.8649673115119376</v>
      </c>
      <c r="G2">
        <v>-1.3981574230299998E-2</v>
      </c>
      <c r="M2" s="22">
        <v>0.04</v>
      </c>
      <c r="N2" s="23">
        <f>($Q$4+$Q$8/(M2^2))*(M2-$Q$9)-($Q$3*$Q$5)</f>
        <v>-14.015098849324357</v>
      </c>
      <c r="P2" s="26" t="s">
        <v>17</v>
      </c>
      <c r="Q2" s="27"/>
      <c r="R2" s="28"/>
    </row>
    <row r="3" spans="1:18">
      <c r="A3">
        <v>2</v>
      </c>
      <c r="B3">
        <v>1.8649673115119376</v>
      </c>
      <c r="C3">
        <v>2</v>
      </c>
      <c r="D3">
        <v>-1.3981574230299998E-2</v>
      </c>
      <c r="E3">
        <v>1.1888744181853035</v>
      </c>
      <c r="F3">
        <v>1.8665368839042416</v>
      </c>
      <c r="G3">
        <v>-1.2000100887021858E-4</v>
      </c>
      <c r="H3">
        <v>0</v>
      </c>
      <c r="I3">
        <v>1</v>
      </c>
      <c r="M3" s="22">
        <v>0.05</v>
      </c>
      <c r="N3" s="23">
        <f>($Q$4+$Q$8/M3^2)*(M3-$Q$9)-($Q$3*$Q$5)</f>
        <v>0.70752950382206592</v>
      </c>
      <c r="P3" s="24" t="s">
        <v>18</v>
      </c>
      <c r="Q3" s="1">
        <v>8.2059999999999994E-2</v>
      </c>
      <c r="R3" s="8"/>
    </row>
    <row r="4" spans="1:18">
      <c r="A4">
        <v>3</v>
      </c>
      <c r="B4">
        <v>1.8665368839042416</v>
      </c>
      <c r="C4">
        <v>2</v>
      </c>
      <c r="D4">
        <v>-1.2000100887021858E-4</v>
      </c>
      <c r="E4">
        <v>0.59443720909265174</v>
      </c>
      <c r="F4">
        <v>1.8665638211077711</v>
      </c>
      <c r="G4">
        <v>1.1791945514971758E-4</v>
      </c>
      <c r="H4">
        <v>0</v>
      </c>
      <c r="I4">
        <v>2</v>
      </c>
      <c r="M4" s="22">
        <v>0.06</v>
      </c>
      <c r="N4" s="23">
        <f t="shared" ref="N4:N22" si="0">($Q$4+$Q$8/M4^2)*(M4-$Q$9)-$Q$3*$Q$5</f>
        <v>6.1343596123207078</v>
      </c>
      <c r="P4" s="24" t="s">
        <v>19</v>
      </c>
      <c r="Q4" s="1">
        <v>10</v>
      </c>
      <c r="R4" s="8" t="s">
        <v>20</v>
      </c>
    </row>
    <row r="5" spans="1:18">
      <c r="A5">
        <v>4</v>
      </c>
      <c r="B5">
        <v>1.8665368839042416</v>
      </c>
      <c r="C5">
        <v>1.8665638211077711</v>
      </c>
      <c r="D5">
        <v>-1.2000100887021858E-4</v>
      </c>
      <c r="E5">
        <v>1.1791945514971758E-4</v>
      </c>
      <c r="F5">
        <v>1.8665504703421001</v>
      </c>
      <c r="G5">
        <v>-1.1108625130873406E-10</v>
      </c>
      <c r="H5">
        <v>1</v>
      </c>
      <c r="I5">
        <v>0</v>
      </c>
      <c r="M5" s="22">
        <v>0.1</v>
      </c>
      <c r="N5" s="23">
        <f t="shared" si="0"/>
        <v>6.576206724680457</v>
      </c>
      <c r="P5" s="24" t="s">
        <v>21</v>
      </c>
      <c r="Q5" s="1">
        <v>250</v>
      </c>
      <c r="R5" s="8" t="s">
        <v>22</v>
      </c>
    </row>
    <row r="6" spans="1:18">
      <c r="A6">
        <v>5</v>
      </c>
      <c r="B6">
        <v>1.8665504703421001</v>
      </c>
      <c r="C6">
        <v>1.8665638211077711</v>
      </c>
      <c r="D6">
        <v>-1.1108625130873406E-10</v>
      </c>
      <c r="E6">
        <v>1.1791945514971758E-4</v>
      </c>
      <c r="H6">
        <v>0</v>
      </c>
      <c r="I6">
        <v>1</v>
      </c>
      <c r="M6" s="22">
        <v>0.2</v>
      </c>
      <c r="N6" s="23">
        <f t="shared" si="0"/>
        <v>-1.6777444076075767</v>
      </c>
      <c r="P6" s="24" t="s">
        <v>23</v>
      </c>
      <c r="Q6" s="1">
        <v>407.5</v>
      </c>
      <c r="R6" s="8" t="s">
        <v>22</v>
      </c>
    </row>
    <row r="7" spans="1:18">
      <c r="A7" t="s">
        <v>13</v>
      </c>
      <c r="M7" s="22">
        <v>0.30000000000000004</v>
      </c>
      <c r="N7" s="23">
        <f t="shared" si="0"/>
        <v>-5.5310303024765091</v>
      </c>
      <c r="P7" s="24" t="s">
        <v>24</v>
      </c>
      <c r="Q7" s="1">
        <v>111.3</v>
      </c>
      <c r="R7" s="8" t="s">
        <v>20</v>
      </c>
    </row>
    <row r="8" spans="1:18">
      <c r="A8" t="s">
        <v>14</v>
      </c>
      <c r="B8">
        <v>1.8665504703421001</v>
      </c>
      <c r="M8" s="22">
        <v>0.4</v>
      </c>
      <c r="N8" s="23">
        <f t="shared" si="0"/>
        <v>-7.2892924094309013</v>
      </c>
      <c r="P8" s="24" t="s">
        <v>25</v>
      </c>
      <c r="Q8" s="1">
        <v>4.2384481750010528</v>
      </c>
      <c r="R8" s="8"/>
    </row>
    <row r="9" spans="1:18" ht="15" thickBot="1">
      <c r="M9" s="22">
        <v>0.5</v>
      </c>
      <c r="N9" s="23">
        <f t="shared" si="0"/>
        <v>-8.0503678046499072</v>
      </c>
      <c r="P9" s="25" t="s">
        <v>26</v>
      </c>
      <c r="Q9" s="10">
        <v>3.755553683737646E-2</v>
      </c>
      <c r="R9" s="11"/>
    </row>
    <row r="10" spans="1:18">
      <c r="M10" s="22">
        <v>0.6</v>
      </c>
      <c r="N10" s="23">
        <f t="shared" si="0"/>
        <v>-8.2686339560652371</v>
      </c>
    </row>
    <row r="11" spans="1:18">
      <c r="M11" s="22">
        <v>0.7</v>
      </c>
      <c r="N11" s="23">
        <f t="shared" si="0"/>
        <v>-8.1604808256570802</v>
      </c>
    </row>
    <row r="12" spans="1:18">
      <c r="M12" s="22">
        <v>0.79999999999999993</v>
      </c>
      <c r="N12" s="23">
        <f t="shared" si="0"/>
        <v>-7.841209519262387</v>
      </c>
    </row>
    <row r="13" spans="1:18">
      <c r="M13" s="22">
        <v>0.89999999999999991</v>
      </c>
      <c r="N13" s="23">
        <f t="shared" si="0"/>
        <v>-7.3776835647547685</v>
      </c>
    </row>
    <row r="14" spans="1:18">
      <c r="M14" s="22">
        <v>0.99999999999999989</v>
      </c>
      <c r="N14" s="23">
        <f t="shared" si="0"/>
        <v>-6.8112843899422728</v>
      </c>
    </row>
    <row r="15" spans="1:18">
      <c r="M15" s="22">
        <f>M14+0.5</f>
        <v>1.5</v>
      </c>
      <c r="N15" s="23">
        <f t="shared" si="0"/>
        <v>-3.1356686724039768</v>
      </c>
    </row>
    <row r="16" spans="1:18">
      <c r="M16" s="22">
        <f t="shared" ref="M16:M22" si="1">M15+0.5</f>
        <v>2</v>
      </c>
      <c r="N16" s="23">
        <f t="shared" si="0"/>
        <v>1.1888744199843728</v>
      </c>
    </row>
    <row r="17" spans="13:14">
      <c r="M17" s="22">
        <f t="shared" si="1"/>
        <v>2.5</v>
      </c>
      <c r="N17" s="23">
        <f t="shared" si="0"/>
        <v>5.7793555501755272</v>
      </c>
    </row>
    <row r="18" spans="13:14">
      <c r="M18" s="22">
        <f t="shared" si="1"/>
        <v>3</v>
      </c>
      <c r="N18" s="23">
        <f t="shared" si="0"/>
        <v>10.504574334785527</v>
      </c>
    </row>
    <row r="19" spans="13:14">
      <c r="M19" s="22">
        <f t="shared" si="1"/>
        <v>3.5</v>
      </c>
      <c r="N19" s="23">
        <f t="shared" si="0"/>
        <v>15.307435767620856</v>
      </c>
    </row>
    <row r="20" spans="13:14">
      <c r="M20" s="22">
        <f t="shared" si="1"/>
        <v>4</v>
      </c>
      <c r="N20" s="23">
        <f t="shared" si="0"/>
        <v>20.159108100590903</v>
      </c>
    </row>
    <row r="21" spans="13:14">
      <c r="M21" s="22">
        <f t="shared" si="1"/>
        <v>4.5</v>
      </c>
      <c r="N21" s="23">
        <f t="shared" si="0"/>
        <v>25.043461401548964</v>
      </c>
    </row>
    <row r="22" spans="13:14">
      <c r="M22" s="22">
        <f t="shared" si="1"/>
        <v>5</v>
      </c>
      <c r="N22" s="23">
        <f t="shared" si="0"/>
        <v>29.950767178763673</v>
      </c>
    </row>
  </sheetData>
  <mergeCells count="1">
    <mergeCell ref="P2:R2"/>
  </mergeCells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2.2a</vt:lpstr>
      <vt:lpstr>2.2b</vt:lpstr>
      <vt:lpstr>2.2c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pansdad</dc:creator>
  <cp:lastModifiedBy>Zhen Luo</cp:lastModifiedBy>
  <dcterms:created xsi:type="dcterms:W3CDTF">2011-02-25T19:37:56Z</dcterms:created>
  <dcterms:modified xsi:type="dcterms:W3CDTF">2020-05-13T01:56:05Z</dcterms:modified>
</cp:coreProperties>
</file>