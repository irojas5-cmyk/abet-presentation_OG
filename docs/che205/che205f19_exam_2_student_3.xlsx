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oZhen/Desktop/CHE205_Fall19/mid/exam2/"/>
    </mc:Choice>
  </mc:AlternateContent>
  <xr:revisionPtr revIDLastSave="0" documentId="13_ncr:1_{EC514750-11E9-0B42-A4E3-156DCCFDB295}" xr6:coauthVersionLast="41" xr6:coauthVersionMax="45" xr10:uidLastSave="{00000000-0000-0000-0000-000000000000}"/>
  <bookViews>
    <workbookView xWindow="-30840" yWindow="-2060" windowWidth="23300" windowHeight="156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22" i="1" l="1" a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A41" i="1"/>
  <c r="A33" i="1"/>
  <c r="L33" i="1"/>
  <c r="M33" i="1"/>
  <c r="N33" i="1"/>
  <c r="V33" i="1"/>
  <c r="A34" i="1"/>
  <c r="M34" i="1"/>
  <c r="N34" i="1"/>
  <c r="O34" i="1"/>
  <c r="V34" i="1"/>
  <c r="A35" i="1"/>
  <c r="N35" i="1"/>
  <c r="O35" i="1"/>
  <c r="P35" i="1"/>
  <c r="V35" i="1"/>
  <c r="A36" i="1"/>
  <c r="O36" i="1"/>
  <c r="P36" i="1"/>
  <c r="Q36" i="1"/>
  <c r="V36" i="1"/>
  <c r="A37" i="1"/>
  <c r="P37" i="1"/>
  <c r="Q37" i="1"/>
  <c r="R37" i="1"/>
  <c r="V37" i="1"/>
  <c r="A38" i="1"/>
  <c r="Q38" i="1"/>
  <c r="R38" i="1"/>
  <c r="S38" i="1"/>
  <c r="V38" i="1"/>
  <c r="A39" i="1"/>
  <c r="R39" i="1"/>
  <c r="S39" i="1"/>
  <c r="T39" i="1"/>
  <c r="V39" i="1"/>
  <c r="A40" i="1"/>
  <c r="S40" i="1"/>
  <c r="T40" i="1"/>
  <c r="U40" i="1"/>
  <c r="V40" i="1"/>
  <c r="U41" i="1"/>
  <c r="V41" i="1"/>
  <c r="A22" i="1"/>
  <c r="A23" i="1"/>
  <c r="A24" i="1"/>
  <c r="A25" i="1"/>
  <c r="A26" i="1"/>
  <c r="A27" i="1"/>
  <c r="A28" i="1"/>
  <c r="A29" i="1"/>
  <c r="A30" i="1"/>
  <c r="A31" i="1"/>
  <c r="A32" i="1"/>
  <c r="V32" i="1"/>
  <c r="M32" i="1"/>
  <c r="L32" i="1"/>
  <c r="K32" i="1"/>
  <c r="V31" i="1"/>
  <c r="L31" i="1"/>
  <c r="K31" i="1"/>
  <c r="J31" i="1"/>
  <c r="V30" i="1"/>
  <c r="K30" i="1"/>
  <c r="J30" i="1"/>
  <c r="I30" i="1"/>
  <c r="V29" i="1"/>
  <c r="J29" i="1"/>
  <c r="I29" i="1"/>
  <c r="H29" i="1"/>
  <c r="V28" i="1"/>
  <c r="I28" i="1"/>
  <c r="H28" i="1"/>
  <c r="G28" i="1"/>
  <c r="V27" i="1"/>
  <c r="H27" i="1"/>
  <c r="G27" i="1"/>
  <c r="F27" i="1"/>
  <c r="V26" i="1"/>
  <c r="G26" i="1"/>
  <c r="F26" i="1"/>
  <c r="E26" i="1"/>
  <c r="V25" i="1"/>
  <c r="F25" i="1"/>
  <c r="E25" i="1"/>
  <c r="D25" i="1"/>
  <c r="V24" i="1"/>
  <c r="E24" i="1"/>
  <c r="D24" i="1"/>
  <c r="C24" i="1"/>
  <c r="V23" i="1"/>
  <c r="D23" i="1"/>
  <c r="C23" i="1"/>
  <c r="B23" i="1"/>
  <c r="V22" i="1"/>
  <c r="C22" i="1"/>
  <c r="B22" i="1"/>
  <c r="B12" i="1"/>
  <c r="B13" i="1"/>
  <c r="B14" i="1"/>
  <c r="B15" i="1"/>
  <c r="B16" i="1"/>
  <c r="B17" i="1"/>
  <c r="B18" i="1"/>
  <c r="B19" i="1"/>
  <c r="C12" i="1"/>
  <c r="C13" i="1"/>
  <c r="C14" i="1"/>
  <c r="C15" i="1"/>
  <c r="C16" i="1"/>
  <c r="C17" i="1"/>
  <c r="C18" i="1"/>
  <c r="C19" i="1"/>
  <c r="C11" i="1"/>
  <c r="B11" i="1"/>
  <c r="A19" i="1"/>
  <c r="A16" i="1"/>
  <c r="A17" i="1"/>
  <c r="A18" i="1"/>
  <c r="A12" i="1"/>
  <c r="A13" i="1"/>
  <c r="A14" i="1"/>
  <c r="A15" i="1"/>
  <c r="A11" i="1"/>
</calcChain>
</file>

<file path=xl/sharedStrings.xml><?xml version="1.0" encoding="utf-8"?>
<sst xmlns="http://schemas.openxmlformats.org/spreadsheetml/2006/main" count="18" uniqueCount="17">
  <si>
    <t>=v1</t>
  </si>
  <si>
    <t>=v2</t>
  </si>
  <si>
    <t>=Dx</t>
  </si>
  <si>
    <t>=xmax</t>
  </si>
  <si>
    <t>=alpha</t>
  </si>
  <si>
    <t>=Ta</t>
  </si>
  <si>
    <t>=beta</t>
  </si>
  <si>
    <t>=L</t>
  </si>
  <si>
    <t>x</t>
  </si>
  <si>
    <t>u</t>
  </si>
  <si>
    <t>right b.c.</t>
  </si>
  <si>
    <t>A8=</t>
  </si>
  <si>
    <t>A3=</t>
  </si>
  <si>
    <t>A5=</t>
  </si>
  <si>
    <t>A7=</t>
  </si>
  <si>
    <t>=V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</si>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</sst>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Calibri (Body)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quotePrefix="1" applyFont="1"/>
    <xf numFmtId="0" fontId="4" fillId="0" borderId="0" xfId="1" quotePrefix="1" applyFont="1"/>
    <xf numFmtId="2" fontId="2" fillId="0" borderId="0" xfId="1" applyNumberFormat="1" applyFont="1"/>
    <xf numFmtId="176" fontId="2" fillId="0" borderId="0" xfId="1" applyNumberFormat="1" applyFont="1"/>
    <xf numFmtId="2" fontId="4" fillId="0" borderId="0" xfId="1" applyNumberFormat="1" applyFont="1"/>
    <xf numFmtId="0" fontId="4" fillId="0" borderId="0" xfId="1" applyFont="1"/>
    <xf numFmtId="2" fontId="1" fillId="0" borderId="0" xfId="1" applyNumberFormat="1" applyFont="1"/>
    <xf numFmtId="2" fontId="0" fillId="0" borderId="0" xfId="0" applyNumberFormat="1"/>
    <xf numFmtId="0" fontId="1" fillId="0" borderId="0" xfId="1"/>
    <xf numFmtId="0" fontId="2" fillId="0" borderId="0" xfId="1" applyFont="1"/>
    <xf numFmtId="0" fontId="3" fillId="0" borderId="0" xfId="1" quotePrefix="1" applyFont="1"/>
    <xf numFmtId="0" fontId="4" fillId="0" borderId="0" xfId="1" quotePrefix="1" applyFont="1"/>
    <xf numFmtId="2" fontId="2" fillId="0" borderId="0" xfId="1" applyNumberFormat="1" applyFont="1"/>
    <xf numFmtId="176" fontId="2" fillId="0" borderId="0" xfId="1" applyNumberFormat="1" applyFont="1"/>
    <xf numFmtId="2" fontId="1" fillId="0" borderId="0" xfId="1" applyNumberFormat="1" applyFont="1"/>
    <xf numFmtId="2" fontId="5" fillId="0" borderId="0" xfId="0" applyNumberFormat="1" applyFont="1"/>
  </cellXfs>
  <cellStyles count="2">
    <cellStyle name="Normal" xfId="0" builtinId="0"/>
    <cellStyle name="Normal 2" xfId="1" xr:uid="{93DDCF26-131F-4166-8DD8-68FCAB08BD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Shooting</a:t>
            </a:r>
            <a:r>
              <a:rPr lang="en-US" baseline="0"/>
              <a:t>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Sheet1!$A$10:$A$19</c:f>
              <c:numCache>
                <c:formatCode>0.00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xVal>
          <c:yVal>
            <c:numRef>
              <c:f>Sheet1!$B$10:$B$19</c:f>
              <c:numCache>
                <c:formatCode>0.00</c:formatCode>
                <c:ptCount val="10"/>
                <c:pt idx="0">
                  <c:v>0</c:v>
                </c:pt>
                <c:pt idx="1">
                  <c:v>-0.03</c:v>
                </c:pt>
                <c:pt idx="2">
                  <c:v>-0.36</c:v>
                </c:pt>
                <c:pt idx="3">
                  <c:v>-0.99969696969696975</c:v>
                </c:pt>
                <c:pt idx="4">
                  <c:v>-1.9785479797979799</c:v>
                </c:pt>
                <c:pt idx="5">
                  <c:v>-3.3516089466089469</c:v>
                </c:pt>
                <c:pt idx="6">
                  <c:v>-5.2125804816876258</c:v>
                </c:pt>
                <c:pt idx="7">
                  <c:v>-7.7216815547767945</c:v>
                </c:pt>
                <c:pt idx="8">
                  <c:v>-11.169989079070183</c:v>
                </c:pt>
                <c:pt idx="9">
                  <c:v>-16.153126119836266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C-41DA-BB45-9BA87FE34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21056"/>
        <c:axId val="653819088"/>
      </c:scatterChart>
      <c:valAx>
        <c:axId val="65382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19088"/>
        <c:crosses val="autoZero"/>
        <c:crossBetween val="midCat"/>
      </c:valAx>
      <c:valAx>
        <c:axId val="65381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2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Central</a:t>
            </a:r>
            <a:r>
              <a:rPr lang="en-US" baseline="0"/>
              <a:t> Difference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Sheet1!$W$21:$W$41</c:f>
              <c:numCache>
                <c:formatCode>0.00</c:formatCode>
                <c:ptCount val="21"/>
                <c:pt idx="0">
                  <c:v>1</c:v>
                </c:pt>
                <c:pt idx="1">
                  <c:v>1.041476405646665</c:v>
                </c:pt>
                <c:pt idx="2">
                  <c:v>1.0731077857361178</c:v>
                </c:pt>
                <c:pt idx="3">
                  <c:v>1.0951873693966356</c:v>
                </c:pt>
                <c:pt idx="4">
                  <c:v>1.1081102242972045</c:v>
                </c:pt>
                <c:pt idx="5">
                  <c:v>1.1123457902792424</c:v>
                </c:pt>
                <c:pt idx="6">
                  <c:v>1.108416745724224</c:v>
                </c:pt>
                <c:pt idx="7">
                  <c:v>1.0968824918476525</c:v>
                </c:pt>
                <c:pt idx="8">
                  <c:v>1.0783260910081669</c:v>
                </c:pt>
                <c:pt idx="9">
                  <c:v>1.0533438447130354</c:v>
                </c:pt>
                <c:pt idx="10">
                  <c:v>1.0225369263682931</c:v>
                </c:pt>
                <c:pt idx="11">
                  <c:v>0.9865046387598676</c:v>
                </c:pt>
                <c:pt idx="12">
                  <c:v>0.94583897363944303</c:v>
                </c:pt>
                <c:pt idx="13">
                  <c:v>0.90112022694047877</c:v>
                </c:pt>
                <c:pt idx="14">
                  <c:v>0.85291347826811825</c:v>
                </c:pt>
                <c:pt idx="15">
                  <c:v>0.80176578394352371</c:v>
                </c:pt>
                <c:pt idx="16">
                  <c:v>0.74820396334738071</c:v>
                </c:pt>
                <c:pt idx="17">
                  <c:v>0.69273288149471934</c:v>
                </c:pt>
                <c:pt idx="18">
                  <c:v>0.63583414866802324</c:v>
                </c:pt>
                <c:pt idx="19">
                  <c:v>0.57796517192226959</c:v>
                </c:pt>
                <c:pt idx="20">
                  <c:v>0.51955850433567285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36-4B2F-ABCD-85BCEF654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234808"/>
        <c:axId val="561238416"/>
      </c:scatterChart>
      <c:valAx>
        <c:axId val="561234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38416"/>
        <c:crosses val="autoZero"/>
        <c:crossBetween val="midCat"/>
      </c:valAx>
      <c:valAx>
        <c:axId val="56123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234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3</xdr:row>
      <xdr:rowOff>80962</xdr:rowOff>
    </xdr:from>
    <xdr:to>
      <xdr:col>15</xdr:col>
      <xdr:colOff>409575</xdr:colOff>
      <xdr:row>17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B3A9F5-DD58-4A0D-9172-989282454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552450</xdr:colOff>
      <xdr:row>3</xdr:row>
      <xdr:rowOff>71437</xdr:rowOff>
    </xdr:from>
    <xdr:to>
      <xdr:col>23</xdr:col>
      <xdr:colOff>247650</xdr:colOff>
      <xdr:row>17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9B13D6-E484-4542-9F2C-47EB9FCE9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327535</xdr:colOff>
      <xdr:row>20</xdr:row>
      <xdr:rowOff>1085</xdr:rowOff>
    </xdr:from>
    <xdr:ext cx="8006358" cy="875111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598562D-4344-1B4D-85DF-24B1D998624D}"/>
            </a:ext>
          </a:extLst>
        </xdr:cNvPr>
        <xdr:cNvSpPr/>
      </xdr:nvSpPr>
      <xdr:spPr>
        <a:xfrm>
          <a:off x="5039235" y="4065085"/>
          <a:ext cx="8006358" cy="875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5/10</a:t>
          </a:r>
        </a:p>
        <a:p>
          <a:pPr algn="ctr"/>
          <a:r>
            <a:rPr lang="en-US" altLang="zh-CN" sz="25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equations</a:t>
          </a:r>
          <a:r>
            <a:rPr lang="en-US" altLang="zh-CN" sz="25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are not correctly implemented in both problems</a:t>
          </a:r>
          <a:endParaRPr lang="en-US" altLang="zh-CN" sz="25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ordan%20Eckhart/Desktop/CHE%20205/matrix_v23(1)%20(1)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x"/>
      <sheetName val="WorkArea"/>
      <sheetName val="CommandBarMenu"/>
      <sheetName val="Functions"/>
      <sheetName val="matrix_v23(1) (1)"/>
    </sheetNames>
    <definedNames>
      <definedName name="SysLin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41"/>
  <sheetViews>
    <sheetView tabSelected="1" workbookViewId="0">
      <selection activeCell="U20" sqref="U20"/>
    </sheetView>
  </sheetViews>
  <sheetFormatPr baseColWidth="10" defaultColWidth="8.83203125" defaultRowHeight="15"/>
  <sheetData>
    <row r="1" spans="1:15" ht="16">
      <c r="A1" s="2">
        <v>-2</v>
      </c>
      <c r="B1" s="3" t="s">
        <v>0</v>
      </c>
      <c r="C1" s="2"/>
      <c r="D1" s="4"/>
    </row>
    <row r="2" spans="1:15" ht="16">
      <c r="A2" s="2">
        <v>-1</v>
      </c>
      <c r="B2" s="3" t="s">
        <v>1</v>
      </c>
      <c r="C2" s="5"/>
      <c r="D2" s="4"/>
      <c r="L2" s="12"/>
      <c r="M2" s="13"/>
      <c r="N2" s="12"/>
      <c r="O2" s="14"/>
    </row>
    <row r="3" spans="1:15" ht="16">
      <c r="A3" s="2">
        <v>0.1</v>
      </c>
      <c r="B3" s="4" t="s">
        <v>2</v>
      </c>
      <c r="C3" s="6"/>
      <c r="D3" s="4"/>
      <c r="L3" s="12"/>
      <c r="M3" s="13"/>
      <c r="N3" s="15"/>
      <c r="O3" s="14"/>
    </row>
    <row r="4" spans="1:15" ht="16">
      <c r="A4" s="2">
        <v>0.9</v>
      </c>
      <c r="B4" s="4" t="s">
        <v>3</v>
      </c>
      <c r="C4" s="2"/>
      <c r="D4" s="4"/>
      <c r="K4" t="s">
        <v>12</v>
      </c>
      <c r="L4" s="12"/>
      <c r="M4" s="14"/>
      <c r="N4" s="16"/>
      <c r="O4" s="14"/>
    </row>
    <row r="5" spans="1:15" ht="16">
      <c r="A5" s="2">
        <v>-2</v>
      </c>
      <c r="B5" s="4" t="s">
        <v>4</v>
      </c>
      <c r="C5" s="2"/>
      <c r="D5" s="4"/>
      <c r="L5" s="12"/>
      <c r="M5" s="14"/>
      <c r="N5" s="12"/>
      <c r="O5" s="14"/>
    </row>
    <row r="6" spans="1:15" ht="16">
      <c r="A6" s="5">
        <v>30</v>
      </c>
      <c r="B6" s="14" t="s">
        <v>6</v>
      </c>
      <c r="C6" s="2"/>
      <c r="D6" s="2"/>
      <c r="K6" t="s">
        <v>13</v>
      </c>
      <c r="L6" s="12"/>
      <c r="M6" s="14"/>
      <c r="N6" s="12"/>
      <c r="O6" s="14"/>
    </row>
    <row r="7" spans="1:15" ht="16">
      <c r="A7" s="5">
        <v>0.5</v>
      </c>
      <c r="B7" s="14" t="s">
        <v>15</v>
      </c>
      <c r="C7" s="2"/>
      <c r="D7" s="2"/>
      <c r="L7" s="15">
        <v>4.1666666666666664E-2</v>
      </c>
      <c r="M7" s="14" t="s">
        <v>6</v>
      </c>
      <c r="N7" s="12"/>
      <c r="O7" s="12"/>
    </row>
    <row r="8" spans="1:15" ht="16">
      <c r="A8" s="2"/>
      <c r="B8" s="4"/>
      <c r="C8" s="2"/>
      <c r="D8" s="2"/>
      <c r="K8" t="s">
        <v>14</v>
      </c>
      <c r="L8" s="15">
        <v>0.2</v>
      </c>
      <c r="M8" s="14" t="s">
        <v>5</v>
      </c>
      <c r="N8" s="12"/>
      <c r="O8" s="12"/>
    </row>
    <row r="9" spans="1:15" ht="16">
      <c r="A9" s="7" t="s">
        <v>8</v>
      </c>
      <c r="B9" s="7" t="s">
        <v>16</v>
      </c>
      <c r="C9" s="7" t="s">
        <v>9</v>
      </c>
      <c r="D9" s="8" t="s">
        <v>10</v>
      </c>
      <c r="K9" t="s">
        <v>11</v>
      </c>
      <c r="L9" s="12">
        <v>0.125</v>
      </c>
      <c r="M9" s="14" t="s">
        <v>7</v>
      </c>
      <c r="N9" s="12"/>
      <c r="O9" s="12"/>
    </row>
    <row r="10" spans="1:15" ht="16">
      <c r="A10" s="9">
        <v>0</v>
      </c>
      <c r="B10" s="9">
        <v>0</v>
      </c>
      <c r="C10" s="9">
        <v>-0.3</v>
      </c>
      <c r="D10" s="1"/>
    </row>
    <row r="11" spans="1:15" ht="16">
      <c r="A11" s="9">
        <f>A10+$A$3</f>
        <v>0.1</v>
      </c>
      <c r="B11" s="9">
        <f>B10+$A$3*C10</f>
        <v>-0.03</v>
      </c>
      <c r="C11">
        <f>C10-$A$5*A10*$A$3/(1-(A10)^2)*C10+$A$3*$A$5/(1-(A10)^2)*($A$6*$A$7)</f>
        <v>-3.3</v>
      </c>
    </row>
    <row r="12" spans="1:15" ht="16">
      <c r="A12" s="9">
        <f t="shared" ref="A12:A19" si="0">A11+$A$3</f>
        <v>0.2</v>
      </c>
      <c r="B12" s="17">
        <f t="shared" ref="B12:B19" si="1">B11+$A$3*C11</f>
        <v>-0.36</v>
      </c>
      <c r="C12">
        <f t="shared" ref="C12:C19" si="2">C11-$A$5*A11*$A$3/(1-(A11)^2)*C11+$A$3*$A$5/(1-(A11)^2)*($A$6*$A$7)</f>
        <v>-6.3969696969696974</v>
      </c>
      <c r="D12" s="1"/>
    </row>
    <row r="13" spans="1:15" ht="16">
      <c r="A13" s="9">
        <f t="shared" si="0"/>
        <v>0.30000000000000004</v>
      </c>
      <c r="B13" s="17">
        <f t="shared" si="1"/>
        <v>-0.99969696969696975</v>
      </c>
      <c r="C13">
        <f t="shared" si="2"/>
        <v>-9.7885101010101003</v>
      </c>
      <c r="D13" s="1"/>
    </row>
    <row r="14" spans="1:15" ht="16">
      <c r="A14" s="9">
        <f t="shared" si="0"/>
        <v>0.4</v>
      </c>
      <c r="B14" s="17">
        <f t="shared" si="1"/>
        <v>-1.9785479797979799</v>
      </c>
      <c r="C14">
        <f t="shared" si="2"/>
        <v>-13.730609668109668</v>
      </c>
      <c r="D14" s="1"/>
    </row>
    <row r="15" spans="1:15" ht="16">
      <c r="A15" s="9">
        <f t="shared" si="0"/>
        <v>0.5</v>
      </c>
      <c r="B15" s="17">
        <f t="shared" si="1"/>
        <v>-3.3516089466089469</v>
      </c>
      <c r="C15">
        <f t="shared" si="2"/>
        <v>-18.609715350786782</v>
      </c>
      <c r="D15">
        <v>-2</v>
      </c>
      <c r="F15" s="11"/>
    </row>
    <row r="16" spans="1:15" ht="16">
      <c r="A16" s="17">
        <f t="shared" si="0"/>
        <v>0.6</v>
      </c>
      <c r="B16" s="17">
        <f t="shared" si="1"/>
        <v>-5.2125804816876258</v>
      </c>
      <c r="C16">
        <f t="shared" si="2"/>
        <v>-25.091010730891686</v>
      </c>
      <c r="D16" s="1"/>
    </row>
    <row r="17" spans="1:23" ht="16">
      <c r="A17" s="17">
        <f t="shared" si="0"/>
        <v>0.7</v>
      </c>
      <c r="B17" s="17">
        <f t="shared" si="1"/>
        <v>-7.7216815547767945</v>
      </c>
      <c r="C17">
        <f t="shared" si="2"/>
        <v>-34.483075242933879</v>
      </c>
      <c r="D17" s="1"/>
    </row>
    <row r="18" spans="1:23" ht="16">
      <c r="A18" s="17">
        <f t="shared" si="0"/>
        <v>0.79999999999999993</v>
      </c>
      <c r="B18" s="17">
        <f t="shared" si="1"/>
        <v>-11.169989079070183</v>
      </c>
      <c r="C18">
        <f t="shared" si="2"/>
        <v>-49.831370407660827</v>
      </c>
      <c r="D18" s="1"/>
    </row>
    <row r="19" spans="1:23" ht="16">
      <c r="A19" s="17">
        <f t="shared" si="0"/>
        <v>0.89999999999999991</v>
      </c>
      <c r="B19" s="17">
        <f t="shared" si="1"/>
        <v>-16.153126119836266</v>
      </c>
      <c r="C19">
        <f t="shared" si="2"/>
        <v>-80.311979477732294</v>
      </c>
      <c r="D19" s="11"/>
      <c r="G19" s="11"/>
    </row>
    <row r="20" spans="1:23" ht="16">
      <c r="A20" s="9"/>
      <c r="B20" s="9"/>
      <c r="C20" s="9"/>
      <c r="D20" s="1"/>
    </row>
    <row r="21" spans="1:23">
      <c r="A21" s="10">
        <v>0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>
        <v>1</v>
      </c>
    </row>
    <row r="22" spans="1:23" ht="16">
      <c r="A22" s="10">
        <f>A21+$A$3</f>
        <v>0.1</v>
      </c>
      <c r="B22" s="10">
        <f>-(2/$A$3^2+$A$5/(1+$A22))</f>
        <v>-198.18181818181816</v>
      </c>
      <c r="C22" s="10">
        <f>1/$A$3^2+$A$8/2/$A$3/(1+$A22)</f>
        <v>99.999999999999986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>
        <f>-$A$5*$A$7/(1+A22)-(1/$A$3^2-$A$8/2/$A$3/(1+A22))</f>
        <v>-99.090909090909079</v>
      </c>
      <c r="W22" s="18">
        <f t="array" ref="W22:W41">[1]!SysLin(B22:U41,V22:V41)</f>
        <v>1.041476405646665</v>
      </c>
    </row>
    <row r="23" spans="1:23" ht="16">
      <c r="A23" s="10">
        <f t="shared" ref="A23:A40" si="3">A22+$A$3</f>
        <v>0.2</v>
      </c>
      <c r="B23" s="10">
        <f>1/$A$3^2-$A$8/2/$A$3/(1+$A23)</f>
        <v>99.999999999999986</v>
      </c>
      <c r="C23" s="10">
        <f>-(2/$A$3^2+$A$5/(1+$A23))</f>
        <v>-198.33333333333331</v>
      </c>
      <c r="D23" s="10">
        <f>1/$A$3^2+$A$8/2/$A$3/(1+$A23)</f>
        <v>99.999999999999986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>
        <f>-$A$5*$A$7/(1+A23)</f>
        <v>0.83333333333333337</v>
      </c>
      <c r="W23" s="18">
        <v>1.0731077857361178</v>
      </c>
    </row>
    <row r="24" spans="1:23" ht="16">
      <c r="A24" s="10">
        <f t="shared" si="3"/>
        <v>0.30000000000000004</v>
      </c>
      <c r="B24" s="10"/>
      <c r="C24" s="10">
        <f>1/$A$3^2-$A$8/2/$A$3/(1+$A24)</f>
        <v>99.999999999999986</v>
      </c>
      <c r="D24" s="10">
        <f>-(2/$A$3^2+$A$5/(1+$A24))</f>
        <v>-198.46153846153842</v>
      </c>
      <c r="E24" s="10">
        <f>1/$A$3^2+$A$8/2/$A$3/(1+$A24)</f>
        <v>99.999999999999986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>
        <f t="shared" ref="V24:V40" si="4">-$A$5*$A$7/(1+A24)</f>
        <v>0.76923076923076916</v>
      </c>
      <c r="W24" s="18">
        <v>1.0951873693966356</v>
      </c>
    </row>
    <row r="25" spans="1:23" ht="16">
      <c r="A25" s="10">
        <f t="shared" si="3"/>
        <v>0.4</v>
      </c>
      <c r="B25" s="10"/>
      <c r="C25" s="10"/>
      <c r="D25" s="10">
        <f>1/$A$3^2-$A$8/2/$A$3/(1+$A25)</f>
        <v>99.999999999999986</v>
      </c>
      <c r="E25" s="10">
        <f>-(2/$A$3^2+$A$5/(1+$A25))</f>
        <v>-198.57142857142856</v>
      </c>
      <c r="F25" s="10">
        <f>1/$A$3^2+$A$8/2/$A$3/(1+$A25)</f>
        <v>99.999999999999986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f t="shared" si="4"/>
        <v>0.7142857142857143</v>
      </c>
      <c r="W25" s="18">
        <v>1.1081102242972045</v>
      </c>
    </row>
    <row r="26" spans="1:23" ht="16">
      <c r="A26" s="10">
        <f t="shared" si="3"/>
        <v>0.5</v>
      </c>
      <c r="B26" s="10"/>
      <c r="C26" s="10"/>
      <c r="D26" s="10"/>
      <c r="E26" s="10">
        <f>1/$A$3^2-$A$8/2/$A$3/(1+$A26)</f>
        <v>99.999999999999986</v>
      </c>
      <c r="F26" s="10">
        <f>-(2/$A$3^2+$A$5/(1+$A26))</f>
        <v>-198.66666666666663</v>
      </c>
      <c r="G26" s="10">
        <f>1/$A$3^2+$A$8/2/$A$3/(1+$A26)</f>
        <v>99.999999999999986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>
        <f t="shared" si="4"/>
        <v>0.66666666666666663</v>
      </c>
      <c r="W26" s="18">
        <v>1.1123457902792424</v>
      </c>
    </row>
    <row r="27" spans="1:23" ht="16">
      <c r="A27" s="10">
        <f t="shared" si="3"/>
        <v>0.6</v>
      </c>
      <c r="B27" s="10"/>
      <c r="C27" s="10"/>
      <c r="D27" s="10"/>
      <c r="E27" s="10"/>
      <c r="F27" s="10">
        <f>1/$A$3^2-$A$8/2/$A$3/(1+$A27)</f>
        <v>99.999999999999986</v>
      </c>
      <c r="G27" s="10">
        <f>-(2/$A$3^2+$A$5/(1+$A27))</f>
        <v>-198.74999999999997</v>
      </c>
      <c r="H27" s="10">
        <f>1/$A$3^2+$A$8/2/$A$3/(1+$A27)</f>
        <v>99.999999999999986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>
        <f t="shared" si="4"/>
        <v>0.625</v>
      </c>
      <c r="W27" s="18">
        <v>1.108416745724224</v>
      </c>
    </row>
    <row r="28" spans="1:23" ht="16">
      <c r="A28" s="10">
        <f t="shared" si="3"/>
        <v>0.7</v>
      </c>
      <c r="B28" s="10"/>
      <c r="C28" s="10"/>
      <c r="D28" s="10"/>
      <c r="E28" s="10"/>
      <c r="F28" s="10"/>
      <c r="G28" s="10">
        <f>1/$A$3^2-$A$8/2/$A$3/(1+$A28)</f>
        <v>99.999999999999986</v>
      </c>
      <c r="H28" s="10">
        <f>-(2/$A$3^2+$A$5/(1+$A28))</f>
        <v>-198.82352941176467</v>
      </c>
      <c r="I28" s="10">
        <f>1/$A$3^2+$A$8/2/$A$3/(1+$A28)</f>
        <v>99.999999999999986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>
        <f t="shared" si="4"/>
        <v>0.58823529411764708</v>
      </c>
      <c r="W28" s="18">
        <v>1.0968824918476525</v>
      </c>
    </row>
    <row r="29" spans="1:23" ht="16">
      <c r="A29" s="10">
        <f t="shared" si="3"/>
        <v>0.79999999999999993</v>
      </c>
      <c r="B29" s="10"/>
      <c r="C29" s="10"/>
      <c r="D29" s="10"/>
      <c r="E29" s="10"/>
      <c r="F29" s="10"/>
      <c r="G29" s="10"/>
      <c r="H29" s="10">
        <f>1/$A$3^2-$A$8/2/$A$3/(1+$A29)</f>
        <v>99.999999999999986</v>
      </c>
      <c r="I29" s="10">
        <f>-(2/$A$3^2+$A$5/(1+$A29))</f>
        <v>-198.88888888888886</v>
      </c>
      <c r="J29" s="10">
        <f>1/$A$3^2+$A$8/2/$A$3/(1+$A29)</f>
        <v>99.999999999999986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>
        <f t="shared" si="4"/>
        <v>0.55555555555555558</v>
      </c>
      <c r="W29" s="18">
        <v>1.0783260910081669</v>
      </c>
    </row>
    <row r="30" spans="1:23" ht="16">
      <c r="A30" s="10">
        <f t="shared" si="3"/>
        <v>0.89999999999999991</v>
      </c>
      <c r="B30" s="10"/>
      <c r="C30" s="10"/>
      <c r="D30" s="10"/>
      <c r="E30" s="10"/>
      <c r="F30" s="10"/>
      <c r="G30" s="10"/>
      <c r="H30" s="10"/>
      <c r="I30" s="10">
        <f>1/$A$3^2-$A$8/2/$A$3/(1+$A30)</f>
        <v>99.999999999999986</v>
      </c>
      <c r="J30" s="10">
        <f>-(2/$A$3^2+$A$5/(1+$A30))</f>
        <v>-198.9473684210526</v>
      </c>
      <c r="K30" s="10">
        <f>1/$A$3^2+$A$8/2/$A$3/(1+$A30)</f>
        <v>99.999999999999986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>
        <f t="shared" si="4"/>
        <v>0.52631578947368418</v>
      </c>
      <c r="W30" s="18">
        <v>1.0533438447130354</v>
      </c>
    </row>
    <row r="31" spans="1:23" ht="16">
      <c r="A31" s="10">
        <f t="shared" si="3"/>
        <v>0.99999999999999989</v>
      </c>
      <c r="B31" s="10"/>
      <c r="C31" s="10"/>
      <c r="D31" s="10"/>
      <c r="E31" s="10"/>
      <c r="F31" s="10"/>
      <c r="G31" s="10"/>
      <c r="H31" s="10"/>
      <c r="I31" s="10"/>
      <c r="J31" s="10">
        <f>1/$A$3^2-$A$8/2/$A$3/(1+$A31)</f>
        <v>99.999999999999986</v>
      </c>
      <c r="K31" s="10">
        <f>-(2/$A$3^2+$A$5/(1+$A31))</f>
        <v>-198.99999999999997</v>
      </c>
      <c r="L31" s="10">
        <f>1/$A$3^2+$A$8/2/$A$3/(1+$A31)</f>
        <v>99.999999999999986</v>
      </c>
      <c r="M31" s="10"/>
      <c r="N31" s="10"/>
      <c r="O31" s="10"/>
      <c r="P31" s="10"/>
      <c r="Q31" s="10"/>
      <c r="R31" s="10"/>
      <c r="S31" s="10"/>
      <c r="T31" s="10"/>
      <c r="U31" s="10"/>
      <c r="V31" s="10">
        <f t="shared" si="4"/>
        <v>0.5</v>
      </c>
      <c r="W31" s="18">
        <v>1.0225369263682931</v>
      </c>
    </row>
    <row r="32" spans="1:23" ht="16">
      <c r="A32" s="10">
        <f t="shared" si="3"/>
        <v>1.0999999999999999</v>
      </c>
      <c r="B32" s="10"/>
      <c r="C32" s="10"/>
      <c r="D32" s="10"/>
      <c r="E32" s="10"/>
      <c r="F32" s="10"/>
      <c r="G32" s="10"/>
      <c r="H32" s="10"/>
      <c r="I32" s="10"/>
      <c r="J32" s="10"/>
      <c r="K32" s="10">
        <f>1/$A$3^2-$A$8/2/$A$3/(1+$A32)</f>
        <v>99.999999999999986</v>
      </c>
      <c r="L32" s="10">
        <f>-(2/$A$3^2+$A$5/(1+$A32))</f>
        <v>-199.04761904761901</v>
      </c>
      <c r="M32" s="10">
        <f>1/$A$3^2+$A$8/2/$A$3/(1+$A32)</f>
        <v>99.999999999999986</v>
      </c>
      <c r="N32" s="10"/>
      <c r="O32" s="10"/>
      <c r="P32" s="10"/>
      <c r="Q32" s="10"/>
      <c r="R32" s="10"/>
      <c r="S32" s="10"/>
      <c r="T32" s="10"/>
      <c r="U32" s="10"/>
      <c r="V32" s="10">
        <f t="shared" si="4"/>
        <v>0.47619047619047628</v>
      </c>
      <c r="W32" s="18">
        <v>0.9865046387598676</v>
      </c>
    </row>
    <row r="33" spans="1:23" ht="16">
      <c r="A33" s="10">
        <f t="shared" si="3"/>
        <v>1.2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>
        <f>1/$A$3^2-$A$8/2/$A$3/(1+$A33)</f>
        <v>99.999999999999986</v>
      </c>
      <c r="M33" s="10">
        <f>-(2/$A$3^2+$A$5/(1+$A33))</f>
        <v>-199.09090909090907</v>
      </c>
      <c r="N33" s="10">
        <f>1/$A$3^2+$A$8/2/$A$3/(1+$A33)</f>
        <v>99.999999999999986</v>
      </c>
      <c r="O33" s="10"/>
      <c r="P33" s="10"/>
      <c r="Q33" s="10"/>
      <c r="R33" s="10"/>
      <c r="S33" s="10"/>
      <c r="T33" s="10"/>
      <c r="U33" s="10"/>
      <c r="V33" s="10">
        <f t="shared" si="4"/>
        <v>0.45454545454545453</v>
      </c>
      <c r="W33" s="18">
        <v>0.94583897363944303</v>
      </c>
    </row>
    <row r="34" spans="1:23" ht="16">
      <c r="A34" s="10">
        <f t="shared" si="3"/>
        <v>1.3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>
        <f>1/$A$3^2-$A$8/2/$A$3/(1+$A34)</f>
        <v>99.999999999999986</v>
      </c>
      <c r="N34" s="10">
        <f>-(2/$A$3^2+$A$5/(1+$A34))</f>
        <v>-199.13043478260866</v>
      </c>
      <c r="O34" s="10">
        <f>1/$A$3^2+$A$8/2/$A$3/(1+$A34)</f>
        <v>99.999999999999986</v>
      </c>
      <c r="P34" s="10"/>
      <c r="Q34" s="10"/>
      <c r="R34" s="10"/>
      <c r="S34" s="10"/>
      <c r="T34" s="10"/>
      <c r="U34" s="10"/>
      <c r="V34" s="10">
        <f t="shared" si="4"/>
        <v>0.43478260869565222</v>
      </c>
      <c r="W34" s="18">
        <v>0.90112022694047877</v>
      </c>
    </row>
    <row r="35" spans="1:23" ht="16">
      <c r="A35" s="10">
        <f t="shared" si="3"/>
        <v>1.4000000000000001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>
        <f>1/$A$3^2-$A$8/2/$A$3/(1+$A35)</f>
        <v>99.999999999999986</v>
      </c>
      <c r="O35" s="10">
        <f>-(2/$A$3^2+$A$5/(1+$A35))</f>
        <v>-199.16666666666663</v>
      </c>
      <c r="P35" s="10">
        <f>1/$A$3^2+$A$8/2/$A$3/(1+$A35)</f>
        <v>99.999999999999986</v>
      </c>
      <c r="Q35" s="10"/>
      <c r="R35" s="10"/>
      <c r="S35" s="10"/>
      <c r="T35" s="10"/>
      <c r="U35" s="10"/>
      <c r="V35" s="10">
        <f t="shared" si="4"/>
        <v>0.41666666666666663</v>
      </c>
      <c r="W35" s="18">
        <v>0.85291347826811825</v>
      </c>
    </row>
    <row r="36" spans="1:23" ht="16">
      <c r="A36" s="10">
        <f t="shared" si="3"/>
        <v>1.5000000000000002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>
        <f>1/$A$3^2-$A$8/2/$A$3/(1+$A36)</f>
        <v>99.999999999999986</v>
      </c>
      <c r="P36" s="10">
        <f>-(2/$A$3^2+$A$5/(1+$A36))</f>
        <v>-199.19999999999996</v>
      </c>
      <c r="Q36" s="10">
        <f>1/$A$3^2+$A$8/2/$A$3/(1+$A36)</f>
        <v>99.999999999999986</v>
      </c>
      <c r="R36" s="10"/>
      <c r="S36" s="10"/>
      <c r="T36" s="10"/>
      <c r="U36" s="10"/>
      <c r="V36" s="10">
        <f t="shared" si="4"/>
        <v>0.4</v>
      </c>
      <c r="W36" s="18">
        <v>0.80176578394352371</v>
      </c>
    </row>
    <row r="37" spans="1:23" ht="16">
      <c r="A37" s="10">
        <f t="shared" si="3"/>
        <v>1.6000000000000003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>
        <f>1/$A$3^2-$A$8/2/$A$3/(1+$A37)</f>
        <v>99.999999999999986</v>
      </c>
      <c r="Q37" s="10">
        <f>-(2/$A$3^2+$A$5/(1+$A37))</f>
        <v>-199.2307692307692</v>
      </c>
      <c r="R37" s="10">
        <f>1/$A$3^2+$A$8/2/$A$3/(1+$A37)</f>
        <v>99.999999999999986</v>
      </c>
      <c r="S37" s="10"/>
      <c r="T37" s="10"/>
      <c r="U37" s="10"/>
      <c r="V37" s="10">
        <f t="shared" si="4"/>
        <v>0.38461538461538453</v>
      </c>
      <c r="W37" s="18">
        <v>0.74820396334738071</v>
      </c>
    </row>
    <row r="38" spans="1:23" ht="16">
      <c r="A38" s="10">
        <f t="shared" si="3"/>
        <v>1.7000000000000004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>
        <f>1/$A$3^2-$A$8/2/$A$3/(1+$A38)</f>
        <v>99.999999999999986</v>
      </c>
      <c r="R38" s="10">
        <f>-(2/$A$3^2+$A$5/(1+$A38))</f>
        <v>-199.25925925925924</v>
      </c>
      <c r="S38" s="10">
        <f>1/$A$3^2+$A$8/2/$A$3/(1+$A38)</f>
        <v>99.999999999999986</v>
      </c>
      <c r="T38" s="10"/>
      <c r="U38" s="10"/>
      <c r="V38" s="10">
        <f t="shared" si="4"/>
        <v>0.37037037037037035</v>
      </c>
      <c r="W38" s="18">
        <v>0.69273288149471934</v>
      </c>
    </row>
    <row r="39" spans="1:23" ht="16">
      <c r="A39" s="10">
        <f t="shared" si="3"/>
        <v>1.8000000000000005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>
        <f>1/$A$3^2-$A$8/2/$A$3/(1+$A39)</f>
        <v>99.999999999999986</v>
      </c>
      <c r="S39" s="10">
        <f>-(2/$A$3^2+$A$5/(1+$A39))</f>
        <v>-199.28571428571425</v>
      </c>
      <c r="T39" s="10">
        <f>1/$A$3^2+$A$8/2/$A$3/(1+$A39)</f>
        <v>99.999999999999986</v>
      </c>
      <c r="U39" s="10"/>
      <c r="V39" s="10">
        <f t="shared" si="4"/>
        <v>0.35714285714285704</v>
      </c>
      <c r="W39" s="18">
        <v>0.63583414866802324</v>
      </c>
    </row>
    <row r="40" spans="1:23" ht="16">
      <c r="A40" s="10">
        <f t="shared" si="3"/>
        <v>1.9000000000000006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>
        <f>1/$A$3^2-$A$8/2/$A$3/(1+$A40)</f>
        <v>99.999999999999986</v>
      </c>
      <c r="T40" s="10">
        <f>-(2/$A$3^2+$A$5/(1+$A40))</f>
        <v>-199.31034482758619</v>
      </c>
      <c r="U40" s="10">
        <f>1/$A$3^2+$A$8/2/$A$3/(1+$A40)</f>
        <v>99.999999999999986</v>
      </c>
      <c r="V40" s="10">
        <f t="shared" si="4"/>
        <v>0.34482758620689652</v>
      </c>
      <c r="W40" s="18">
        <v>0.57796517192226959</v>
      </c>
    </row>
    <row r="41" spans="1:23" ht="16">
      <c r="A41" s="10">
        <f>A40+$A$3</f>
        <v>2.0000000000000004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>
        <v>1</v>
      </c>
      <c r="T41" s="10">
        <v>-4</v>
      </c>
      <c r="U41" s="10">
        <f>3+2*$A$6*$A$3</f>
        <v>9</v>
      </c>
      <c r="V41" s="10">
        <f>2*$A$3*$A$6*$A$7</f>
        <v>3</v>
      </c>
      <c r="W41" s="18">
        <v>0.51955850433567285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2020-05-13T01:01:32Z</dcterms:modified>
</cp:coreProperties>
</file>