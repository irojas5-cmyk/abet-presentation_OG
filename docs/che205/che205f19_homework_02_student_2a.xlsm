
<file path=[Content_Types].xml><?xml version="1.0" encoding="utf-8"?>
<Types xmlns="http://schemas.openxmlformats.org/package/2006/content-types">
  <Default Extension="bin" ContentType="application/vnd.openxmlformats-officedocument.oleOb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uoZhen/Desktop/CHE205_Fall19/strong/hw2/"/>
    </mc:Choice>
  </mc:AlternateContent>
  <xr:revisionPtr revIDLastSave="0" documentId="13_ncr:1_{9FDB6751-4825-194D-9373-506F24BB3102}" xr6:coauthVersionLast="41" xr6:coauthVersionMax="44" xr10:uidLastSave="{00000000-0000-0000-0000-000000000000}"/>
  <bookViews>
    <workbookView xWindow="-25900" yWindow="-480" windowWidth="19420" windowHeight="15680" xr2:uid="{00000000-000D-0000-FFFF-FFFF00000000}"/>
  </bookViews>
  <sheets>
    <sheet name="2.1a" sheetId="1" r:id="rId1"/>
    <sheet name="2.1b" sheetId="2" r:id="rId2"/>
    <sheet name="2.1b1" sheetId="3" r:id="rId3"/>
    <sheet name="2.1c" sheetId="4" r:id="rId4"/>
  </sheets>
  <functionGroups builtInGroupCount="19"/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" i="4" l="1"/>
  <c r="N3" i="4"/>
  <c r="N4" i="4"/>
  <c r="N5" i="4"/>
  <c r="N6" i="4"/>
  <c r="N7" i="4"/>
  <c r="N8" i="4"/>
  <c r="N9" i="4"/>
  <c r="N10" i="4"/>
  <c r="N11" i="4"/>
  <c r="N12" i="4"/>
  <c r="N13" i="4"/>
  <c r="N14" i="4"/>
  <c r="M15" i="4"/>
  <c r="N15" i="4" s="1"/>
  <c r="N7" i="1"/>
  <c r="N8" i="1"/>
  <c r="N9" i="1"/>
  <c r="N10" i="1"/>
  <c r="N11" i="1"/>
  <c r="N12" i="1"/>
  <c r="N13" i="1"/>
  <c r="N14" i="1"/>
  <c r="N15" i="1"/>
  <c r="N16" i="1"/>
  <c r="N17" i="1"/>
  <c r="N6" i="1"/>
  <c r="M16" i="4" l="1"/>
  <c r="N16" i="4" l="1"/>
  <c r="M17" i="4"/>
  <c r="M18" i="4" l="1"/>
  <c r="N17" i="4"/>
  <c r="N18" i="4" l="1"/>
  <c r="M19" i="4"/>
  <c r="N19" i="4" l="1"/>
  <c r="M20" i="4"/>
  <c r="M21" i="4" l="1"/>
  <c r="N20" i="4"/>
  <c r="M22" i="4" l="1"/>
  <c r="N22" i="4" s="1"/>
  <c r="N21" i="4"/>
</calcChain>
</file>

<file path=xl/sharedStrings.xml><?xml version="1.0" encoding="utf-8"?>
<sst xmlns="http://schemas.openxmlformats.org/spreadsheetml/2006/main" count="61" uniqueCount="26">
  <si>
    <t>Iteration</t>
  </si>
  <si>
    <t>Solution is within tolerance</t>
  </si>
  <si>
    <t>x =</t>
  </si>
  <si>
    <t>xL</t>
  </si>
  <si>
    <t>xR</t>
  </si>
  <si>
    <t>f(xL)</t>
  </si>
  <si>
    <t>f(xR)</t>
  </si>
  <si>
    <t>xM</t>
  </si>
  <si>
    <t>f(xM)</t>
  </si>
  <si>
    <t>x</t>
  </si>
  <si>
    <t>f(x)</t>
  </si>
  <si>
    <t>RepeatL</t>
  </si>
  <si>
    <t>RepeatR</t>
  </si>
  <si>
    <t>X</t>
  </si>
  <si>
    <t>F(X)</t>
  </si>
  <si>
    <t>Root is not bracketed, please try again</t>
  </si>
  <si>
    <t>Ammonia at 250K and 10 atm</t>
  </si>
  <si>
    <t>R =</t>
  </si>
  <si>
    <t>P =</t>
  </si>
  <si>
    <t>atm</t>
  </si>
  <si>
    <t>T =</t>
  </si>
  <si>
    <t>K</t>
  </si>
  <si>
    <t>Tc =</t>
  </si>
  <si>
    <t>Pc =</t>
  </si>
  <si>
    <t>a =</t>
  </si>
  <si>
    <t>b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</si>
</sst>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>
    <font>
      <sz val="11"/>
      <color theme="1"/>
      <name val="宋体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4" xfId="0" applyFill="1" applyBorder="1"/>
    <xf numFmtId="0" fontId="0" fillId="0" borderId="5" xfId="0" applyFill="1" applyBorder="1"/>
    <xf numFmtId="0" fontId="0" fillId="0" borderId="19" xfId="0" applyBorder="1"/>
    <xf numFmtId="0" fontId="1" fillId="0" borderId="8" xfId="0" applyFont="1" applyBorder="1"/>
    <xf numFmtId="176" fontId="1" fillId="0" borderId="9" xfId="0" applyNumberFormat="1" applyFont="1" applyBorder="1"/>
    <xf numFmtId="0" fontId="0" fillId="0" borderId="8" xfId="0" applyBorder="1" applyAlignment="1">
      <alignment horizontal="right"/>
    </xf>
    <xf numFmtId="0" fontId="0" fillId="0" borderId="10" xfId="0" applyBorder="1" applyAlignment="1">
      <alignment horizontal="right"/>
    </xf>
    <xf numFmtId="0" fontId="2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'2.1a'!$M$6:$M$17</c:f>
              <c:numCache>
                <c:formatCode>General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</c:numCache>
            </c:numRef>
          </c:xVal>
          <c:yVal>
            <c:numRef>
              <c:f>'2.1a'!$N$6:$N$17</c:f>
              <c:numCache>
                <c:formatCode>General</c:formatCode>
                <c:ptCount val="12"/>
                <c:pt idx="0">
                  <c:v>-0.5</c:v>
                </c:pt>
                <c:pt idx="1">
                  <c:v>-0.49966532791454943</c:v>
                </c:pt>
                <c:pt idx="2">
                  <c:v>-0.49728996449132751</c:v>
                </c:pt>
                <c:pt idx="3">
                  <c:v>-0.49066375039037674</c:v>
                </c:pt>
                <c:pt idx="4">
                  <c:v>-0.47720678126183824</c:v>
                </c:pt>
                <c:pt idx="5">
                  <c:v>-0.45369751015620952</c:v>
                </c:pt>
                <c:pt idx="6">
                  <c:v>-0.41586319165830765</c:v>
                </c:pt>
                <c:pt idx="7">
                  <c:v>-0.35771161953692054</c:v>
                </c:pt>
                <c:pt idx="8">
                  <c:v>-0.27036144294963593</c:v>
                </c:pt>
                <c:pt idx="9">
                  <c:v>-0.13984178244966083</c:v>
                </c:pt>
                <c:pt idx="10">
                  <c:v>5.7407724654902292E-2</c:v>
                </c:pt>
                <c:pt idx="11">
                  <c:v>0.36475965724865222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6-4D24-99E2-FB50FB853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230680"/>
        <c:axId val="344385704"/>
      </c:scatterChart>
      <c:valAx>
        <c:axId val="57523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85704"/>
        <c:crosses val="autoZero"/>
        <c:crossBetween val="midCat"/>
      </c:valAx>
      <c:valAx>
        <c:axId val="34438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23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'2.1c'!$M$2:$M$22</c:f>
              <c:numCache>
                <c:formatCode>General</c:formatCode>
                <c:ptCount val="21"/>
                <c:pt idx="0">
                  <c:v>0.04</c:v>
                </c:pt>
                <c:pt idx="1">
                  <c:v>0.05</c:v>
                </c:pt>
                <c:pt idx="2">
                  <c:v>0.06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0.79999999999999993</c:v>
                </c:pt>
                <c:pt idx="11">
                  <c:v>0.89999999999999991</c:v>
                </c:pt>
                <c:pt idx="12">
                  <c:v>0.99999999999999989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xVal>
          <c:yVal>
            <c:numRef>
              <c:f>'2.1c'!$N$2:$N$22</c:f>
              <c:numCache>
                <c:formatCode>0.0000</c:formatCode>
                <c:ptCount val="21"/>
                <c:pt idx="0">
                  <c:v>-14.015098849324357</c:v>
                </c:pt>
                <c:pt idx="1">
                  <c:v>0.70752950382206592</c:v>
                </c:pt>
                <c:pt idx="2">
                  <c:v>6.1343596123207078</c:v>
                </c:pt>
                <c:pt idx="3">
                  <c:v>6.576206724680457</c:v>
                </c:pt>
                <c:pt idx="4">
                  <c:v>-1.6777444076075767</c:v>
                </c:pt>
                <c:pt idx="5">
                  <c:v>-5.5310303024765091</c:v>
                </c:pt>
                <c:pt idx="6">
                  <c:v>-7.2892924094309013</c:v>
                </c:pt>
                <c:pt idx="7">
                  <c:v>-8.0503678046499072</c:v>
                </c:pt>
                <c:pt idx="8">
                  <c:v>-8.2686339560652371</c:v>
                </c:pt>
                <c:pt idx="9">
                  <c:v>-8.1604808256570802</c:v>
                </c:pt>
                <c:pt idx="10">
                  <c:v>-7.841209519262387</c:v>
                </c:pt>
                <c:pt idx="11">
                  <c:v>-7.3776835647547685</c:v>
                </c:pt>
                <c:pt idx="12">
                  <c:v>-6.8112843899422728</c:v>
                </c:pt>
                <c:pt idx="13">
                  <c:v>-3.1356686724039768</c:v>
                </c:pt>
                <c:pt idx="14">
                  <c:v>1.1888744199843728</c:v>
                </c:pt>
                <c:pt idx="15">
                  <c:v>5.7793555501755272</c:v>
                </c:pt>
                <c:pt idx="16">
                  <c:v>10.504574334785527</c:v>
                </c:pt>
                <c:pt idx="17">
                  <c:v>15.307435767620856</c:v>
                </c:pt>
                <c:pt idx="18">
                  <c:v>20.159108100590903</c:v>
                </c:pt>
                <c:pt idx="19">
                  <c:v>25.043461401548964</c:v>
                </c:pt>
                <c:pt idx="20">
                  <c:v>29.950767178763673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0B-4B80-9DD8-879E88F2F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30640"/>
        <c:axId val="492331296"/>
      </c:scatterChart>
      <c:valAx>
        <c:axId val="49233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31296"/>
        <c:crosses val="autoZero"/>
        <c:crossBetween val="midCat"/>
      </c:valAx>
      <c:valAx>
        <c:axId val="49233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3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555625</xdr:colOff>
      <xdr:row>16</xdr:row>
      <xdr:rowOff>171450</xdr:rowOff>
    </xdr:from>
    <xdr:to>
      <xdr:col>10</xdr:col>
      <xdr:colOff>200025</xdr:colOff>
      <xdr:row>31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220577</xdr:colOff>
      <xdr:row>35</xdr:row>
      <xdr:rowOff>0</xdr:rowOff>
    </xdr:from>
    <xdr:ext cx="2791277" cy="87511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2B293C-16D9-114C-A07B-36F3C41E1F97}"/>
            </a:ext>
          </a:extLst>
        </xdr:cNvPr>
        <xdr:cNvSpPr/>
      </xdr:nvSpPr>
      <xdr:spPr>
        <a:xfrm>
          <a:off x="4398877" y="6273800"/>
          <a:ext cx="2791277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8/10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part a is not correct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9</xdr:row>
          <xdr:rowOff>177800</xdr:rowOff>
        </xdr:from>
        <xdr:to>
          <xdr:col>18</xdr:col>
          <xdr:colOff>546100</xdr:colOff>
          <xdr:row>12</xdr:row>
          <xdr:rowOff>165100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50799</xdr:colOff>
      <xdr:row>13</xdr:row>
      <xdr:rowOff>57150</xdr:rowOff>
    </xdr:from>
    <xdr:to>
      <xdr:col>18</xdr:col>
      <xdr:colOff>536574</xdr:colOff>
      <xdr:row>24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7"/>
  <sheetViews>
    <sheetView tabSelected="1" topLeftCell="A7" workbookViewId="0">
      <selection activeCell="L33" sqref="L33"/>
    </sheetView>
  </sheetViews>
  <sheetFormatPr baseColWidth="10" defaultColWidth="8.83203125" defaultRowHeight="14"/>
  <cols>
    <col min="1" max="1" width="28.33203125" customWidth="1"/>
  </cols>
  <sheetData>
    <row r="1" spans="1:14" ht="15" thickBot="1">
      <c r="A1" s="3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6" t="s">
        <v>8</v>
      </c>
      <c r="H1" s="19" t="s">
        <v>11</v>
      </c>
      <c r="I1" s="20" t="s">
        <v>12</v>
      </c>
    </row>
    <row r="2" spans="1:14" ht="15" thickTop="1">
      <c r="A2" s="5">
        <v>1</v>
      </c>
      <c r="B2" s="6">
        <v>1</v>
      </c>
      <c r="C2" s="6">
        <v>1.1000000000000001</v>
      </c>
      <c r="D2" s="6">
        <v>5.7407724654902292E-2</v>
      </c>
      <c r="E2" s="6">
        <v>0.36475965724865222</v>
      </c>
      <c r="F2" s="6">
        <v>0.11557153593302967</v>
      </c>
      <c r="G2" s="12">
        <v>-0.49948268141650426</v>
      </c>
      <c r="H2" s="2"/>
      <c r="I2" s="21"/>
    </row>
    <row r="3" spans="1:14">
      <c r="A3" s="7" t="s">
        <v>15</v>
      </c>
      <c r="B3" s="1">
        <v>0.11557153593302967</v>
      </c>
      <c r="C3" s="1">
        <v>1.55</v>
      </c>
      <c r="D3" s="1">
        <v>-0.49948268141650426</v>
      </c>
      <c r="E3" s="1">
        <v>46.028482479219072</v>
      </c>
      <c r="F3" s="1">
        <v>0.13097027888382801</v>
      </c>
      <c r="G3" s="13">
        <v>-0.49924597223898243</v>
      </c>
      <c r="H3" s="1">
        <v>0</v>
      </c>
      <c r="I3" s="8">
        <v>1</v>
      </c>
    </row>
    <row r="4" spans="1:14">
      <c r="A4" s="7">
        <v>3</v>
      </c>
      <c r="B4" s="1">
        <v>0.13097027888382801</v>
      </c>
      <c r="C4" s="1">
        <v>1.55</v>
      </c>
      <c r="D4" s="1">
        <v>-0.49924597223898243</v>
      </c>
      <c r="E4" s="1">
        <v>23.014241239609536</v>
      </c>
      <c r="F4" s="1">
        <v>0.16109957728911381</v>
      </c>
      <c r="G4" s="13">
        <v>-0.49859170191916602</v>
      </c>
      <c r="H4" s="1">
        <v>0</v>
      </c>
      <c r="I4" s="8">
        <v>2</v>
      </c>
    </row>
    <row r="5" spans="1:14">
      <c r="A5" s="7">
        <v>4</v>
      </c>
      <c r="B5" s="1">
        <v>0.16109957728911381</v>
      </c>
      <c r="C5" s="1">
        <v>1.55</v>
      </c>
      <c r="D5" s="1">
        <v>-0.49859170191916602</v>
      </c>
      <c r="E5" s="1">
        <v>11.507120619804768</v>
      </c>
      <c r="F5" s="1">
        <v>0.21877997200443819</v>
      </c>
      <c r="G5" s="13">
        <v>-0.49644123800473094</v>
      </c>
      <c r="H5" s="1">
        <v>0</v>
      </c>
      <c r="I5" s="8">
        <v>3</v>
      </c>
      <c r="M5" t="s">
        <v>13</v>
      </c>
      <c r="N5" t="s">
        <v>14</v>
      </c>
    </row>
    <row r="6" spans="1:14">
      <c r="A6" s="7">
        <v>5</v>
      </c>
      <c r="B6" s="1">
        <v>0.21877997200443819</v>
      </c>
      <c r="C6" s="1">
        <v>1.55</v>
      </c>
      <c r="D6" s="1">
        <v>-0.49644123800473094</v>
      </c>
      <c r="E6" s="1">
        <v>5.753560309902384</v>
      </c>
      <c r="F6" s="1">
        <v>0.3245195488172008</v>
      </c>
      <c r="G6" s="13">
        <v>-0.48810670476336665</v>
      </c>
      <c r="H6" s="1">
        <v>0</v>
      </c>
      <c r="I6" s="8">
        <v>4</v>
      </c>
      <c r="M6">
        <v>0</v>
      </c>
      <c r="N6">
        <f>TAN(M6)-M6-0.5</f>
        <v>-0.5</v>
      </c>
    </row>
    <row r="7" spans="1:14">
      <c r="A7" s="7">
        <v>6</v>
      </c>
      <c r="B7" s="1">
        <v>0.3245195488172008</v>
      </c>
      <c r="C7" s="1">
        <v>1.55</v>
      </c>
      <c r="D7" s="1">
        <v>-0.48810670476336665</v>
      </c>
      <c r="E7" s="1">
        <v>2.876780154951192</v>
      </c>
      <c r="F7" s="1">
        <v>0.5022863652710241</v>
      </c>
      <c r="G7" s="13">
        <v>-0.45301143475051164</v>
      </c>
      <c r="H7" s="1">
        <v>0</v>
      </c>
      <c r="I7" s="8">
        <v>5</v>
      </c>
      <c r="J7" s="4"/>
      <c r="K7" s="4"/>
      <c r="L7" s="4"/>
      <c r="M7" s="4">
        <v>0.1</v>
      </c>
      <c r="N7">
        <f t="shared" ref="N7:N17" si="0">TAN(M7)-M7-0.5</f>
        <v>-0.49966532791454943</v>
      </c>
    </row>
    <row r="8" spans="1:14">
      <c r="A8" s="7">
        <v>7</v>
      </c>
      <c r="B8" s="1">
        <v>0.5022863652710241</v>
      </c>
      <c r="C8" s="1">
        <v>1.55</v>
      </c>
      <c r="D8" s="1">
        <v>-0.45301143475051164</v>
      </c>
      <c r="E8" s="1">
        <v>1.438390077475596</v>
      </c>
      <c r="F8" s="1">
        <v>0.75322528744499961</v>
      </c>
      <c r="G8" s="13">
        <v>-0.31558622655346791</v>
      </c>
      <c r="H8" s="1">
        <v>0</v>
      </c>
      <c r="I8" s="8">
        <v>6</v>
      </c>
      <c r="J8" s="4"/>
      <c r="K8" s="4"/>
      <c r="L8" s="4"/>
      <c r="M8">
        <v>0.2</v>
      </c>
      <c r="N8">
        <f t="shared" si="0"/>
        <v>-0.49728996449132751</v>
      </c>
    </row>
    <row r="9" spans="1:14">
      <c r="A9" s="7">
        <v>8</v>
      </c>
      <c r="B9" s="1">
        <v>0.75322528744499961</v>
      </c>
      <c r="C9" s="1">
        <v>1.55</v>
      </c>
      <c r="D9" s="1">
        <v>-0.31558622655346791</v>
      </c>
      <c r="E9" s="1">
        <v>0.719195038737798</v>
      </c>
      <c r="F9" s="1">
        <v>0.99622458921306856</v>
      </c>
      <c r="G9" s="13">
        <v>4.8325932124516191E-2</v>
      </c>
      <c r="H9" s="1">
        <v>0</v>
      </c>
      <c r="I9" s="8">
        <v>7</v>
      </c>
      <c r="M9" s="4">
        <v>0.3</v>
      </c>
      <c r="N9">
        <f t="shared" si="0"/>
        <v>-0.49066375039037674</v>
      </c>
    </row>
    <row r="10" spans="1:14">
      <c r="A10" s="7">
        <v>9</v>
      </c>
      <c r="B10" s="1">
        <v>0.75322528744499961</v>
      </c>
      <c r="C10" s="1">
        <v>0.99622458921306856</v>
      </c>
      <c r="D10" s="1">
        <v>-0.31558622655346791</v>
      </c>
      <c r="E10" s="1">
        <v>4.8325932124516191E-2</v>
      </c>
      <c r="F10" s="1">
        <v>0.96395535202624583</v>
      </c>
      <c r="G10" s="13">
        <v>-2.3504392601583435E-2</v>
      </c>
      <c r="H10" s="1">
        <v>1</v>
      </c>
      <c r="I10" s="8">
        <v>0</v>
      </c>
      <c r="M10">
        <v>0.4</v>
      </c>
      <c r="N10">
        <f t="shared" si="0"/>
        <v>-0.47720678126183824</v>
      </c>
    </row>
    <row r="11" spans="1:14">
      <c r="A11" s="7">
        <v>10</v>
      </c>
      <c r="B11" s="1">
        <v>0.96395535202624583</v>
      </c>
      <c r="C11" s="1">
        <v>0.99622458921306856</v>
      </c>
      <c r="D11" s="1">
        <v>-2.3504392601583435E-2</v>
      </c>
      <c r="E11" s="1">
        <v>4.8325932124516191E-2</v>
      </c>
      <c r="F11" s="1">
        <v>0.97451452494777802</v>
      </c>
      <c r="G11" s="13">
        <v>-1.0924606861757447E-3</v>
      </c>
      <c r="H11" s="1">
        <v>0</v>
      </c>
      <c r="I11" s="8">
        <v>1</v>
      </c>
      <c r="M11" s="4">
        <v>0.5</v>
      </c>
      <c r="N11">
        <f t="shared" si="0"/>
        <v>-0.45369751015620952</v>
      </c>
    </row>
    <row r="12" spans="1:14" ht="15" thickBot="1">
      <c r="A12" s="9">
        <v>11</v>
      </c>
      <c r="B12" s="10">
        <v>0.97451452494777802</v>
      </c>
      <c r="C12" s="10">
        <v>0.99622458921306856</v>
      </c>
      <c r="D12" s="10">
        <v>-1.0924606861757447E-3</v>
      </c>
      <c r="E12" s="10">
        <v>2.4162966062258096E-2</v>
      </c>
      <c r="F12" s="10">
        <v>0.97545362575729611</v>
      </c>
      <c r="G12" s="14">
        <v>9.5042845244419638E-4</v>
      </c>
      <c r="H12" s="10">
        <v>0</v>
      </c>
      <c r="I12" s="11">
        <v>2</v>
      </c>
      <c r="M12">
        <v>0.6</v>
      </c>
      <c r="N12">
        <f t="shared" si="0"/>
        <v>-0.41586319165830765</v>
      </c>
    </row>
    <row r="13" spans="1:14">
      <c r="A13" s="17">
        <v>12</v>
      </c>
      <c r="B13" s="2">
        <v>0.97451452494777802</v>
      </c>
      <c r="C13" s="2">
        <v>0.97545362575729611</v>
      </c>
      <c r="D13" s="2">
        <v>-1.0924606861757447E-3</v>
      </c>
      <c r="E13" s="2">
        <v>9.5042845244419638E-4</v>
      </c>
      <c r="F13" s="2">
        <v>0.97501672092863645</v>
      </c>
      <c r="G13" s="18">
        <v>-1.0276478126236555E-6</v>
      </c>
      <c r="H13" s="2">
        <v>1</v>
      </c>
      <c r="I13" s="2">
        <v>0</v>
      </c>
      <c r="M13" s="4">
        <v>0.7</v>
      </c>
      <c r="N13">
        <f t="shared" si="0"/>
        <v>-0.35771161953692054</v>
      </c>
    </row>
    <row r="14" spans="1:14" ht="15" thickBot="1">
      <c r="A14" s="9">
        <v>13</v>
      </c>
      <c r="B14" s="10">
        <v>0.97501672092863645</v>
      </c>
      <c r="C14" s="10">
        <v>0.97545362575729611</v>
      </c>
      <c r="D14" s="10">
        <v>-1.0276478126236555E-6</v>
      </c>
      <c r="E14" s="10">
        <v>9.5042845244419638E-4</v>
      </c>
      <c r="F14" s="10">
        <v>0.97501719282039412</v>
      </c>
      <c r="G14" s="14">
        <v>-9.6541796779092692E-10</v>
      </c>
      <c r="H14" s="1">
        <v>0</v>
      </c>
      <c r="I14" s="1">
        <v>1</v>
      </c>
      <c r="M14">
        <v>0.8</v>
      </c>
      <c r="N14">
        <f t="shared" si="0"/>
        <v>-0.27036144294963593</v>
      </c>
    </row>
    <row r="15" spans="1:14">
      <c r="A15">
        <v>14</v>
      </c>
      <c r="B15">
        <v>0.97501719282039412</v>
      </c>
      <c r="C15">
        <v>0.97545362575729611</v>
      </c>
      <c r="D15">
        <v>-9.6541796779092692E-10</v>
      </c>
      <c r="E15">
        <v>4.7521422622209819E-4</v>
      </c>
      <c r="H15">
        <v>0</v>
      </c>
      <c r="I15">
        <v>2</v>
      </c>
      <c r="M15" s="4">
        <v>0.9</v>
      </c>
      <c r="N15">
        <f t="shared" si="0"/>
        <v>-0.13984178244966083</v>
      </c>
    </row>
    <row r="16" spans="1:14">
      <c r="A16" t="s">
        <v>1</v>
      </c>
      <c r="B16">
        <v>0.97501713815116953</v>
      </c>
      <c r="M16">
        <v>1</v>
      </c>
      <c r="N16">
        <f t="shared" si="0"/>
        <v>5.7407724654902292E-2</v>
      </c>
    </row>
    <row r="17" spans="1:14">
      <c r="A17" t="s">
        <v>2</v>
      </c>
      <c r="B17">
        <v>0.97501719282039412</v>
      </c>
      <c r="M17" s="4">
        <v>1.1000000000000001</v>
      </c>
      <c r="N17">
        <f t="shared" si="0"/>
        <v>0.36475965724865222</v>
      </c>
    </row>
  </sheetData>
  <phoneticPr fontId="3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7"/>
  <sheetViews>
    <sheetView workbookViewId="0">
      <selection activeCell="K14" sqref="K14"/>
    </sheetView>
  </sheetViews>
  <sheetFormatPr baseColWidth="10" defaultColWidth="8.83203125" defaultRowHeight="14"/>
  <sheetData>
    <row r="1" spans="1:13" ht="15" thickBot="1">
      <c r="A1" s="3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6" t="s">
        <v>8</v>
      </c>
      <c r="H1" s="19" t="s">
        <v>11</v>
      </c>
      <c r="I1" s="20" t="s">
        <v>12</v>
      </c>
    </row>
    <row r="2" spans="1:13" ht="15" thickTop="1">
      <c r="A2" s="5">
        <v>1</v>
      </c>
      <c r="B2" s="6">
        <v>0.1</v>
      </c>
      <c r="C2" s="6">
        <v>1.5</v>
      </c>
      <c r="D2" s="6">
        <v>-0.49966532791454943</v>
      </c>
      <c r="E2" s="6">
        <v>12.101419947171719</v>
      </c>
      <c r="F2" s="6">
        <v>0.15551358821953376</v>
      </c>
      <c r="G2" s="12">
        <v>-0.49873408079747372</v>
      </c>
      <c r="H2" s="2"/>
      <c r="I2" s="21"/>
    </row>
    <row r="3" spans="1:13">
      <c r="A3" s="7">
        <v>2</v>
      </c>
      <c r="B3" s="1">
        <v>0.15551358821953376</v>
      </c>
      <c r="C3" s="1">
        <v>1.5</v>
      </c>
      <c r="D3" s="1">
        <v>-0.49873408079747372</v>
      </c>
      <c r="E3" s="1">
        <v>12.101419947171719</v>
      </c>
      <c r="F3" s="1">
        <v>0.20873049280939757</v>
      </c>
      <c r="G3" s="13">
        <v>-0.49691487064365158</v>
      </c>
      <c r="H3" s="1">
        <v>0</v>
      </c>
      <c r="I3" s="8">
        <v>1</v>
      </c>
    </row>
    <row r="4" spans="1:13">
      <c r="A4" s="7">
        <v>3</v>
      </c>
      <c r="B4" s="1">
        <v>0.20873049280939757</v>
      </c>
      <c r="C4" s="1">
        <v>1.5</v>
      </c>
      <c r="D4" s="1">
        <v>-0.49691487064365158</v>
      </c>
      <c r="E4" s="1">
        <v>6.0507099735858594</v>
      </c>
      <c r="F4" s="1">
        <v>0.30672801639952868</v>
      </c>
      <c r="G4" s="13">
        <v>-0.49000446774370471</v>
      </c>
      <c r="H4" s="1">
        <v>0</v>
      </c>
      <c r="I4" s="8">
        <v>2</v>
      </c>
    </row>
    <row r="5" spans="1:13">
      <c r="A5" s="7">
        <v>4</v>
      </c>
      <c r="B5" s="1">
        <v>0.30672801639952868</v>
      </c>
      <c r="C5" s="1">
        <v>1.5</v>
      </c>
      <c r="D5" s="1">
        <v>-0.49000446774370471</v>
      </c>
      <c r="E5" s="1">
        <v>3.0253549867929297</v>
      </c>
      <c r="F5" s="1">
        <v>0.47305769356612587</v>
      </c>
      <c r="G5" s="13">
        <v>-0.46123913218306772</v>
      </c>
      <c r="H5" s="1">
        <v>0</v>
      </c>
      <c r="I5" s="8">
        <v>3</v>
      </c>
    </row>
    <row r="6" spans="1:13">
      <c r="A6" s="7">
        <v>5</v>
      </c>
      <c r="B6" s="1">
        <v>0.47305769356612587</v>
      </c>
      <c r="C6" s="1">
        <v>1.5</v>
      </c>
      <c r="D6" s="1">
        <v>-0.46123913218306772</v>
      </c>
      <c r="E6" s="1">
        <v>1.5126774933964648</v>
      </c>
      <c r="F6" s="1">
        <v>0.71302019860991006</v>
      </c>
      <c r="G6" s="13">
        <v>-0.34822635955998693</v>
      </c>
      <c r="H6" s="1">
        <v>0</v>
      </c>
      <c r="I6" s="8">
        <v>4</v>
      </c>
    </row>
    <row r="7" spans="1:13">
      <c r="A7" s="7">
        <v>6</v>
      </c>
      <c r="B7" s="1">
        <v>0.71302019860991006</v>
      </c>
      <c r="C7" s="1">
        <v>1.5</v>
      </c>
      <c r="D7" s="1">
        <v>-0.34822635955998693</v>
      </c>
      <c r="E7" s="1">
        <v>0.75633874669823242</v>
      </c>
      <c r="F7" s="1">
        <v>0.96112428023680807</v>
      </c>
      <c r="G7" s="13">
        <v>-2.9343247559342256E-2</v>
      </c>
      <c r="H7" s="1">
        <v>0</v>
      </c>
      <c r="I7" s="8">
        <v>5</v>
      </c>
      <c r="J7" s="4"/>
      <c r="K7" s="4"/>
      <c r="L7" s="4"/>
      <c r="M7" s="4"/>
    </row>
    <row r="8" spans="1:13">
      <c r="A8" s="7">
        <v>7</v>
      </c>
      <c r="B8" s="1">
        <v>0.96112428023680807</v>
      </c>
      <c r="C8" s="1">
        <v>1.5</v>
      </c>
      <c r="D8" s="1">
        <v>-2.9343247559342256E-2</v>
      </c>
      <c r="E8" s="1">
        <v>0.37816937334911621</v>
      </c>
      <c r="F8" s="1">
        <v>0.99992642485132321</v>
      </c>
      <c r="G8" s="13">
        <v>5.722929562286605E-2</v>
      </c>
      <c r="H8" s="1">
        <v>0</v>
      </c>
      <c r="I8" s="8">
        <v>6</v>
      </c>
      <c r="J8" s="4"/>
      <c r="K8" s="4"/>
      <c r="L8" s="4"/>
    </row>
    <row r="9" spans="1:13">
      <c r="A9" s="7">
        <v>8</v>
      </c>
      <c r="B9" s="1">
        <v>0.96112428023680807</v>
      </c>
      <c r="C9" s="1">
        <v>0.99992642485132321</v>
      </c>
      <c r="D9" s="1">
        <v>-2.9343247559342256E-2</v>
      </c>
      <c r="E9" s="1">
        <v>5.722929562286605E-2</v>
      </c>
      <c r="F9" s="1">
        <v>0.97427603590212053</v>
      </c>
      <c r="G9" s="13">
        <v>-1.609948232719205E-3</v>
      </c>
      <c r="H9" s="1">
        <v>1</v>
      </c>
      <c r="I9" s="8">
        <v>0</v>
      </c>
      <c r="M9" s="4"/>
    </row>
    <row r="10" spans="1:13">
      <c r="A10" s="7">
        <v>9</v>
      </c>
      <c r="B10" s="1">
        <v>0.97427603590212053</v>
      </c>
      <c r="C10" s="1">
        <v>0.99992642485132321</v>
      </c>
      <c r="D10" s="1">
        <v>-1.609948232719205E-3</v>
      </c>
      <c r="E10" s="1">
        <v>5.722929562286605E-2</v>
      </c>
      <c r="F10" s="1">
        <v>0.97497787698047778</v>
      </c>
      <c r="G10" s="13">
        <v>-8.5532243576214029E-5</v>
      </c>
      <c r="H10" s="1">
        <v>0</v>
      </c>
      <c r="I10" s="8">
        <v>1</v>
      </c>
    </row>
    <row r="11" spans="1:13">
      <c r="A11" s="7">
        <v>10</v>
      </c>
      <c r="B11" s="1">
        <v>0.97497787698047778</v>
      </c>
      <c r="C11" s="1">
        <v>0.99992642485132321</v>
      </c>
      <c r="D11" s="1">
        <v>-8.5532243576214029E-5</v>
      </c>
      <c r="E11" s="1">
        <v>2.8614647811433025E-2</v>
      </c>
      <c r="F11" s="1">
        <v>0.97505222861413554</v>
      </c>
      <c r="G11" s="13">
        <v>7.6231310426666532E-5</v>
      </c>
      <c r="H11" s="1">
        <v>0</v>
      </c>
      <c r="I11" s="8">
        <v>2</v>
      </c>
      <c r="M11" s="4"/>
    </row>
    <row r="12" spans="1:13" ht="15" thickBot="1">
      <c r="A12" s="9">
        <v>11</v>
      </c>
      <c r="B12" s="10">
        <v>0.97497787698047778</v>
      </c>
      <c r="C12" s="10">
        <v>0.97505222861413554</v>
      </c>
      <c r="D12" s="10">
        <v>-8.5532243576214029E-5</v>
      </c>
      <c r="E12" s="10">
        <v>7.6231310426666532E-5</v>
      </c>
      <c r="F12" s="10">
        <v>0.97501719029848388</v>
      </c>
      <c r="G12" s="14">
        <v>-6.4522767129204794E-9</v>
      </c>
      <c r="H12" s="10">
        <v>1</v>
      </c>
      <c r="I12" s="11">
        <v>0</v>
      </c>
    </row>
    <row r="13" spans="1:13">
      <c r="A13" s="17">
        <v>12</v>
      </c>
      <c r="B13" s="2">
        <v>0.97501719029848388</v>
      </c>
      <c r="C13" s="2">
        <v>0.97505222861413554</v>
      </c>
      <c r="D13" s="2">
        <v>-6.4522767129204794E-9</v>
      </c>
      <c r="E13" s="2">
        <v>7.6231310426666532E-5</v>
      </c>
      <c r="F13" s="2"/>
      <c r="G13" s="18"/>
      <c r="H13" s="2">
        <v>0</v>
      </c>
      <c r="I13" s="2">
        <v>1</v>
      </c>
      <c r="M13" s="4"/>
    </row>
    <row r="14" spans="1:13" ht="15" thickBot="1">
      <c r="A14" s="9" t="s">
        <v>1</v>
      </c>
      <c r="B14" s="10"/>
      <c r="C14" s="10"/>
      <c r="D14" s="10"/>
      <c r="E14" s="10"/>
      <c r="F14" s="10"/>
      <c r="G14" s="14"/>
      <c r="H14" s="1"/>
      <c r="I14" s="1"/>
    </row>
    <row r="15" spans="1:13">
      <c r="A15" t="s">
        <v>2</v>
      </c>
      <c r="B15">
        <v>0.97501719029848388</v>
      </c>
      <c r="M15" s="4"/>
    </row>
    <row r="17" spans="13:13">
      <c r="M17" s="4"/>
    </row>
  </sheetData>
  <phoneticPr fontId="3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7"/>
  <sheetViews>
    <sheetView workbookViewId="0">
      <selection activeCell="E18" sqref="E18"/>
    </sheetView>
  </sheetViews>
  <sheetFormatPr baseColWidth="10" defaultColWidth="8.83203125" defaultRowHeight="14"/>
  <sheetData>
    <row r="1" spans="1:13" ht="15" thickBot="1">
      <c r="A1" s="3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6" t="s">
        <v>8</v>
      </c>
      <c r="H1" s="19" t="s">
        <v>11</v>
      </c>
      <c r="I1" s="20" t="s">
        <v>12</v>
      </c>
    </row>
    <row r="2" spans="1:13" ht="15" thickTop="1">
      <c r="A2" s="5">
        <v>1</v>
      </c>
      <c r="B2" s="6">
        <v>0.01</v>
      </c>
      <c r="C2" s="6">
        <v>1.55</v>
      </c>
      <c r="D2" s="6">
        <v>-0.49999966665333279</v>
      </c>
      <c r="E2" s="6">
        <v>46.028482479219072</v>
      </c>
      <c r="F2" s="6">
        <v>2.6548992168540793E-2</v>
      </c>
      <c r="G2" s="12">
        <v>-0.49999376056412104</v>
      </c>
      <c r="H2" s="2"/>
      <c r="I2" s="21"/>
    </row>
    <row r="3" spans="1:13">
      <c r="A3" s="7">
        <v>2</v>
      </c>
      <c r="B3" s="1">
        <v>2.6548992168540793E-2</v>
      </c>
      <c r="C3" s="1">
        <v>1.55</v>
      </c>
      <c r="D3" s="1">
        <v>-0.49999376056412104</v>
      </c>
      <c r="E3" s="1">
        <v>46.028482479219072</v>
      </c>
      <c r="F3" s="1">
        <v>4.2919955930933729E-2</v>
      </c>
      <c r="G3" s="13">
        <v>-0.49997362595896055</v>
      </c>
      <c r="H3" s="1">
        <v>0</v>
      </c>
      <c r="I3" s="8">
        <v>1</v>
      </c>
    </row>
    <row r="4" spans="1:13">
      <c r="A4" s="7">
        <v>3</v>
      </c>
      <c r="B4" s="1">
        <v>4.2919955930933729E-2</v>
      </c>
      <c r="C4" s="1">
        <v>1.55</v>
      </c>
      <c r="D4" s="1">
        <v>-0.49997362595896055</v>
      </c>
      <c r="E4" s="1">
        <v>23.014241239609536</v>
      </c>
      <c r="F4" s="1">
        <v>7.4964414083221007E-2</v>
      </c>
      <c r="G4" s="13">
        <v>-0.49985925869985975</v>
      </c>
      <c r="H4" s="1">
        <v>0</v>
      </c>
      <c r="I4" s="8">
        <v>2</v>
      </c>
    </row>
    <row r="5" spans="1:13">
      <c r="A5" s="7">
        <v>4</v>
      </c>
      <c r="B5" s="1">
        <v>7.4964414083221007E-2</v>
      </c>
      <c r="C5" s="1">
        <v>1.55</v>
      </c>
      <c r="D5" s="1">
        <v>-0.49985925869985975</v>
      </c>
      <c r="E5" s="1">
        <v>11.507120619804768</v>
      </c>
      <c r="F5" s="1">
        <v>0.13637121262814372</v>
      </c>
      <c r="G5" s="13">
        <v>-0.49914829368909253</v>
      </c>
      <c r="H5" s="1">
        <v>0</v>
      </c>
      <c r="I5" s="8">
        <v>3</v>
      </c>
    </row>
    <row r="6" spans="1:13">
      <c r="A6" s="7">
        <v>5</v>
      </c>
      <c r="B6" s="1">
        <v>0.13637121262814372</v>
      </c>
      <c r="C6" s="1">
        <v>1.55</v>
      </c>
      <c r="D6" s="1">
        <v>-0.49914829368909253</v>
      </c>
      <c r="E6" s="1">
        <v>5.753560309902384</v>
      </c>
      <c r="F6" s="1">
        <v>0.24921997016038333</v>
      </c>
      <c r="G6" s="13">
        <v>-0.49470877104191857</v>
      </c>
      <c r="H6" s="1">
        <v>0</v>
      </c>
      <c r="I6" s="8">
        <v>4</v>
      </c>
    </row>
    <row r="7" spans="1:13">
      <c r="A7" s="7">
        <v>6</v>
      </c>
      <c r="B7" s="1">
        <v>0.24921997016038333</v>
      </c>
      <c r="C7" s="1">
        <v>1.55</v>
      </c>
      <c r="D7" s="1">
        <v>-0.49470877104191857</v>
      </c>
      <c r="E7" s="1">
        <v>2.876780154951192</v>
      </c>
      <c r="F7" s="1">
        <v>0.44008735963824569</v>
      </c>
      <c r="G7" s="13">
        <v>-0.46920010644007099</v>
      </c>
      <c r="H7" s="1">
        <v>0</v>
      </c>
      <c r="I7" s="8">
        <v>5</v>
      </c>
      <c r="J7" s="4"/>
      <c r="K7" s="4"/>
      <c r="L7" s="4"/>
      <c r="M7" s="4"/>
    </row>
    <row r="8" spans="1:13">
      <c r="A8" s="7">
        <v>7</v>
      </c>
      <c r="B8" s="1">
        <v>0.44008735963824569</v>
      </c>
      <c r="C8" s="1">
        <v>1.55</v>
      </c>
      <c r="D8" s="1">
        <v>-0.46920010644007099</v>
      </c>
      <c r="E8" s="1">
        <v>1.438390077475596</v>
      </c>
      <c r="F8" s="1">
        <v>0.71308684002346157</v>
      </c>
      <c r="G8" s="13">
        <v>-0.3481765138402706</v>
      </c>
      <c r="H8" s="1">
        <v>0</v>
      </c>
      <c r="I8" s="8">
        <v>6</v>
      </c>
      <c r="J8" s="4"/>
      <c r="K8" s="4"/>
      <c r="L8" s="4"/>
    </row>
    <row r="9" spans="1:13">
      <c r="A9" s="7">
        <v>8</v>
      </c>
      <c r="B9" s="1">
        <v>0.71308684002346157</v>
      </c>
      <c r="C9" s="1">
        <v>1.55</v>
      </c>
      <c r="D9" s="1">
        <v>-0.3481765138402706</v>
      </c>
      <c r="E9" s="1">
        <v>0.719195038737798</v>
      </c>
      <c r="F9" s="1">
        <v>0.98608784489740686</v>
      </c>
      <c r="G9" s="13">
        <v>2.4671252043130032E-2</v>
      </c>
      <c r="H9" s="1">
        <v>0</v>
      </c>
      <c r="I9" s="8">
        <v>7</v>
      </c>
      <c r="M9" s="4"/>
    </row>
    <row r="10" spans="1:13">
      <c r="A10" s="7">
        <v>9</v>
      </c>
      <c r="B10" s="1">
        <v>0.71308684002346157</v>
      </c>
      <c r="C10" s="1">
        <v>0.98608784489740686</v>
      </c>
      <c r="D10" s="1">
        <v>-0.3481765138402706</v>
      </c>
      <c r="E10" s="1">
        <v>2.4671252043130032E-2</v>
      </c>
      <c r="F10" s="1">
        <v>0.96802343036802174</v>
      </c>
      <c r="G10" s="13">
        <v>-1.4989738499816552E-2</v>
      </c>
      <c r="H10" s="1">
        <v>1</v>
      </c>
      <c r="I10" s="8">
        <v>0</v>
      </c>
    </row>
    <row r="11" spans="1:13">
      <c r="A11" s="7">
        <v>10</v>
      </c>
      <c r="B11" s="1">
        <v>0.96802343036802174</v>
      </c>
      <c r="C11" s="1">
        <v>0.98608784489740686</v>
      </c>
      <c r="D11" s="1">
        <v>-1.4989738499816552E-2</v>
      </c>
      <c r="E11" s="1">
        <v>2.4671252043130032E-2</v>
      </c>
      <c r="F11" s="1">
        <v>0.97485081531834361</v>
      </c>
      <c r="G11" s="13">
        <v>-3.618548281484335E-4</v>
      </c>
      <c r="H11" s="1">
        <v>0</v>
      </c>
      <c r="I11" s="8">
        <v>1</v>
      </c>
      <c r="M11" s="4"/>
    </row>
    <row r="12" spans="1:13" ht="15" thickBot="1">
      <c r="A12" s="9">
        <v>11</v>
      </c>
      <c r="B12" s="10">
        <v>0.97485081531834361</v>
      </c>
      <c r="C12" s="10">
        <v>0.98608784489740686</v>
      </c>
      <c r="D12" s="10">
        <v>-3.618548281484335E-4</v>
      </c>
      <c r="E12" s="10">
        <v>1.2335626021565016E-2</v>
      </c>
      <c r="F12" s="10">
        <v>0.97517104997396997</v>
      </c>
      <c r="G12" s="14">
        <v>3.3485322035009535E-4</v>
      </c>
      <c r="H12" s="10">
        <v>0</v>
      </c>
      <c r="I12" s="11">
        <v>2</v>
      </c>
    </row>
    <row r="13" spans="1:13">
      <c r="A13" s="17">
        <v>12</v>
      </c>
      <c r="B13" s="2">
        <v>0.97485081531834361</v>
      </c>
      <c r="C13" s="2">
        <v>0.97517104997396997</v>
      </c>
      <c r="D13" s="2">
        <v>-3.618548281484335E-4</v>
      </c>
      <c r="E13" s="2">
        <v>3.3485322035009535E-4</v>
      </c>
      <c r="F13" s="2">
        <v>0.97501713815116942</v>
      </c>
      <c r="G13" s="18">
        <v>-1.1990790849125688E-7</v>
      </c>
      <c r="H13" s="2">
        <v>1</v>
      </c>
      <c r="I13" s="2">
        <v>0</v>
      </c>
      <c r="M13" s="4"/>
    </row>
    <row r="14" spans="1:13" ht="15" thickBot="1">
      <c r="A14" s="9">
        <v>13</v>
      </c>
      <c r="B14" s="10">
        <v>0.97501713815116942</v>
      </c>
      <c r="C14" s="10">
        <v>0.97517104997396997</v>
      </c>
      <c r="D14" s="10">
        <v>-1.1990790849125688E-7</v>
      </c>
      <c r="E14" s="10">
        <v>3.3485322035009535E-4</v>
      </c>
      <c r="F14" s="10"/>
      <c r="G14" s="14"/>
      <c r="H14" s="1">
        <v>0</v>
      </c>
      <c r="I14" s="1">
        <v>1</v>
      </c>
    </row>
    <row r="15" spans="1:13">
      <c r="A15" t="s">
        <v>1</v>
      </c>
      <c r="M15" s="4"/>
    </row>
    <row r="16" spans="1:13">
      <c r="A16" t="s">
        <v>2</v>
      </c>
      <c r="B16">
        <v>0.97501713815116942</v>
      </c>
    </row>
    <row r="17" spans="13:13">
      <c r="M17" s="4"/>
    </row>
  </sheetData>
  <phoneticPr fontId="3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36CD-6BBB-4362-9851-29396D3EE245}">
  <sheetPr codeName="Sheet4"/>
  <dimension ref="A1:R22"/>
  <sheetViews>
    <sheetView topLeftCell="C1" workbookViewId="0">
      <selection activeCell="P2" sqref="P2:R9"/>
    </sheetView>
  </sheetViews>
  <sheetFormatPr baseColWidth="10" defaultColWidth="8.83203125" defaultRowHeight="14"/>
  <cols>
    <col min="1" max="1" width="24.83203125" bestFit="1" customWidth="1"/>
    <col min="17" max="17" width="11.83203125" bestFit="1" customWidth="1"/>
  </cols>
  <sheetData>
    <row r="1" spans="1:18" ht="15" thickBot="1">
      <c r="A1" s="3" t="s">
        <v>0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6" t="s">
        <v>8</v>
      </c>
      <c r="H1" s="19" t="s">
        <v>11</v>
      </c>
      <c r="I1" s="20" t="s">
        <v>12</v>
      </c>
      <c r="M1" t="s">
        <v>9</v>
      </c>
      <c r="N1" t="s">
        <v>10</v>
      </c>
    </row>
    <row r="2" spans="1:18" ht="15" thickTop="1">
      <c r="A2">
        <v>1</v>
      </c>
      <c r="B2">
        <v>1</v>
      </c>
      <c r="C2">
        <v>2</v>
      </c>
      <c r="D2">
        <v>-6.8112843922587913</v>
      </c>
      <c r="E2">
        <v>1.1888744181853035</v>
      </c>
      <c r="F2">
        <v>1.8513936477569364</v>
      </c>
      <c r="G2">
        <v>-0.13372947763013343</v>
      </c>
      <c r="M2" s="22">
        <v>0.04</v>
      </c>
      <c r="N2" s="23">
        <f>($Q$4+$Q$8/(M2^2))*(M2-$Q$9)-($Q$3*$Q$5)</f>
        <v>-14.015098849324357</v>
      </c>
      <c r="P2" s="26" t="s">
        <v>16</v>
      </c>
      <c r="Q2" s="27"/>
      <c r="R2" s="28"/>
    </row>
    <row r="3" spans="1:18">
      <c r="A3">
        <v>2</v>
      </c>
      <c r="B3">
        <v>1.8513936477569364</v>
      </c>
      <c r="C3">
        <v>2</v>
      </c>
      <c r="D3">
        <v>-0.13372947763013343</v>
      </c>
      <c r="E3">
        <v>1.1888744181853035</v>
      </c>
      <c r="F3">
        <v>1.8664193481354552</v>
      </c>
      <c r="G3">
        <v>-1.1581148750821058E-3</v>
      </c>
      <c r="H3">
        <v>0</v>
      </c>
      <c r="I3">
        <v>1</v>
      </c>
      <c r="M3" s="22">
        <v>0.05</v>
      </c>
      <c r="N3" s="23">
        <f>($Q$4+$Q$8/M3^2)*(M3-$Q$9)-($Q$3*$Q$5)</f>
        <v>0.70752950382206592</v>
      </c>
      <c r="P3" s="24" t="s">
        <v>17</v>
      </c>
      <c r="Q3" s="1">
        <v>8.2059999999999994E-2</v>
      </c>
      <c r="R3" s="8"/>
    </row>
    <row r="4" spans="1:18">
      <c r="A4">
        <v>3</v>
      </c>
      <c r="B4">
        <v>1.8664193481354552</v>
      </c>
      <c r="C4">
        <v>2</v>
      </c>
      <c r="D4">
        <v>-1.1581148750821058E-3</v>
      </c>
      <c r="E4">
        <v>0.59443720909265174</v>
      </c>
      <c r="F4">
        <v>1.8666790911752711</v>
      </c>
      <c r="G4">
        <v>1.1360421537460752E-3</v>
      </c>
      <c r="H4">
        <v>0</v>
      </c>
      <c r="I4">
        <v>2</v>
      </c>
      <c r="M4" s="22">
        <v>0.06</v>
      </c>
      <c r="N4" s="23">
        <f t="shared" ref="N4:N22" si="0">($Q$4+$Q$8/M4^2)*(M4-$Q$9)-$Q$3*$Q$5</f>
        <v>6.1343596123207078</v>
      </c>
      <c r="P4" s="24" t="s">
        <v>18</v>
      </c>
      <c r="Q4" s="1">
        <v>10</v>
      </c>
      <c r="R4" s="8" t="s">
        <v>19</v>
      </c>
    </row>
    <row r="5" spans="1:18">
      <c r="A5">
        <v>4</v>
      </c>
      <c r="B5">
        <v>1.8664193481354552</v>
      </c>
      <c r="C5">
        <v>1.8666790911752711</v>
      </c>
      <c r="D5">
        <v>-1.1581148750821058E-3</v>
      </c>
      <c r="E5">
        <v>1.1360421537460752E-3</v>
      </c>
      <c r="F5">
        <v>1.8665504691852917</v>
      </c>
      <c r="G5">
        <v>-1.0328495392286641E-8</v>
      </c>
      <c r="H5">
        <v>1</v>
      </c>
      <c r="I5">
        <v>0</v>
      </c>
      <c r="M5" s="22">
        <v>0.1</v>
      </c>
      <c r="N5" s="23">
        <f t="shared" si="0"/>
        <v>6.576206724680457</v>
      </c>
      <c r="P5" s="24" t="s">
        <v>20</v>
      </c>
      <c r="Q5" s="1">
        <v>250</v>
      </c>
      <c r="R5" s="8" t="s">
        <v>21</v>
      </c>
    </row>
    <row r="6" spans="1:18">
      <c r="A6">
        <v>5</v>
      </c>
      <c r="B6">
        <v>1.8665504691852917</v>
      </c>
      <c r="C6">
        <v>1.8666790911752711</v>
      </c>
      <c r="D6">
        <v>-1.0328495392286641E-8</v>
      </c>
      <c r="E6">
        <v>1.1360421537460752E-3</v>
      </c>
      <c r="H6">
        <v>0</v>
      </c>
      <c r="I6">
        <v>1</v>
      </c>
      <c r="M6" s="22">
        <v>0.2</v>
      </c>
      <c r="N6" s="23">
        <f t="shared" si="0"/>
        <v>-1.6777444076075767</v>
      </c>
      <c r="P6" s="24" t="s">
        <v>22</v>
      </c>
      <c r="Q6" s="1">
        <v>407.5</v>
      </c>
      <c r="R6" s="8" t="s">
        <v>21</v>
      </c>
    </row>
    <row r="7" spans="1:18">
      <c r="A7" t="s">
        <v>1</v>
      </c>
      <c r="M7" s="22">
        <v>0.30000000000000004</v>
      </c>
      <c r="N7" s="23">
        <f t="shared" si="0"/>
        <v>-5.5310303024765091</v>
      </c>
      <c r="P7" s="24" t="s">
        <v>23</v>
      </c>
      <c r="Q7" s="1">
        <v>111.3</v>
      </c>
      <c r="R7" s="8" t="s">
        <v>19</v>
      </c>
    </row>
    <row r="8" spans="1:18">
      <c r="A8" t="s">
        <v>2</v>
      </c>
      <c r="B8">
        <v>1.8665504691852917</v>
      </c>
      <c r="M8" s="22">
        <v>0.4</v>
      </c>
      <c r="N8" s="23">
        <f t="shared" si="0"/>
        <v>-7.2892924094309013</v>
      </c>
      <c r="P8" s="24" t="s">
        <v>24</v>
      </c>
      <c r="Q8" s="1">
        <v>4.2384481750010528</v>
      </c>
      <c r="R8" s="8"/>
    </row>
    <row r="9" spans="1:18" ht="15" thickBot="1">
      <c r="M9" s="22">
        <v>0.5</v>
      </c>
      <c r="N9" s="23">
        <f t="shared" si="0"/>
        <v>-8.0503678046499072</v>
      </c>
      <c r="P9" s="25" t="s">
        <v>25</v>
      </c>
      <c r="Q9" s="10">
        <v>3.755553683737646E-2</v>
      </c>
      <c r="R9" s="11"/>
    </row>
    <row r="10" spans="1:18">
      <c r="M10" s="22">
        <v>0.6</v>
      </c>
      <c r="N10" s="23">
        <f t="shared" si="0"/>
        <v>-8.2686339560652371</v>
      </c>
    </row>
    <row r="11" spans="1:18">
      <c r="M11" s="22">
        <v>0.7</v>
      </c>
      <c r="N11" s="23">
        <f t="shared" si="0"/>
        <v>-8.1604808256570802</v>
      </c>
    </row>
    <row r="12" spans="1:18">
      <c r="M12" s="22">
        <v>0.79999999999999993</v>
      </c>
      <c r="N12" s="23">
        <f t="shared" si="0"/>
        <v>-7.841209519262387</v>
      </c>
    </row>
    <row r="13" spans="1:18">
      <c r="M13" s="22">
        <v>0.89999999999999991</v>
      </c>
      <c r="N13" s="23">
        <f t="shared" si="0"/>
        <v>-7.3776835647547685</v>
      </c>
    </row>
    <row r="14" spans="1:18">
      <c r="M14" s="22">
        <v>0.99999999999999989</v>
      </c>
      <c r="N14" s="23">
        <f t="shared" si="0"/>
        <v>-6.8112843899422728</v>
      </c>
    </row>
    <row r="15" spans="1:18">
      <c r="M15" s="22">
        <f>M14+0.5</f>
        <v>1.5</v>
      </c>
      <c r="N15" s="23">
        <f t="shared" si="0"/>
        <v>-3.1356686724039768</v>
      </c>
    </row>
    <row r="16" spans="1:18">
      <c r="M16" s="22">
        <f t="shared" ref="M16:M22" si="1">M15+0.5</f>
        <v>2</v>
      </c>
      <c r="N16" s="23">
        <f t="shared" si="0"/>
        <v>1.1888744199843728</v>
      </c>
    </row>
    <row r="17" spans="13:14">
      <c r="M17" s="22">
        <f t="shared" si="1"/>
        <v>2.5</v>
      </c>
      <c r="N17" s="23">
        <f t="shared" si="0"/>
        <v>5.7793555501755272</v>
      </c>
    </row>
    <row r="18" spans="13:14">
      <c r="M18" s="22">
        <f t="shared" si="1"/>
        <v>3</v>
      </c>
      <c r="N18" s="23">
        <f t="shared" si="0"/>
        <v>10.504574334785527</v>
      </c>
    </row>
    <row r="19" spans="13:14">
      <c r="M19" s="22">
        <f t="shared" si="1"/>
        <v>3.5</v>
      </c>
      <c r="N19" s="23">
        <f t="shared" si="0"/>
        <v>15.307435767620856</v>
      </c>
    </row>
    <row r="20" spans="13:14">
      <c r="M20" s="22">
        <f t="shared" si="1"/>
        <v>4</v>
      </c>
      <c r="N20" s="23">
        <f t="shared" si="0"/>
        <v>20.159108100590903</v>
      </c>
    </row>
    <row r="21" spans="13:14">
      <c r="M21" s="22">
        <f t="shared" si="1"/>
        <v>4.5</v>
      </c>
      <c r="N21" s="23">
        <f t="shared" si="0"/>
        <v>25.043461401548964</v>
      </c>
    </row>
    <row r="22" spans="13:14">
      <c r="M22" s="22">
        <f t="shared" si="1"/>
        <v>5</v>
      </c>
      <c r="N22" s="23">
        <f t="shared" si="0"/>
        <v>29.950767178763673</v>
      </c>
    </row>
  </sheetData>
  <mergeCells count="1">
    <mergeCell ref="P2:R2"/>
  </mergeCells>
  <phoneticPr fontId="3" type="noConversion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4097" r:id="rId3">
          <objectPr defaultSize="0" autoPict="0" r:id="rId4">
            <anchor moveWithCells="1" sizeWithCells="1">
              <from>
                <xdr:col>14</xdr:col>
                <xdr:colOff>114300</xdr:colOff>
                <xdr:row>9</xdr:row>
                <xdr:rowOff>177800</xdr:rowOff>
              </from>
              <to>
                <xdr:col>18</xdr:col>
                <xdr:colOff>546100</xdr:colOff>
                <xdr:row>12</xdr:row>
                <xdr:rowOff>165100</xdr:rowOff>
              </to>
            </anchor>
          </objectPr>
        </oleObject>
      </mc:Choice>
      <mc:Fallback>
        <oleObject progId="Equation.DSMT4" shapeId="4097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2.1a</vt:lpstr>
      <vt:lpstr>2.1b</vt:lpstr>
      <vt:lpstr>2.1b1</vt:lpstr>
      <vt:lpstr>2.1c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Zhen Luo</cp:lastModifiedBy>
  <dcterms:created xsi:type="dcterms:W3CDTF">2011-02-25T19:37:56Z</dcterms:created>
  <dcterms:modified xsi:type="dcterms:W3CDTF">2020-05-13T01:55:40Z</dcterms:modified>
</cp:coreProperties>
</file>