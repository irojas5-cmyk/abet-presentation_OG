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oZhen/Desktop/CHE205_Fall19/strong/exam1/"/>
    </mc:Choice>
  </mc:AlternateContent>
  <xr:revisionPtr revIDLastSave="0" documentId="13_ncr:1_{2B623F97-35FB-3941-AD5D-E424BC677988}" xr6:coauthVersionLast="41" xr6:coauthVersionMax="44" xr10:uidLastSave="{00000000-0000-0000-0000-000000000000}"/>
  <bookViews>
    <workbookView xWindow="-120" yWindow="460" windowWidth="19420" windowHeight="10420" xr2:uid="{531B4ED2-72ED-4A3D-85CF-A1F44D7EF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D10" i="1" s="1"/>
  <c r="E8" i="1"/>
  <c r="E10" i="1" s="1"/>
  <c r="C8" i="1"/>
  <c r="C10" i="1" s="1"/>
  <c r="B8" i="1"/>
  <c r="B10" i="1" s="1"/>
  <c r="C19" i="1" l="1"/>
  <c r="B15" i="1"/>
  <c r="B19" i="1"/>
  <c r="A20" i="1" l="1"/>
  <c r="B20" i="1" l="1"/>
  <c r="A21" i="1" s="1"/>
  <c r="C20" i="1"/>
  <c r="B21" i="1" l="1"/>
  <c r="C21" i="1"/>
  <c r="A22" i="1" s="1"/>
  <c r="C22" i="1" l="1"/>
  <c r="B22" i="1"/>
  <c r="A23" i="1" l="1"/>
  <c r="C23" i="1" l="1"/>
  <c r="B23" i="1"/>
  <c r="A24" i="1" l="1"/>
  <c r="B24" i="1" l="1"/>
  <c r="A25" i="1" s="1"/>
  <c r="C24" i="1"/>
  <c r="C25" i="1" l="1"/>
  <c r="B25" i="1"/>
  <c r="A26" i="1" l="1"/>
  <c r="C26" i="1" l="1"/>
  <c r="B26" i="1"/>
  <c r="A27" i="1" s="1"/>
  <c r="B27" i="1" l="1"/>
  <c r="C27" i="1"/>
  <c r="A28" i="1" l="1"/>
  <c r="C28" i="1" l="1"/>
  <c r="B28" i="1"/>
</calcChain>
</file>

<file path=xl/sharedStrings.xml><?xml version="1.0" encoding="utf-8"?>
<sst xmlns="http://schemas.openxmlformats.org/spreadsheetml/2006/main" count="24" uniqueCount="24">
  <si>
    <t>Ethane</t>
  </si>
  <si>
    <t>Propane</t>
  </si>
  <si>
    <t>n-Butane</t>
  </si>
  <si>
    <t>A</t>
  </si>
  <si>
    <t>B</t>
  </si>
  <si>
    <t>C</t>
  </si>
  <si>
    <t>z</t>
  </si>
  <si>
    <t>Ethylene</t>
  </si>
  <si>
    <t>Pi</t>
  </si>
  <si>
    <t>ki</t>
  </si>
  <si>
    <t>P1</t>
  </si>
  <si>
    <t>P2</t>
  </si>
  <si>
    <t>P3</t>
  </si>
  <si>
    <t>P4</t>
  </si>
  <si>
    <t>k1</t>
  </si>
  <si>
    <t>k2</t>
  </si>
  <si>
    <t>k3</t>
  </si>
  <si>
    <t>k4</t>
  </si>
  <si>
    <t>Goal Seek</t>
  </si>
  <si>
    <t>alpha</t>
  </si>
  <si>
    <t>f(alpha)</t>
  </si>
  <si>
    <t>α</t>
  </si>
  <si>
    <t>f(α)</t>
  </si>
  <si>
    <t>f'(α)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</si>
</sst>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19</xdr:row>
      <xdr:rowOff>0</xdr:rowOff>
    </xdr:from>
    <xdr:ext cx="1886222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3DED914-B0BA-764D-92B0-293FCF485E1E}"/>
            </a:ext>
          </a:extLst>
        </xdr:cNvPr>
        <xdr:cNvSpPr/>
      </xdr:nvSpPr>
      <xdr:spPr>
        <a:xfrm>
          <a:off x="4711700" y="3619500"/>
          <a:ext cx="1886222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10/10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4D97-D1BD-483B-B1F9-49F8A8B88ABB}">
  <dimension ref="A1:E28"/>
  <sheetViews>
    <sheetView tabSelected="1" topLeftCell="A14" workbookViewId="0">
      <selection activeCell="H20" sqref="H20"/>
    </sheetView>
  </sheetViews>
  <sheetFormatPr baseColWidth="10" defaultColWidth="8.83203125" defaultRowHeight="15"/>
  <sheetData>
    <row r="1" spans="1:5">
      <c r="B1" t="s">
        <v>7</v>
      </c>
      <c r="C1" t="s">
        <v>0</v>
      </c>
      <c r="D1" t="s">
        <v>1</v>
      </c>
      <c r="E1" t="s">
        <v>2</v>
      </c>
    </row>
    <row r="2" spans="1:5">
      <c r="A2" t="s">
        <v>3</v>
      </c>
      <c r="B2">
        <v>3.867</v>
      </c>
      <c r="C2">
        <v>3.9329999999999998</v>
      </c>
      <c r="D2">
        <v>3.9769999999999999</v>
      </c>
      <c r="E2">
        <v>3.8439999999999999</v>
      </c>
    </row>
    <row r="3" spans="1:5">
      <c r="A3" t="s">
        <v>4</v>
      </c>
      <c r="B3">
        <v>581.14599999999996</v>
      </c>
      <c r="C3">
        <v>659.73900000000003</v>
      </c>
      <c r="D3">
        <v>819.29600000000005</v>
      </c>
      <c r="E3">
        <v>909.65</v>
      </c>
    </row>
    <row r="4" spans="1:5">
      <c r="A4" t="s">
        <v>5</v>
      </c>
      <c r="B4">
        <v>-18.306999999999999</v>
      </c>
      <c r="C4">
        <v>-16.719000000000001</v>
      </c>
      <c r="D4">
        <v>-24.417000000000002</v>
      </c>
      <c r="E4">
        <v>-36.146000000000001</v>
      </c>
    </row>
    <row r="5" spans="1:5">
      <c r="A5" t="s">
        <v>6</v>
      </c>
      <c r="B5">
        <v>0.1</v>
      </c>
      <c r="C5">
        <v>0.3</v>
      </c>
      <c r="D5">
        <v>0.4</v>
      </c>
      <c r="E5">
        <v>0.2</v>
      </c>
    </row>
    <row r="7" spans="1:5">
      <c r="B7" t="s">
        <v>10</v>
      </c>
      <c r="C7" t="s">
        <v>11</v>
      </c>
      <c r="D7" t="s">
        <v>12</v>
      </c>
      <c r="E7" t="s">
        <v>13</v>
      </c>
    </row>
    <row r="8" spans="1:5">
      <c r="A8" t="s">
        <v>8</v>
      </c>
      <c r="B8">
        <f>POWER(10,B2-B3/(B4+273))</f>
        <v>38.48123744340635</v>
      </c>
      <c r="C8">
        <f>POWER(10,C2-C3/(C4+273))</f>
        <v>22.841267793923368</v>
      </c>
      <c r="D8">
        <f t="shared" ref="D8:E8" si="0">POWER(10,D2-D3/(D4+273))</f>
        <v>4.7988263779050992</v>
      </c>
      <c r="E8">
        <f t="shared" si="0"/>
        <v>1.0079719266194642</v>
      </c>
    </row>
    <row r="9" spans="1:5">
      <c r="B9" t="s">
        <v>14</v>
      </c>
      <c r="C9" t="s">
        <v>15</v>
      </c>
      <c r="D9" t="s">
        <v>16</v>
      </c>
      <c r="E9" t="s">
        <v>17</v>
      </c>
    </row>
    <row r="10" spans="1:5">
      <c r="A10" t="s">
        <v>9</v>
      </c>
      <c r="B10">
        <f>B8/18</f>
        <v>2.137846524633686</v>
      </c>
      <c r="C10">
        <f t="shared" ref="C10:E10" si="1">C8/18</f>
        <v>1.2689593218846316</v>
      </c>
      <c r="D10">
        <f t="shared" si="1"/>
        <v>0.26660146543917218</v>
      </c>
      <c r="E10">
        <f t="shared" si="1"/>
        <v>5.5998440367748009E-2</v>
      </c>
    </row>
    <row r="13" spans="1:5">
      <c r="A13" s="1" t="s">
        <v>18</v>
      </c>
      <c r="B13" s="1"/>
    </row>
    <row r="14" spans="1:5">
      <c r="A14" t="s">
        <v>19</v>
      </c>
      <c r="B14">
        <v>-0.48411583595364571</v>
      </c>
    </row>
    <row r="15" spans="1:5">
      <c r="A15" t="s">
        <v>20</v>
      </c>
      <c r="B15">
        <f>B5*(1-B10)/(1+B14*(B10-1))+C5*(1-C10)/(1+B14*(C10-1))+D5*(1-D10)/(1+B14*(D10-1))+E5*(1-E10)/(1+B14*(E10-1))</f>
        <v>-2.5296170938965412E-5</v>
      </c>
    </row>
    <row r="18" spans="1:3">
      <c r="A18" t="s">
        <v>21</v>
      </c>
      <c r="B18" t="s">
        <v>22</v>
      </c>
      <c r="C18" t="s">
        <v>23</v>
      </c>
    </row>
    <row r="19" spans="1:3">
      <c r="A19">
        <v>-0.8</v>
      </c>
      <c r="B19">
        <f>$B$5*(1-$B$10)/(1+A19*($B$10-1))+$C$5*(1-$C$10)/(1+A19*($C$10-1))+$D$5*(1-$D$10)/(1+A19*($D$10-1))+$E$5*(1-$E$10)/(1+A19*($E$10-1))</f>
        <v>-1.0785386228394838</v>
      </c>
      <c r="C19">
        <f>(($B$10-1)^2)*$B$5/(A19*($B$10-1)+1)^2+(($C$10-1)^2*$C$5/(A19*($C$10-1)+1)^2) + (($D$10-1)^2*$D$5/(A19*($D$10-1)+1)^2) + (($E$10-1)^2*$E$5/(A19*($E$10-1)+1)^2)</f>
        <v>16.261350117832624</v>
      </c>
    </row>
    <row r="20" spans="1:3">
      <c r="A20">
        <f>A19-B19/C19</f>
        <v>-0.73367471857968736</v>
      </c>
      <c r="B20">
        <f>$B$5*(1-$B$10)/(1+A20*($B$10-1))+$C$5*(1-$C$10)/(1+A20*($C$10-1))+$D$5*(1-$D$10)/(1+A20*($D$10-1))+$E$5*(1-$E$10)/(1+A20*($E$10-1))</f>
        <v>-0.48705501133547319</v>
      </c>
      <c r="C20">
        <f>(($B$10-1)^2)*$B$5/(A20*($B$10-1)+1)^2+(($C$10-1)^2*$C$5/(A20*($C$10-1)+1)^2) + (($D$10-1)^2*$D$5/(A20*($D$10-1)+1)^2) + (($E$10-1)^2*$E$5/(A20*($E$10-1)+1)^2)</f>
        <v>4.9314000669782949</v>
      </c>
    </row>
    <row r="21" spans="1:3">
      <c r="A21">
        <f t="shared" ref="A21:A28" si="2">A20-B20/C20</f>
        <v>-0.63490864713541395</v>
      </c>
      <c r="B21">
        <f t="shared" ref="B21:B28" si="3">$B$5*(1-$B$10)/(1+A21*($B$10-1))+$C$5*(1-$C$10)/(1+A21*($C$10-1))+$D$5*(1-$D$10)/(1+A21*($D$10-1))+$E$5*(1-$E$10)/(1+A21*($E$10-1))</f>
        <v>-0.18902760826748052</v>
      </c>
      <c r="C21">
        <f t="shared" ref="C21:C28" si="4">(($B$10-1)^2)*$B$5/(A21*($B$10-1)+1)^2+(($C$10-1)^2*$C$5/(A21*($C$10-1)+1)^2) + (($D$10-1)^2*$D$5/(A21*($D$10-1)+1)^2) + (($E$10-1)^2*$E$5/(A21*($E$10-1)+1)^2)</f>
        <v>1.8818147182877158</v>
      </c>
    </row>
    <row r="22" spans="1:3">
      <c r="A22">
        <f t="shared" si="2"/>
        <v>-0.53445900858679063</v>
      </c>
      <c r="B22">
        <f t="shared" si="3"/>
        <v>-4.8359744112155822E-2</v>
      </c>
      <c r="C22">
        <f t="shared" si="4"/>
        <v>1.0624942521368874</v>
      </c>
    </row>
    <row r="23" spans="1:3">
      <c r="A23">
        <f t="shared" si="2"/>
        <v>-0.48894370907821</v>
      </c>
      <c r="B23">
        <f t="shared" si="3"/>
        <v>-4.2690628932899044E-3</v>
      </c>
      <c r="C23">
        <f t="shared" si="4"/>
        <v>0.88653600367048635</v>
      </c>
    </row>
    <row r="24" spans="1:3">
      <c r="A24">
        <f t="shared" si="2"/>
        <v>-0.48412826686761179</v>
      </c>
      <c r="B24">
        <f t="shared" si="3"/>
        <v>-3.6131084417134751E-5</v>
      </c>
      <c r="C24">
        <f t="shared" si="4"/>
        <v>0.87162922411906696</v>
      </c>
    </row>
    <row r="25" spans="1:3">
      <c r="A25">
        <f t="shared" si="2"/>
        <v>-0.48408681451216368</v>
      </c>
      <c r="B25">
        <f t="shared" si="3"/>
        <v>-2.6064345404197553E-9</v>
      </c>
      <c r="C25">
        <f t="shared" si="4"/>
        <v>0.87150347564035258</v>
      </c>
    </row>
    <row r="26" spans="1:3">
      <c r="A26">
        <f t="shared" si="2"/>
        <v>-0.48408681152143029</v>
      </c>
      <c r="B26">
        <f t="shared" si="3"/>
        <v>0</v>
      </c>
      <c r="C26">
        <f t="shared" si="4"/>
        <v>0.87150346656932265</v>
      </c>
    </row>
    <row r="27" spans="1:3">
      <c r="A27">
        <f t="shared" si="2"/>
        <v>-0.48408681152143029</v>
      </c>
      <c r="B27">
        <f t="shared" si="3"/>
        <v>0</v>
      </c>
      <c r="C27">
        <f t="shared" si="4"/>
        <v>0.87150346656932265</v>
      </c>
    </row>
    <row r="28" spans="1:3">
      <c r="A28">
        <f t="shared" si="2"/>
        <v>-0.48408681152143029</v>
      </c>
      <c r="B28">
        <f t="shared" si="3"/>
        <v>0</v>
      </c>
      <c r="C28">
        <f t="shared" si="4"/>
        <v>0.87150346656932265</v>
      </c>
    </row>
  </sheetData>
  <mergeCells count="1">
    <mergeCell ref="A13:B1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</dc:creator>
  <cp:lastModifiedBy>Zhen Luo</cp:lastModifiedBy>
  <dcterms:created xsi:type="dcterms:W3CDTF">2019-09-27T13:57:11Z</dcterms:created>
  <dcterms:modified xsi:type="dcterms:W3CDTF">2020-05-13T01:50:37Z</dcterms:modified>
</cp:coreProperties>
</file>