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codeName="ThisWorkbook" autoCompressPictures="0"/>
  <bookViews>
    <workbookView xWindow="0" yWindow="0" windowWidth="26320" windowHeight="15320" tabRatio="500"/>
  </bookViews>
  <sheets>
    <sheet name="Sheet1" sheetId="1" r:id="rId1"/>
  </sheets>
  <externalReferences>
    <externalReference r:id="rId2"/>
  </externalReferences>
  <calcPr calcId="140000" calcComplete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8" i="1" l="1" a="1"/>
  <c r="K18" i="1"/>
  <c r="K19" i="1"/>
  <c r="K20" i="1"/>
  <c r="K21" i="1"/>
  <c r="K22" i="1"/>
  <c r="K23" i="1"/>
  <c r="K24" i="1"/>
  <c r="K25" i="1"/>
  <c r="K26" i="1"/>
  <c r="E26" i="1"/>
  <c r="G26" i="1"/>
  <c r="J25" i="1"/>
  <c r="I25" i="1"/>
  <c r="H25" i="1"/>
  <c r="I24" i="1"/>
  <c r="H24" i="1"/>
  <c r="G24" i="1"/>
  <c r="H23" i="1"/>
  <c r="G23" i="1"/>
  <c r="F23" i="1"/>
  <c r="G22" i="1"/>
  <c r="F22" i="1"/>
  <c r="E22" i="1"/>
  <c r="F21" i="1"/>
  <c r="E21" i="1"/>
  <c r="D21" i="1"/>
  <c r="E20" i="1"/>
  <c r="D20" i="1"/>
  <c r="C20" i="1"/>
  <c r="D19" i="1"/>
  <c r="C19" i="1"/>
  <c r="B19" i="1"/>
  <c r="C18" i="1"/>
  <c r="B18" i="1"/>
  <c r="A18" i="1"/>
  <c r="A19" i="1"/>
  <c r="A20" i="1"/>
  <c r="A21" i="1"/>
  <c r="A22" i="1"/>
  <c r="A23" i="1"/>
  <c r="A24" i="1"/>
  <c r="A25" i="1"/>
  <c r="A26" i="1"/>
  <c r="A5" i="1"/>
  <c r="B5" i="1"/>
  <c r="A6" i="1"/>
  <c r="C5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</calcChain>
</file>

<file path=xl/sharedStrings.xml><?xml version="1.0" encoding="utf-8"?>
<sst xmlns="http://schemas.openxmlformats.org/spreadsheetml/2006/main" count="12" uniqueCount="10">
  <si>
    <t>=Dx</t>
  </si>
  <si>
    <t>x</t>
  </si>
  <si>
    <t>u</t>
  </si>
  <si>
    <t>=beta</t>
  </si>
  <si>
    <t>V</t>
  </si>
  <si>
    <t>=alpha</t>
  </si>
  <si>
    <t>Part a:</t>
  </si>
  <si>
    <t>Part b: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</si>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</sst>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quotePrefix="1" applyFont="1"/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0" fontId="4" fillId="0" borderId="0" xfId="0" quotePrefix="1" applyFont="1"/>
    <xf numFmtId="1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0" fillId="2" borderId="0" xfId="0" applyFill="1"/>
    <xf numFmtId="2" fontId="4" fillId="0" borderId="0" xfId="0" applyNumberFormat="1" applyFont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115449805831"/>
          <c:y val="0.0522058823529412"/>
          <c:w val="0.806099737532808"/>
          <c:h val="0.835400534642872"/>
        </c:manualLayout>
      </c:layout>
      <c:scatterChart>
        <c:scatterStyle val="smoothMarker"/>
        <c:varyColors val="0"/>
        <c:ser>
          <c:idx val="0"/>
          <c:order val="0"/>
          <c:tx>
            <c:v>FE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Sheet1!$A$4:$A$13</c:f>
              <c:numCache>
                <c:formatCode>0.00</c:formatCode>
                <c:ptCount val="10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Sheet1!$C$4:$C$13</c:f>
              <c:numCache>
                <c:formatCode>0.00</c:formatCode>
                <c:ptCount val="10"/>
                <c:pt idx="0">
                  <c:v>0.0</c:v>
                </c:pt>
                <c:pt idx="1">
                  <c:v>0.0944703510337382</c:v>
                </c:pt>
                <c:pt idx="2">
                  <c:v>0.190849194007552</c:v>
                </c:pt>
                <c:pt idx="3">
                  <c:v>0.261721837407231</c:v>
                </c:pt>
                <c:pt idx="4">
                  <c:v>0.274350085643961</c:v>
                </c:pt>
                <c:pt idx="5">
                  <c:v>0.194708939400653</c:v>
                </c:pt>
                <c:pt idx="6">
                  <c:v>-0.00529106059934736</c:v>
                </c:pt>
                <c:pt idx="7">
                  <c:v>-0.334060875943403</c:v>
                </c:pt>
                <c:pt idx="8">
                  <c:v>-0.749968840245035</c:v>
                </c:pt>
                <c:pt idx="9">
                  <c:v>-1.072340725394556</c:v>
                </c:pt>
              </c:numCache>
            </c:numRef>
          </c:yVal>
          <c:smooth val="1"/>
        </c:ser>
        <c:ser>
          <c:idx val="1"/>
          <c:order val="1"/>
          <c:tx>
            <c:v>FD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Sheet1!$A$17:$A$26</c:f>
              <c:numCache>
                <c:formatCode>0.00</c:formatCode>
                <c:ptCount val="10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Sheet1!$K$17:$K$26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391176"/>
        <c:axId val="2114400648"/>
      </c:scatterChart>
      <c:valAx>
        <c:axId val="211439117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507843764079899"/>
              <c:y val="0.620088872832075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endParaRPr lang="en-US"/>
          </a:p>
        </c:txPr>
        <c:crossAx val="2114400648"/>
        <c:crossesAt val="0.0"/>
        <c:crossBetween val="midCat"/>
        <c:majorUnit val="0.1"/>
      </c:valAx>
      <c:valAx>
        <c:axId val="2114400648"/>
        <c:scaling>
          <c:orientation val="minMax"/>
          <c:max val="1.2"/>
          <c:min val="-1.2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V(x)</a:t>
                </a:r>
              </a:p>
            </c:rich>
          </c:tx>
          <c:layout/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endParaRPr lang="en-US"/>
          </a:p>
        </c:txPr>
        <c:crossAx val="2114391176"/>
        <c:crossesAt val="0.0"/>
        <c:crossBetween val="midCat"/>
        <c:majorUnit val="0.4"/>
        <c:minorUnit val="0.04"/>
      </c:valAx>
    </c:plotArea>
    <c:legend>
      <c:legendPos val="r"/>
      <c:layout>
        <c:manualLayout>
          <c:xMode val="edge"/>
          <c:yMode val="edge"/>
          <c:x val="0.843523353858697"/>
          <c:y val="0.0508261926817971"/>
          <c:w val="0.156476646141303"/>
          <c:h val="0.165430176007411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122767</xdr:colOff>
      <xdr:row>0</xdr:row>
      <xdr:rowOff>67733</xdr:rowOff>
    </xdr:from>
    <xdr:to>
      <xdr:col>18</xdr:col>
      <xdr:colOff>135467</xdr:colOff>
      <xdr:row>12</xdr:row>
      <xdr:rowOff>177800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nzabi/Shafigh/UIC/Teaching/Che205_2019_fall/Chapter_3/matrix/matrix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WorkArea"/>
      <sheetName val="CommandBarMenu"/>
      <sheetName val="Functions"/>
    </sheetNames>
    <definedNames>
      <definedName name="syslin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L26"/>
  <sheetViews>
    <sheetView tabSelected="1" topLeftCell="D1" zoomScale="150" zoomScaleNormal="150" zoomScalePageLayoutView="150" workbookViewId="0">
      <selection activeCell="I6" sqref="I6"/>
    </sheetView>
  </sheetViews>
  <sheetFormatPr baseColWidth="10" defaultRowHeight="15" x14ac:dyDescent="0"/>
  <cols>
    <col min="1" max="1" width="8" customWidth="1"/>
    <col min="2" max="2" width="7.1640625" customWidth="1"/>
    <col min="3" max="3" width="7.33203125" customWidth="1"/>
    <col min="4" max="4" width="6.5" customWidth="1"/>
    <col min="5" max="13" width="5.83203125" customWidth="1"/>
    <col min="14" max="15" width="5.33203125" customWidth="1"/>
  </cols>
  <sheetData>
    <row r="1" spans="1:12">
      <c r="A1" s="1">
        <v>0.1</v>
      </c>
      <c r="B1" s="2" t="s">
        <v>0</v>
      </c>
      <c r="C1" s="7">
        <v>-2</v>
      </c>
      <c r="D1" s="8" t="s">
        <v>5</v>
      </c>
      <c r="E1">
        <v>30</v>
      </c>
      <c r="F1" s="6" t="s">
        <v>3</v>
      </c>
    </row>
    <row r="2" spans="1:12">
      <c r="A2" s="5" t="s">
        <v>6</v>
      </c>
      <c r="B2" s="2"/>
      <c r="C2" s="7"/>
      <c r="D2" s="8"/>
      <c r="F2" s="6"/>
    </row>
    <row r="3" spans="1:12">
      <c r="A3" s="3" t="s">
        <v>1</v>
      </c>
      <c r="B3" s="3" t="s">
        <v>2</v>
      </c>
      <c r="C3" s="3" t="s">
        <v>4</v>
      </c>
      <c r="D3" s="5"/>
    </row>
    <row r="4" spans="1:12">
      <c r="A4" s="4">
        <v>0</v>
      </c>
      <c r="B4" s="4">
        <v>0.94470351033738242</v>
      </c>
      <c r="C4" s="4">
        <v>0</v>
      </c>
      <c r="D4" s="4"/>
    </row>
    <row r="5" spans="1:12">
      <c r="A5" s="4">
        <f>A4+$A$1</f>
        <v>0.1</v>
      </c>
      <c r="B5" s="4">
        <f>B4+$A$1*(-$C$1*A5/(1-A5^2)*B4-$E$1/(1-A5^2)*C4)</f>
        <v>0.96378842973813761</v>
      </c>
      <c r="C5" s="4">
        <f>C4+$A$1*B4</f>
        <v>9.4470351033738242E-2</v>
      </c>
      <c r="D5" s="4"/>
    </row>
    <row r="6" spans="1:12">
      <c r="A6" s="4">
        <f t="shared" ref="A6:A13" si="0">A5+$A$1</f>
        <v>0.2</v>
      </c>
      <c r="B6" s="4">
        <f t="shared" ref="B6:B13" si="1">B5+$A$1*(-$C$1*A6/(1-A6^2)*B5-$E$1/(1-A6^2)*C5)</f>
        <v>0.70872643399679469</v>
      </c>
      <c r="C6" s="4">
        <f t="shared" ref="C6:C13" si="2">C5+$A$1*B5</f>
        <v>0.19084919400755201</v>
      </c>
      <c r="D6" s="4"/>
    </row>
    <row r="7" spans="1:12">
      <c r="A7" s="4">
        <f t="shared" si="0"/>
        <v>0.30000000000000004</v>
      </c>
      <c r="B7" s="4">
        <f t="shared" si="1"/>
        <v>0.12628248236729089</v>
      </c>
      <c r="C7" s="4">
        <f t="shared" si="2"/>
        <v>0.26172183740723148</v>
      </c>
      <c r="D7" s="4"/>
    </row>
    <row r="8" spans="1:12">
      <c r="A8" s="4">
        <f t="shared" si="0"/>
        <v>0.4</v>
      </c>
      <c r="B8" s="4">
        <f t="shared" si="1"/>
        <v>-0.7964114624330797</v>
      </c>
      <c r="C8" s="4">
        <f t="shared" si="2"/>
        <v>0.27435008564396057</v>
      </c>
      <c r="D8" s="4"/>
    </row>
    <row r="9" spans="1:12">
      <c r="A9" s="4">
        <f t="shared" si="0"/>
        <v>0.5</v>
      </c>
      <c r="B9" s="4">
        <f t="shared" si="1"/>
        <v>-1.9999999999999996</v>
      </c>
      <c r="C9" s="4">
        <f t="shared" si="2"/>
        <v>0.19470893940065259</v>
      </c>
      <c r="D9" s="4"/>
    </row>
    <row r="10" spans="1:12">
      <c r="A10" s="4">
        <f t="shared" si="0"/>
        <v>0.6</v>
      </c>
      <c r="B10" s="4">
        <f t="shared" si="1"/>
        <v>-3.2876981534405587</v>
      </c>
      <c r="C10" s="4">
        <f t="shared" si="2"/>
        <v>-5.2910605993473636E-3</v>
      </c>
      <c r="D10" s="4"/>
    </row>
    <row r="11" spans="1:12">
      <c r="A11" s="4">
        <f t="shared" si="0"/>
        <v>0.7</v>
      </c>
      <c r="B11" s="4">
        <f t="shared" si="1"/>
        <v>-4.1590796430163159</v>
      </c>
      <c r="C11" s="4">
        <f t="shared" si="2"/>
        <v>-0.33406087594340328</v>
      </c>
      <c r="D11" s="4"/>
    </row>
    <row r="12" spans="1:12">
      <c r="A12" s="4">
        <f t="shared" si="0"/>
        <v>0.79999999999999993</v>
      </c>
      <c r="B12" s="4">
        <f t="shared" si="1"/>
        <v>-3.2237188514952066</v>
      </c>
      <c r="C12" s="4">
        <f t="shared" si="2"/>
        <v>-0.74996884024503485</v>
      </c>
      <c r="D12" s="4"/>
    </row>
    <row r="13" spans="1:12">
      <c r="A13" s="4">
        <f t="shared" si="0"/>
        <v>0.89999999999999991</v>
      </c>
      <c r="B13" s="4">
        <f t="shared" si="1"/>
        <v>5.5638449772730354</v>
      </c>
      <c r="C13" s="4">
        <f t="shared" si="2"/>
        <v>-1.0723407253945556</v>
      </c>
      <c r="D13" s="4"/>
    </row>
    <row r="14" spans="1:12">
      <c r="A14" s="4"/>
      <c r="B14" s="4"/>
      <c r="C14" s="4"/>
      <c r="D14" s="4"/>
    </row>
    <row r="15" spans="1:12">
      <c r="A15" s="3" t="s">
        <v>7</v>
      </c>
      <c r="B15" s="4"/>
      <c r="C15" s="4"/>
      <c r="D15" s="4"/>
    </row>
    <row r="16" spans="1:12">
      <c r="A16" s="9" t="s">
        <v>1</v>
      </c>
      <c r="B16" s="11" t="s">
        <v>8</v>
      </c>
      <c r="C16" s="11"/>
      <c r="D16" s="11"/>
      <c r="E16" s="11"/>
      <c r="F16" s="11"/>
      <c r="G16" s="11"/>
      <c r="H16" s="11"/>
      <c r="I16" s="11"/>
      <c r="J16" s="11"/>
      <c r="K16" s="9" t="s">
        <v>4</v>
      </c>
      <c r="L16" s="9" t="s">
        <v>9</v>
      </c>
    </row>
    <row r="17" spans="1:12">
      <c r="A17" s="4">
        <v>0</v>
      </c>
      <c r="B17" s="4"/>
      <c r="C17" s="4"/>
      <c r="D17" s="4"/>
      <c r="K17" s="10">
        <v>0</v>
      </c>
    </row>
    <row r="18" spans="1:12">
      <c r="A18" s="4">
        <f>A17+$A$1</f>
        <v>0.1</v>
      </c>
      <c r="B18" s="4">
        <f>-2*(1-$A18^2)/$A$1^2+$E$1</f>
        <v>-167.99999999999997</v>
      </c>
      <c r="C18" s="4">
        <f>(1-$A18^2)/$A$1^2+$C$1*$A18/2/$A$1</f>
        <v>97.999999999999986</v>
      </c>
      <c r="D18" s="4"/>
      <c r="K18">
        <f t="array" aca="1" ref="K18:K26" ca="1">[1]!syslin(B18:J26,L18:L26)</f>
        <v>0</v>
      </c>
      <c r="L18">
        <v>0</v>
      </c>
    </row>
    <row r="19" spans="1:12">
      <c r="A19" s="4">
        <f t="shared" ref="A19:A26" si="3">A18+$A$1</f>
        <v>0.2</v>
      </c>
      <c r="B19" s="4">
        <f>(1-$A19^2)/$A$1^2-$C$1*$A19/2/$A$1</f>
        <v>97.999999999999972</v>
      </c>
      <c r="C19" s="4">
        <f>-2*(1-$A19^2)/$A$1^2+$E$1</f>
        <v>-161.99999999999994</v>
      </c>
      <c r="D19" s="4">
        <f>(1-$A19^2)/$A$1^2+$C$1*$A19/2/$A$1</f>
        <v>93.999999999999972</v>
      </c>
      <c r="K19">
        <f ca="1"/>
        <v>0</v>
      </c>
      <c r="L19">
        <v>0</v>
      </c>
    </row>
    <row r="20" spans="1:12">
      <c r="A20" s="4">
        <f t="shared" si="3"/>
        <v>0.30000000000000004</v>
      </c>
      <c r="B20" s="4"/>
      <c r="C20" s="4">
        <f>(1-$A20^2)/$A$1^2-$C$1*$A20/2/$A$1</f>
        <v>93.999999999999972</v>
      </c>
      <c r="D20" s="4">
        <f>-2*(1-$A20^2)/$A$1^2+$E$1</f>
        <v>-151.99999999999994</v>
      </c>
      <c r="E20" s="4">
        <f>(1-$A20^2)/$A$1^2+$C$1*$A20/2/$A$1</f>
        <v>87.999999999999972</v>
      </c>
      <c r="K20">
        <f ca="1"/>
        <v>0</v>
      </c>
      <c r="L20">
        <v>0</v>
      </c>
    </row>
    <row r="21" spans="1:12">
      <c r="A21" s="4">
        <f t="shared" si="3"/>
        <v>0.4</v>
      </c>
      <c r="B21" s="4"/>
      <c r="C21" s="4"/>
      <c r="D21" s="4">
        <f>(1-$A21^2)/$A$1^2-$C$1*$A21/2/$A$1</f>
        <v>87.999999999999986</v>
      </c>
      <c r="E21" s="4">
        <f>-2*(1-$A21^2)/$A$1^2+$E$1</f>
        <v>-137.99999999999997</v>
      </c>
      <c r="F21" s="4">
        <f>(1-$A21^2)/$A$1^2+$C$1*$A21/2/$A$1</f>
        <v>79.999999999999986</v>
      </c>
      <c r="K21">
        <f ca="1"/>
        <v>0</v>
      </c>
      <c r="L21">
        <v>0</v>
      </c>
    </row>
    <row r="22" spans="1:12">
      <c r="A22" s="4">
        <f t="shared" si="3"/>
        <v>0.5</v>
      </c>
      <c r="B22" s="4"/>
      <c r="C22" s="4"/>
      <c r="D22" s="4"/>
      <c r="E22" s="4">
        <f>(1-$A22^2)/$A$1^2-$C$1*$A22/2/$A$1</f>
        <v>79.999999999999986</v>
      </c>
      <c r="F22" s="4">
        <f>-2*(1-$A22^2)/$A$1^2+$E$1</f>
        <v>-119.99999999999997</v>
      </c>
      <c r="G22" s="4">
        <f>(1-$A22^2)/$A$1^2+$C$1*$A22/2/$A$1</f>
        <v>69.999999999999986</v>
      </c>
      <c r="K22">
        <f ca="1"/>
        <v>0</v>
      </c>
      <c r="L22">
        <v>0</v>
      </c>
    </row>
    <row r="23" spans="1:12">
      <c r="A23" s="4">
        <f t="shared" si="3"/>
        <v>0.6</v>
      </c>
      <c r="B23" s="4"/>
      <c r="C23" s="4"/>
      <c r="D23" s="4"/>
      <c r="F23" s="4">
        <f>(1-$A23^2)/$A$1^2-$C$1*$A23/2/$A$1</f>
        <v>69.999999999999986</v>
      </c>
      <c r="G23" s="4">
        <f>-2*(1-$A23^2)/$A$1^2+$E$1</f>
        <v>-97.999999999999972</v>
      </c>
      <c r="H23" s="4">
        <f>(1-$A23^2)/$A$1^2+$C$1*$A23/2/$A$1</f>
        <v>57.999999999999986</v>
      </c>
      <c r="K23">
        <f ca="1"/>
        <v>0</v>
      </c>
      <c r="L23">
        <v>0</v>
      </c>
    </row>
    <row r="24" spans="1:12">
      <c r="A24" s="4">
        <f t="shared" si="3"/>
        <v>0.7</v>
      </c>
      <c r="B24" s="4"/>
      <c r="C24" s="4"/>
      <c r="D24" s="4"/>
      <c r="G24" s="4">
        <f>(1-$A24^2)/$A$1^2-$C$1*$A24/2/$A$1</f>
        <v>57.999999999999993</v>
      </c>
      <c r="H24" s="4">
        <f>-2*(1-$A24^2)/$A$1^2+$E$1</f>
        <v>-71.999999999999986</v>
      </c>
      <c r="I24" s="4">
        <f>(1-$A24^2)/$A$1^2+$C$1*$A24/2/$A$1</f>
        <v>43.999999999999993</v>
      </c>
      <c r="K24">
        <f ca="1"/>
        <v>0</v>
      </c>
      <c r="L24">
        <v>0</v>
      </c>
    </row>
    <row r="25" spans="1:12">
      <c r="A25" s="4">
        <f t="shared" si="3"/>
        <v>0.79999999999999993</v>
      </c>
      <c r="H25" s="4">
        <f>(1-$A25^2)/$A$1^2-$C$1*$A25/2/$A$1</f>
        <v>44</v>
      </c>
      <c r="I25" s="4">
        <f>-2*(1-$A25^2)/$A$1^2+$E$1</f>
        <v>-42</v>
      </c>
      <c r="J25" s="4">
        <f>(1-$A25^2)/$A$1^2+$C$1*$A25/2/$A$1</f>
        <v>28</v>
      </c>
      <c r="K25">
        <f ca="1"/>
        <v>0</v>
      </c>
      <c r="L25">
        <v>0</v>
      </c>
    </row>
    <row r="26" spans="1:12">
      <c r="A26" s="4">
        <f t="shared" si="3"/>
        <v>0.89999999999999991</v>
      </c>
      <c r="E26">
        <f>-1/2/$A$1</f>
        <v>-5</v>
      </c>
      <c r="G26">
        <f>1/2/$A$1</f>
        <v>5</v>
      </c>
      <c r="K26">
        <f ca="1"/>
        <v>0</v>
      </c>
      <c r="L26">
        <v>-2</v>
      </c>
    </row>
  </sheetData>
  <mergeCells count="1">
    <mergeCell ref="B16:J16"/>
  </mergeCells>
  <phoneticPr fontId="3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tranzabi</dc:creator>
  <cp:lastModifiedBy>Shafigh</cp:lastModifiedBy>
  <dcterms:created xsi:type="dcterms:W3CDTF">2017-11-09T01:44:43Z</dcterms:created>
  <dcterms:modified xsi:type="dcterms:W3CDTF">2019-11-20T19:32:56Z</dcterms:modified>
</cp:coreProperties>
</file>