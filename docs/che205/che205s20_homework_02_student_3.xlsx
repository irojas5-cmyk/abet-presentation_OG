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bi\Desktop\"/>
    </mc:Choice>
  </mc:AlternateContent>
  <xr:revisionPtr revIDLastSave="0" documentId="13_ncr:1_{26BBDEED-88FC-4A50-BFF1-BEA05B0A4056}" xr6:coauthVersionLast="45" xr6:coauthVersionMax="45" xr10:uidLastSave="{00000000-0000-0000-0000-000000000000}"/>
  <bookViews>
    <workbookView xWindow="-98" yWindow="-98" windowWidth="22695" windowHeight="14595" firstSheet="1" activeTab="4" xr2:uid="{E420335A-E87D-4583-8288-C55450A1FD6D}"/>
  </bookViews>
  <sheets>
    <sheet name="Sheet1" sheetId="1" state="hidden" r:id="rId1"/>
    <sheet name="205 HW2 1.2" sheetId="2" r:id="rId2"/>
    <sheet name="205 HW2 1.3" sheetId="3" r:id="rId3"/>
    <sheet name="205 HW2 1.6" sheetId="4" r:id="rId4"/>
    <sheet name="205 HW2 1.4" sheetId="5" r:id="rId5"/>
  </sheets>
  <definedNames>
    <definedName name="a">Sheet1!$C$21</definedName>
    <definedName name="ar">Sheet1!$C$16</definedName>
    <definedName name="b">Sheet1!$C$22</definedName>
    <definedName name="f">'205 HW2 1.4'!$A$69</definedName>
    <definedName name="h">Sheet1!$C$16</definedName>
    <definedName name="m">Sheet1!$B$103</definedName>
    <definedName name="P">Sheet1!$C$17</definedName>
    <definedName name="T">Sheet1!$C$18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94" i="2" l="1"/>
  <c r="B94" i="2"/>
  <c r="C94" i="2"/>
  <c r="D94" i="2"/>
  <c r="E94" i="2"/>
  <c r="F94" i="2"/>
  <c r="A95" i="2" s="1"/>
  <c r="A93" i="2"/>
  <c r="C82" i="2"/>
  <c r="D82" i="2"/>
  <c r="E82" i="2"/>
  <c r="F82" i="2" s="1"/>
  <c r="E63" i="2"/>
  <c r="F63" i="2" s="1"/>
  <c r="F49" i="5"/>
  <c r="B47" i="5"/>
  <c r="A61" i="5"/>
  <c r="C61" i="5" s="1"/>
  <c r="B61" i="5"/>
  <c r="A49" i="5"/>
  <c r="B49" i="5" s="1"/>
  <c r="B48" i="5"/>
  <c r="C48" i="5"/>
  <c r="A48" i="5"/>
  <c r="C47" i="5"/>
  <c r="K53" i="4"/>
  <c r="G53" i="4"/>
  <c r="J53" i="4"/>
  <c r="F53" i="4"/>
  <c r="C53" i="4"/>
  <c r="B53" i="4"/>
  <c r="C74" i="5"/>
  <c r="C75" i="5"/>
  <c r="C76" i="5"/>
  <c r="C77" i="5"/>
  <c r="C78" i="5"/>
  <c r="C73" i="5"/>
  <c r="B69" i="5"/>
  <c r="B34" i="5"/>
  <c r="B30" i="5"/>
  <c r="B29" i="5"/>
  <c r="B28" i="5"/>
  <c r="B27" i="5"/>
  <c r="C22" i="5"/>
  <c r="D22" i="5"/>
  <c r="B22" i="5"/>
  <c r="B13" i="5"/>
  <c r="B3" i="5"/>
  <c r="B4" i="5"/>
  <c r="B5" i="5"/>
  <c r="B6" i="5"/>
  <c r="B7" i="5"/>
  <c r="B8" i="5"/>
  <c r="B9" i="5"/>
  <c r="B10" i="5"/>
  <c r="B11" i="5"/>
  <c r="B12" i="5"/>
  <c r="B2" i="5"/>
  <c r="A161" i="4"/>
  <c r="A162" i="4" s="1"/>
  <c r="B161" i="4"/>
  <c r="C161" i="4"/>
  <c r="B160" i="4"/>
  <c r="C160" i="4"/>
  <c r="A160" i="4"/>
  <c r="C159" i="4"/>
  <c r="B159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A138" i="4"/>
  <c r="B138" i="4" s="1"/>
  <c r="A139" i="4" s="1"/>
  <c r="C138" i="4"/>
  <c r="A134" i="4"/>
  <c r="B134" i="4" s="1"/>
  <c r="B133" i="4"/>
  <c r="C133" i="4"/>
  <c r="A133" i="4"/>
  <c r="B131" i="4"/>
  <c r="C131" i="4"/>
  <c r="B132" i="4"/>
  <c r="C132" i="4"/>
  <c r="A129" i="4"/>
  <c r="A130" i="4" s="1"/>
  <c r="B129" i="4"/>
  <c r="C129" i="4"/>
  <c r="A128" i="4"/>
  <c r="B128" i="4" s="1"/>
  <c r="C128" i="4"/>
  <c r="A124" i="4"/>
  <c r="B124" i="4" s="1"/>
  <c r="B123" i="4"/>
  <c r="C123" i="4"/>
  <c r="A123" i="4"/>
  <c r="C122" i="4"/>
  <c r="B122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A19" i="4"/>
  <c r="B19" i="4" s="1"/>
  <c r="B18" i="4"/>
  <c r="C18" i="4"/>
  <c r="A18" i="4"/>
  <c r="A114" i="1"/>
  <c r="C17" i="4"/>
  <c r="B17" i="4"/>
  <c r="B11" i="4"/>
  <c r="B10" i="4"/>
  <c r="B9" i="4"/>
  <c r="B8" i="4"/>
  <c r="B7" i="4"/>
  <c r="B6" i="4"/>
  <c r="B5" i="4"/>
  <c r="B4" i="4"/>
  <c r="B3" i="4"/>
  <c r="B2" i="4"/>
  <c r="A154" i="3"/>
  <c r="B154" i="3"/>
  <c r="C154" i="3"/>
  <c r="D154" i="3"/>
  <c r="E154" i="3"/>
  <c r="A155" i="3"/>
  <c r="B155" i="3"/>
  <c r="D155" i="3" s="1"/>
  <c r="C155" i="3"/>
  <c r="A146" i="3"/>
  <c r="B146" i="3"/>
  <c r="D146" i="3" s="1"/>
  <c r="C146" i="3"/>
  <c r="C145" i="3"/>
  <c r="D145" i="3"/>
  <c r="E145" i="3" s="1"/>
  <c r="B145" i="3"/>
  <c r="A145" i="3"/>
  <c r="E144" i="3"/>
  <c r="E122" i="3"/>
  <c r="D144" i="3"/>
  <c r="C144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29" i="3"/>
  <c r="A124" i="3"/>
  <c r="C124" i="3" s="1"/>
  <c r="B124" i="3"/>
  <c r="D124" i="3" s="1"/>
  <c r="A117" i="3"/>
  <c r="C117" i="3" s="1"/>
  <c r="B117" i="3"/>
  <c r="D117" i="3"/>
  <c r="E117" i="3" s="1"/>
  <c r="B118" i="3" s="1"/>
  <c r="A118" i="3"/>
  <c r="C118" i="3"/>
  <c r="C116" i="3"/>
  <c r="D116" i="3"/>
  <c r="E116" i="3" s="1"/>
  <c r="B116" i="3"/>
  <c r="A116" i="3"/>
  <c r="C115" i="3"/>
  <c r="D115" i="3"/>
  <c r="E115" i="3"/>
  <c r="A107" i="3"/>
  <c r="C107" i="3" s="1"/>
  <c r="B107" i="3"/>
  <c r="D107" i="3" s="1"/>
  <c r="A102" i="3"/>
  <c r="C102" i="3" s="1"/>
  <c r="E76" i="3"/>
  <c r="D101" i="3"/>
  <c r="C101" i="3"/>
  <c r="B87" i="3"/>
  <c r="B88" i="3"/>
  <c r="B89" i="3"/>
  <c r="B90" i="3"/>
  <c r="B91" i="3"/>
  <c r="B92" i="3"/>
  <c r="B93" i="3"/>
  <c r="B94" i="3"/>
  <c r="B95" i="3"/>
  <c r="B96" i="3"/>
  <c r="B97" i="3"/>
  <c r="B98" i="3"/>
  <c r="B86" i="3"/>
  <c r="A78" i="3"/>
  <c r="C78" i="3" s="1"/>
  <c r="B78" i="3"/>
  <c r="D78" i="3" s="1"/>
  <c r="C77" i="3"/>
  <c r="E77" i="3" s="1"/>
  <c r="D77" i="3"/>
  <c r="B77" i="3"/>
  <c r="A77" i="3"/>
  <c r="C76" i="3"/>
  <c r="D76" i="3"/>
  <c r="A71" i="3"/>
  <c r="B71" i="3"/>
  <c r="C71" i="3"/>
  <c r="D71" i="3"/>
  <c r="E71" i="3"/>
  <c r="A72" i="3"/>
  <c r="B72" i="3"/>
  <c r="D72" i="3" s="1"/>
  <c r="C72" i="3"/>
  <c r="A68" i="3"/>
  <c r="B68" i="3"/>
  <c r="D68" i="3" s="1"/>
  <c r="C68" i="3"/>
  <c r="A65" i="3"/>
  <c r="B65" i="3"/>
  <c r="D65" i="3" s="1"/>
  <c r="C65" i="3"/>
  <c r="A64" i="3"/>
  <c r="C64" i="3" s="1"/>
  <c r="C63" i="3"/>
  <c r="D63" i="3"/>
  <c r="A55" i="3"/>
  <c r="C55" i="3" s="1"/>
  <c r="E55" i="3" s="1"/>
  <c r="B56" i="3" s="1"/>
  <c r="B55" i="3"/>
  <c r="D55" i="3"/>
  <c r="A56" i="3"/>
  <c r="C56" i="3"/>
  <c r="C54" i="3"/>
  <c r="E54" i="3" s="1"/>
  <c r="D54" i="3"/>
  <c r="B54" i="3"/>
  <c r="A54" i="3"/>
  <c r="E53" i="3"/>
  <c r="E16" i="3"/>
  <c r="D53" i="3"/>
  <c r="C53" i="3"/>
  <c r="B25" i="3"/>
  <c r="B41" i="3"/>
  <c r="B42" i="3"/>
  <c r="B43" i="3"/>
  <c r="B44" i="3"/>
  <c r="B45" i="3"/>
  <c r="B46" i="3"/>
  <c r="B47" i="3"/>
  <c r="B48" i="3"/>
  <c r="B49" i="3"/>
  <c r="B50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A19" i="3"/>
  <c r="C19" i="3" s="1"/>
  <c r="E19" i="3" s="1"/>
  <c r="B20" i="3" s="1"/>
  <c r="B19" i="3"/>
  <c r="D19" i="3"/>
  <c r="A20" i="3"/>
  <c r="C20" i="3"/>
  <c r="A18" i="3"/>
  <c r="C18" i="3" s="1"/>
  <c r="E18" i="3" s="1"/>
  <c r="B18" i="3"/>
  <c r="D18" i="3"/>
  <c r="C17" i="3"/>
  <c r="D17" i="3"/>
  <c r="E17" i="3" s="1"/>
  <c r="B17" i="3"/>
  <c r="A17" i="3"/>
  <c r="I122" i="1"/>
  <c r="D16" i="3"/>
  <c r="C16" i="3"/>
  <c r="B2" i="3"/>
  <c r="B3" i="3"/>
  <c r="B4" i="3"/>
  <c r="B5" i="3"/>
  <c r="B6" i="3"/>
  <c r="B7" i="3"/>
  <c r="B8" i="3"/>
  <c r="B9" i="3"/>
  <c r="B10" i="3"/>
  <c r="B11" i="3"/>
  <c r="G122" i="1"/>
  <c r="F123" i="1" s="1"/>
  <c r="C63" i="2"/>
  <c r="D63" i="2"/>
  <c r="D49" i="2"/>
  <c r="E49" i="2"/>
  <c r="F49" i="2" s="1"/>
  <c r="C49" i="2"/>
  <c r="B34" i="2"/>
  <c r="B35" i="2"/>
  <c r="B36" i="2"/>
  <c r="B37" i="2"/>
  <c r="B38" i="2"/>
  <c r="B39" i="2"/>
  <c r="B40" i="2"/>
  <c r="B41" i="2"/>
  <c r="B42" i="2"/>
  <c r="B43" i="2"/>
  <c r="B33" i="2"/>
  <c r="A178" i="2"/>
  <c r="C178" i="2" s="1"/>
  <c r="B178" i="2"/>
  <c r="D178" i="2" s="1"/>
  <c r="C177" i="2"/>
  <c r="D177" i="2"/>
  <c r="E177" i="2"/>
  <c r="F177" i="2"/>
  <c r="B177" i="2"/>
  <c r="A177" i="2"/>
  <c r="F176" i="2"/>
  <c r="E176" i="2"/>
  <c r="D176" i="2"/>
  <c r="C176" i="2"/>
  <c r="B173" i="2"/>
  <c r="B164" i="2"/>
  <c r="B165" i="2"/>
  <c r="B166" i="2"/>
  <c r="B167" i="2"/>
  <c r="B168" i="2"/>
  <c r="B169" i="2"/>
  <c r="B170" i="2"/>
  <c r="B171" i="2"/>
  <c r="B172" i="2"/>
  <c r="B154" i="2"/>
  <c r="B155" i="2"/>
  <c r="B156" i="2"/>
  <c r="B157" i="2"/>
  <c r="B158" i="2"/>
  <c r="B159" i="2"/>
  <c r="B160" i="2"/>
  <c r="B161" i="2"/>
  <c r="B162" i="2"/>
  <c r="B163" i="2"/>
  <c r="B153" i="2"/>
  <c r="E139" i="2"/>
  <c r="F139" i="2" s="1"/>
  <c r="D139" i="2"/>
  <c r="C139" i="2"/>
  <c r="A126" i="2"/>
  <c r="B126" i="2"/>
  <c r="C126" i="2"/>
  <c r="D126" i="2"/>
  <c r="E126" i="2"/>
  <c r="F126" i="2"/>
  <c r="A127" i="2" s="1"/>
  <c r="C125" i="2"/>
  <c r="D125" i="2"/>
  <c r="E125" i="2"/>
  <c r="F125" i="2"/>
  <c r="B125" i="2"/>
  <c r="A125" i="2"/>
  <c r="F124" i="2"/>
  <c r="E124" i="2"/>
  <c r="D124" i="2"/>
  <c r="C124" i="2"/>
  <c r="B111" i="2"/>
  <c r="B112" i="2"/>
  <c r="B113" i="2"/>
  <c r="B114" i="2"/>
  <c r="B115" i="2"/>
  <c r="B116" i="2"/>
  <c r="B117" i="2"/>
  <c r="B118" i="2"/>
  <c r="B119" i="2"/>
  <c r="B110" i="2"/>
  <c r="A20" i="2"/>
  <c r="C20" i="2" s="1"/>
  <c r="B20" i="2"/>
  <c r="D20" i="2" s="1"/>
  <c r="A19" i="2"/>
  <c r="E19" i="2" s="1"/>
  <c r="F19" i="2" s="1"/>
  <c r="D19" i="2"/>
  <c r="B19" i="2"/>
  <c r="F18" i="2"/>
  <c r="E18" i="2"/>
  <c r="D18" i="2"/>
  <c r="C18" i="2"/>
  <c r="A18" i="2"/>
  <c r="F17" i="2"/>
  <c r="E17" i="2"/>
  <c r="D17" i="2"/>
  <c r="C17" i="2"/>
  <c r="A17" i="2"/>
  <c r="F16" i="2"/>
  <c r="E16" i="2"/>
  <c r="D16" i="2"/>
  <c r="C16" i="2"/>
  <c r="B3" i="2"/>
  <c r="B4" i="2"/>
  <c r="B5" i="2"/>
  <c r="B6" i="2"/>
  <c r="B7" i="2"/>
  <c r="B8" i="2"/>
  <c r="B9" i="2"/>
  <c r="B10" i="2"/>
  <c r="B11" i="2"/>
  <c r="B12" i="2"/>
  <c r="B2" i="2"/>
  <c r="G123" i="1"/>
  <c r="E123" i="1"/>
  <c r="H122" i="1"/>
  <c r="B113" i="1"/>
  <c r="C114" i="1" s="1"/>
  <c r="C113" i="1"/>
  <c r="C22" i="1"/>
  <c r="C88" i="1" s="1"/>
  <c r="D89" i="1"/>
  <c r="F88" i="1"/>
  <c r="C89" i="1" s="1"/>
  <c r="C90" i="1" s="1"/>
  <c r="C91" i="1" s="1"/>
  <c r="E88" i="1"/>
  <c r="D88" i="1"/>
  <c r="G16" i="1"/>
  <c r="F16" i="1"/>
  <c r="J16" i="1"/>
  <c r="I17" i="1" s="1"/>
  <c r="J17" i="1" s="1"/>
  <c r="I18" i="1" s="1"/>
  <c r="J18" i="1" s="1"/>
  <c r="I19" i="1" s="1"/>
  <c r="J19" i="1" s="1"/>
  <c r="I20" i="1" s="1"/>
  <c r="J20" i="1" s="1"/>
  <c r="I21" i="1" s="1"/>
  <c r="J21" i="1" s="1"/>
  <c r="I22" i="1" s="1"/>
  <c r="J22" i="1" s="1"/>
  <c r="I23" i="1" s="1"/>
  <c r="J23" i="1" s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C21" i="1"/>
  <c r="C18" i="1"/>
  <c r="C17" i="1"/>
  <c r="C16" i="1"/>
  <c r="C95" i="2" l="1"/>
  <c r="B95" i="2"/>
  <c r="D95" i="2" s="1"/>
  <c r="B83" i="2"/>
  <c r="D83" i="2" s="1"/>
  <c r="A83" i="2"/>
  <c r="A64" i="2"/>
  <c r="B64" i="2"/>
  <c r="D64" i="2" s="1"/>
  <c r="A62" i="5"/>
  <c r="C49" i="5"/>
  <c r="A50" i="5" s="1"/>
  <c r="I54" i="4"/>
  <c r="J54" i="4" s="1"/>
  <c r="E54" i="4"/>
  <c r="F54" i="4" s="1"/>
  <c r="A54" i="4"/>
  <c r="C54" i="4" s="1"/>
  <c r="B162" i="4"/>
  <c r="C162" i="4"/>
  <c r="A163" i="4" s="1"/>
  <c r="B139" i="4"/>
  <c r="C139" i="4"/>
  <c r="A140" i="4" s="1"/>
  <c r="A135" i="4"/>
  <c r="C134" i="4"/>
  <c r="B130" i="4"/>
  <c r="C130" i="4"/>
  <c r="C124" i="4"/>
  <c r="A125" i="4" s="1"/>
  <c r="C19" i="4"/>
  <c r="A20" i="4" s="1"/>
  <c r="E155" i="3"/>
  <c r="A147" i="3"/>
  <c r="C147" i="3" s="1"/>
  <c r="E146" i="3"/>
  <c r="B147" i="3" s="1"/>
  <c r="E124" i="3"/>
  <c r="D118" i="3"/>
  <c r="E118" i="3" s="1"/>
  <c r="B119" i="3" s="1"/>
  <c r="A119" i="3"/>
  <c r="C119" i="3" s="1"/>
  <c r="A108" i="3"/>
  <c r="C108" i="3" s="1"/>
  <c r="E107" i="3"/>
  <c r="B108" i="3" s="1"/>
  <c r="E101" i="3"/>
  <c r="B102" i="3" s="1"/>
  <c r="D102" i="3" s="1"/>
  <c r="E102" i="3" s="1"/>
  <c r="B103" i="3" s="1"/>
  <c r="D103" i="3" s="1"/>
  <c r="A79" i="3"/>
  <c r="C79" i="3" s="1"/>
  <c r="E78" i="3"/>
  <c r="B79" i="3" s="1"/>
  <c r="E72" i="3"/>
  <c r="A69" i="3"/>
  <c r="C69" i="3" s="1"/>
  <c r="E68" i="3"/>
  <c r="B69" i="3" s="1"/>
  <c r="A66" i="3"/>
  <c r="C66" i="3" s="1"/>
  <c r="E65" i="3"/>
  <c r="B66" i="3" s="1"/>
  <c r="E63" i="3"/>
  <c r="B64" i="3" s="1"/>
  <c r="D64" i="3" s="1"/>
  <c r="E64" i="3" s="1"/>
  <c r="D56" i="3"/>
  <c r="E56" i="3" s="1"/>
  <c r="B57" i="3" s="1"/>
  <c r="A57" i="3"/>
  <c r="C57" i="3" s="1"/>
  <c r="D20" i="3"/>
  <c r="E20" i="3" s="1"/>
  <c r="E124" i="1"/>
  <c r="G124" i="1" s="1"/>
  <c r="H123" i="1"/>
  <c r="I123" i="1" s="1"/>
  <c r="F124" i="1" s="1"/>
  <c r="B50" i="2"/>
  <c r="D50" i="2" s="1"/>
  <c r="A50" i="2"/>
  <c r="B140" i="2"/>
  <c r="D140" i="2" s="1"/>
  <c r="A140" i="2"/>
  <c r="E178" i="2"/>
  <c r="F178" i="2" s="1"/>
  <c r="C127" i="2"/>
  <c r="B127" i="2"/>
  <c r="D127" i="2" s="1"/>
  <c r="E20" i="2"/>
  <c r="F20" i="2" s="1"/>
  <c r="C19" i="2"/>
  <c r="B114" i="1"/>
  <c r="A115" i="1" s="1"/>
  <c r="A89" i="1"/>
  <c r="E89" i="1" s="1"/>
  <c r="F89" i="1" s="1"/>
  <c r="E95" i="2" l="1"/>
  <c r="F95" i="2" s="1"/>
  <c r="C83" i="2"/>
  <c r="E83" i="2"/>
  <c r="F83" i="2" s="1"/>
  <c r="B62" i="5"/>
  <c r="A63" i="5" s="1"/>
  <c r="C62" i="5"/>
  <c r="B50" i="5"/>
  <c r="C50" i="5" s="1"/>
  <c r="A51" i="5" s="1"/>
  <c r="K54" i="4"/>
  <c r="I55" i="4" s="1"/>
  <c r="J55" i="4" s="1"/>
  <c r="G54" i="4"/>
  <c r="E55" i="4" s="1"/>
  <c r="F55" i="4" s="1"/>
  <c r="B54" i="4"/>
  <c r="A55" i="4"/>
  <c r="B55" i="4" s="1"/>
  <c r="C163" i="4"/>
  <c r="B163" i="4"/>
  <c r="A164" i="4" s="1"/>
  <c r="C140" i="4"/>
  <c r="B140" i="4"/>
  <c r="B135" i="4"/>
  <c r="C135" i="4"/>
  <c r="A136" i="4" s="1"/>
  <c r="C125" i="4"/>
  <c r="B125" i="4"/>
  <c r="A126" i="4"/>
  <c r="B20" i="4"/>
  <c r="C20" i="4"/>
  <c r="D147" i="3"/>
  <c r="E147" i="3" s="1"/>
  <c r="B148" i="3" s="1"/>
  <c r="A148" i="3"/>
  <c r="C148" i="3" s="1"/>
  <c r="A120" i="3"/>
  <c r="C120" i="3" s="1"/>
  <c r="D119" i="3"/>
  <c r="E119" i="3" s="1"/>
  <c r="B120" i="3" s="1"/>
  <c r="D108" i="3"/>
  <c r="E108" i="3" s="1"/>
  <c r="B109" i="3" s="1"/>
  <c r="A109" i="3"/>
  <c r="C109" i="3" s="1"/>
  <c r="A103" i="3"/>
  <c r="C103" i="3" s="1"/>
  <c r="A104" i="3"/>
  <c r="C104" i="3" s="1"/>
  <c r="E103" i="3"/>
  <c r="B104" i="3" s="1"/>
  <c r="D104" i="3" s="1"/>
  <c r="E104" i="3" s="1"/>
  <c r="B105" i="3" s="1"/>
  <c r="A105" i="3"/>
  <c r="C105" i="3" s="1"/>
  <c r="D79" i="3"/>
  <c r="E79" i="3" s="1"/>
  <c r="B80" i="3" s="1"/>
  <c r="A80" i="3"/>
  <c r="C80" i="3" s="1"/>
  <c r="D69" i="3"/>
  <c r="E69" i="3" s="1"/>
  <c r="B70" i="3" s="1"/>
  <c r="A70" i="3"/>
  <c r="C70" i="3" s="1"/>
  <c r="D66" i="3"/>
  <c r="E66" i="3"/>
  <c r="B67" i="3" s="1"/>
  <c r="A67" i="3"/>
  <c r="C67" i="3" s="1"/>
  <c r="A58" i="3"/>
  <c r="C58" i="3" s="1"/>
  <c r="D57" i="3"/>
  <c r="E57" i="3" s="1"/>
  <c r="B58" i="3" s="1"/>
  <c r="H124" i="1"/>
  <c r="I124" i="1" s="1"/>
  <c r="F125" i="1" s="1"/>
  <c r="E126" i="1" s="1"/>
  <c r="G126" i="1" s="1"/>
  <c r="E125" i="1"/>
  <c r="G125" i="1" s="1"/>
  <c r="E64" i="2"/>
  <c r="F64" i="2" s="1"/>
  <c r="C64" i="2"/>
  <c r="C50" i="2"/>
  <c r="E50" i="2"/>
  <c r="F50" i="2" s="1"/>
  <c r="C140" i="2"/>
  <c r="E140" i="2"/>
  <c r="F140" i="2" s="1"/>
  <c r="A179" i="2"/>
  <c r="B179" i="2"/>
  <c r="D179" i="2" s="1"/>
  <c r="E127" i="2"/>
  <c r="F127" i="2" s="1"/>
  <c r="A21" i="2"/>
  <c r="B21" i="2"/>
  <c r="D21" i="2" s="1"/>
  <c r="H125" i="1"/>
  <c r="I125" i="1" s="1"/>
  <c r="F126" i="1" s="1"/>
  <c r="C115" i="1"/>
  <c r="B115" i="1"/>
  <c r="A116" i="1" s="1"/>
  <c r="D90" i="1"/>
  <c r="A90" i="1"/>
  <c r="E90" i="1" s="1"/>
  <c r="F90" i="1" s="1"/>
  <c r="A96" i="2" l="1"/>
  <c r="B96" i="2"/>
  <c r="D96" i="2" s="1"/>
  <c r="A84" i="2"/>
  <c r="B84" i="2"/>
  <c r="D84" i="2" s="1"/>
  <c r="A65" i="2"/>
  <c r="B65" i="2"/>
  <c r="D65" i="2" s="1"/>
  <c r="B63" i="5"/>
  <c r="C63" i="5" s="1"/>
  <c r="B51" i="5"/>
  <c r="C51" i="5" s="1"/>
  <c r="K55" i="4"/>
  <c r="I56" i="4" s="1"/>
  <c r="G55" i="4"/>
  <c r="E56" i="4" s="1"/>
  <c r="C55" i="4"/>
  <c r="A56" i="4" s="1"/>
  <c r="B56" i="4" s="1"/>
  <c r="A21" i="4"/>
  <c r="C21" i="4" s="1"/>
  <c r="B164" i="4"/>
  <c r="A165" i="4" s="1"/>
  <c r="C164" i="4"/>
  <c r="C136" i="4"/>
  <c r="B136" i="4"/>
  <c r="A137" i="4" s="1"/>
  <c r="C126" i="4"/>
  <c r="B126" i="4"/>
  <c r="A127" i="4" s="1"/>
  <c r="D148" i="3"/>
  <c r="E148" i="3" s="1"/>
  <c r="B149" i="3" s="1"/>
  <c r="A149" i="3"/>
  <c r="C149" i="3" s="1"/>
  <c r="D120" i="3"/>
  <c r="E120" i="3"/>
  <c r="B121" i="3" s="1"/>
  <c r="A121" i="3"/>
  <c r="C121" i="3" s="1"/>
  <c r="A110" i="3"/>
  <c r="C110" i="3" s="1"/>
  <c r="D109" i="3"/>
  <c r="E109" i="3" s="1"/>
  <c r="B110" i="3" s="1"/>
  <c r="D105" i="3"/>
  <c r="E105" i="3" s="1"/>
  <c r="B106" i="3" s="1"/>
  <c r="A106" i="3"/>
  <c r="C106" i="3" s="1"/>
  <c r="D80" i="3"/>
  <c r="E80" i="3" s="1"/>
  <c r="B81" i="3" s="1"/>
  <c r="A81" i="3"/>
  <c r="C81" i="3" s="1"/>
  <c r="D70" i="3"/>
  <c r="E70" i="3"/>
  <c r="D67" i="3"/>
  <c r="E67" i="3" s="1"/>
  <c r="D58" i="3"/>
  <c r="E58" i="3"/>
  <c r="B59" i="3" s="1"/>
  <c r="A59" i="3"/>
  <c r="C59" i="3" s="1"/>
  <c r="A51" i="2"/>
  <c r="B51" i="2"/>
  <c r="D51" i="2" s="1"/>
  <c r="A141" i="2"/>
  <c r="B141" i="2"/>
  <c r="D141" i="2" s="1"/>
  <c r="E179" i="2"/>
  <c r="F179" i="2" s="1"/>
  <c r="C179" i="2"/>
  <c r="B128" i="2"/>
  <c r="D128" i="2" s="1"/>
  <c r="A128" i="2"/>
  <c r="C21" i="2"/>
  <c r="E21" i="2"/>
  <c r="F21" i="2" s="1"/>
  <c r="H126" i="1"/>
  <c r="I126" i="1" s="1"/>
  <c r="F127" i="1" s="1"/>
  <c r="E127" i="1"/>
  <c r="G127" i="1" s="1"/>
  <c r="C116" i="1"/>
  <c r="B116" i="1"/>
  <c r="A91" i="1"/>
  <c r="E91" i="1" s="1"/>
  <c r="F91" i="1" s="1"/>
  <c r="D91" i="1"/>
  <c r="D92" i="1" s="1"/>
  <c r="D93" i="1" s="1"/>
  <c r="D94" i="1" s="1"/>
  <c r="E96" i="2" l="1"/>
  <c r="F96" i="2" s="1"/>
  <c r="C96" i="2"/>
  <c r="C84" i="2"/>
  <c r="E84" i="2"/>
  <c r="F84" i="2" s="1"/>
  <c r="E65" i="2"/>
  <c r="F65" i="2" s="1"/>
  <c r="C65" i="2"/>
  <c r="A64" i="5"/>
  <c r="A52" i="5"/>
  <c r="K56" i="4"/>
  <c r="J56" i="4"/>
  <c r="F56" i="4"/>
  <c r="G56" i="4"/>
  <c r="C56" i="4"/>
  <c r="A57" i="4" s="1"/>
  <c r="B21" i="4"/>
  <c r="B165" i="4"/>
  <c r="C165" i="4"/>
  <c r="B137" i="4"/>
  <c r="C137" i="4"/>
  <c r="B127" i="4"/>
  <c r="C127" i="4"/>
  <c r="A150" i="3"/>
  <c r="C150" i="3" s="1"/>
  <c r="D149" i="3"/>
  <c r="E149" i="3" s="1"/>
  <c r="B150" i="3" s="1"/>
  <c r="A122" i="3"/>
  <c r="C122" i="3" s="1"/>
  <c r="D121" i="3"/>
  <c r="E121" i="3" s="1"/>
  <c r="B122" i="3" s="1"/>
  <c r="D110" i="3"/>
  <c r="E110" i="3" s="1"/>
  <c r="B111" i="3" s="1"/>
  <c r="A111" i="3"/>
  <c r="C111" i="3" s="1"/>
  <c r="D106" i="3"/>
  <c r="E106" i="3" s="1"/>
  <c r="D81" i="3"/>
  <c r="E81" i="3"/>
  <c r="B82" i="3" s="1"/>
  <c r="A82" i="3"/>
  <c r="C82" i="3" s="1"/>
  <c r="E59" i="3"/>
  <c r="B60" i="3" s="1"/>
  <c r="A60" i="3"/>
  <c r="C60" i="3" s="1"/>
  <c r="D59" i="3"/>
  <c r="C51" i="2"/>
  <c r="E51" i="2"/>
  <c r="F51" i="2" s="1"/>
  <c r="C141" i="2"/>
  <c r="E141" i="2"/>
  <c r="F141" i="2" s="1"/>
  <c r="A180" i="2"/>
  <c r="B180" i="2"/>
  <c r="D180" i="2" s="1"/>
  <c r="C128" i="2"/>
  <c r="E128" i="2"/>
  <c r="F128" i="2" s="1"/>
  <c r="A22" i="2"/>
  <c r="B22" i="2"/>
  <c r="D22" i="2" s="1"/>
  <c r="H127" i="1"/>
  <c r="I127" i="1" s="1"/>
  <c r="F128" i="1" s="1"/>
  <c r="E128" i="1"/>
  <c r="G128" i="1" s="1"/>
  <c r="A117" i="1"/>
  <c r="C92" i="1"/>
  <c r="A92" i="1"/>
  <c r="E92" i="1" s="1"/>
  <c r="F92" i="1" s="1"/>
  <c r="A97" i="2" l="1"/>
  <c r="B97" i="2"/>
  <c r="D97" i="2" s="1"/>
  <c r="B85" i="2"/>
  <c r="D85" i="2" s="1"/>
  <c r="A85" i="2"/>
  <c r="A66" i="2"/>
  <c r="B66" i="2"/>
  <c r="D66" i="2" s="1"/>
  <c r="B64" i="5"/>
  <c r="C64" i="5" s="1"/>
  <c r="B52" i="5"/>
  <c r="C52" i="5"/>
  <c r="A53" i="5" s="1"/>
  <c r="I57" i="4"/>
  <c r="J57" i="4" s="1"/>
  <c r="K57" i="4"/>
  <c r="I58" i="4"/>
  <c r="J58" i="4" s="1"/>
  <c r="E57" i="4"/>
  <c r="G57" i="4" s="1"/>
  <c r="F57" i="4"/>
  <c r="C57" i="4"/>
  <c r="B57" i="4"/>
  <c r="A151" i="3"/>
  <c r="C151" i="3" s="1"/>
  <c r="D150" i="3"/>
  <c r="E150" i="3" s="1"/>
  <c r="B151" i="3" s="1"/>
  <c r="D122" i="3"/>
  <c r="B123" i="3" s="1"/>
  <c r="A123" i="3"/>
  <c r="C123" i="3" s="1"/>
  <c r="D111" i="3"/>
  <c r="E111" i="3" s="1"/>
  <c r="E82" i="3"/>
  <c r="D82" i="3"/>
  <c r="D60" i="3"/>
  <c r="E60" i="3" s="1"/>
  <c r="B61" i="3" s="1"/>
  <c r="A61" i="3"/>
  <c r="C61" i="3" s="1"/>
  <c r="B52" i="2"/>
  <c r="D52" i="2" s="1"/>
  <c r="A52" i="2"/>
  <c r="A142" i="2"/>
  <c r="B142" i="2"/>
  <c r="D142" i="2" s="1"/>
  <c r="C180" i="2"/>
  <c r="E180" i="2"/>
  <c r="F180" i="2" s="1"/>
  <c r="A129" i="2"/>
  <c r="B129" i="2"/>
  <c r="D129" i="2" s="1"/>
  <c r="E22" i="2"/>
  <c r="F22" i="2" s="1"/>
  <c r="C22" i="2"/>
  <c r="E129" i="1"/>
  <c r="G129" i="1" s="1"/>
  <c r="H128" i="1"/>
  <c r="I128" i="1" s="1"/>
  <c r="F129" i="1" s="1"/>
  <c r="C117" i="1"/>
  <c r="B117" i="1"/>
  <c r="C93" i="1"/>
  <c r="A93" i="1"/>
  <c r="E93" i="1" s="1"/>
  <c r="F93" i="1" s="1"/>
  <c r="C97" i="2" l="1"/>
  <c r="E97" i="2"/>
  <c r="F97" i="2" s="1"/>
  <c r="C85" i="2"/>
  <c r="E85" i="2"/>
  <c r="F85" i="2" s="1"/>
  <c r="C66" i="2"/>
  <c r="E66" i="2"/>
  <c r="F66" i="2" s="1"/>
  <c r="B53" i="5"/>
  <c r="C53" i="5" s="1"/>
  <c r="A54" i="5" s="1"/>
  <c r="K58" i="4"/>
  <c r="I59" i="4" s="1"/>
  <c r="J59" i="4" s="1"/>
  <c r="E58" i="4"/>
  <c r="F58" i="4"/>
  <c r="G58" i="4"/>
  <c r="A58" i="4"/>
  <c r="D151" i="3"/>
  <c r="E151" i="3" s="1"/>
  <c r="B152" i="3" s="1"/>
  <c r="A152" i="3"/>
  <c r="C152" i="3" s="1"/>
  <c r="D123" i="3"/>
  <c r="E123" i="3" s="1"/>
  <c r="D61" i="3"/>
  <c r="E61" i="3"/>
  <c r="E52" i="2"/>
  <c r="F52" i="2" s="1"/>
  <c r="C52" i="2"/>
  <c r="C142" i="2"/>
  <c r="E142" i="2"/>
  <c r="F142" i="2" s="1"/>
  <c r="A181" i="2"/>
  <c r="B181" i="2"/>
  <c r="D181" i="2" s="1"/>
  <c r="C129" i="2"/>
  <c r="E129" i="2"/>
  <c r="F129" i="2" s="1"/>
  <c r="B23" i="2"/>
  <c r="D23" i="2" s="1"/>
  <c r="A23" i="2"/>
  <c r="H129" i="1"/>
  <c r="I129" i="1" s="1"/>
  <c r="A118" i="1"/>
  <c r="C118" i="1" s="1"/>
  <c r="B118" i="1"/>
  <c r="C94" i="1"/>
  <c r="C95" i="1" s="1"/>
  <c r="C96" i="1" s="1"/>
  <c r="C97" i="1" s="1"/>
  <c r="C98" i="1" s="1"/>
  <c r="A94" i="1"/>
  <c r="E94" i="1" s="1"/>
  <c r="A98" i="2" l="1"/>
  <c r="B98" i="2"/>
  <c r="D98" i="2" s="1"/>
  <c r="A86" i="2"/>
  <c r="B86" i="2"/>
  <c r="D86" i="2" s="1"/>
  <c r="A67" i="2"/>
  <c r="B67" i="2"/>
  <c r="D67" i="2" s="1"/>
  <c r="B54" i="5"/>
  <c r="A55" i="5" s="1"/>
  <c r="C54" i="5"/>
  <c r="K59" i="4"/>
  <c r="I60" i="4"/>
  <c r="E59" i="4"/>
  <c r="C58" i="4"/>
  <c r="B58" i="4"/>
  <c r="A153" i="3"/>
  <c r="C153" i="3" s="1"/>
  <c r="D152" i="3"/>
  <c r="E152" i="3" s="1"/>
  <c r="B153" i="3" s="1"/>
  <c r="B53" i="2"/>
  <c r="D53" i="2" s="1"/>
  <c r="A53" i="2"/>
  <c r="A143" i="2"/>
  <c r="B143" i="2"/>
  <c r="D143" i="2" s="1"/>
  <c r="C181" i="2"/>
  <c r="E181" i="2"/>
  <c r="F181" i="2" s="1"/>
  <c r="B130" i="2"/>
  <c r="D130" i="2" s="1"/>
  <c r="A130" i="2"/>
  <c r="C23" i="2"/>
  <c r="E23" i="2"/>
  <c r="F23" i="2" s="1"/>
  <c r="A119" i="1"/>
  <c r="C119" i="1"/>
  <c r="B119" i="1"/>
  <c r="B95" i="1"/>
  <c r="F94" i="1"/>
  <c r="C98" i="2" l="1"/>
  <c r="E98" i="2"/>
  <c r="F98" i="2" s="1"/>
  <c r="E86" i="2"/>
  <c r="F86" i="2" s="1"/>
  <c r="C86" i="2"/>
  <c r="E67" i="2"/>
  <c r="F67" i="2" s="1"/>
  <c r="C67" i="2"/>
  <c r="B55" i="5"/>
  <c r="C55" i="5" s="1"/>
  <c r="J60" i="4"/>
  <c r="K60" i="4"/>
  <c r="I61" i="4" s="1"/>
  <c r="F59" i="4"/>
  <c r="G59" i="4"/>
  <c r="A59" i="4"/>
  <c r="B59" i="4"/>
  <c r="C59" i="4"/>
  <c r="A60" i="4" s="1"/>
  <c r="B60" i="4" s="1"/>
  <c r="D153" i="3"/>
  <c r="E153" i="3" s="1"/>
  <c r="E53" i="2"/>
  <c r="F53" i="2" s="1"/>
  <c r="C53" i="2"/>
  <c r="B24" i="2"/>
  <c r="D24" i="2" s="1"/>
  <c r="A24" i="2"/>
  <c r="C143" i="2"/>
  <c r="E143" i="2"/>
  <c r="F143" i="2" s="1"/>
  <c r="B182" i="2"/>
  <c r="D182" i="2" s="1"/>
  <c r="A182" i="2"/>
  <c r="C130" i="2"/>
  <c r="E130" i="2"/>
  <c r="F130" i="2" s="1"/>
  <c r="D95" i="1"/>
  <c r="A95" i="1"/>
  <c r="E95" i="1" s="1"/>
  <c r="A99" i="2" l="1"/>
  <c r="B99" i="2"/>
  <c r="D99" i="2" s="1"/>
  <c r="B87" i="2"/>
  <c r="D87" i="2" s="1"/>
  <c r="A87" i="2"/>
  <c r="A68" i="2"/>
  <c r="B68" i="2"/>
  <c r="D68" i="2" s="1"/>
  <c r="A56" i="5"/>
  <c r="K61" i="4"/>
  <c r="J61" i="4"/>
  <c r="E60" i="4"/>
  <c r="F60" i="4" s="1"/>
  <c r="C60" i="4"/>
  <c r="A61" i="4" s="1"/>
  <c r="C61" i="4" s="1"/>
  <c r="A54" i="2"/>
  <c r="B54" i="2"/>
  <c r="D54" i="2" s="1"/>
  <c r="E24" i="2"/>
  <c r="F24" i="2" s="1"/>
  <c r="C24" i="2"/>
  <c r="B144" i="2"/>
  <c r="D144" i="2" s="1"/>
  <c r="A144" i="2"/>
  <c r="C182" i="2"/>
  <c r="E182" i="2"/>
  <c r="F182" i="2" s="1"/>
  <c r="A131" i="2"/>
  <c r="B131" i="2"/>
  <c r="D131" i="2" s="1"/>
  <c r="B96" i="1"/>
  <c r="F95" i="1"/>
  <c r="C99" i="2" l="1"/>
  <c r="E99" i="2"/>
  <c r="F99" i="2" s="1"/>
  <c r="E87" i="2"/>
  <c r="F87" i="2" s="1"/>
  <c r="C87" i="2"/>
  <c r="C68" i="2"/>
  <c r="E68" i="2"/>
  <c r="F68" i="2" s="1"/>
  <c r="B56" i="5"/>
  <c r="C56" i="5" s="1"/>
  <c r="A57" i="5" s="1"/>
  <c r="I62" i="4"/>
  <c r="K62" i="4" s="1"/>
  <c r="J62" i="4"/>
  <c r="G60" i="4"/>
  <c r="E61" i="4" s="1"/>
  <c r="B61" i="4"/>
  <c r="A62" i="4" s="1"/>
  <c r="C54" i="2"/>
  <c r="E54" i="2"/>
  <c r="F54" i="2" s="1"/>
  <c r="B25" i="2"/>
  <c r="D25" i="2" s="1"/>
  <c r="A25" i="2"/>
  <c r="C144" i="2"/>
  <c r="E144" i="2"/>
  <c r="F144" i="2" s="1"/>
  <c r="A183" i="2"/>
  <c r="B183" i="2"/>
  <c r="D183" i="2" s="1"/>
  <c r="E131" i="2"/>
  <c r="F131" i="2" s="1"/>
  <c r="C131" i="2"/>
  <c r="A96" i="1"/>
  <c r="E96" i="1" s="1"/>
  <c r="D96" i="1"/>
  <c r="B100" i="2" l="1"/>
  <c r="D100" i="2" s="1"/>
  <c r="A100" i="2"/>
  <c r="A88" i="2"/>
  <c r="B88" i="2"/>
  <c r="D88" i="2" s="1"/>
  <c r="A69" i="2"/>
  <c r="B69" i="2"/>
  <c r="D69" i="2" s="1"/>
  <c r="B57" i="5"/>
  <c r="C57" i="5" s="1"/>
  <c r="I63" i="4"/>
  <c r="K63" i="4" s="1"/>
  <c r="J63" i="4"/>
  <c r="F61" i="4"/>
  <c r="G61" i="4"/>
  <c r="E62" i="4" s="1"/>
  <c r="B62" i="4"/>
  <c r="C62" i="4"/>
  <c r="A63" i="4"/>
  <c r="C63" i="4" s="1"/>
  <c r="A55" i="2"/>
  <c r="B55" i="2"/>
  <c r="D55" i="2" s="1"/>
  <c r="C25" i="2"/>
  <c r="E25" i="2"/>
  <c r="F25" i="2" s="1"/>
  <c r="A145" i="2"/>
  <c r="B145" i="2"/>
  <c r="D145" i="2" s="1"/>
  <c r="E183" i="2"/>
  <c r="F183" i="2" s="1"/>
  <c r="C183" i="2"/>
  <c r="A132" i="2"/>
  <c r="B132" i="2"/>
  <c r="D132" i="2" s="1"/>
  <c r="B97" i="1"/>
  <c r="F96" i="1"/>
  <c r="E100" i="2" l="1"/>
  <c r="F100" i="2" s="1"/>
  <c r="C100" i="2"/>
  <c r="C88" i="2"/>
  <c r="E88" i="2"/>
  <c r="F88" i="2" s="1"/>
  <c r="C69" i="2"/>
  <c r="E69" i="2"/>
  <c r="F69" i="2" s="1"/>
  <c r="A58" i="5"/>
  <c r="I64" i="4"/>
  <c r="F62" i="4"/>
  <c r="G62" i="4"/>
  <c r="B63" i="4"/>
  <c r="A64" i="4" s="1"/>
  <c r="C55" i="2"/>
  <c r="E55" i="2"/>
  <c r="F55" i="2" s="1"/>
  <c r="A26" i="2"/>
  <c r="B26" i="2"/>
  <c r="D26" i="2" s="1"/>
  <c r="C145" i="2"/>
  <c r="E145" i="2"/>
  <c r="F145" i="2" s="1"/>
  <c r="B184" i="2"/>
  <c r="D184" i="2" s="1"/>
  <c r="A184" i="2"/>
  <c r="E132" i="2"/>
  <c r="F132" i="2" s="1"/>
  <c r="C132" i="2"/>
  <c r="A97" i="1"/>
  <c r="E97" i="1" s="1"/>
  <c r="D97" i="1"/>
  <c r="A101" i="2" l="1"/>
  <c r="B101" i="2"/>
  <c r="D101" i="2" s="1"/>
  <c r="A89" i="2"/>
  <c r="B89" i="2"/>
  <c r="D89" i="2" s="1"/>
  <c r="A70" i="2"/>
  <c r="B70" i="2"/>
  <c r="D70" i="2" s="1"/>
  <c r="B58" i="5"/>
  <c r="C58" i="5"/>
  <c r="A59" i="5"/>
  <c r="J64" i="4"/>
  <c r="K64" i="4"/>
  <c r="E63" i="4"/>
  <c r="G63" i="4"/>
  <c r="F63" i="4"/>
  <c r="C64" i="4"/>
  <c r="B64" i="4"/>
  <c r="B56" i="2"/>
  <c r="D56" i="2" s="1"/>
  <c r="A56" i="2"/>
  <c r="C26" i="2"/>
  <c r="E26" i="2"/>
  <c r="F26" i="2" s="1"/>
  <c r="A146" i="2"/>
  <c r="B146" i="2"/>
  <c r="D146" i="2" s="1"/>
  <c r="E184" i="2"/>
  <c r="F184" i="2" s="1"/>
  <c r="C184" i="2"/>
  <c r="A133" i="2"/>
  <c r="B133" i="2"/>
  <c r="D133" i="2" s="1"/>
  <c r="F97" i="1"/>
  <c r="B98" i="1"/>
  <c r="C101" i="2" l="1"/>
  <c r="E101" i="2"/>
  <c r="F101" i="2" s="1"/>
  <c r="E89" i="2"/>
  <c r="F89" i="2" s="1"/>
  <c r="C89" i="2"/>
  <c r="C70" i="2"/>
  <c r="E70" i="2"/>
  <c r="F70" i="2" s="1"/>
  <c r="B59" i="5"/>
  <c r="C59" i="5" s="1"/>
  <c r="I65" i="4"/>
  <c r="E64" i="4"/>
  <c r="G64" i="4" s="1"/>
  <c r="F64" i="4"/>
  <c r="A65" i="4"/>
  <c r="C56" i="2"/>
  <c r="E56" i="2"/>
  <c r="F56" i="2" s="1"/>
  <c r="B27" i="2"/>
  <c r="D27" i="2" s="1"/>
  <c r="A27" i="2"/>
  <c r="C146" i="2"/>
  <c r="E146" i="2"/>
  <c r="F146" i="2" s="1"/>
  <c r="A185" i="2"/>
  <c r="B185" i="2"/>
  <c r="D185" i="2" s="1"/>
  <c r="C133" i="2"/>
  <c r="E133" i="2"/>
  <c r="F133" i="2" s="1"/>
  <c r="A98" i="1"/>
  <c r="E98" i="1" s="1"/>
  <c r="F98" i="1" s="1"/>
  <c r="D98" i="1"/>
  <c r="A102" i="2" l="1"/>
  <c r="B102" i="2"/>
  <c r="D102" i="2" s="1"/>
  <c r="B90" i="2"/>
  <c r="D90" i="2" s="1"/>
  <c r="A90" i="2"/>
  <c r="A71" i="2"/>
  <c r="B71" i="2"/>
  <c r="D71" i="2" s="1"/>
  <c r="A60" i="5"/>
  <c r="K65" i="4"/>
  <c r="J65" i="4"/>
  <c r="E65" i="4"/>
  <c r="C65" i="4"/>
  <c r="B65" i="4"/>
  <c r="A66" i="4" s="1"/>
  <c r="B57" i="2"/>
  <c r="D57" i="2" s="1"/>
  <c r="A57" i="2"/>
  <c r="A147" i="2"/>
  <c r="B147" i="2"/>
  <c r="D147" i="2" s="1"/>
  <c r="E27" i="2"/>
  <c r="F27" i="2" s="1"/>
  <c r="C27" i="2"/>
  <c r="C185" i="2"/>
  <c r="E185" i="2"/>
  <c r="F185" i="2" s="1"/>
  <c r="B134" i="2"/>
  <c r="D134" i="2" s="1"/>
  <c r="A134" i="2"/>
  <c r="C102" i="2" l="1"/>
  <c r="E102" i="2"/>
  <c r="F102" i="2" s="1"/>
  <c r="E90" i="2"/>
  <c r="F90" i="2" s="1"/>
  <c r="C90" i="2"/>
  <c r="E71" i="2"/>
  <c r="F71" i="2" s="1"/>
  <c r="C71" i="2"/>
  <c r="B60" i="5"/>
  <c r="C60" i="5"/>
  <c r="I66" i="4"/>
  <c r="G65" i="4"/>
  <c r="F65" i="4"/>
  <c r="B66" i="4"/>
  <c r="C66" i="4"/>
  <c r="E57" i="2"/>
  <c r="F57" i="2" s="1"/>
  <c r="C57" i="2"/>
  <c r="B28" i="2"/>
  <c r="D28" i="2" s="1"/>
  <c r="A28" i="2"/>
  <c r="E147" i="2"/>
  <c r="F147" i="2" s="1"/>
  <c r="C147" i="2"/>
  <c r="A186" i="2"/>
  <c r="B186" i="2"/>
  <c r="D186" i="2" s="1"/>
  <c r="C134" i="2"/>
  <c r="E134" i="2"/>
  <c r="F134" i="2" s="1"/>
  <c r="A103" i="2" l="1"/>
  <c r="B103" i="2"/>
  <c r="D103" i="2" s="1"/>
  <c r="A91" i="2"/>
  <c r="B91" i="2"/>
  <c r="D91" i="2" s="1"/>
  <c r="B72" i="2"/>
  <c r="D72" i="2" s="1"/>
  <c r="A72" i="2"/>
  <c r="J66" i="4"/>
  <c r="K66" i="4"/>
  <c r="E66" i="4"/>
  <c r="G66" i="4"/>
  <c r="F66" i="4"/>
  <c r="A67" i="4"/>
  <c r="B67" i="4" s="1"/>
  <c r="A58" i="2"/>
  <c r="B58" i="2"/>
  <c r="D58" i="2" s="1"/>
  <c r="A148" i="2"/>
  <c r="B148" i="2"/>
  <c r="D148" i="2" s="1"/>
  <c r="E28" i="2"/>
  <c r="F28" i="2" s="1"/>
  <c r="C28" i="2"/>
  <c r="C186" i="2"/>
  <c r="E186" i="2"/>
  <c r="F186" i="2" s="1"/>
  <c r="A135" i="2"/>
  <c r="B135" i="2"/>
  <c r="D135" i="2" s="1"/>
  <c r="C103" i="2" l="1"/>
  <c r="E103" i="2"/>
  <c r="F103" i="2" s="1"/>
  <c r="E91" i="2"/>
  <c r="F91" i="2" s="1"/>
  <c r="C91" i="2"/>
  <c r="C72" i="2"/>
  <c r="E72" i="2"/>
  <c r="F72" i="2" s="1"/>
  <c r="I67" i="4"/>
  <c r="K67" i="4" s="1"/>
  <c r="J67" i="4"/>
  <c r="E67" i="4"/>
  <c r="F67" i="4" s="1"/>
  <c r="C67" i="4"/>
  <c r="A68" i="4" s="1"/>
  <c r="C58" i="2"/>
  <c r="E58" i="2"/>
  <c r="F58" i="2" s="1"/>
  <c r="A29" i="2"/>
  <c r="B29" i="2"/>
  <c r="D29" i="2" s="1"/>
  <c r="E148" i="2"/>
  <c r="F148" i="2" s="1"/>
  <c r="C148" i="2"/>
  <c r="A187" i="2"/>
  <c r="B187" i="2"/>
  <c r="D187" i="2" s="1"/>
  <c r="E135" i="2"/>
  <c r="F135" i="2" s="1"/>
  <c r="C135" i="2"/>
  <c r="A104" i="2" l="1"/>
  <c r="B104" i="2"/>
  <c r="D104" i="2" s="1"/>
  <c r="A92" i="2"/>
  <c r="B92" i="2"/>
  <c r="D92" i="2" s="1"/>
  <c r="B73" i="2"/>
  <c r="D73" i="2" s="1"/>
  <c r="A73" i="2"/>
  <c r="I68" i="4"/>
  <c r="G67" i="4"/>
  <c r="E68" i="4" s="1"/>
  <c r="C68" i="4"/>
  <c r="B68" i="4"/>
  <c r="B59" i="2"/>
  <c r="D59" i="2" s="1"/>
  <c r="A59" i="2"/>
  <c r="C29" i="2"/>
  <c r="E29" i="2"/>
  <c r="F29" i="2" s="1"/>
  <c r="B136" i="2"/>
  <c r="D136" i="2" s="1"/>
  <c r="A136" i="2"/>
  <c r="E187" i="2"/>
  <c r="F187" i="2" s="1"/>
  <c r="C187" i="2"/>
  <c r="E104" i="2" l="1"/>
  <c r="F104" i="2" s="1"/>
  <c r="C104" i="2"/>
  <c r="C92" i="2"/>
  <c r="E92" i="2"/>
  <c r="F92" i="2" s="1"/>
  <c r="C73" i="2"/>
  <c r="E73" i="2"/>
  <c r="F73" i="2" s="1"/>
  <c r="J68" i="4"/>
  <c r="K68" i="4"/>
  <c r="F68" i="4"/>
  <c r="G68" i="4"/>
  <c r="E69" i="4"/>
  <c r="A69" i="4"/>
  <c r="C69" i="4"/>
  <c r="B69" i="4"/>
  <c r="E59" i="2"/>
  <c r="F59" i="2" s="1"/>
  <c r="C59" i="2"/>
  <c r="E136" i="2"/>
  <c r="F136" i="2" s="1"/>
  <c r="C136" i="2"/>
  <c r="A30" i="2"/>
  <c r="B30" i="2"/>
  <c r="D30" i="2" s="1"/>
  <c r="A188" i="2"/>
  <c r="B188" i="2"/>
  <c r="D188" i="2" s="1"/>
  <c r="B93" i="2" l="1"/>
  <c r="D93" i="2" s="1"/>
  <c r="A74" i="2"/>
  <c r="B74" i="2"/>
  <c r="D74" i="2" s="1"/>
  <c r="I69" i="4"/>
  <c r="G69" i="4"/>
  <c r="F69" i="4"/>
  <c r="A70" i="4"/>
  <c r="A60" i="2"/>
  <c r="B60" i="2"/>
  <c r="D60" i="2" s="1"/>
  <c r="E30" i="2"/>
  <c r="F30" i="2" s="1"/>
  <c r="C30" i="2"/>
  <c r="A137" i="2"/>
  <c r="B137" i="2"/>
  <c r="D137" i="2" s="1"/>
  <c r="C188" i="2"/>
  <c r="E188" i="2"/>
  <c r="F188" i="2" s="1"/>
  <c r="C93" i="2" l="1"/>
  <c r="E93" i="2"/>
  <c r="F93" i="2" s="1"/>
  <c r="C74" i="2"/>
  <c r="E74" i="2"/>
  <c r="F74" i="2" s="1"/>
  <c r="K69" i="4"/>
  <c r="J69" i="4"/>
  <c r="E70" i="4"/>
  <c r="F70" i="4" s="1"/>
  <c r="G70" i="4"/>
  <c r="C70" i="4"/>
  <c r="B70" i="4"/>
  <c r="C60" i="2"/>
  <c r="E60" i="2"/>
  <c r="F60" i="2" s="1"/>
  <c r="C137" i="2"/>
  <c r="E137" i="2"/>
  <c r="F137" i="2" s="1"/>
  <c r="A189" i="2"/>
  <c r="B189" i="2"/>
  <c r="D189" i="2" s="1"/>
  <c r="A75" i="2" l="1"/>
  <c r="B75" i="2"/>
  <c r="D75" i="2" s="1"/>
  <c r="I70" i="4"/>
  <c r="K70" i="4" s="1"/>
  <c r="E71" i="4"/>
  <c r="G71" i="4" s="1"/>
  <c r="A71" i="4"/>
  <c r="B71" i="4" s="1"/>
  <c r="A61" i="2"/>
  <c r="B61" i="2"/>
  <c r="D61" i="2" s="1"/>
  <c r="C189" i="2"/>
  <c r="E189" i="2"/>
  <c r="F189" i="2" s="1"/>
  <c r="C75" i="2" l="1"/>
  <c r="E75" i="2"/>
  <c r="F75" i="2" s="1"/>
  <c r="J70" i="4"/>
  <c r="I71" i="4" s="1"/>
  <c r="F71" i="4"/>
  <c r="E72" i="4" s="1"/>
  <c r="F72" i="4" s="1"/>
  <c r="C71" i="4"/>
  <c r="A72" i="4" s="1"/>
  <c r="B72" i="4" s="1"/>
  <c r="E61" i="2"/>
  <c r="F61" i="2" s="1"/>
  <c r="C61" i="2"/>
  <c r="A76" i="2" l="1"/>
  <c r="B76" i="2"/>
  <c r="D76" i="2" s="1"/>
  <c r="J71" i="4"/>
  <c r="K71" i="4"/>
  <c r="G72" i="4"/>
  <c r="E73" i="4" s="1"/>
  <c r="C72" i="4"/>
  <c r="A73" i="4"/>
  <c r="B73" i="4" s="1"/>
  <c r="C73" i="4"/>
  <c r="C76" i="2" l="1"/>
  <c r="E76" i="2"/>
  <c r="F76" i="2" s="1"/>
  <c r="I72" i="4"/>
  <c r="J72" i="4"/>
  <c r="K72" i="4"/>
  <c r="F73" i="4"/>
  <c r="G73" i="4"/>
  <c r="E74" i="4"/>
  <c r="A74" i="4"/>
  <c r="A77" i="2" l="1"/>
  <c r="B77" i="2"/>
  <c r="D77" i="2" s="1"/>
  <c r="I73" i="4"/>
  <c r="F74" i="4"/>
  <c r="G74" i="4"/>
  <c r="B74" i="4"/>
  <c r="C74" i="4"/>
  <c r="E77" i="2" l="1"/>
  <c r="F77" i="2" s="1"/>
  <c r="C77" i="2"/>
  <c r="J73" i="4"/>
  <c r="K73" i="4"/>
  <c r="E75" i="4"/>
  <c r="G75" i="4" s="1"/>
  <c r="A75" i="4"/>
  <c r="B75" i="4" s="1"/>
  <c r="A78" i="2" l="1"/>
  <c r="B78" i="2"/>
  <c r="D78" i="2" s="1"/>
  <c r="I74" i="4"/>
  <c r="F75" i="4"/>
  <c r="E76" i="4" s="1"/>
  <c r="C75" i="4"/>
  <c r="A76" i="4" s="1"/>
  <c r="C76" i="4" s="1"/>
  <c r="C78" i="2" l="1"/>
  <c r="E78" i="2"/>
  <c r="F78" i="2" s="1"/>
  <c r="J74" i="4"/>
  <c r="K74" i="4"/>
  <c r="F76" i="4"/>
  <c r="G76" i="4"/>
  <c r="B76" i="4"/>
  <c r="A77" i="4" s="1"/>
  <c r="B77" i="4" s="1"/>
  <c r="B79" i="2" l="1"/>
  <c r="D79" i="2" s="1"/>
  <c r="A79" i="2"/>
  <c r="I75" i="4"/>
  <c r="E77" i="4"/>
  <c r="F77" i="4" s="1"/>
  <c r="E78" i="4" s="1"/>
  <c r="G77" i="4"/>
  <c r="C77" i="4"/>
  <c r="A78" i="4" s="1"/>
  <c r="C79" i="2" l="1"/>
  <c r="E79" i="2"/>
  <c r="F79" i="2" s="1"/>
  <c r="J75" i="4"/>
  <c r="K75" i="4"/>
  <c r="I76" i="4" s="1"/>
  <c r="F78" i="4"/>
  <c r="G78" i="4"/>
  <c r="B78" i="4"/>
  <c r="C78" i="4"/>
  <c r="A80" i="2" l="1"/>
  <c r="B80" i="2"/>
  <c r="D80" i="2" s="1"/>
  <c r="K76" i="4"/>
  <c r="J76" i="4"/>
  <c r="I77" i="4" s="1"/>
  <c r="E79" i="4"/>
  <c r="A79" i="4"/>
  <c r="B79" i="4" s="1"/>
  <c r="E80" i="2" l="1"/>
  <c r="F80" i="2" s="1"/>
  <c r="C80" i="2"/>
  <c r="K77" i="4"/>
  <c r="J77" i="4"/>
  <c r="F79" i="4"/>
  <c r="G79" i="4"/>
  <c r="C79" i="4"/>
  <c r="A80" i="4" s="1"/>
  <c r="C80" i="4" s="1"/>
  <c r="I78" i="4" l="1"/>
  <c r="K78" i="4" s="1"/>
  <c r="E80" i="4"/>
  <c r="F80" i="4"/>
  <c r="G80" i="4"/>
  <c r="B80" i="4"/>
  <c r="A81" i="4" s="1"/>
  <c r="J78" i="4" l="1"/>
  <c r="I79" i="4"/>
  <c r="J79" i="4" s="1"/>
  <c r="K79" i="4"/>
  <c r="E81" i="4"/>
  <c r="F81" i="4"/>
  <c r="G81" i="4"/>
  <c r="B81" i="4"/>
  <c r="C81" i="4"/>
  <c r="I80" i="4" l="1"/>
  <c r="E82" i="4"/>
  <c r="A82" i="4"/>
  <c r="B82" i="4"/>
  <c r="C82" i="4"/>
  <c r="J80" i="4" l="1"/>
  <c r="K80" i="4"/>
  <c r="F82" i="4"/>
  <c r="G82" i="4"/>
  <c r="E83" i="4" s="1"/>
  <c r="A83" i="4"/>
  <c r="I81" i="4" l="1"/>
  <c r="K81" i="4" s="1"/>
  <c r="G83" i="4"/>
  <c r="F83" i="4"/>
  <c r="C83" i="4"/>
  <c r="B83" i="4"/>
  <c r="J81" i="4" l="1"/>
  <c r="I82" i="4"/>
  <c r="E84" i="4"/>
  <c r="G84" i="4" s="1"/>
  <c r="A84" i="4"/>
  <c r="C84" i="4" s="1"/>
  <c r="B84" i="4"/>
  <c r="J82" i="4" l="1"/>
  <c r="K82" i="4"/>
  <c r="I83" i="4" s="1"/>
  <c r="F84" i="4"/>
  <c r="E85" i="4"/>
  <c r="F85" i="4" s="1"/>
  <c r="A85" i="4"/>
  <c r="B85" i="4" s="1"/>
  <c r="J83" i="4" l="1"/>
  <c r="K83" i="4"/>
  <c r="G85" i="4"/>
  <c r="E86" i="4"/>
  <c r="C85" i="4"/>
  <c r="A86" i="4" s="1"/>
  <c r="I84" i="4" l="1"/>
  <c r="F86" i="4"/>
  <c r="G86" i="4"/>
  <c r="B86" i="4"/>
  <c r="C86" i="4"/>
  <c r="J84" i="4" l="1"/>
  <c r="K84" i="4"/>
  <c r="E87" i="4"/>
  <c r="A87" i="4"/>
  <c r="B87" i="4"/>
  <c r="C87" i="4"/>
  <c r="I85" i="4" l="1"/>
  <c r="F87" i="4"/>
  <c r="G87" i="4"/>
  <c r="E88" i="4" s="1"/>
  <c r="A88" i="4"/>
  <c r="K85" i="4" l="1"/>
  <c r="J85" i="4"/>
  <c r="I86" i="4" s="1"/>
  <c r="F88" i="4"/>
  <c r="G88" i="4"/>
  <c r="B88" i="4"/>
  <c r="C88" i="4"/>
  <c r="J86" i="4" l="1"/>
  <c r="K86" i="4"/>
  <c r="E89" i="4"/>
  <c r="F89" i="4" s="1"/>
  <c r="I87" i="4" l="1"/>
  <c r="K87" i="4" s="1"/>
  <c r="J87" i="4"/>
  <c r="G89" i="4"/>
  <c r="E90" i="4"/>
  <c r="F90" i="4" s="1"/>
  <c r="I88" i="4" l="1"/>
  <c r="K88" i="4" s="1"/>
  <c r="G90" i="4"/>
  <c r="E91" i="4" s="1"/>
  <c r="J88" i="4" l="1"/>
  <c r="I89" i="4" s="1"/>
  <c r="K89" i="4" s="1"/>
  <c r="G91" i="4"/>
  <c r="F91" i="4"/>
  <c r="E92" i="4" s="1"/>
  <c r="J89" i="4" l="1"/>
  <c r="I90" i="4" s="1"/>
  <c r="J90" i="4" s="1"/>
  <c r="F92" i="4"/>
  <c r="G92" i="4"/>
  <c r="K90" i="4" l="1"/>
  <c r="I91" i="4" s="1"/>
  <c r="J91" i="4" s="1"/>
  <c r="E93" i="4"/>
  <c r="K91" i="4" l="1"/>
  <c r="I92" i="4" s="1"/>
  <c r="G93" i="4"/>
  <c r="F93" i="4"/>
  <c r="K92" i="4" l="1"/>
  <c r="J92" i="4"/>
  <c r="I93" i="4" s="1"/>
  <c r="E94" i="4"/>
  <c r="J93" i="4" l="1"/>
  <c r="K93" i="4"/>
  <c r="F94" i="4"/>
  <c r="G94" i="4"/>
  <c r="I94" i="4" l="1"/>
  <c r="K94" i="4"/>
  <c r="J94" i="4"/>
  <c r="I95" i="4" s="1"/>
  <c r="E95" i="4"/>
  <c r="K95" i="4" l="1"/>
  <c r="J95" i="4"/>
  <c r="F95" i="4"/>
  <c r="G95" i="4"/>
  <c r="I96" i="4" l="1"/>
  <c r="E96" i="4"/>
  <c r="K96" i="4" l="1"/>
  <c r="J96" i="4"/>
  <c r="I97" i="4" s="1"/>
  <c r="G96" i="4"/>
  <c r="F96" i="4"/>
  <c r="J97" i="4" l="1"/>
  <c r="K97" i="4"/>
  <c r="E97" i="4"/>
  <c r="F97" i="4" s="1"/>
  <c r="I98" i="4" l="1"/>
  <c r="G97" i="4"/>
  <c r="E98" i="4" s="1"/>
  <c r="J98" i="4" l="1"/>
  <c r="K98" i="4"/>
  <c r="I99" i="4" s="1"/>
  <c r="F98" i="4"/>
  <c r="G98" i="4"/>
  <c r="E99" i="4" s="1"/>
  <c r="K99" i="4" l="1"/>
  <c r="J99" i="4"/>
  <c r="I100" i="4" s="1"/>
  <c r="G99" i="4"/>
  <c r="F99" i="4"/>
  <c r="J100" i="4" l="1"/>
  <c r="K100" i="4"/>
  <c r="I101" i="4" s="1"/>
  <c r="E100" i="4"/>
  <c r="G100" i="4"/>
  <c r="F100" i="4"/>
  <c r="K101" i="4" l="1"/>
  <c r="J101" i="4"/>
  <c r="E101" i="4"/>
  <c r="F101" i="4" l="1"/>
  <c r="G101" i="4"/>
  <c r="E102" i="4" l="1"/>
  <c r="F102" i="4" l="1"/>
  <c r="G102" i="4"/>
</calcChain>
</file>

<file path=xl/sharedStrings.xml><?xml version="1.0" encoding="utf-8"?>
<sst xmlns="http://schemas.openxmlformats.org/spreadsheetml/2006/main" count="185" uniqueCount="66">
  <si>
    <t>(p+a/V^2)(V-b) = RT</t>
  </si>
  <si>
    <t>Van der Walls EOS</t>
  </si>
  <si>
    <t>a = 27/64 (R^2*T^2/Pc)</t>
  </si>
  <si>
    <t>b= R*Tc/ 8*Pc</t>
  </si>
  <si>
    <t>Tc = critical point T</t>
  </si>
  <si>
    <t>Pc = critical point P</t>
  </si>
  <si>
    <t>f(v) = (p+a/V^2)(V-b) -RT = 0</t>
  </si>
  <si>
    <t>1. Direct Substitution (fixed-point iteration)</t>
  </si>
  <si>
    <t>g(x) = x</t>
  </si>
  <si>
    <t>g(v) = R*T/(P+a/V^2) + b = v</t>
  </si>
  <si>
    <t>R = 0.08206</t>
  </si>
  <si>
    <t>P = 10 atm</t>
  </si>
  <si>
    <t>Ammonia @ 250C and 10 atm</t>
  </si>
  <si>
    <t>T=523K</t>
  </si>
  <si>
    <t>Tc=407.5K</t>
  </si>
  <si>
    <t>PC=111.3 atm</t>
  </si>
  <si>
    <t>a=4.238</t>
  </si>
  <si>
    <t>b=0.037</t>
  </si>
  <si>
    <t>root for 0 &lt; v &lt; 5</t>
  </si>
  <si>
    <t>v</t>
  </si>
  <si>
    <t>g(v)</t>
  </si>
  <si>
    <t>f(v)</t>
  </si>
  <si>
    <t>2. Bisection Method</t>
  </si>
  <si>
    <t>If it is known that a root lies in the interval [a,b], you can simply half the interval in which root lies, the interval can be reduced to an acceptable level</t>
  </si>
  <si>
    <t>The restriction is f(a) and f(b) needs to have opposite signs</t>
  </si>
  <si>
    <t>V1</t>
  </si>
  <si>
    <t>V2</t>
  </si>
  <si>
    <t>f(V1)</t>
  </si>
  <si>
    <t>f(V2)</t>
  </si>
  <si>
    <t>V(new)</t>
  </si>
  <si>
    <t>f(Vnew)</t>
  </si>
  <si>
    <t>Newton Method</t>
  </si>
  <si>
    <t>f(x) = x^2 - 2x +1 = 0</t>
  </si>
  <si>
    <t>x</t>
  </si>
  <si>
    <t>f</t>
  </si>
  <si>
    <t>f(x)</t>
  </si>
  <si>
    <t>R</t>
  </si>
  <si>
    <t>P</t>
  </si>
  <si>
    <t>T</t>
  </si>
  <si>
    <t>a</t>
  </si>
  <si>
    <t>b</t>
  </si>
  <si>
    <t>V</t>
  </si>
  <si>
    <t>f'(v)</t>
  </si>
  <si>
    <t>initial guess</t>
  </si>
  <si>
    <t>(P+a/v^2)+(v-b)*-2*a/v^3)</t>
  </si>
  <si>
    <t>(P+a/v^2)*(v-b)-R*T</t>
  </si>
  <si>
    <t>next guess = initial guess - (f(x)/f'(x))</t>
  </si>
  <si>
    <t>Secant method</t>
  </si>
  <si>
    <t>next guess = V2</t>
  </si>
  <si>
    <t>Two initial guesses = V0 and V1</t>
  </si>
  <si>
    <t>V0</t>
  </si>
  <si>
    <t>f(V0)</t>
  </si>
  <si>
    <t>=x-x^(1/3)-2</t>
  </si>
  <si>
    <t>Root (yellow)</t>
  </si>
  <si>
    <t>=xtanx-1</t>
  </si>
  <si>
    <t>=x^4-exp(x)+1</t>
  </si>
  <si>
    <t>=x^2*exp(x)-1</t>
  </si>
  <si>
    <t>=x^2exp(x)-1</t>
  </si>
  <si>
    <t>=x^3-17x+12</t>
  </si>
  <si>
    <t>Roots (Goal Seek)</t>
  </si>
  <si>
    <t>Bessel</t>
  </si>
  <si>
    <t>Root</t>
  </si>
  <si>
    <t>Colebrook</t>
  </si>
  <si>
    <t>x (f)</t>
  </si>
  <si>
    <r>
      <t>N</t>
    </r>
    <r>
      <rPr>
        <vertAlign val="subscript"/>
        <sz val="11"/>
        <color theme="1"/>
        <rFont val="Calibri"/>
        <family val="2"/>
        <scheme val="minor"/>
      </rPr>
      <t>Re</t>
    </r>
  </si>
  <si>
    <t>f'(x)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</si>
</sst>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quotePrefix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63867129155247"/>
          <c:y val="0.15432482087556607"/>
          <c:w val="0.82772671916099971"/>
          <c:h val="0.7757183246930803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'205 HW2 1.2'!$A$33:$A$43</c:f>
              <c:numCache>
                <c:formatCode>General</c:formatCode>
                <c:ptCount val="11"/>
                <c:pt idx="0">
                  <c:v>0</c:v>
                </c:pt>
                <c:pt idx="1">
                  <c:v>45</c:v>
                </c:pt>
                <c:pt idx="2">
                  <c:v>90</c:v>
                </c:pt>
                <c:pt idx="3">
                  <c:v>135</c:v>
                </c:pt>
                <c:pt idx="4">
                  <c:v>180</c:v>
                </c:pt>
                <c:pt idx="5">
                  <c:v>225</c:v>
                </c:pt>
                <c:pt idx="6">
                  <c:v>270</c:v>
                </c:pt>
                <c:pt idx="7">
                  <c:v>315</c:v>
                </c:pt>
                <c:pt idx="8">
                  <c:v>360</c:v>
                </c:pt>
                <c:pt idx="9">
                  <c:v>405</c:v>
                </c:pt>
                <c:pt idx="10">
                  <c:v>450</c:v>
                </c:pt>
              </c:numCache>
            </c:numRef>
          </c:xVal>
          <c:yVal>
            <c:numRef>
              <c:f>'205 HW2 1.2'!$B$33:$B$43</c:f>
              <c:numCache>
                <c:formatCode>General</c:formatCode>
                <c:ptCount val="11"/>
                <c:pt idx="0">
                  <c:v>-1</c:v>
                </c:pt>
                <c:pt idx="1">
                  <c:v>43.999999999999993</c:v>
                </c:pt>
                <c:pt idx="2">
                  <c:v>1.4692097049857165E+18</c:v>
                </c:pt>
                <c:pt idx="3">
                  <c:v>-136.00000000000003</c:v>
                </c:pt>
                <c:pt idx="4">
                  <c:v>-1.000000000000022</c:v>
                </c:pt>
                <c:pt idx="5">
                  <c:v>223.99999999999991</c:v>
                </c:pt>
                <c:pt idx="6">
                  <c:v>1.4692097049857165E+18</c:v>
                </c:pt>
                <c:pt idx="7">
                  <c:v>-316.00000000000011</c:v>
                </c:pt>
                <c:pt idx="8">
                  <c:v>-1.0000000000000882</c:v>
                </c:pt>
                <c:pt idx="9">
                  <c:v>403.99999999999977</c:v>
                </c:pt>
                <c:pt idx="10">
                  <c:v>1.4692097049857165E+18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6A-452A-AA2D-72DDF6126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928240"/>
        <c:axId val="540928568"/>
      </c:scatterChart>
      <c:valAx>
        <c:axId val="54092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28568"/>
        <c:crosses val="autoZero"/>
        <c:crossBetween val="midCat"/>
      </c:valAx>
      <c:valAx>
        <c:axId val="54092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2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x^3-17x+12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'205 HW2 1.4'!$A$2:$A$13</c:f>
              <c:numCache>
                <c:formatCode>General</c:formatCode>
                <c:ptCount val="12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xVal>
          <c:yVal>
            <c:numRef>
              <c:f>'205 HW2 1.4'!$B$2:$B$13</c:f>
              <c:numCache>
                <c:formatCode>General</c:formatCode>
                <c:ptCount val="12"/>
                <c:pt idx="0">
                  <c:v>-28</c:v>
                </c:pt>
                <c:pt idx="1">
                  <c:v>16</c:v>
                </c:pt>
                <c:pt idx="2">
                  <c:v>36</c:v>
                </c:pt>
                <c:pt idx="3">
                  <c:v>38</c:v>
                </c:pt>
                <c:pt idx="4">
                  <c:v>28</c:v>
                </c:pt>
                <c:pt idx="5">
                  <c:v>12</c:v>
                </c:pt>
                <c:pt idx="6">
                  <c:v>-4</c:v>
                </c:pt>
                <c:pt idx="7">
                  <c:v>-14</c:v>
                </c:pt>
                <c:pt idx="8">
                  <c:v>-12</c:v>
                </c:pt>
                <c:pt idx="9">
                  <c:v>8</c:v>
                </c:pt>
                <c:pt idx="10">
                  <c:v>52</c:v>
                </c:pt>
                <c:pt idx="11">
                  <c:v>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60-460C-8C1A-8B1EFA66E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803120"/>
        <c:axId val="532800168"/>
      </c:scatterChart>
      <c:valAx>
        <c:axId val="53280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800168"/>
        <c:crosses val="autoZero"/>
        <c:crossBetween val="midCat"/>
      </c:valAx>
      <c:valAx>
        <c:axId val="532800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80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'205 HW2 1.4'!$B$72</c:f>
              <c:strCache>
                <c:ptCount val="1"/>
                <c:pt idx="0">
                  <c:v>NRe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'205 HW2 1.4'!$A$73:$A$78</c:f>
              <c:numCache>
                <c:formatCode>General</c:formatCode>
                <c:ptCount val="6"/>
                <c:pt idx="0">
                  <c:v>3.8143115836963212E-2</c:v>
                </c:pt>
                <c:pt idx="1">
                  <c:v>3.1580858499758585E-2</c:v>
                </c:pt>
                <c:pt idx="2">
                  <c:v>2.8486355113238427E-2</c:v>
                </c:pt>
                <c:pt idx="3">
                  <c:v>2.6559102399515994E-2</c:v>
                </c:pt>
                <c:pt idx="4">
                  <c:v>2.5205453251693606E-2</c:v>
                </c:pt>
                <c:pt idx="5">
                  <c:v>2.4176290425661186E-2</c:v>
                </c:pt>
              </c:numCache>
            </c:numRef>
          </c:xVal>
          <c:yVal>
            <c:numRef>
              <c:f>'205 HW2 1.4'!$B$73:$B$78</c:f>
              <c:numCache>
                <c:formatCode>General</c:formatCode>
                <c:ptCount val="6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AC-413E-8FD2-0A6775A69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199624"/>
        <c:axId val="526760648"/>
      </c:scatterChart>
      <c:valAx>
        <c:axId val="675199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60648"/>
        <c:crosses val="autoZero"/>
        <c:crossBetween val="midCat"/>
      </c:valAx>
      <c:valAx>
        <c:axId val="526760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199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Bessel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'205 HW2 1.4'!$A$27:$A$30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'205 HW2 1.4'!$B$27:$B$30</c:f>
              <c:numCache>
                <c:formatCode>General</c:formatCode>
                <c:ptCount val="4"/>
                <c:pt idx="0">
                  <c:v>0.57672480789629377</c:v>
                </c:pt>
                <c:pt idx="1">
                  <c:v>0.33905895827253579</c:v>
                </c:pt>
                <c:pt idx="2">
                  <c:v>-6.6043327959084727E-2</c:v>
                </c:pt>
                <c:pt idx="3">
                  <c:v>-0.32757913856636323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66-42CC-BFD3-DF550FFAA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43840"/>
        <c:axId val="414944168"/>
      </c:scatterChart>
      <c:valAx>
        <c:axId val="41494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44168"/>
        <c:crosses val="autoZero"/>
        <c:crossBetween val="midCat"/>
      </c:valAx>
      <c:valAx>
        <c:axId val="41494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4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619200</xdr:colOff>
      <xdr:row>71</xdr:row>
      <xdr:rowOff>145035</xdr:rowOff>
    </xdr:from>
    <xdr:to>
      <xdr:col>5</xdr:col>
      <xdr:colOff>613500</xdr:colOff>
      <xdr:row>83</xdr:row>
      <xdr:rowOff>51255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D5C9AD75-1CF6-4DEC-A793-37013D69DA28}"/>
                </a:ext>
              </a:extLst>
            </xdr14:cNvPr>
            <xdr14:cNvContentPartPr/>
          </xdr14:nvContentPartPr>
          <xdr14:nvPr macro=""/>
          <xdr14:xfrm>
            <a:off x="619200" y="12994260"/>
            <a:ext cx="3232800" cy="207792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D5C9AD75-1CF6-4DEC-A793-37013D69DA2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01560" y="12976260"/>
              <a:ext cx="3268440" cy="2113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55488</xdr:colOff>
      <xdr:row>30</xdr:row>
      <xdr:rowOff>46528</xdr:rowOff>
    </xdr:from>
    <xdr:to>
      <xdr:col>11</xdr:col>
      <xdr:colOff>97701</xdr:colOff>
      <xdr:row>45</xdr:row>
      <xdr:rowOff>55010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5A9EBF-450B-4DA0-8946-DFDB8D9DB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450056</xdr:colOff>
      <xdr:row>2</xdr:row>
      <xdr:rowOff>69056</xdr:rowOff>
    </xdr:from>
    <xdr:to>
      <xdr:col>9</xdr:col>
      <xdr:colOff>488156</xdr:colOff>
      <xdr:row>17</xdr:row>
      <xdr:rowOff>97631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EAB144-8629-43E8-8062-61B458097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312546</xdr:colOff>
      <xdr:row>68</xdr:row>
      <xdr:rowOff>82194</xdr:rowOff>
    </xdr:from>
    <xdr:to>
      <xdr:col>10</xdr:col>
      <xdr:colOff>351741</xdr:colOff>
      <xdr:row>83</xdr:row>
      <xdr:rowOff>88543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3DA748-8CDE-42B9-AC5F-F69D6843E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426435</xdr:colOff>
      <xdr:row>22</xdr:row>
      <xdr:rowOff>35252</xdr:rowOff>
    </xdr:from>
    <xdr:to>
      <xdr:col>10</xdr:col>
      <xdr:colOff>476797</xdr:colOff>
      <xdr:row>37</xdr:row>
      <xdr:rowOff>68753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E7E16F-73D2-4C7D-97A4-0D8B4B1DA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0-01-27T16:54:43.53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122 392 4496 0 0,'0'0'99'0'0,"-5"10"254"0"0,6-3-131 0 0,-1-4-51 0 0,0 1 0 0 0,0-1-1 0 0,0 0 1 0 0,0 0 0 0 0,0 0-1 0 0,-1 0 1 0 0,0 0 0 0 0,1 0-1 0 0,-2 3-170 0 0,-3 13 895 0 0,2-11-630 0 0,1 0 0 0 0,-1 1 0 0 0,2 0 0 0 0,-1-1 0 0 0,1 1 0 0 0,0 0 0 0 0,1 0 0 0 0,1 9-264 0 0,-1-12 69 0 0,-1 10 228 0 0,-1-1 1 0 0,-2 12-299 0 0,2-11 358 0 0,0-1 0 0 0,0 13-358 0 0,1-16 208 0 0,-1 0 1 0 0,0-1-1 0 0,-1 1 0 0 0,-1-1 1 0 0,1 1-1 0 0,-6 8-208 0 0,5-8 197 0 0,1-3-152 0 0,1 0 0 0 0,0 0 0 0 0,1 0 0 0 0,0 0 0 0 0,0 0 0 0 0,1 3-45 0 0,-4 33 71 0 0,1-26-56 0 0,1 0 0 0 0,1 0 0 0 0,0 0 0 0 0,1 0 0 0 0,3 10-15 0 0,3 71 181 0 0,-3 39-181 0 0,-2-85 78 0 0,4 2-78 0 0,-1-3 61 0 0,-2 2-61 0 0,-1 34 36 0 0,3 0 0 0 0,12 59-36 0 0,-11-108 51 0 0,-1 12-51 0 0,4 33 13 0 0,4 36-13 0 0,-4-25 0 0 0,-2-27 52 0 0,-3 4-52 0 0,4 60 12 0 0,15 135-261 0 0,-20-230 210 0 0,-1 7 41 0 0,-2 0 1 0 0,-3 0 0 0 0,-1 0-1 0 0,-6 20-2 0 0,4-16 32 0 0,1 32-32 0 0,3-30-42 0 0,1-1 42 0 0,3 23 0 0 0,1-6 0 0 0,2 110 64 0 0,-2-127-64 0 0,0-29 0 0 0,-1-1 0 0 0,-2 1 0 0 0,0-1 0 0 0,-3 44 0 0 0,3-33 0 0 0,-1-1 0 0 0,-3 4 0 0 0,2-13 0 0 0,1 1 0 0 0,0-1 0 0 0,2 1 0 0 0,0-1 0 0 0,3 8 0 0 0,-1-9 16 0 0,-1 0 0 0 0,0 0 0 0 0,-2 0 0 0 0,-1 9-16 0 0,1-11 13 0 0,0 0 1 0 0,1 0 0 0 0,1 0-1 0 0,1 0-13 0 0,0 36 26 0 0,3 78-26 0 0,-5-88-15 0 0,1-5-11 0 0,-2-1 0 0 0,-3 14 26 0 0,0 15 67 0 0,3 27-67 0 0,0-77 0 0 0,0 0 0 0 0,2 0 0 0 0,1 10 0 0 0,1 28 0 0 0,0 35 0 0 0,0-36 0 0 0,-5 47 0 0 0,-4-25 680 0 0,-3 0 0 0 0,-4-1 1 0 0,-4 5-681 0 0,8-24 446 0 0,6-37-243 0 0,0 0 0 0 0,-2 3-203 0 0,-6 22 227 0 0,8-27-190 0 0,-1-1 0 0 0,0 0 0 0 0,-5 9-37 0 0,6-16 0 0 0,0 1 0 0 0,1-1 0 0 0,0 1 0 0 0,1 0 0 0 0,-1 1 0 0 0,0 10 0 0 0,0-6 1 0 0,-1 7-23 0 0,-1 0-295 0 0,4-15 96 0 0</inkml:trace>
  <inkml:trace contextRef="#ctx0" brushRef="#br0" timeOffset="2157.755">162 3020 4864 0 0,'17'14'4170'0'0,"-11"-9"-3965"0"0,1-1-1 0 0,-1 0 0 0 0,1 0 1 0 0,1 0-1 0 0,-1-1 1 0 0,0 0-1 0 0,1-1 0 0 0,-1 1 1 0 0,1-2-1 0 0,0 1 0 0 0,0-1 1 0 0,-1 0-1 0 0,1 0 0 0 0,0-1 1 0 0,0 0-1 0 0,0-1 1 0 0,0 0-1 0 0,6-1-204 0 0,-5 1 190 0 0,0 0 0 0 0,1 0 0 0 0,6 1-190 0 0,-8 0-9 0 0,0 0 1 0 0,-1 0-1 0 0,1-1 0 0 0,-1 0 1 0 0,8-2 8 0 0,11-4 125 0 0,5-2 218 0 0,-1-1 0 0 0,0-1 0 0 0,-1-1 0 0 0,21-12-343 0 0,101-68 887 0 0,-118 72-860 0 0,1 2 1 0 0,0 2-1 0 0,4 0-27 0 0,-34 15 11 0 0,59-20 8 0 0,-36 14-238 0 0,-8 2 252 0 0,0 0-1 0 0,0 1 0 0 0,12 0-32 0 0,85-7 98 0 0,17 2-192 0 0,-76 8 88 0 0,0 2-1 0 0,0 2 0 0 0,0 3 1 0 0,0 3-1 0 0,47 13 7 0 0,44 7 1067 0 0,-28-6-764 0 0,-82-15-161 0 0,0-2 0 0 0,36 2-142 0 0,-32-4 535 0 0,32 7-535 0 0,-26-2 833 0 0,9-3-833 0 0,-32-3 289 0 0,23 6-289 0 0,8 1 91 0 0,-18-5 56 0 0,89 11 118 0 0,124 0-265 0 0,-56-24 182 0 0,-8 1-232 0 0,11 14 49 0 0,-58-2 302 0 0,92 16-653 0 0,-62-2 1531 0 0,-107-12-1008 0 0,1-1 1 0 0,23-4-172 0 0,113-10 398 0 0,-164 7-358 0 0,0 2 0 0 0,28 4-40 0 0,5 0 0 0 0,-30-3 0 0 0,163 5 0 0 0,-103-10 30 0 0,-39 0 68 0 0,32 4-98 0 0,12 5-62 0 0,94-8 62 0 0,-24-17 254 0 0,-111 15-8 0 0,53-3-626 0 0,-47 8 802 0 0,-24 1-553 0 0,0-2 1 0 0,0-2-1 0 0,0-3 1 0 0,8-2 130 0 0,156-29 682 0 0,-39 19-662 0 0,-112 13 287 0 0,61 1 654 0 0,-68 0-1337 0 0,-1 2 0 0 0,1 2 0 0 0,45 8 376 0 0,-38-1 0 0 0,17-2 0 0 0,-38-6 31 0 0,36-4-31 0 0,-22 1 63 0 0,101-7 475 0 0,-109 7-193 0 0,33 4-345 0 0,-20 0 175 0 0,-20 0 5 0 0,8 3-180 0 0,-8 0 66 0 0,9-2-66 0 0,92 5 170 0 0,15-3-170 0 0,54 3 118 0 0,-184-6-74 0 0,20 4-44 0 0,-20-2-75 0 0,20-1 75 0 0,13 7-471 0 0,-47-9 471 0 0</inkml:trace>
  <inkml:trace contextRef="#ctx0" brushRef="#br0" timeOffset="2987.853">2477 2664 8712 0 0,'0'0'185'0'0,"0"0"114"0"0,0 0 327 0 0,0 2 140 0 0,-4 208 739 0 0,4 153 1146 0 0,3-319-2981 0 0,2-1 1 0 0,7 25 329 0 0,-7-39-397 0 0</inkml:trace>
  <inkml:trace contextRef="#ctx0" brushRef="#br0" timeOffset="3805.285">2353 4141 8752 0 0,'0'0'190'0'0,"-1"-8"28"0"0,-8-26 2434 0 0,-7-12-2652 0 0,12 34 581 0 0,-1 1 1 0 0,-1 0-1 0 0,0 0 1 0 0,0 1 0 0 0,-7-9-582 0 0,5 10 528 0 0,-1 0 0 0 0,0 0 0 0 0,0 1-1 0 0,-1 0 1 0 0,-7-3-528 0 0,16 10-2 0 0,-1 0 0 0 0,1 0-1 0 0,-1 0 1 0 0,1 1-1 0 0,-1-1 1 0 0,1 1-1 0 0,-1-1 1 0 0,1 1-1 0 0,-1 0 1 0 0,1-1-1 0 0,-1 1 1 0 0,0 0-1 0 0,1 0 1 0 0,-1 0-1 0 0,0 0 1 0 0,1 1-1 0 0,-1-1 1 0 0,1 0-1 0 0,-1 1 1 0 0,1-1-1 0 0,-1 1 1 0 0,1-1-1 0 0,-1 1 1 0 0,1 0-1 0 0,-1-1 1 0 0,1 1-1 0 0,0 0 1 0 0,-1 0-1 0 0,1 0 1 0 0,0 0 0 0 0,0 0-1 0 0,-1 1 3 0 0,-2 2-16 0 0,1 0 0 0 0,-1 0 0 0 0,1 1 0 0 0,0-1 0 0 0,0 1 0 0 0,0 0 0 0 0,1 0-1 0 0,-2 4 17 0 0,-6 24-118 0 0,1 0 0 0 0,2 0-1 0 0,1 1 1 0 0,0 20 118 0 0,4-28-180 0 0,1 1-1 0 0,0 0 1 0 0,2-1 0 0 0,2 1-1 0 0,0-1 1 0 0,1 1 0 0 0,2-1 180 0 0,-5-23 0 0 0,0 0 0 0 0,0 0 0 0 0,0 0 0 0 0,0 0 0 0 0,1 0 0 0 0,0 0 0 0 0,1 1 0 0 0,-3-3 0 0 0,0-1 0 0 0,0 1 0 0 0,1-1 0 0 0,-1 1 0 0 0,0-1 0 0 0,0 1 0 0 0,1-1 0 0 0,-1 0 0 0 0,0 1 0 0 0,1-1 0 0 0,-1 0 0 0 0,0 1 0 0 0,1-1 0 0 0,-1 0 0 0 0,0 1 0 0 0,1-1 0 0 0,-1 0 0 0 0,1 0 0 0 0,-1 0 0 0 0,1 1 0 0 0,-1-1 0 0 0,0 0 0 0 0,1 0 0 0 0,-1 0 0 0 0,1 0 0 0 0,-1 0 0 0 0,1 0 0 0 0,-1 0 0 0 0,1 0 0 0 0,-1 0 0 0 0,1 0 0 0 0,-1 0 0 0 0,1 0 0 0 0,-1 0 0 0 0,1 0 0 0 0,-1 0 0 0 0,1 0 0 0 0,-1-1 0 0 0,1 1 0 0 0,-1 0 0 0 0,0 0 0 0 0,1-1 0 0 0,-1 1 0 0 0,1 0 0 0 0,-1 0 0 0 0,0-1 0 0 0,1 1 0 0 0,-1-1 0 0 0,0 1 0 0 0,1 0 0 0 0,-1-1 0 0 0,0 1 0 0 0,1-1 0 0 0,0-1 0 0 0,4-3 3 0 0,0-1 0 0 0,0-1 0 0 0,-1 1 0 0 0,1-1 1 0 0,-1 0-1 0 0,-1 0 0 0 0,0 0 0 0 0,0 0 0 0 0,2-7-3 0 0,2-3 54 0 0,-1-1 107 0 0,-1 0 0 0 0,3-12-161 0 0,-4 11 87 0 0,2-1 0 0 0,2-4-87 0 0,1-7 49 0 0,-7 22-3 0 0,1 0 0 0 0,0 1-1 0 0,0-1 1 0 0,2-1-46 0 0,-2 5 70 0 0,-2 4-6 0 0,3 12 63 0 0,26 82 67 0 0,-10-31-142 0 0,-17-53-78 0 0,1 1 0 0 0,0-1 0 0 0,1 0 0 0 0,-1-1 0 0 0,2 1 0 0 0,0-1 0 0 0,0 0 0 0 0,0 0 0 0 0,1-1 0 0 0,0 0 0 0 0,0 0 0 0 0,1 0 0 0 0,0-1 0 0 0,0 0 0 0 0,0-1 0 0 0,6 3 26 0 0,11 1-285 0 0</inkml:trace>
  <inkml:trace contextRef="#ctx0" brushRef="#br0" timeOffset="4667.181">7694 2623 8896 0 0,'0'0'192'0'0,"0"0"97"0"0,-4 4 975 0 0,2-1-1075 0 0,1 1 0 0 0,-1-1-1 0 0,0 0 1 0 0,1 1 0 0 0,0-1 0 0 0,0 1 0 0 0,0-1-1 0 0,0 1 1 0 0,1-1 0 0 0,-1 3-189 0 0,-1 40 446 0 0,1-21-193 0 0,-5 93-275 0 0,5 1 0 0 0,12 83 22 0 0,-7-157-72 0 0</inkml:trace>
  <inkml:trace contextRef="#ctx0" brushRef="#br0" timeOffset="5328.834">7661 3857 9200 0 0,'-4'-135'2977'0'0,"4"134"-2126"0"0,0 1-218 0 0,0 0-97 0 0,0 0-21 0 0,0 2-71 0 0,-2 52-294 0 0,0-20-128 0 0,2 14-22 0 0,25 376-1384 0 0,-23-365 64 0 0,-4 15 1320 0 0,1-23-542 0 0,1-25 205 0 0,-1 1 1 0 0,-2 3 336 0 0,3-29 25 0 0,0 0-1 0 0,0 0 1 0 0,0 0 0 0 0,-1 0 0 0 0,1 0-1 0 0,0 0 1 0 0,0 0 0 0 0,-1 0 0 0 0,1 0-1 0 0,0 0 1 0 0,-1 0 0 0 0,1-1-1 0 0,-1 1 1 0 0,0 0 0 0 0,1 0 0 0 0,-1 0-25 0 0,0-1 30 0 0,1 0 1 0 0,0 0 0 0 0,0 0 0 0 0,-1 0-1 0 0,1 0 1 0 0,0 0 0 0 0,-1 0-1 0 0,1 0 1 0 0,0 0 0 0 0,0 0 0 0 0,-1 0-1 0 0,1 0 1 0 0,0 0 0 0 0,-1 0-1 0 0,1 0 1 0 0,0 0 0 0 0,0 0 0 0 0,-1-1-1 0 0,1 1 1 0 0,0 0 0 0 0,0 0-1 0 0,-1 0 1 0 0,1 0 0 0 0,0-1 0 0 0,0 1-1 0 0,0 0 1 0 0,-1 0 0 0 0,1-1 0 0 0,0 1-1 0 0,0 0 1 0 0,0 0 0 0 0,0-1-31 0 0,-2-1 93 0 0,1 0 1 0 0,0 0-1 0 0,0-1 1 0 0,0 1-1 0 0,0 0 0 0 0,0-1 1 0 0,0 1-1 0 0,1-1 1 0 0,-1 1-1 0 0,1-3-93 0 0,1-7 221 0 0,0 0 0 0 0,1 0 0 0 0,1 1 0 0 0,0-1 0 0 0,0 1 0 0 0,1-1 0 0 0,1 1 0 0 0,0 0-1 0 0,0 1 1 0 0,1-1 0 0 0,0 1 0 0 0,1 0 0 0 0,1 1 0 0 0,-1-1 0 0 0,1 1 0 0 0,3-2-221 0 0,-7 8 2 0 0,-1 0 1 0 0,1 1-1 0 0,-1-1 0 0 0,1 1 1 0 0,0-1-1 0 0,0 1 0 0 0,0 0 1 0 0,0 1-1 0 0,1-1 1 0 0,-1 1-1 0 0,0-1 0 0 0,1 1 1 0 0,-1 1-1 0 0,1-1 0 0 0,-1 1 1 0 0,1-1-1 0 0,-1 1 1 0 0,4 1-3 0 0,-4-1 0 0 0,-1 1 1 0 0,1 0-1 0 0,-1 0 0 0 0,1 0 1 0 0,-1 0-1 0 0,1 0 1 0 0,-1 1-1 0 0,0-1 1 0 0,0 1-1 0 0,0 0 1 0 0,0 0-1 0 0,0 0 1 0 0,0 1-1 0 0,-1-1 0 0 0,1 0 1 0 0,-1 1-1 0 0,1 0 1 0 0,-1 0-1 0 0,0 0 1 0 0,0 0-1 0 0,0 0 1 0 0,0 0-1 0 0,0 3 0 0 0,2 4 12 0 0,0 0-1 0 0,-1-1 0 0 0,0 2 1 0 0,-1-1-1 0 0,0 0 0 0 0,-1 0 1 0 0,0 4-12 0 0,0-8-1 0 0,-1 1 1 0 0,-1-1-1 0 0,1 1 1 0 0,-1-1-1 0 0,0 0 1 0 0,-1 0-1 0 0,0 0 1 0 0,1 1-1 0 0,-2-1 1 0 0,1-1-1 0 0,-1 1 0 0 0,-2 4 1 0 0,-7 7-11 0 0,1-1 0 0 0,-2-1-1 0 0,0 0 1 0 0,-1 0-1 0 0,-9 6 12 0 0,-15 11-255 0 0,-28 16 255 0 0,31-25-444 0 0,-2-2-1 0 0,-14 5 445 0 0,34-18-382 0 0</inkml:trace>
  <inkml:trace contextRef="#ctx0" brushRef="#br0" timeOffset="7772.594">2457 5554 5376 0 0,'14'21'325'0'0,"-10"-16"-123"0"0,0 1-1 0 0,-1-1 1 0 0,2 1 0 0 0,-1-1 0 0 0,0 0-1 0 0,1-1 1 0 0,0 1 0 0 0,0-1 0 0 0,1 0-1 0 0,0 0-201 0 0,5 7 1413 0 0,-5-3 957 0 0,-6-8-2300 0 0,1 1 0 0 0,0-1-1 0 0,0 1 1 0 0,0-1 0 0 0,0 0 0 0 0,0 1 0 0 0,0-1 0 0 0,0 0-1 0 0,0 0 1 0 0,0 0 0 0 0,0 0 0 0 0,0 0 0 0 0,0 0-1 0 0,0 0 1 0 0,0 0-70 0 0,10 1 306 0 0,31 9 117 0 0,-37-9-422 0 0,1 0 1 0 0,-1-1-1 0 0,1 1 1 0 0,-1-1-1 0 0,1 0 1 0 0,0-1-1 0 0,1 0-1 0 0,11 0 1 0 0,0 0-1 0 0,0-1 0 0 0,0 0 0 0 0,-1-2 0 0 0,8-2 0 0 0,19-4 0 0 0,-23 5 187 0 0,0 0 0 0 0,2-3-187 0 0,21-5 307 0 0,0-1-275 0 0,18-8-32 0 0,4-3-443 0 0,-29 11 678 0 0,-1-2 0 0 0,24-15-235 0 0,-14 8-262 0 0,39-23-21 0 0,-22 13 952 0 0,37-14-669 0 0,-9 8-133 0 0,-18 8-526 0 0,57-16 659 0 0,-39 16 709 0 0,-1-5-709 0 0,0 1 212 0 0,3 4-212 0 0,28-11 15 0 0,-1-5 1 0 0,-2-5 0 0 0,64-41-16 0 0,-47 22 428 0 0,114-64-54 0 0,29-12-227 0 0,-214 114-152 0 0,-46 24 5 0 0,63-32 0 0 0,12-13 0 0 0,-53 29-3 0 0,101-64 70 0 0,48-46-67 0 0,-48 25 0 0 0,-94 70-20 0 0,122-108 480 0 0,21-46-819 0 0,-108 114 329 0 0,-8 9 67 0 0,203-247 1439 0 0,-127 139-1081 0 0,-26 24-300 0 0,-12 13-102 0 0,53-68 7 0 0,-42 61 0 0 0,-35 30-2 0 0,-27 35 34 0 0,-24 36 108 0 0,79-101 437 0 0,-7 8-417 0 0,-41 51 422 0 0,16-34-582 0 0,-55 82 117 0 0,128-220 523 0 0,-65 84-501 0 0,-26 47-88 0 0,6-19 35 0 0,-25 51-514 0 0,-33 67-1195 0 0,9-29 1623 0 0,-18 43-607 0 0</inkml:trace>
  <inkml:trace contextRef="#ctx0" brushRef="#br0" timeOffset="9851.97">2638 5250 4640 0 0,'0'0'96'0'0,"0"0"32"0"0,4-3-128 0 0,9-5 0 0 0,-5 1 0 0 0,0-5 0 0 0,1 1 608 0 0,3-3 96 0 0,5-5 16 0 0,-5 1 8 0 0,9 0-440 0 0,-1-4-80 0 0,1-1-16 0 0</inkml:trace>
  <inkml:trace contextRef="#ctx0" brushRef="#br0" timeOffset="10449.86">3263 4596 4864 0 0,'4'-18'200'0'0,"0"3"-200"0"0,4 1 448 0 0,1-2 56 0 0,-1 2 8 0 0,5-1 0 0 0,3-7-64 0 0,1 0-16 0 0,7 1 0 0 0,1-10 0 0 0,4 2-320 0 0,0 0-112 0 0,4-5 72 0 0,-1 2-72 0 0,6 2-328 0 0,-1 5-112 0 0</inkml:trace>
  <inkml:trace contextRef="#ctx0" brushRef="#br0" timeOffset="10791.288">4391 3402 5880 0 0,'-6'7'157'0'0,"4"-6"-131"0"0,0 1 1 0 0,0 0-1 0 0,0 0 0 0 0,1 0 1 0 0,-1 0-1 0 0,1 1 0 0 0,-1-1 1 0 0,1 0-27 0 0,9-7-238 0 0,26-19-471 0 0,45-38 1977 0 0,56-42 711 0 0,-72 59-1142 0 0,-2-4 0 0 0,2-6-837 0 0,177-174-193 0 0,-207 196-164 0 0</inkml:trace>
  <inkml:trace contextRef="#ctx0" brushRef="#br0" timeOffset="11171.097">5846 1925 5104 0 0,'37'-40'216'0'0,"1"0"-216"0"0,-1-5 0 0 0,0-2 0 0 0</inkml:trace>
  <inkml:trace contextRef="#ctx0" brushRef="#br0" timeOffset="11560.158">7070 1079 7936 0 0,'4'-7'224'0'0,"0"-4"56"0"0,5 0-280 0 0,3-3 0 0 0,1-1 0 0 0,3 0 0 0 0,0-3 216 0 0,4 0-16 0 0,5-1 0 0 0,1-3 0 0 0,3 4-200 0 0,-4-8-160 0 0,3 3 24 0 0</inkml:trace>
  <inkml:trace contextRef="#ctx0" brushRef="#br0" timeOffset="11991.586">8185 558 5800 0 0,'13'-11'120'0'0,"4"-3"32"0"0,4-6-152 0 0,4 2 0 0 0,4-4 0 0 0,3-3 0 0 0,10-4 488 0 0,8-5 72 0 0,-2-2 16 0 0,11-8 0 0 0,-1 3-392 0 0,3-3-80 0 0,6-1-8 0 0,-2-6-8 0 0,6 10 136 0 0,-5-2 32 0 0,5 3 8 0 0</inkml:trace>
  <inkml:trace contextRef="#ctx0" brushRef="#br0" timeOffset="14642.104">5499 2751 8104 0 0,'0'0'170'0'0,"0"2"6"0"0,-1-2-124 0 0,0 1-1 0 0,1 0 0 0 0,-1 0 1 0 0,1 0-1 0 0,0 0 0 0 0,-1 0 0 0 0,1 0 1 0 0,0 0-1 0 0,-1 0 0 0 0,1 0 1 0 0,0 0-1 0 0,0 0 0 0 0,0 0 0 0 0,0 0 1 0 0,0 0-1 0 0,0 1 0 0 0,0-1 1 0 0,0 0-1 0 0,1 1-51 0 0,-1 2 272 0 0,0 8 1129 0 0,-1 1 1 0 0,-3 10-1402 0 0,0 2 1117 0 0,2-11-756 0 0,-1-1-1 0 0,-1 0 1 0 0,0 1 0 0 0,-1 0-361 0 0,-1 3 269 0 0,0 0 0 0 0,0 7-269 0 0,-2 14 194 0 0,1-6-376 0 0,1-1 0 0 0,2 1 0 0 0,-1 24 182 0 0,1-5-3404 0 0,4-42-1030 0 0</inkml:trace>
  <inkml:trace contextRef="#ctx0" brushRef="#br0" timeOffset="15338.472">5420 3608 8288 0 0,'0'0'190'0'0,"0"0"28"0"0,0 0 7 0 0,-1 0-33 0 0,-5 0-69 0 0,-8 11 1417 0 0,10-7-1289 0 0,-1 0 1 0 0,1 1 0 0 0,0-1-1 0 0,0 1 1 0 0,1 0-1 0 0,-1 0 1 0 0,1 0 0 0 0,0 1-1 0 0,1-1 1 0 0,-1 1 0 0 0,1-1-252 0 0,-14 27 461 0 0,-3 3-75 0 0,2 2 1 0 0,1 0-1 0 0,2 0 1 0 0,-7 30-387 0 0,6-19 222 0 0,5-18 101 0 0,-5 29-323 0 0,13-50 53 0 0,1-1 0 0 0,0 1 1 0 0,0-1-1 0 0,1 1 0 0 0,0 0 1 0 0,0-1-1 0 0,1 1 0 0 0,0-1 0 0 0,2 5-53 0 0,-2-10 39 0 0,0 0-1 0 0,0 0 0 0 0,0 0 0 0 0,1 1 0 0 0,-1-2 0 0 0,1 1 0 0 0,0 0 0 0 0,-1 0 0 0 0,1 0 0 0 0,1-1 0 0 0,-1 1 0 0 0,0-1 0 0 0,1 0 0 0 0,-1 0 0 0 0,1 0 0 0 0,0 0 0 0 0,-1 0 0 0 0,1 0 1 0 0,0-1-1 0 0,1 1-38 0 0,0 0 73 0 0,1-1 0 0 0,-1 0 0 0 0,1 0 0 0 0,-1 0 0 0 0,1 0 0 0 0,0-1 1 0 0,-1 0-1 0 0,1 0 0 0 0,0 0 0 0 0,-1 0 0 0 0,1-1 0 0 0,0 0 0 0 0,3-1-73 0 0,12-4 299 0 0,0 0 0 0 0,0-2 0 0 0,-1-1 0 0 0,0 0 0 0 0,9-7-299 0 0,29-21-2340 0 0,2-4 2340 0 0,-30 20-2630 0 0,38-26-3718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7E7E-B8C5-454A-AC7E-04547B87AC3A}">
  <dimension ref="A2:J129"/>
  <sheetViews>
    <sheetView topLeftCell="A100" zoomScale="89" zoomScaleNormal="85" workbookViewId="0">
      <selection activeCell="B113" sqref="B113"/>
    </sheetView>
  </sheetViews>
  <sheetFormatPr defaultRowHeight="14.25" x14ac:dyDescent="0.45"/>
  <cols>
    <col min="6" max="6" width="18.33203125" customWidth="1"/>
  </cols>
  <sheetData>
    <row r="2" spans="1:10" x14ac:dyDescent="0.45">
      <c r="A2" t="s">
        <v>0</v>
      </c>
      <c r="C2" t="s">
        <v>1</v>
      </c>
    </row>
    <row r="4" spans="1:10" x14ac:dyDescent="0.45">
      <c r="A4" t="s">
        <v>2</v>
      </c>
      <c r="D4" t="s">
        <v>4</v>
      </c>
    </row>
    <row r="5" spans="1:10" x14ac:dyDescent="0.45">
      <c r="A5" t="s">
        <v>3</v>
      </c>
      <c r="D5" t="s">
        <v>5</v>
      </c>
    </row>
    <row r="7" spans="1:10" x14ac:dyDescent="0.45">
      <c r="A7" t="s">
        <v>6</v>
      </c>
    </row>
    <row r="9" spans="1:10" x14ac:dyDescent="0.45">
      <c r="A9" t="s">
        <v>7</v>
      </c>
    </row>
    <row r="10" spans="1:10" x14ac:dyDescent="0.45">
      <c r="A10" t="s">
        <v>8</v>
      </c>
    </row>
    <row r="12" spans="1:10" x14ac:dyDescent="0.45">
      <c r="A12" t="s">
        <v>9</v>
      </c>
    </row>
    <row r="15" spans="1:10" x14ac:dyDescent="0.45">
      <c r="A15" t="s">
        <v>12</v>
      </c>
      <c r="E15" t="s">
        <v>19</v>
      </c>
      <c r="F15" t="s">
        <v>20</v>
      </c>
      <c r="G15" t="s">
        <v>21</v>
      </c>
      <c r="I15" s="1" t="s">
        <v>19</v>
      </c>
      <c r="J15" s="1" t="s">
        <v>20</v>
      </c>
    </row>
    <row r="16" spans="1:10" x14ac:dyDescent="0.45">
      <c r="A16" t="s">
        <v>10</v>
      </c>
      <c r="C16">
        <f>0.08206</f>
        <v>8.2059999999999994E-2</v>
      </c>
      <c r="E16">
        <v>0</v>
      </c>
      <c r="F16" t="e">
        <f>ar*T/(P+(a/E16^2))+b</f>
        <v>#DIV/0!</v>
      </c>
      <c r="G16" t="e">
        <f>(P+(a/E16^2))*(E16-b)-ar*T</f>
        <v>#DIV/0!</v>
      </c>
      <c r="I16" s="2">
        <v>4</v>
      </c>
      <c r="J16" s="2">
        <f>ar*T/(P+(a/I16^2))+b</f>
        <v>4.2189939234525502</v>
      </c>
    </row>
    <row r="17" spans="1:10" x14ac:dyDescent="0.45">
      <c r="A17" t="s">
        <v>11</v>
      </c>
      <c r="C17">
        <f>10</f>
        <v>10</v>
      </c>
      <c r="E17">
        <v>0.1</v>
      </c>
      <c r="F17">
        <f>ar*T/(P+(a/E17^2))+b</f>
        <v>0.13693356385431074</v>
      </c>
      <c r="G17">
        <f>(P+(a/E17^2))*(E17-b)-ar*T</f>
        <v>-16.021779999999993</v>
      </c>
      <c r="I17" s="2">
        <f>J16</f>
        <v>4.2189939234525502</v>
      </c>
      <c r="J17" s="2">
        <f>ar*T/(P+(a/I17^2))+b</f>
        <v>4.2299318358471476</v>
      </c>
    </row>
    <row r="18" spans="1:10" x14ac:dyDescent="0.45">
      <c r="A18" t="s">
        <v>13</v>
      </c>
      <c r="C18">
        <f>523</f>
        <v>523</v>
      </c>
      <c r="E18">
        <v>0.2</v>
      </c>
      <c r="F18">
        <f>ar*T/(P+(a/E18^2))+b</f>
        <v>0.40813695558430352</v>
      </c>
      <c r="G18">
        <f>(P+(a/E18^2))*(E18-b)-ar*T</f>
        <v>-24.133479999999995</v>
      </c>
      <c r="I18" s="2">
        <f>J17</f>
        <v>4.2299318358471476</v>
      </c>
      <c r="J18" s="2">
        <f>ar*T/(P+(a/I18^2))+b</f>
        <v>4.2304354057204714</v>
      </c>
    </row>
    <row r="19" spans="1:10" x14ac:dyDescent="0.45">
      <c r="A19" t="s">
        <v>14</v>
      </c>
      <c r="E19">
        <v>0.3</v>
      </c>
      <c r="F19">
        <f>ar*T/(P+(a/E19^2))+b</f>
        <v>0.78976414947450357</v>
      </c>
      <c r="G19">
        <f>(P+(a/E19^2))*(E19-b)-ar*T</f>
        <v>-27.960091111111105</v>
      </c>
      <c r="I19" s="2">
        <f>J18</f>
        <v>4.2304354057204714</v>
      </c>
      <c r="J19" s="2">
        <f>ar*T/(P+(a/I19^2))+b</f>
        <v>4.2304584984348388</v>
      </c>
    </row>
    <row r="20" spans="1:10" x14ac:dyDescent="0.45">
      <c r="A20" t="s">
        <v>15</v>
      </c>
      <c r="E20">
        <v>0.4</v>
      </c>
      <c r="F20">
        <f>ar*T/(P+(a/E20^2))+b</f>
        <v>1.2142214457005824</v>
      </c>
      <c r="G20">
        <f>(P+(a/E20^2))*(E20-b)-ar*T</f>
        <v>-29.708904999999994</v>
      </c>
      <c r="I20" s="2">
        <f>J19</f>
        <v>4.2304584984348388</v>
      </c>
      <c r="J20" s="2">
        <f>ar*T/(P+(a/I20^2))+b</f>
        <v>4.2304595572292101</v>
      </c>
    </row>
    <row r="21" spans="1:10" x14ac:dyDescent="0.45">
      <c r="A21" t="s">
        <v>16</v>
      </c>
      <c r="C21">
        <f>4.238</f>
        <v>4.2380000000000004</v>
      </c>
      <c r="E21">
        <v>0.5</v>
      </c>
      <c r="F21">
        <f>ar*T/(P+(a/E21^2))+b</f>
        <v>1.6303634609676458</v>
      </c>
      <c r="G21">
        <f>(P+(a/E21^2))*(E21-b)-ar*T</f>
        <v>-30.465555999999992</v>
      </c>
      <c r="I21" s="2">
        <f>J20</f>
        <v>4.2304595572292101</v>
      </c>
      <c r="J21" s="2">
        <f>ar*T/(P+(a/I21^2))+b</f>
        <v>4.230459605774227</v>
      </c>
    </row>
    <row r="22" spans="1:10" x14ac:dyDescent="0.45">
      <c r="A22" t="s">
        <v>17</v>
      </c>
      <c r="C22">
        <f>0.038</f>
        <v>3.7999999999999999E-2</v>
      </c>
      <c r="E22">
        <v>0.6</v>
      </c>
      <c r="F22">
        <f>ar*T/(P+(a/E22^2))+b</f>
        <v>2.0091988772646077</v>
      </c>
      <c r="G22">
        <f>(P+(a/E22^2))*(E22-b)-ar*T</f>
        <v>-30.681391111111104</v>
      </c>
      <c r="I22" s="2">
        <f>J21</f>
        <v>4.230459605774227</v>
      </c>
      <c r="J22" s="2">
        <f>ar*T/(P+(a/I22^2))+b</f>
        <v>4.2304596079999826</v>
      </c>
    </row>
    <row r="23" spans="1:10" x14ac:dyDescent="0.45">
      <c r="E23">
        <v>0.7</v>
      </c>
      <c r="F23">
        <f>ar*T/(P+(a/E23^2))+b</f>
        <v>2.3393259137666882</v>
      </c>
      <c r="G23">
        <f>(P+(a/E23^2))*(E23-b)-ar*T</f>
        <v>-30.571755510204078</v>
      </c>
      <c r="I23" s="2">
        <f>J22</f>
        <v>4.2304596079999826</v>
      </c>
      <c r="J23" s="2">
        <f>ar*T/(P+(a/I23^2))+b</f>
        <v>4.2304596081020316</v>
      </c>
    </row>
    <row r="24" spans="1:10" x14ac:dyDescent="0.45">
      <c r="A24" t="s">
        <v>18</v>
      </c>
      <c r="E24">
        <v>0.8</v>
      </c>
      <c r="F24">
        <f>ar*T/(P+(a/E24^2))+b</f>
        <v>2.619981876292536</v>
      </c>
      <c r="G24">
        <f>(P+(a/E24^2))*(E24-b)-ar*T</f>
        <v>-30.251511249999993</v>
      </c>
      <c r="J24" s="2"/>
    </row>
    <row r="25" spans="1:10" x14ac:dyDescent="0.45">
      <c r="E25">
        <v>0.9</v>
      </c>
      <c r="F25">
        <f>ar*T/(P+(a/E25^2))+b</f>
        <v>2.8555618252553083</v>
      </c>
      <c r="G25">
        <f>(P+(a/E25^2))*(E25-b)-ar*T</f>
        <v>-29.787310864197526</v>
      </c>
    </row>
    <row r="26" spans="1:10" x14ac:dyDescent="0.45">
      <c r="E26">
        <v>1</v>
      </c>
      <c r="F26">
        <f>ar*T/(P+(a/E26^2))+b</f>
        <v>3.0522843095940435</v>
      </c>
      <c r="G26">
        <f>(P+(a/E26^2))*(E26-b)-ar*T</f>
        <v>-29.220423999999994</v>
      </c>
    </row>
    <row r="27" spans="1:10" x14ac:dyDescent="0.45">
      <c r="E27">
        <v>1.1000000000000001</v>
      </c>
      <c r="F27">
        <f>ar*T/(P+(a/E27^2))+b</f>
        <v>3.2164814420369687</v>
      </c>
      <c r="G27">
        <f>(P+(a/E27^2))*(E27-b)-ar*T</f>
        <v>-28.577746942148757</v>
      </c>
    </row>
    <row r="28" spans="1:10" x14ac:dyDescent="0.45">
      <c r="E28">
        <v>1.2</v>
      </c>
      <c r="F28">
        <f>ar*T/(P+(a/E28^2))+b</f>
        <v>3.3538615302071029</v>
      </c>
      <c r="G28">
        <f>(P+(a/E28^2))*(E28-b)-ar*T</f>
        <v>-27.87754944444444</v>
      </c>
    </row>
    <row r="29" spans="1:10" x14ac:dyDescent="0.45">
      <c r="E29">
        <v>1.3</v>
      </c>
      <c r="F29">
        <f>ar*T/(P+(a/E29^2))+b</f>
        <v>3.4692788437884374</v>
      </c>
      <c r="G29">
        <f>(P+(a/E29^2))*(E29-b)-ar*T</f>
        <v>-27.132672307692303</v>
      </c>
    </row>
    <row r="30" spans="1:10" x14ac:dyDescent="0.45">
      <c r="E30">
        <v>1.4</v>
      </c>
      <c r="F30">
        <f>ar*T/(P+(a/E30^2))+b</f>
        <v>3.5667383505327623</v>
      </c>
      <c r="G30">
        <f>(P+(a/E30^2))*(E30-b)-ar*T</f>
        <v>-26.352402448979589</v>
      </c>
    </row>
    <row r="31" spans="1:10" x14ac:dyDescent="0.45">
      <c r="E31">
        <v>1.5</v>
      </c>
      <c r="F31">
        <f>ar*T/(P+(a/E31^2))+b</f>
        <v>3.6494931932081673</v>
      </c>
      <c r="G31">
        <f>(P+(a/E31^2))*(E31-b)-ar*T</f>
        <v>-25.543621777777773</v>
      </c>
    </row>
    <row r="32" spans="1:10" x14ac:dyDescent="0.45">
      <c r="E32">
        <v>1.6</v>
      </c>
      <c r="F32">
        <f>ar*T/(P+(a/E32^2))+b</f>
        <v>3.7201667940210461</v>
      </c>
      <c r="G32">
        <f>(P+(a/E32^2))*(E32-b)-ar*T</f>
        <v>-24.711537812499994</v>
      </c>
    </row>
    <row r="33" spans="5:7" x14ac:dyDescent="0.45">
      <c r="E33">
        <v>1.7</v>
      </c>
      <c r="F33">
        <f>ar*T/(P+(a/E33^2))+b</f>
        <v>3.780870064578429</v>
      </c>
      <c r="G33">
        <f>(P+(a/E33^2))*(E33-b)-ar*T</f>
        <v>-23.860163391003457</v>
      </c>
    </row>
    <row r="34" spans="5:7" x14ac:dyDescent="0.45">
      <c r="E34">
        <v>1.8</v>
      </c>
      <c r="F34">
        <f>ar*T/(P+(a/E34^2))+b</f>
        <v>3.833302996888476</v>
      </c>
      <c r="G34">
        <f>(P+(a/E34^2))*(E34-b)-ar*T</f>
        <v>-22.992640493827153</v>
      </c>
    </row>
    <row r="35" spans="5:7" x14ac:dyDescent="0.45">
      <c r="E35">
        <v>1.9</v>
      </c>
      <c r="F35">
        <f>ar*T/(P+(a/E35^2))+b</f>
        <v>3.8788384600128905</v>
      </c>
      <c r="G35">
        <f>(P+(a/E35^2))*(E35-b)-ar*T</f>
        <v>-22.111464210526311</v>
      </c>
    </row>
    <row r="36" spans="5:7" x14ac:dyDescent="0.45">
      <c r="E36">
        <v>2</v>
      </c>
      <c r="F36">
        <f>ar*T/(P+(a/E36^2))+b</f>
        <v>3.9185895384058949</v>
      </c>
      <c r="G36">
        <f>(P+(a/E36^2))*(E36-b)-ar*T</f>
        <v>-21.218640999999995</v>
      </c>
    </row>
    <row r="37" spans="5:7" x14ac:dyDescent="0.45">
      <c r="E37">
        <v>2.1</v>
      </c>
      <c r="F37">
        <f>ar*T/(P+(a/E37^2))+b</f>
        <v>3.953462902892134</v>
      </c>
      <c r="G37">
        <f>(P+(a/E37^2))*(E37-b)-ar*T</f>
        <v>-20.315802675736954</v>
      </c>
    </row>
    <row r="38" spans="5:7" x14ac:dyDescent="0.45">
      <c r="E38">
        <v>2.2000000000000002</v>
      </c>
      <c r="F38">
        <f>ar*T/(P+(a/E38^2))+b</f>
        <v>3.9842008282989467</v>
      </c>
      <c r="G38">
        <f>(P+(a/E38^2))*(E38-b)-ar*T</f>
        <v>-19.404289917355364</v>
      </c>
    </row>
    <row r="39" spans="5:7" x14ac:dyDescent="0.45">
      <c r="E39">
        <v>2.2999999999999998</v>
      </c>
      <c r="F39">
        <f>ar*T/(P+(a/E39^2))+b</f>
        <v>4.0114141937064645</v>
      </c>
      <c r="G39">
        <f>(P+(a/E39^2))*(E39-b)-ar*T</f>
        <v>-18.485214404536855</v>
      </c>
    </row>
    <row r="40" spans="5:7" x14ac:dyDescent="0.45">
      <c r="E40">
        <v>2.4</v>
      </c>
      <c r="F40">
        <f>ar*T/(P+(a/E40^2))+b</f>
        <v>4.0356084090688569</v>
      </c>
      <c r="G40">
        <f>(P+(a/E40^2))*(E40-b)-ar*T</f>
        <v>-17.559505694444439</v>
      </c>
    </row>
    <row r="41" spans="5:7" x14ac:dyDescent="0.45">
      <c r="E41">
        <v>2.5</v>
      </c>
      <c r="F41">
        <f>ar*T/(P+(a/E41^2))+b</f>
        <v>4.0572038269052113</v>
      </c>
      <c r="G41">
        <f>(P+(a/E41^2))*(E41-b)-ar*T</f>
        <v>-16.627947039999995</v>
      </c>
    </row>
    <row r="42" spans="5:7" x14ac:dyDescent="0.45">
      <c r="E42">
        <v>2.6</v>
      </c>
      <c r="F42">
        <f>ar*T/(P+(a/E42^2))+b</f>
        <v>4.0765518639160332</v>
      </c>
      <c r="G42">
        <f>(P+(a/E42^2))*(E42-b)-ar*T</f>
        <v>-15.691203076923067</v>
      </c>
    </row>
    <row r="43" spans="5:7" x14ac:dyDescent="0.45">
      <c r="E43">
        <v>2.7</v>
      </c>
      <c r="F43">
        <f>ar*T/(P+(a/E43^2))+b</f>
        <v>4.0939477844901342</v>
      </c>
      <c r="G43">
        <f>(P+(a/E43^2))*(E43-b)-ar*T</f>
        <v>-14.749841454046628</v>
      </c>
    </row>
    <row r="44" spans="5:7" x14ac:dyDescent="0.45">
      <c r="E44">
        <v>2.8</v>
      </c>
      <c r="F44">
        <f>ar*T/(P+(a/E44^2))+b</f>
        <v>4.1096408819187298</v>
      </c>
      <c r="G44">
        <f>(P+(a/E44^2))*(E44-b)-ar*T</f>
        <v>-13.804349897959177</v>
      </c>
    </row>
    <row r="45" spans="5:7" x14ac:dyDescent="0.45">
      <c r="E45">
        <v>2.9</v>
      </c>
      <c r="F45">
        <f>ar*T/(P+(a/E45^2))+b</f>
        <v>4.1238426249179287</v>
      </c>
      <c r="G45">
        <f>(P+(a/E45^2))*(E45-b)-ar*T</f>
        <v>-12.855149797859685</v>
      </c>
    </row>
    <row r="46" spans="5:7" x14ac:dyDescent="0.45">
      <c r="E46">
        <v>3</v>
      </c>
      <c r="F46">
        <f>ar*T/(P+(a/E46^2))+b</f>
        <v>4.136733207411023</v>
      </c>
      <c r="G46">
        <f>(P+(a/E46^2))*(E46-b)-ar*T</f>
        <v>-11.902607111111106</v>
      </c>
    </row>
    <row r="47" spans="5:7" x14ac:dyDescent="0.45">
      <c r="E47">
        <v>3.1</v>
      </c>
      <c r="F47">
        <f>ar*T/(P+(a/E47^2))+b</f>
        <v>4.1484668400805278</v>
      </c>
      <c r="G47">
        <f>(P+(a/E47^2))*(E47-b)-ar*T</f>
        <v>-10.9470411862643</v>
      </c>
    </row>
    <row r="48" spans="5:7" x14ac:dyDescent="0.45">
      <c r="E48">
        <v>3.2</v>
      </c>
      <c r="F48">
        <f>ar*T/(P+(a/E48^2))+b</f>
        <v>4.1591760460623792</v>
      </c>
      <c r="G48">
        <f>(P+(a/E48^2))*(E48-b)-ar*T</f>
        <v>-9.9887319531249901</v>
      </c>
    </row>
    <row r="49" spans="5:7" x14ac:dyDescent="0.45">
      <c r="E49">
        <v>3.3</v>
      </c>
      <c r="F49">
        <f>ar*T/(P+(a/E49^2))+b</f>
        <v>4.1689751648429354</v>
      </c>
      <c r="G49">
        <f>(P+(a/E49^2))*(E49-b)-ar*T</f>
        <v>-9.0279258218549074</v>
      </c>
    </row>
    <row r="50" spans="5:7" x14ac:dyDescent="0.45">
      <c r="E50">
        <v>3.4</v>
      </c>
      <c r="F50">
        <f>ar*T/(P+(a/E50^2))+b</f>
        <v>4.1779632236853086</v>
      </c>
      <c r="G50">
        <f>(P+(a/E50^2))*(E50-b)-ar*T</f>
        <v>-8.0648405536332106</v>
      </c>
    </row>
    <row r="51" spans="5:7" x14ac:dyDescent="0.45">
      <c r="E51">
        <v>3.5</v>
      </c>
      <c r="F51">
        <f>ar*T/(P+(a/E51^2))+b</f>
        <v>4.1862263015038899</v>
      </c>
      <c r="G51">
        <f>(P+(a/E51^2))*(E51-b)-ar*T</f>
        <v>-7.0996693061224363</v>
      </c>
    </row>
    <row r="52" spans="5:7" x14ac:dyDescent="0.45">
      <c r="E52">
        <v>3.6</v>
      </c>
      <c r="F52">
        <f>ar*T/(P+(a/E52^2))+b</f>
        <v>4.1938394835547443</v>
      </c>
      <c r="G52">
        <f>(P+(a/E52^2))*(E52-b)-ar*T</f>
        <v>-6.1325840123456672</v>
      </c>
    </row>
    <row r="53" spans="5:7" x14ac:dyDescent="0.45">
      <c r="E53">
        <v>3.7</v>
      </c>
      <c r="F53">
        <f>ar*T/(P+(a/E53^2))+b</f>
        <v>4.2008684847454258</v>
      </c>
      <c r="G53">
        <f>(P+(a/E53^2))*(E53-b)-ar*T</f>
        <v>-5.1637382176771283</v>
      </c>
    </row>
    <row r="54" spans="5:7" x14ac:dyDescent="0.45">
      <c r="E54">
        <v>3.8</v>
      </c>
      <c r="F54">
        <f>ar*T/(P+(a/E54^2))+b</f>
        <v>4.2073710033773324</v>
      </c>
      <c r="G54">
        <f>(P+(a/E54^2))*(E54-b)-ar*T</f>
        <v>-4.1932694736842038</v>
      </c>
    </row>
    <row r="55" spans="5:7" x14ac:dyDescent="0.45">
      <c r="E55">
        <v>3.9</v>
      </c>
      <c r="F55">
        <f>ar*T/(P+(a/E55^2))+b</f>
        <v>4.2133978546482611</v>
      </c>
      <c r="G55">
        <f>(P+(a/E55^2))*(E55-b)-ar*T</f>
        <v>-3.221301367521356</v>
      </c>
    </row>
    <row r="56" spans="5:7" x14ac:dyDescent="0.45">
      <c r="E56" s="1">
        <v>4</v>
      </c>
      <c r="F56" s="1">
        <f>ar*T/(P+(a/E56^2))+b</f>
        <v>4.2189939234525502</v>
      </c>
      <c r="G56">
        <f>(P+(a/E56^2))*(E56-b)-ar*T</f>
        <v>-2.2479452499999937</v>
      </c>
    </row>
    <row r="57" spans="5:7" x14ac:dyDescent="0.45">
      <c r="E57">
        <v>4.0999999999999996</v>
      </c>
      <c r="F57">
        <f>ar*T/(P+(a/E57^2))+b</f>
        <v>4.2241989683064673</v>
      </c>
      <c r="G57">
        <f>(P+(a/E57^2))*(E57-b)-ar*T</f>
        <v>-1.2733017132659157</v>
      </c>
    </row>
    <row r="58" spans="5:7" x14ac:dyDescent="0.45">
      <c r="E58">
        <v>4.2</v>
      </c>
      <c r="F58">
        <f>ar*T/(P+(a/E58^2))+b</f>
        <v>4.2290483021291196</v>
      </c>
      <c r="G58">
        <f>(P+(a/E58^2))*(E58-b)-ar*T</f>
        <v>-0.29746185941042569</v>
      </c>
    </row>
    <row r="59" spans="5:7" x14ac:dyDescent="0.45">
      <c r="E59">
        <v>4.3</v>
      </c>
      <c r="F59">
        <f>ar*T/(P+(a/E59^2))+b</f>
        <v>4.2335733707663179</v>
      </c>
      <c r="G59">
        <f>(P+(a/E59^2))*(E59-b)-ar*T</f>
        <v>0.67949160627366467</v>
      </c>
    </row>
    <row r="60" spans="5:7" x14ac:dyDescent="0.45">
      <c r="E60">
        <v>4.4000000000000004</v>
      </c>
      <c r="F60">
        <f>ar*T/(P+(a/E60^2))+b</f>
        <v>4.2378022462823113</v>
      </c>
      <c r="G60">
        <f>(P+(a/E60^2))*(E60-b)-ar*T</f>
        <v>1.6574834297520766</v>
      </c>
    </row>
    <row r="61" spans="5:7" x14ac:dyDescent="0.45">
      <c r="E61">
        <v>4.5</v>
      </c>
      <c r="F61">
        <f>ar*T/(P+(a/E61^2))+b</f>
        <v>4.2417600489508462</v>
      </c>
      <c r="G61">
        <f>(P+(a/E61^2))*(E61-b)-ar*T</f>
        <v>2.6364449876543219</v>
      </c>
    </row>
    <row r="62" spans="5:7" x14ac:dyDescent="0.45">
      <c r="E62">
        <v>4.5999999999999996</v>
      </c>
      <c r="F62">
        <f>ar*T/(P+(a/E62^2))+b</f>
        <v>4.2454693093894491</v>
      </c>
      <c r="G62">
        <f>(P+(a/E62^2))*(E62-b)-ar*T</f>
        <v>3.6163135727788287</v>
      </c>
    </row>
    <row r="63" spans="5:7" x14ac:dyDescent="0.45">
      <c r="E63">
        <v>4.7</v>
      </c>
      <c r="F63">
        <f>ar*T/(P+(a/E63^2))+b</f>
        <v>4.2489502802725436</v>
      </c>
      <c r="G63">
        <f>(P+(a/E63^2))*(E63-b)-ar*T</f>
        <v>4.5970317700316983</v>
      </c>
    </row>
    <row r="64" spans="5:7" x14ac:dyDescent="0.45">
      <c r="E64">
        <v>4.8</v>
      </c>
      <c r="F64">
        <f>ar*T/(P+(a/E64^2))+b</f>
        <v>4.2522212054313453</v>
      </c>
      <c r="G64">
        <f>(P+(a/E64^2))*(E64-b)-ar*T</f>
        <v>5.5785469097222276</v>
      </c>
    </row>
    <row r="65" spans="1:7" x14ac:dyDescent="0.45">
      <c r="E65">
        <v>4.9000000000000004</v>
      </c>
      <c r="F65">
        <f>ar*T/(P+(a/E65^2))+b</f>
        <v>4.2552985528243665</v>
      </c>
      <c r="G65">
        <f>(P+(a/E65^2))*(E65-b)-ar*T</f>
        <v>6.5608105872553111</v>
      </c>
    </row>
    <row r="66" spans="1:7" x14ac:dyDescent="0.45">
      <c r="E66">
        <v>5</v>
      </c>
      <c r="F66">
        <f>ar*T/(P+(a/E66^2))+b</f>
        <v>4.2581972167811255</v>
      </c>
      <c r="G66">
        <f>(P+(a/E66^2))*(E66-b)-ar*T</f>
        <v>7.5437782400000017</v>
      </c>
    </row>
    <row r="69" spans="1:7" x14ac:dyDescent="0.45">
      <c r="A69" t="s">
        <v>22</v>
      </c>
    </row>
    <row r="70" spans="1:7" x14ac:dyDescent="0.45">
      <c r="A70" t="s">
        <v>23</v>
      </c>
    </row>
    <row r="71" spans="1:7" x14ac:dyDescent="0.45">
      <c r="A71" t="s">
        <v>24</v>
      </c>
    </row>
    <row r="87" spans="1:6" x14ac:dyDescent="0.45">
      <c r="A87" t="s">
        <v>25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</row>
    <row r="88" spans="1:6" x14ac:dyDescent="0.45">
      <c r="A88">
        <v>3</v>
      </c>
      <c r="B88">
        <v>5</v>
      </c>
      <c r="C88">
        <f>(P+(a/A88^2))*(A88-b)-ar*T</f>
        <v>-11.902607111111106</v>
      </c>
      <c r="D88">
        <f>(P+(a/B88^2))*(B88-b)-ar*T</f>
        <v>7.5437782400000017</v>
      </c>
      <c r="E88">
        <f>(A88+B88)/2</f>
        <v>4</v>
      </c>
      <c r="F88">
        <f>(P+(a/E88^2))*(E88-b)-ar*T</f>
        <v>-2.2479452499999937</v>
      </c>
    </row>
    <row r="89" spans="1:6" x14ac:dyDescent="0.45">
      <c r="A89">
        <f>IF(F88&lt;0,E88,A88)</f>
        <v>4</v>
      </c>
      <c r="B89">
        <v>5</v>
      </c>
      <c r="C89">
        <f>F88</f>
        <v>-2.2479452499999937</v>
      </c>
      <c r="D89">
        <f>(P+(a/B89^2))*(B89-b)-ar*T</f>
        <v>7.5437782400000017</v>
      </c>
      <c r="E89">
        <f>(A89+B89)/2</f>
        <v>4.5</v>
      </c>
      <c r="F89">
        <f>(P+(a/E89^2))*(E89-b)-ar*T</f>
        <v>2.6364449876543219</v>
      </c>
    </row>
    <row r="90" spans="1:6" x14ac:dyDescent="0.45">
      <c r="A90">
        <f>IF(F89&lt;0,E89,A89)</f>
        <v>4</v>
      </c>
      <c r="B90">
        <v>4.5</v>
      </c>
      <c r="C90">
        <f>C89</f>
        <v>-2.2479452499999937</v>
      </c>
      <c r="D90">
        <f>F89</f>
        <v>2.6364449876543219</v>
      </c>
      <c r="E90">
        <f>(A90+B90)/2</f>
        <v>4.25</v>
      </c>
      <c r="F90">
        <f>(P+(a/E90^2))*(E90-b)-ar*T</f>
        <v>0.1908805397923885</v>
      </c>
    </row>
    <row r="91" spans="1:6" x14ac:dyDescent="0.45">
      <c r="A91">
        <f t="shared" ref="A90:A98" si="0">IF(F90&lt;0,E90,A90)</f>
        <v>4</v>
      </c>
      <c r="B91">
        <v>4.25</v>
      </c>
      <c r="C91">
        <f>C90</f>
        <v>-2.2479452499999937</v>
      </c>
      <c r="D91">
        <f>F90</f>
        <v>0.1908805397923885</v>
      </c>
      <c r="E91">
        <f>(B91+A91)/2</f>
        <v>4.125</v>
      </c>
      <c r="F91">
        <f>(P+(a/E91^2))*(E91-b)-ar*T</f>
        <v>-1.0294505381083496</v>
      </c>
    </row>
    <row r="92" spans="1:6" x14ac:dyDescent="0.45">
      <c r="A92">
        <f t="shared" si="0"/>
        <v>4.125</v>
      </c>
      <c r="B92">
        <v>4.25</v>
      </c>
      <c r="C92">
        <f>F91</f>
        <v>-1.0294505381083496</v>
      </c>
      <c r="D92">
        <f>D91</f>
        <v>0.1908805397923885</v>
      </c>
      <c r="E92">
        <f>(A92+B92)/2</f>
        <v>4.1875</v>
      </c>
      <c r="F92">
        <f>(P+(a/E92^2))*(E92-b)-ar*T</f>
        <v>-0.41950436266428426</v>
      </c>
    </row>
    <row r="93" spans="1:6" x14ac:dyDescent="0.45">
      <c r="A93">
        <f t="shared" si="0"/>
        <v>4.1875</v>
      </c>
      <c r="B93">
        <v>4.25</v>
      </c>
      <c r="C93">
        <f>F92</f>
        <v>-0.41950436266428426</v>
      </c>
      <c r="D93">
        <f>D92</f>
        <v>0.1908805397923885</v>
      </c>
      <c r="E93">
        <f>(A93+B93)/2</f>
        <v>4.21875</v>
      </c>
      <c r="F93">
        <f>(P+(a/E93^2))*(E93-b)-ar*T</f>
        <v>-0.11436554491083939</v>
      </c>
    </row>
    <row r="94" spans="1:6" x14ac:dyDescent="0.45">
      <c r="A94">
        <f t="shared" si="0"/>
        <v>4.21875</v>
      </c>
      <c r="B94">
        <v>4.25</v>
      </c>
      <c r="C94">
        <f>F93</f>
        <v>-0.11436554491083939</v>
      </c>
      <c r="D94">
        <f>D93</f>
        <v>0.1908805397923885</v>
      </c>
      <c r="E94">
        <f>(A94+B94)/2</f>
        <v>4.234375</v>
      </c>
      <c r="F94">
        <f>(P+(a/E94^2))*(E94-b)-ar*T</f>
        <v>3.8244236135135168E-2</v>
      </c>
    </row>
    <row r="95" spans="1:6" x14ac:dyDescent="0.45">
      <c r="A95">
        <f t="shared" si="0"/>
        <v>4.21875</v>
      </c>
      <c r="B95">
        <f>E94</f>
        <v>4.234375</v>
      </c>
      <c r="C95">
        <f>C94</f>
        <v>-0.11436554491083939</v>
      </c>
      <c r="D95">
        <f>F94</f>
        <v>3.8244236135135168E-2</v>
      </c>
      <c r="E95">
        <f>(A95+B95)/2</f>
        <v>4.2265625</v>
      </c>
      <c r="F95">
        <f>(P+(a/E95^2))*(E95-b)-ar*T</f>
        <v>-3.8063987928836696E-2</v>
      </c>
    </row>
    <row r="96" spans="1:6" x14ac:dyDescent="0.45">
      <c r="A96">
        <f t="shared" si="0"/>
        <v>4.2265625</v>
      </c>
      <c r="B96">
        <f t="shared" ref="B96:B98" si="1">E95</f>
        <v>4.2265625</v>
      </c>
      <c r="C96">
        <f t="shared" ref="C96:C98" si="2">C95</f>
        <v>-0.11436554491083939</v>
      </c>
      <c r="D96">
        <f t="shared" ref="D96:D98" si="3">F95</f>
        <v>-3.8063987928836696E-2</v>
      </c>
      <c r="E96">
        <f t="shared" ref="E96:E98" si="4">(A96+B96)/2</f>
        <v>4.2265625</v>
      </c>
      <c r="F96">
        <f>(P+(a/E96^2))*(E96-b)-ar*T</f>
        <v>-3.8063987928836696E-2</v>
      </c>
    </row>
    <row r="97" spans="1:6" x14ac:dyDescent="0.45">
      <c r="A97">
        <f t="shared" si="0"/>
        <v>4.2265625</v>
      </c>
      <c r="B97">
        <f t="shared" si="1"/>
        <v>4.2265625</v>
      </c>
      <c r="C97">
        <f t="shared" si="2"/>
        <v>-0.11436554491083939</v>
      </c>
      <c r="D97">
        <f t="shared" si="3"/>
        <v>-3.8063987928836696E-2</v>
      </c>
      <c r="E97">
        <f t="shared" si="4"/>
        <v>4.2265625</v>
      </c>
      <c r="F97">
        <f>(P+(a/E97^2))*(E97-b)-ar*T</f>
        <v>-3.8063987928836696E-2</v>
      </c>
    </row>
    <row r="98" spans="1:6" x14ac:dyDescent="0.45">
      <c r="A98">
        <f t="shared" si="0"/>
        <v>4.2265625</v>
      </c>
      <c r="B98">
        <f t="shared" si="1"/>
        <v>4.2265625</v>
      </c>
      <c r="C98">
        <f t="shared" si="2"/>
        <v>-0.11436554491083939</v>
      </c>
      <c r="D98">
        <f t="shared" si="3"/>
        <v>-3.8063987928836696E-2</v>
      </c>
      <c r="E98">
        <f t="shared" si="4"/>
        <v>4.2265625</v>
      </c>
      <c r="F98">
        <f>(P+(a/E98^2))*(E98-b)-ar*T</f>
        <v>-3.8063987928836696E-2</v>
      </c>
    </row>
    <row r="100" spans="1:6" x14ac:dyDescent="0.45">
      <c r="A100" t="s">
        <v>31</v>
      </c>
    </row>
    <row r="101" spans="1:6" x14ac:dyDescent="0.45">
      <c r="A101" t="s">
        <v>32</v>
      </c>
    </row>
    <row r="103" spans="1:6" x14ac:dyDescent="0.45">
      <c r="A103" t="s">
        <v>36</v>
      </c>
      <c r="B103">
        <v>8.2000000000000003E-2</v>
      </c>
    </row>
    <row r="104" spans="1:6" x14ac:dyDescent="0.45">
      <c r="A104" t="s">
        <v>37</v>
      </c>
      <c r="B104">
        <v>10</v>
      </c>
    </row>
    <row r="105" spans="1:6" x14ac:dyDescent="0.45">
      <c r="A105" t="s">
        <v>38</v>
      </c>
      <c r="B105">
        <v>523</v>
      </c>
    </row>
    <row r="106" spans="1:6" x14ac:dyDescent="0.45">
      <c r="A106" t="s">
        <v>39</v>
      </c>
      <c r="B106">
        <v>4.2380000000000004</v>
      </c>
    </row>
    <row r="107" spans="1:6" x14ac:dyDescent="0.45">
      <c r="A107" t="s">
        <v>40</v>
      </c>
      <c r="B107">
        <v>3.7999999999999999E-2</v>
      </c>
    </row>
    <row r="111" spans="1:6" x14ac:dyDescent="0.45">
      <c r="A111" t="s">
        <v>41</v>
      </c>
      <c r="B111" t="s">
        <v>21</v>
      </c>
      <c r="C111" t="s">
        <v>42</v>
      </c>
    </row>
    <row r="112" spans="1:6" x14ac:dyDescent="0.45">
      <c r="A112" t="s">
        <v>43</v>
      </c>
      <c r="B112" t="s">
        <v>45</v>
      </c>
      <c r="C112" t="s">
        <v>44</v>
      </c>
    </row>
    <row r="113" spans="1:9" x14ac:dyDescent="0.45">
      <c r="A113">
        <v>4</v>
      </c>
      <c r="B113">
        <f>(P+a/A113^2)*(A113-b)-m*T</f>
        <v>-2.2165652500000022</v>
      </c>
      <c r="C113">
        <f>(P+a/A113^2)+(A113-b)*(-2*a/A113^3)</f>
        <v>9.7401576250000002</v>
      </c>
    </row>
    <row r="114" spans="1:9" x14ac:dyDescent="0.45">
      <c r="A114">
        <f>A113-(B113/C113)</f>
        <v>4.2275697514700132</v>
      </c>
      <c r="B114">
        <f>(P+a/A114^2)*(A114-b)-m*T</f>
        <v>3.1539195396987907E-3</v>
      </c>
      <c r="C114">
        <f>(P+a/A114^2)+(A114-b)*(-2*a/A114^3)</f>
        <v>9.76713675461618</v>
      </c>
      <c r="D114" t="s">
        <v>46</v>
      </c>
    </row>
    <row r="115" spans="1:9" x14ac:dyDescent="0.45">
      <c r="A115">
        <f t="shared" ref="A115:A119" si="5">A114-(B114/C114)</f>
        <v>4.2272468400970142</v>
      </c>
      <c r="B115">
        <f>(P+a/A115^2)*(A115-b)-m*T</f>
        <v>5.6913620483101113E-9</v>
      </c>
      <c r="C115">
        <f>(P+a/A115^2)+(A115-b)*(-2*a/A115^3)</f>
        <v>9.7671015029759793</v>
      </c>
    </row>
    <row r="116" spans="1:9" x14ac:dyDescent="0.45">
      <c r="A116">
        <f t="shared" si="5"/>
        <v>4.227246839514307</v>
      </c>
      <c r="B116">
        <f>(P+a/A116^2)*(A116-b)-m*T</f>
        <v>0</v>
      </c>
      <c r="C116">
        <f>(P+a/A116^2)+(A116-b)*(-2*a/A116^3)</f>
        <v>9.7671015029123573</v>
      </c>
    </row>
    <row r="117" spans="1:9" x14ac:dyDescent="0.45">
      <c r="A117">
        <f t="shared" si="5"/>
        <v>4.227246839514307</v>
      </c>
      <c r="B117">
        <f>(P+a/A117^2)*(A117-b)-m*T</f>
        <v>0</v>
      </c>
      <c r="C117">
        <f>(P+a/A117^2)+(A117-b)*(-2*a/A117^3)</f>
        <v>9.7671015029123573</v>
      </c>
    </row>
    <row r="118" spans="1:9" x14ac:dyDescent="0.45">
      <c r="A118">
        <f t="shared" si="5"/>
        <v>4.227246839514307</v>
      </c>
      <c r="B118">
        <f>(P+a/A118^2)*(A118-b)-m*T</f>
        <v>0</v>
      </c>
      <c r="C118">
        <f>(P+a/A118^2)+(A118-b)*(-2*a/A118^3)</f>
        <v>9.7671015029123573</v>
      </c>
    </row>
    <row r="119" spans="1:9" x14ac:dyDescent="0.45">
      <c r="A119">
        <f t="shared" si="5"/>
        <v>4.227246839514307</v>
      </c>
      <c r="B119">
        <f>(P+a/A119^2)*(A119-b)-m*T</f>
        <v>0</v>
      </c>
      <c r="C119">
        <f>(P+a/A119^2)+(A119-b)*(-2*a/A119^3)</f>
        <v>9.7671015029123573</v>
      </c>
    </row>
    <row r="121" spans="1:9" x14ac:dyDescent="0.45">
      <c r="E121" t="s">
        <v>50</v>
      </c>
      <c r="F121" t="s">
        <v>25</v>
      </c>
      <c r="G121" t="s">
        <v>51</v>
      </c>
      <c r="H121" t="s">
        <v>27</v>
      </c>
      <c r="I121" t="s">
        <v>26</v>
      </c>
    </row>
    <row r="122" spans="1:9" x14ac:dyDescent="0.45">
      <c r="A122" t="s">
        <v>47</v>
      </c>
      <c r="E122">
        <v>1.5</v>
      </c>
      <c r="F122">
        <v>1.51</v>
      </c>
      <c r="G122">
        <f>(P+a/E122^2)*(E122-b)-m*T</f>
        <v>-25.512241777777781</v>
      </c>
      <c r="H122">
        <f>(P+a/F122^2)*(F122-b)-m*T</f>
        <v>-25.430007718959697</v>
      </c>
      <c r="I122">
        <f>(F122-(H122/(H122-G122))*(F122-E122))</f>
        <v>4.6023935999821202</v>
      </c>
    </row>
    <row r="123" spans="1:9" x14ac:dyDescent="0.45">
      <c r="A123" t="s">
        <v>48</v>
      </c>
      <c r="E123">
        <f>F122</f>
        <v>1.51</v>
      </c>
      <c r="F123">
        <f>I122</f>
        <v>4.6023935999821202</v>
      </c>
      <c r="G123">
        <f>(P+a/E123^2)*(E123-b)-m*T</f>
        <v>-25.430007718959697</v>
      </c>
      <c r="H123">
        <f>(P+a/F123^2)*(F123-b)-m*T</f>
        <v>3.6711583375359922</v>
      </c>
      <c r="I123">
        <f>(F123-(H123/(H123-G123))*(F123-E123))</f>
        <v>4.2122832337693801</v>
      </c>
    </row>
    <row r="124" spans="1:9" x14ac:dyDescent="0.45">
      <c r="A124" t="s">
        <v>49</v>
      </c>
      <c r="E124">
        <f t="shared" ref="E124:E129" si="6">F123</f>
        <v>4.6023935999821202</v>
      </c>
      <c r="F124">
        <f t="shared" ref="F124:F129" si="7">I123</f>
        <v>4.2122832337693801</v>
      </c>
      <c r="G124">
        <f>(P+a/E124^2)*(E124-b)-m*T</f>
        <v>3.6711583375359922</v>
      </c>
      <c r="H124">
        <f>(P+a/F124^2)*(F124-b)-m*T</f>
        <v>-0.14613878985986162</v>
      </c>
      <c r="I124">
        <f t="shared" ref="I124:I129" si="8">(F124-(H124/(H124-G124))*(F124-E124))</f>
        <v>4.2272179519554411</v>
      </c>
    </row>
    <row r="125" spans="1:9" x14ac:dyDescent="0.45">
      <c r="E125">
        <f t="shared" si="6"/>
        <v>4.2122832337693801</v>
      </c>
      <c r="F125">
        <f t="shared" si="7"/>
        <v>4.2272179519554411</v>
      </c>
      <c r="G125">
        <f>(P+a/E125^2)*(E125-b)-m*T</f>
        <v>-0.14613878985986162</v>
      </c>
      <c r="H125">
        <f>(P+a/F125^2)*(F125-b)-m*T</f>
        <v>-2.8214767406353758E-4</v>
      </c>
      <c r="I125">
        <f t="shared" si="8"/>
        <v>4.2272468419390297</v>
      </c>
    </row>
    <row r="126" spans="1:9" x14ac:dyDescent="0.45">
      <c r="E126">
        <f t="shared" si="6"/>
        <v>4.2272179519554411</v>
      </c>
      <c r="F126">
        <f t="shared" si="7"/>
        <v>4.2272468419390297</v>
      </c>
      <c r="G126">
        <f>(P+a/E126^2)*(E126-b)-m*T</f>
        <v>-2.8214767406353758E-4</v>
      </c>
      <c r="H126">
        <f>(P+a/F126^2)*(F126-b)-m*T</f>
        <v>2.3682510175149218E-8</v>
      </c>
      <c r="I126">
        <f t="shared" si="8"/>
        <v>4.227246839514307</v>
      </c>
    </row>
    <row r="127" spans="1:9" x14ac:dyDescent="0.45">
      <c r="E127">
        <f t="shared" si="6"/>
        <v>4.2272468419390297</v>
      </c>
      <c r="F127">
        <f t="shared" si="7"/>
        <v>4.227246839514307</v>
      </c>
      <c r="G127">
        <f>(P+a/E127^2)*(E127-b)-m*T</f>
        <v>2.3682510175149218E-8</v>
      </c>
      <c r="H127">
        <f>(P+a/F127^2)*(F127-b)-m*T</f>
        <v>0</v>
      </c>
      <c r="I127">
        <f t="shared" si="8"/>
        <v>4.227246839514307</v>
      </c>
    </row>
    <row r="128" spans="1:9" x14ac:dyDescent="0.45">
      <c r="E128">
        <f t="shared" si="6"/>
        <v>4.227246839514307</v>
      </c>
      <c r="F128">
        <f t="shared" si="7"/>
        <v>4.227246839514307</v>
      </c>
      <c r="G128">
        <f>(P+a/E128^2)*(E128-b)-m*T</f>
        <v>0</v>
      </c>
      <c r="H128">
        <f>(P+a/F128^2)*(F128-b)-m*T</f>
        <v>0</v>
      </c>
      <c r="I128" t="e">
        <f t="shared" si="8"/>
        <v>#DIV/0!</v>
      </c>
    </row>
    <row r="129" spans="5:9" x14ac:dyDescent="0.45">
      <c r="E129">
        <f t="shared" si="6"/>
        <v>4.227246839514307</v>
      </c>
      <c r="F129" t="e">
        <f t="shared" si="7"/>
        <v>#DIV/0!</v>
      </c>
      <c r="G129">
        <f>(P+a/E129^2)*(E129-b)-m*T</f>
        <v>0</v>
      </c>
      <c r="H129" t="e">
        <f>(P+a/F129^2)*(F129-b)-m*T</f>
        <v>#DIV/0!</v>
      </c>
      <c r="I129" t="e">
        <f t="shared" si="8"/>
        <v>#DIV/0!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0125-B3CE-469E-9A6B-8ABA0FB5E219}">
  <dimension ref="A1:F189"/>
  <sheetViews>
    <sheetView topLeftCell="A161" zoomScaleNormal="100" workbookViewId="0">
      <selection activeCell="D158" sqref="D158:E159"/>
    </sheetView>
  </sheetViews>
  <sheetFormatPr defaultRowHeight="14.25" x14ac:dyDescent="0.45"/>
  <sheetData>
    <row r="1" spans="1:6" x14ac:dyDescent="0.45">
      <c r="A1" t="s">
        <v>33</v>
      </c>
      <c r="B1" t="s">
        <v>35</v>
      </c>
      <c r="C1" s="3" t="s">
        <v>52</v>
      </c>
      <c r="E1" s="1" t="s">
        <v>53</v>
      </c>
    </row>
    <row r="2" spans="1:6" x14ac:dyDescent="0.45">
      <c r="A2">
        <v>1</v>
      </c>
      <c r="B2">
        <f>A2-A2^(1/3)-2</f>
        <v>-2</v>
      </c>
    </row>
    <row r="3" spans="1:6" x14ac:dyDescent="0.45">
      <c r="A3">
        <v>2</v>
      </c>
      <c r="B3">
        <f t="shared" ref="B3:B12" si="0">A3-A3^(1/3)-2</f>
        <v>-1.2599210498948732</v>
      </c>
    </row>
    <row r="4" spans="1:6" x14ac:dyDescent="0.45">
      <c r="A4">
        <v>3</v>
      </c>
      <c r="B4">
        <f t="shared" si="0"/>
        <v>-0.4422495703074083</v>
      </c>
    </row>
    <row r="5" spans="1:6" x14ac:dyDescent="0.45">
      <c r="A5">
        <v>4</v>
      </c>
      <c r="B5">
        <f t="shared" si="0"/>
        <v>0.41259894803180064</v>
      </c>
    </row>
    <row r="6" spans="1:6" x14ac:dyDescent="0.45">
      <c r="A6">
        <v>5</v>
      </c>
      <c r="B6">
        <f t="shared" si="0"/>
        <v>1.2900240533233029</v>
      </c>
    </row>
    <row r="7" spans="1:6" x14ac:dyDescent="0.45">
      <c r="A7">
        <v>6</v>
      </c>
      <c r="B7">
        <f t="shared" si="0"/>
        <v>2.1828794071678601</v>
      </c>
    </row>
    <row r="8" spans="1:6" x14ac:dyDescent="0.45">
      <c r="A8">
        <v>7</v>
      </c>
      <c r="B8">
        <f t="shared" si="0"/>
        <v>3.0870688172276113</v>
      </c>
    </row>
    <row r="9" spans="1:6" x14ac:dyDescent="0.45">
      <c r="A9">
        <v>8</v>
      </c>
      <c r="B9">
        <f t="shared" si="0"/>
        <v>4</v>
      </c>
    </row>
    <row r="10" spans="1:6" x14ac:dyDescent="0.45">
      <c r="A10">
        <v>9</v>
      </c>
      <c r="B10">
        <f t="shared" si="0"/>
        <v>4.9199161769480959</v>
      </c>
    </row>
    <row r="11" spans="1:6" x14ac:dyDescent="0.45">
      <c r="A11">
        <v>10</v>
      </c>
      <c r="B11">
        <f t="shared" si="0"/>
        <v>5.8455653099681157</v>
      </c>
    </row>
    <row r="12" spans="1:6" x14ac:dyDescent="0.45">
      <c r="A12">
        <v>11</v>
      </c>
      <c r="B12">
        <f t="shared" si="0"/>
        <v>6.7760199094306834</v>
      </c>
    </row>
    <row r="15" spans="1:6" x14ac:dyDescent="0.4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 x14ac:dyDescent="0.45">
      <c r="A16">
        <v>3</v>
      </c>
      <c r="B16">
        <v>4</v>
      </c>
      <c r="C16">
        <f>A16-A16^(1/3)-2</f>
        <v>-0.4422495703074083</v>
      </c>
      <c r="D16">
        <f>B16-B16^(1/3)-2</f>
        <v>0.41259894803180064</v>
      </c>
      <c r="E16">
        <f>(A16+B16)/2</f>
        <v>3.5</v>
      </c>
      <c r="F16">
        <f>E16-E16^(1/3)-2</f>
        <v>-1.829448593783134E-2</v>
      </c>
    </row>
    <row r="17" spans="1:6" x14ac:dyDescent="0.45">
      <c r="A17">
        <f>IF(F16&lt;0,E16,A16)</f>
        <v>3.5</v>
      </c>
      <c r="B17">
        <v>4</v>
      </c>
      <c r="C17">
        <f>A17-A17^(1/3)-2</f>
        <v>-1.829448593783134E-2</v>
      </c>
      <c r="D17">
        <f>B17-B17^(1/3)-2</f>
        <v>0.41259894803180064</v>
      </c>
      <c r="E17">
        <f>(A17+B17)/2</f>
        <v>3.75</v>
      </c>
      <c r="F17">
        <f>E17-E17^(1/3)-2</f>
        <v>0.19638374702307093</v>
      </c>
    </row>
    <row r="18" spans="1:6" x14ac:dyDescent="0.45">
      <c r="A18">
        <f>IF(F17&lt;0,E17,A17)</f>
        <v>3.5</v>
      </c>
      <c r="B18">
        <v>3.75</v>
      </c>
      <c r="C18">
        <f>A18-A18^(1/3)-2</f>
        <v>-1.829448593783134E-2</v>
      </c>
      <c r="D18">
        <f>B18-B18^(1/3)-2</f>
        <v>0.19638374702307093</v>
      </c>
      <c r="E18">
        <f>(A18+B18)/2</f>
        <v>3.625</v>
      </c>
      <c r="F18">
        <f>E18-E18^(1/3)-2</f>
        <v>8.8841587157076241E-2</v>
      </c>
    </row>
    <row r="19" spans="1:6" x14ac:dyDescent="0.45">
      <c r="A19">
        <f>IF(F18&lt;0,E18,A18)</f>
        <v>3.5</v>
      </c>
      <c r="B19">
        <f>IF(F18&gt;0,E18,B18)</f>
        <v>3.625</v>
      </c>
      <c r="C19">
        <f>A19-A19^(1/3)-2</f>
        <v>-1.829448593783134E-2</v>
      </c>
      <c r="D19">
        <f>B19-B19^(1/3)-2</f>
        <v>8.8841587157076241E-2</v>
      </c>
      <c r="E19">
        <f>(A19+B19)/2</f>
        <v>3.5625</v>
      </c>
      <c r="F19">
        <f>E19-E19^(1/3)-2</f>
        <v>3.522131392759853E-2</v>
      </c>
    </row>
    <row r="20" spans="1:6" x14ac:dyDescent="0.45">
      <c r="A20">
        <f t="shared" ref="A20:A24" si="1">IF(F19&lt;0,E19,A19)</f>
        <v>3.5</v>
      </c>
      <c r="B20">
        <f t="shared" ref="B20:B24" si="2">IF(F19&gt;0,E19,B19)</f>
        <v>3.5625</v>
      </c>
      <c r="C20">
        <f t="shared" ref="C20:C24" si="3">A20-A20^(1/3)-2</f>
        <v>-1.829448593783134E-2</v>
      </c>
      <c r="D20">
        <f t="shared" ref="D20:D24" si="4">B20-B20^(1/3)-2</f>
        <v>3.522131392759853E-2</v>
      </c>
      <c r="E20">
        <f t="shared" ref="E20:E24" si="5">(A20+B20)/2</f>
        <v>3.53125</v>
      </c>
      <c r="F20">
        <f t="shared" ref="F20:F30" si="6">E20-E20^(1/3)-2</f>
        <v>8.4501627700537263E-3</v>
      </c>
    </row>
    <row r="21" spans="1:6" x14ac:dyDescent="0.45">
      <c r="A21">
        <f t="shared" si="1"/>
        <v>3.5</v>
      </c>
      <c r="B21">
        <f t="shared" si="2"/>
        <v>3.53125</v>
      </c>
      <c r="C21">
        <f t="shared" si="3"/>
        <v>-1.829448593783134E-2</v>
      </c>
      <c r="D21">
        <f t="shared" si="4"/>
        <v>8.4501627700537263E-3</v>
      </c>
      <c r="E21">
        <f t="shared" si="5"/>
        <v>3.515625</v>
      </c>
      <c r="F21">
        <f t="shared" si="6"/>
        <v>-4.9254988933500332E-3</v>
      </c>
    </row>
    <row r="22" spans="1:6" x14ac:dyDescent="0.45">
      <c r="A22">
        <f t="shared" si="1"/>
        <v>3.515625</v>
      </c>
      <c r="B22">
        <f t="shared" si="2"/>
        <v>3.53125</v>
      </c>
      <c r="C22">
        <f t="shared" si="3"/>
        <v>-4.9254988933500332E-3</v>
      </c>
      <c r="D22">
        <f t="shared" si="4"/>
        <v>8.4501627700537263E-3</v>
      </c>
      <c r="E22">
        <f t="shared" si="5"/>
        <v>3.5234375</v>
      </c>
      <c r="F22">
        <f t="shared" si="6"/>
        <v>1.7615006965243651E-3</v>
      </c>
    </row>
    <row r="23" spans="1:6" x14ac:dyDescent="0.45">
      <c r="A23">
        <f t="shared" si="1"/>
        <v>3.515625</v>
      </c>
      <c r="B23">
        <f t="shared" si="2"/>
        <v>3.5234375</v>
      </c>
      <c r="C23">
        <f t="shared" si="3"/>
        <v>-4.9254988933500332E-3</v>
      </c>
      <c r="D23">
        <f t="shared" si="4"/>
        <v>1.7615006965243651E-3</v>
      </c>
      <c r="E23">
        <f t="shared" si="5"/>
        <v>3.51953125</v>
      </c>
      <c r="F23">
        <f t="shared" si="6"/>
        <v>-1.5822072931346298E-3</v>
      </c>
    </row>
    <row r="24" spans="1:6" x14ac:dyDescent="0.45">
      <c r="A24">
        <f t="shared" si="1"/>
        <v>3.51953125</v>
      </c>
      <c r="B24">
        <f t="shared" si="2"/>
        <v>3.5234375</v>
      </c>
      <c r="C24">
        <f t="shared" si="3"/>
        <v>-1.5822072931346298E-3</v>
      </c>
      <c r="D24">
        <f t="shared" si="4"/>
        <v>1.7615006965243651E-3</v>
      </c>
      <c r="E24" s="1">
        <f t="shared" si="5"/>
        <v>3.521484375</v>
      </c>
      <c r="F24">
        <f t="shared" si="6"/>
        <v>8.9594701136341826E-5</v>
      </c>
    </row>
    <row r="25" spans="1:6" x14ac:dyDescent="0.45">
      <c r="A25">
        <f t="shared" ref="A25:A30" si="7">IF(F24&lt;0,E24,A24)</f>
        <v>3.51953125</v>
      </c>
      <c r="B25">
        <f t="shared" ref="B25:B30" si="8">IF(F24&gt;0,E24,B24)</f>
        <v>3.521484375</v>
      </c>
      <c r="C25">
        <f t="shared" ref="C25:C30" si="9">A25-A25^(1/3)-2</f>
        <v>-1.5822072931346298E-3</v>
      </c>
      <c r="D25">
        <f t="shared" ref="D25:D30" si="10">B25-B25^(1/3)-2</f>
        <v>8.9594701136341826E-5</v>
      </c>
      <c r="E25">
        <f t="shared" ref="E25:E30" si="11">(A25+B25)/2</f>
        <v>3.5205078125</v>
      </c>
      <c r="F25">
        <f t="shared" si="6"/>
        <v>-7.4631930214841269E-4</v>
      </c>
    </row>
    <row r="26" spans="1:6" x14ac:dyDescent="0.45">
      <c r="A26">
        <f t="shared" si="7"/>
        <v>3.5205078125</v>
      </c>
      <c r="B26">
        <f t="shared" si="8"/>
        <v>3.521484375</v>
      </c>
      <c r="C26">
        <f t="shared" si="9"/>
        <v>-7.4631930214841269E-4</v>
      </c>
      <c r="D26">
        <f t="shared" si="10"/>
        <v>8.9594701136341826E-5</v>
      </c>
      <c r="E26">
        <f t="shared" si="11"/>
        <v>3.52099609375</v>
      </c>
      <c r="F26">
        <f t="shared" si="6"/>
        <v>-3.2836555129178713E-4</v>
      </c>
    </row>
    <row r="27" spans="1:6" x14ac:dyDescent="0.45">
      <c r="A27">
        <f t="shared" si="7"/>
        <v>3.52099609375</v>
      </c>
      <c r="B27">
        <f t="shared" si="8"/>
        <v>3.521484375</v>
      </c>
      <c r="C27">
        <f t="shared" si="9"/>
        <v>-3.2836555129178713E-4</v>
      </c>
      <c r="D27">
        <f t="shared" si="10"/>
        <v>8.9594701136341826E-5</v>
      </c>
      <c r="E27">
        <f t="shared" si="11"/>
        <v>3.521240234375</v>
      </c>
      <c r="F27">
        <f t="shared" si="6"/>
        <v>-1.1938623768026346E-4</v>
      </c>
    </row>
    <row r="28" spans="1:6" x14ac:dyDescent="0.45">
      <c r="A28">
        <f t="shared" si="7"/>
        <v>3.521240234375</v>
      </c>
      <c r="B28">
        <f t="shared" si="8"/>
        <v>3.521484375</v>
      </c>
      <c r="C28">
        <f t="shared" si="9"/>
        <v>-1.1938623768026346E-4</v>
      </c>
      <c r="D28">
        <f t="shared" si="10"/>
        <v>8.9594701136341826E-5</v>
      </c>
      <c r="E28">
        <f t="shared" si="11"/>
        <v>3.5213623046875</v>
      </c>
      <c r="F28">
        <f t="shared" si="6"/>
        <v>-1.4895971410799902E-5</v>
      </c>
    </row>
    <row r="29" spans="1:6" x14ac:dyDescent="0.45">
      <c r="A29">
        <f t="shared" si="7"/>
        <v>3.5213623046875</v>
      </c>
      <c r="B29">
        <f t="shared" si="8"/>
        <v>3.521484375</v>
      </c>
      <c r="C29">
        <f t="shared" si="9"/>
        <v>-1.4895971410799902E-5</v>
      </c>
      <c r="D29">
        <f t="shared" si="10"/>
        <v>8.9594701136341826E-5</v>
      </c>
      <c r="E29">
        <f t="shared" si="11"/>
        <v>3.52142333984375</v>
      </c>
      <c r="F29">
        <f t="shared" si="6"/>
        <v>3.7349314079726526E-5</v>
      </c>
    </row>
    <row r="30" spans="1:6" x14ac:dyDescent="0.45">
      <c r="A30">
        <f t="shared" si="7"/>
        <v>3.5213623046875</v>
      </c>
      <c r="B30">
        <f t="shared" si="8"/>
        <v>3.52142333984375</v>
      </c>
      <c r="C30">
        <f t="shared" si="9"/>
        <v>-1.4895971410799902E-5</v>
      </c>
      <c r="D30">
        <f t="shared" si="10"/>
        <v>3.7349314079726526E-5</v>
      </c>
      <c r="E30">
        <f t="shared" si="11"/>
        <v>3.521392822265625</v>
      </c>
      <c r="F30">
        <f t="shared" si="6"/>
        <v>1.1226658638285869E-5</v>
      </c>
    </row>
    <row r="32" spans="1:6" x14ac:dyDescent="0.45">
      <c r="A32" t="s">
        <v>33</v>
      </c>
      <c r="B32" t="s">
        <v>35</v>
      </c>
      <c r="C32" s="3" t="s">
        <v>54</v>
      </c>
    </row>
    <row r="33" spans="1:6" x14ac:dyDescent="0.45">
      <c r="A33">
        <v>0</v>
      </c>
      <c r="B33">
        <f>A33*TAN(RADIANS(A33))-1</f>
        <v>-1</v>
      </c>
    </row>
    <row r="34" spans="1:6" x14ac:dyDescent="0.45">
      <c r="A34">
        <v>45</v>
      </c>
      <c r="B34">
        <f t="shared" ref="B34:B43" si="12">A34*TAN(RADIANS(A34))-1</f>
        <v>43.999999999999993</v>
      </c>
    </row>
    <row r="35" spans="1:6" x14ac:dyDescent="0.45">
      <c r="A35">
        <v>90</v>
      </c>
      <c r="B35">
        <f t="shared" si="12"/>
        <v>1.4692097049857165E+18</v>
      </c>
    </row>
    <row r="36" spans="1:6" x14ac:dyDescent="0.45">
      <c r="A36">
        <v>135</v>
      </c>
      <c r="B36">
        <f t="shared" si="12"/>
        <v>-136.00000000000003</v>
      </c>
    </row>
    <row r="37" spans="1:6" x14ac:dyDescent="0.45">
      <c r="A37">
        <v>180</v>
      </c>
      <c r="B37">
        <f t="shared" si="12"/>
        <v>-1.000000000000022</v>
      </c>
    </row>
    <row r="38" spans="1:6" x14ac:dyDescent="0.45">
      <c r="A38">
        <v>225</v>
      </c>
      <c r="B38">
        <f t="shared" si="12"/>
        <v>223.99999999999991</v>
      </c>
    </row>
    <row r="39" spans="1:6" x14ac:dyDescent="0.45">
      <c r="A39">
        <v>270</v>
      </c>
      <c r="B39">
        <f t="shared" si="12"/>
        <v>1.4692097049857165E+18</v>
      </c>
    </row>
    <row r="40" spans="1:6" x14ac:dyDescent="0.45">
      <c r="A40">
        <v>315</v>
      </c>
      <c r="B40">
        <f t="shared" si="12"/>
        <v>-316.00000000000011</v>
      </c>
    </row>
    <row r="41" spans="1:6" x14ac:dyDescent="0.45">
      <c r="A41">
        <v>360</v>
      </c>
      <c r="B41">
        <f t="shared" si="12"/>
        <v>-1.0000000000000882</v>
      </c>
    </row>
    <row r="42" spans="1:6" x14ac:dyDescent="0.45">
      <c r="A42">
        <v>405</v>
      </c>
      <c r="B42">
        <f t="shared" si="12"/>
        <v>403.99999999999977</v>
      </c>
    </row>
    <row r="43" spans="1:6" x14ac:dyDescent="0.45">
      <c r="A43">
        <v>450</v>
      </c>
      <c r="B43">
        <f t="shared" si="12"/>
        <v>1.4692097049857165E+18</v>
      </c>
    </row>
    <row r="48" spans="1:6" x14ac:dyDescent="0.45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</row>
    <row r="49" spans="1:6" x14ac:dyDescent="0.45">
      <c r="A49">
        <v>0</v>
      </c>
      <c r="B49">
        <v>45</v>
      </c>
      <c r="C49">
        <f>A49*TAN(RADIANS(A49))-1</f>
        <v>-1</v>
      </c>
      <c r="D49">
        <f>B49*TAN(RADIANS(B49))-1</f>
        <v>43.999999999999993</v>
      </c>
      <c r="E49">
        <f>(A49+B49)/2</f>
        <v>22.5</v>
      </c>
      <c r="F49">
        <f>E49*TAN(RADIANS(E49))-1</f>
        <v>8.319805153394638</v>
      </c>
    </row>
    <row r="50" spans="1:6" x14ac:dyDescent="0.45">
      <c r="A50">
        <f>IF(F49&lt;0,E49,A49)</f>
        <v>0</v>
      </c>
      <c r="B50">
        <f>IF(F49&gt;0,E49,B49)</f>
        <v>22.5</v>
      </c>
      <c r="C50">
        <f>A50*TAN(RADIANS(A50))-1</f>
        <v>-1</v>
      </c>
      <c r="D50">
        <f>B50*TAN(RADIANS(B50))-1</f>
        <v>8.319805153394638</v>
      </c>
      <c r="E50">
        <f>(A50+B50)/2</f>
        <v>11.25</v>
      </c>
      <c r="F50">
        <f>E50*TAN(RADIANS(E50))-1</f>
        <v>1.2377641330211526</v>
      </c>
    </row>
    <row r="51" spans="1:6" x14ac:dyDescent="0.45">
      <c r="A51">
        <f t="shared" ref="A51:A58" si="13">IF(F50&lt;0,E50,A50)</f>
        <v>0</v>
      </c>
      <c r="B51">
        <f t="shared" ref="B51:B58" si="14">IF(F50&gt;0,E50,B50)</f>
        <v>11.25</v>
      </c>
      <c r="C51">
        <f t="shared" ref="C51:C58" si="15">A51*TAN(RADIANS(A51))-1</f>
        <v>-1</v>
      </c>
      <c r="D51">
        <f t="shared" ref="D51:D58" si="16">B51*TAN(RADIANS(B51))-1</f>
        <v>1.2377641330211526</v>
      </c>
      <c r="E51">
        <f t="shared" ref="E51:E58" si="17">(A51+B51)/2</f>
        <v>5.625</v>
      </c>
      <c r="F51">
        <f t="shared" ref="F51:F104" si="18">E51*TAN(RADIANS(E51))-1</f>
        <v>-0.4459858561159511</v>
      </c>
    </row>
    <row r="52" spans="1:6" x14ac:dyDescent="0.45">
      <c r="A52">
        <f t="shared" si="13"/>
        <v>5.625</v>
      </c>
      <c r="B52">
        <f t="shared" si="14"/>
        <v>11.25</v>
      </c>
      <c r="C52">
        <f t="shared" si="15"/>
        <v>-0.4459858561159511</v>
      </c>
      <c r="D52">
        <f t="shared" si="16"/>
        <v>1.2377641330211526</v>
      </c>
      <c r="E52">
        <f t="shared" si="17"/>
        <v>8.4375</v>
      </c>
      <c r="F52">
        <f t="shared" si="18"/>
        <v>0.25158489485480651</v>
      </c>
    </row>
    <row r="53" spans="1:6" x14ac:dyDescent="0.45">
      <c r="A53">
        <f t="shared" si="13"/>
        <v>5.625</v>
      </c>
      <c r="B53">
        <f t="shared" si="14"/>
        <v>8.4375</v>
      </c>
      <c r="C53">
        <f t="shared" si="15"/>
        <v>-0.4459858561159511</v>
      </c>
      <c r="D53">
        <f t="shared" si="16"/>
        <v>0.25158489485480651</v>
      </c>
      <c r="E53">
        <f t="shared" si="17"/>
        <v>7.03125</v>
      </c>
      <c r="F53">
        <f t="shared" si="18"/>
        <v>-0.13277802716355613</v>
      </c>
    </row>
    <row r="54" spans="1:6" x14ac:dyDescent="0.45">
      <c r="A54">
        <f t="shared" si="13"/>
        <v>7.03125</v>
      </c>
      <c r="B54">
        <f t="shared" si="14"/>
        <v>8.4375</v>
      </c>
      <c r="C54">
        <f t="shared" si="15"/>
        <v>-0.13277802716355613</v>
      </c>
      <c r="D54">
        <f t="shared" si="16"/>
        <v>0.25158489485480651</v>
      </c>
      <c r="E54">
        <f t="shared" si="17"/>
        <v>7.734375</v>
      </c>
      <c r="F54">
        <f t="shared" si="18"/>
        <v>5.0454030642920644E-2</v>
      </c>
    </row>
    <row r="55" spans="1:6" x14ac:dyDescent="0.45">
      <c r="A55">
        <f t="shared" si="13"/>
        <v>7.03125</v>
      </c>
      <c r="B55">
        <f t="shared" si="14"/>
        <v>7.734375</v>
      </c>
      <c r="C55">
        <f t="shared" si="15"/>
        <v>-0.13277802716355613</v>
      </c>
      <c r="D55">
        <f t="shared" si="16"/>
        <v>5.0454030642920644E-2</v>
      </c>
      <c r="E55">
        <f t="shared" si="17"/>
        <v>7.3828125</v>
      </c>
      <c r="F55">
        <f t="shared" si="18"/>
        <v>-4.3392025655781596E-2</v>
      </c>
    </row>
    <row r="56" spans="1:6" x14ac:dyDescent="0.45">
      <c r="A56">
        <f t="shared" si="13"/>
        <v>7.3828125</v>
      </c>
      <c r="B56">
        <f t="shared" si="14"/>
        <v>7.734375</v>
      </c>
      <c r="C56">
        <f t="shared" si="15"/>
        <v>-4.3392025655781596E-2</v>
      </c>
      <c r="D56">
        <f t="shared" si="16"/>
        <v>5.0454030642920644E-2</v>
      </c>
      <c r="E56">
        <f t="shared" si="17"/>
        <v>7.55859375</v>
      </c>
      <c r="F56">
        <f t="shared" si="18"/>
        <v>2.9726083932690717E-3</v>
      </c>
    </row>
    <row r="57" spans="1:6" x14ac:dyDescent="0.45">
      <c r="A57">
        <f t="shared" si="13"/>
        <v>7.3828125</v>
      </c>
      <c r="B57">
        <f t="shared" si="14"/>
        <v>7.55859375</v>
      </c>
      <c r="C57">
        <f t="shared" si="15"/>
        <v>-4.3392025655781596E-2</v>
      </c>
      <c r="D57">
        <f t="shared" si="16"/>
        <v>2.9726083932690717E-3</v>
      </c>
      <c r="E57">
        <f t="shared" si="17"/>
        <v>7.470703125</v>
      </c>
      <c r="F57">
        <f t="shared" si="18"/>
        <v>-2.0349194498123668E-2</v>
      </c>
    </row>
    <row r="58" spans="1:6" x14ac:dyDescent="0.45">
      <c r="A58">
        <f t="shared" si="13"/>
        <v>7.470703125</v>
      </c>
      <c r="B58">
        <f t="shared" si="14"/>
        <v>7.55859375</v>
      </c>
      <c r="C58">
        <f t="shared" si="15"/>
        <v>-2.0349194498123668E-2</v>
      </c>
      <c r="D58">
        <f t="shared" si="16"/>
        <v>2.9726083932690717E-3</v>
      </c>
      <c r="E58">
        <f t="shared" si="17"/>
        <v>7.5146484375</v>
      </c>
      <c r="F58">
        <f t="shared" si="18"/>
        <v>-8.7231784916558253E-3</v>
      </c>
    </row>
    <row r="59" spans="1:6" x14ac:dyDescent="0.45">
      <c r="A59">
        <f>IF(F58&lt;0,E58,A58)</f>
        <v>7.5146484375</v>
      </c>
      <c r="B59">
        <f>IF(F58&gt;0,E58,B58)</f>
        <v>7.55859375</v>
      </c>
      <c r="C59">
        <f>A59*TAN(RADIANS(A59))-1</f>
        <v>-8.7231784916558253E-3</v>
      </c>
      <c r="D59">
        <f>B59*TAN(RADIANS(B59))-1</f>
        <v>2.9726083932690717E-3</v>
      </c>
      <c r="E59">
        <f>(A59+B59)/2</f>
        <v>7.53662109375</v>
      </c>
      <c r="F59">
        <f>E59*TAN(RADIANS(E59))-1</f>
        <v>-2.8840081651584359E-3</v>
      </c>
    </row>
    <row r="60" spans="1:6" x14ac:dyDescent="0.45">
      <c r="A60">
        <f t="shared" ref="A60:A61" si="19">IF(F59&lt;0,E59,A59)</f>
        <v>7.53662109375</v>
      </c>
      <c r="B60">
        <f t="shared" ref="B60:B61" si="20">IF(F59&gt;0,E59,B59)</f>
        <v>7.55859375</v>
      </c>
      <c r="C60">
        <f t="shared" ref="C60:C61" si="21">A60*TAN(RADIANS(A60))-1</f>
        <v>-2.8840081651584359E-3</v>
      </c>
      <c r="D60">
        <f t="shared" ref="D60:D61" si="22">B60*TAN(RADIANS(B60))-1</f>
        <v>2.9726083932690717E-3</v>
      </c>
      <c r="E60" s="1">
        <f t="shared" ref="E60:E61" si="23">(A60+B60)/2</f>
        <v>7.547607421875</v>
      </c>
      <c r="F60">
        <f t="shared" si="18"/>
        <v>4.2119114944005887E-5</v>
      </c>
    </row>
    <row r="61" spans="1:6" x14ac:dyDescent="0.45">
      <c r="A61">
        <f t="shared" si="19"/>
        <v>7.53662109375</v>
      </c>
      <c r="B61">
        <f t="shared" si="20"/>
        <v>7.547607421875</v>
      </c>
      <c r="C61">
        <f t="shared" si="21"/>
        <v>-2.8840081651584359E-3</v>
      </c>
      <c r="D61">
        <f t="shared" si="22"/>
        <v>4.2119114944005887E-5</v>
      </c>
      <c r="E61">
        <f t="shared" si="23"/>
        <v>7.5421142578125</v>
      </c>
      <c r="F61">
        <f t="shared" si="18"/>
        <v>-1.4214897473435739E-3</v>
      </c>
    </row>
    <row r="63" spans="1:6" x14ac:dyDescent="0.45">
      <c r="A63">
        <v>180</v>
      </c>
      <c r="B63">
        <v>225</v>
      </c>
      <c r="C63">
        <f t="shared" ref="C63" si="24">A63*TAN(RADIANS(A63))-1</f>
        <v>-1.000000000000022</v>
      </c>
      <c r="D63">
        <f t="shared" ref="D63" si="25">B63*TAN(RADIANS(B63))-1</f>
        <v>223.99999999999991</v>
      </c>
      <c r="E63">
        <f>(A63+B63)/2</f>
        <v>202.5</v>
      </c>
      <c r="F63">
        <f t="shared" si="18"/>
        <v>82.878246380551715</v>
      </c>
    </row>
    <row r="64" spans="1:6" x14ac:dyDescent="0.45">
      <c r="A64">
        <f>IF(F63&lt;0,E63,A63)</f>
        <v>180</v>
      </c>
      <c r="B64">
        <f>IF(F63&gt;0,E63,B63)</f>
        <v>202.5</v>
      </c>
      <c r="C64">
        <f t="shared" ref="C64" si="26">A64*TAN(RADIANS(A64))-1</f>
        <v>-1.000000000000022</v>
      </c>
      <c r="D64">
        <f t="shared" ref="D64" si="27">B64*TAN(RADIANS(B64))-1</f>
        <v>82.878246380551715</v>
      </c>
      <c r="E64">
        <f t="shared" ref="E64" si="28">(A64+B64)/2</f>
        <v>191.25</v>
      </c>
      <c r="F64">
        <f t="shared" si="18"/>
        <v>37.041990261359608</v>
      </c>
    </row>
    <row r="65" spans="1:6" x14ac:dyDescent="0.45">
      <c r="A65">
        <f t="shared" ref="A65:A77" si="29">IF(F64&lt;0,E64,A64)</f>
        <v>180</v>
      </c>
      <c r="B65">
        <f t="shared" ref="B65:B77" si="30">IF(F64&gt;0,E64,B64)</f>
        <v>191.25</v>
      </c>
      <c r="C65">
        <f t="shared" ref="C65:C77" si="31">A65*TAN(RADIANS(A65))-1</f>
        <v>-1.000000000000022</v>
      </c>
      <c r="D65">
        <f t="shared" ref="D65:D77" si="32">B65*TAN(RADIANS(B65))-1</f>
        <v>37.041990261359608</v>
      </c>
      <c r="E65">
        <f t="shared" ref="E65:E77" si="33">(A65+B65)/2</f>
        <v>185.625</v>
      </c>
      <c r="F65">
        <f t="shared" si="18"/>
        <v>17.282466748173611</v>
      </c>
    </row>
    <row r="66" spans="1:6" x14ac:dyDescent="0.45">
      <c r="A66">
        <f t="shared" si="29"/>
        <v>180</v>
      </c>
      <c r="B66">
        <f t="shared" si="30"/>
        <v>185.625</v>
      </c>
      <c r="C66">
        <f t="shared" si="31"/>
        <v>-1.000000000000022</v>
      </c>
      <c r="D66">
        <f t="shared" si="32"/>
        <v>17.282466748173611</v>
      </c>
      <c r="E66">
        <f t="shared" si="33"/>
        <v>182.8125</v>
      </c>
      <c r="F66">
        <f t="shared" si="18"/>
        <v>7.9810022234807612</v>
      </c>
    </row>
    <row r="67" spans="1:6" x14ac:dyDescent="0.45">
      <c r="A67">
        <f t="shared" si="29"/>
        <v>180</v>
      </c>
      <c r="B67">
        <f t="shared" si="30"/>
        <v>182.8125</v>
      </c>
      <c r="C67">
        <f t="shared" si="31"/>
        <v>-1.000000000000022</v>
      </c>
      <c r="D67">
        <f t="shared" si="32"/>
        <v>7.9810022234807612</v>
      </c>
      <c r="E67">
        <f t="shared" si="33"/>
        <v>181.40625</v>
      </c>
      <c r="F67">
        <f t="shared" si="18"/>
        <v>3.4532734794472182</v>
      </c>
    </row>
    <row r="68" spans="1:6" x14ac:dyDescent="0.45">
      <c r="A68">
        <f t="shared" si="29"/>
        <v>180</v>
      </c>
      <c r="B68">
        <f t="shared" si="30"/>
        <v>181.40625</v>
      </c>
      <c r="C68">
        <f t="shared" si="31"/>
        <v>-1.000000000000022</v>
      </c>
      <c r="D68">
        <f t="shared" si="32"/>
        <v>3.4532734794472182</v>
      </c>
      <c r="E68">
        <f t="shared" si="33"/>
        <v>180.703125</v>
      </c>
      <c r="F68">
        <f t="shared" si="18"/>
        <v>1.2176723034325323</v>
      </c>
    </row>
    <row r="69" spans="1:6" x14ac:dyDescent="0.45">
      <c r="A69">
        <f t="shared" si="29"/>
        <v>180</v>
      </c>
      <c r="B69">
        <f t="shared" si="30"/>
        <v>180.703125</v>
      </c>
      <c r="C69">
        <f t="shared" si="31"/>
        <v>-1.000000000000022</v>
      </c>
      <c r="D69">
        <f t="shared" si="32"/>
        <v>1.2176723034325323</v>
      </c>
      <c r="E69">
        <f t="shared" si="33"/>
        <v>180.3515625</v>
      </c>
      <c r="F69">
        <f t="shared" si="18"/>
        <v>0.10663721592764097</v>
      </c>
    </row>
    <row r="70" spans="1:6" x14ac:dyDescent="0.45">
      <c r="A70">
        <f t="shared" si="29"/>
        <v>180</v>
      </c>
      <c r="B70">
        <f t="shared" si="30"/>
        <v>180.3515625</v>
      </c>
      <c r="C70">
        <f t="shared" si="31"/>
        <v>-1.000000000000022</v>
      </c>
      <c r="D70">
        <f t="shared" si="32"/>
        <v>0.10663721592764097</v>
      </c>
      <c r="E70">
        <f t="shared" si="33"/>
        <v>180.17578125</v>
      </c>
      <c r="F70">
        <f t="shared" si="18"/>
        <v>-0.4472258919312142</v>
      </c>
    </row>
    <row r="71" spans="1:6" x14ac:dyDescent="0.45">
      <c r="A71">
        <f t="shared" si="29"/>
        <v>180.17578125</v>
      </c>
      <c r="B71">
        <f t="shared" si="30"/>
        <v>180.3515625</v>
      </c>
      <c r="C71">
        <f t="shared" si="31"/>
        <v>-0.4472258919312142</v>
      </c>
      <c r="D71">
        <f t="shared" si="32"/>
        <v>0.10663721592764097</v>
      </c>
      <c r="E71">
        <f t="shared" si="33"/>
        <v>180.263671875</v>
      </c>
      <c r="F71">
        <f t="shared" si="18"/>
        <v>-0.17043111559353019</v>
      </c>
    </row>
    <row r="72" spans="1:6" x14ac:dyDescent="0.45">
      <c r="A72">
        <f t="shared" si="29"/>
        <v>180.263671875</v>
      </c>
      <c r="B72">
        <f t="shared" si="30"/>
        <v>180.3515625</v>
      </c>
      <c r="C72">
        <f t="shared" si="31"/>
        <v>-0.17043111559353019</v>
      </c>
      <c r="D72">
        <f t="shared" si="32"/>
        <v>0.10663721592764097</v>
      </c>
      <c r="E72">
        <f t="shared" si="33"/>
        <v>180.3076171875</v>
      </c>
      <c r="F72">
        <f t="shared" si="18"/>
        <v>-3.1931225950284858E-2</v>
      </c>
    </row>
    <row r="73" spans="1:6" x14ac:dyDescent="0.45">
      <c r="A73">
        <f t="shared" si="29"/>
        <v>180.3076171875</v>
      </c>
      <c r="B73">
        <f t="shared" si="30"/>
        <v>180.3515625</v>
      </c>
      <c r="C73">
        <f t="shared" si="31"/>
        <v>-3.1931225950284858E-2</v>
      </c>
      <c r="D73">
        <f t="shared" si="32"/>
        <v>0.10663721592764097</v>
      </c>
      <c r="E73">
        <f t="shared" si="33"/>
        <v>180.32958984375</v>
      </c>
      <c r="F73">
        <f t="shared" si="18"/>
        <v>3.7344415735429681E-2</v>
      </c>
    </row>
    <row r="74" spans="1:6" x14ac:dyDescent="0.45">
      <c r="A74">
        <f t="shared" si="29"/>
        <v>180.3076171875</v>
      </c>
      <c r="B74">
        <f t="shared" si="30"/>
        <v>180.32958984375</v>
      </c>
      <c r="C74">
        <f t="shared" si="31"/>
        <v>-3.1931225950284858E-2</v>
      </c>
      <c r="D74">
        <f t="shared" si="32"/>
        <v>3.7344415735429681E-2</v>
      </c>
      <c r="E74">
        <f t="shared" si="33"/>
        <v>180.318603515625</v>
      </c>
      <c r="F74">
        <f t="shared" si="18"/>
        <v>2.7044513576952589E-3</v>
      </c>
    </row>
    <row r="75" spans="1:6" x14ac:dyDescent="0.45">
      <c r="A75">
        <f t="shared" si="29"/>
        <v>180.3076171875</v>
      </c>
      <c r="B75">
        <f t="shared" si="30"/>
        <v>180.318603515625</v>
      </c>
      <c r="C75">
        <f t="shared" si="31"/>
        <v>-3.1931225950284858E-2</v>
      </c>
      <c r="D75">
        <f t="shared" si="32"/>
        <v>2.7044513576952589E-3</v>
      </c>
      <c r="E75" s="2">
        <f t="shared" si="33"/>
        <v>180.3131103515625</v>
      </c>
      <c r="F75">
        <f t="shared" si="18"/>
        <v>-1.4613923020301178E-2</v>
      </c>
    </row>
    <row r="76" spans="1:6" x14ac:dyDescent="0.45">
      <c r="A76">
        <f t="shared" si="29"/>
        <v>180.3131103515625</v>
      </c>
      <c r="B76">
        <f t="shared" si="30"/>
        <v>180.318603515625</v>
      </c>
      <c r="C76">
        <f t="shared" si="31"/>
        <v>-1.4613923020301178E-2</v>
      </c>
      <c r="D76">
        <f t="shared" si="32"/>
        <v>2.7044513576952589E-3</v>
      </c>
      <c r="E76">
        <f t="shared" si="33"/>
        <v>180.31585693359375</v>
      </c>
      <c r="F76">
        <f t="shared" si="18"/>
        <v>-5.954869782303529E-3</v>
      </c>
    </row>
    <row r="77" spans="1:6" x14ac:dyDescent="0.45">
      <c r="A77">
        <f t="shared" si="29"/>
        <v>180.31585693359375</v>
      </c>
      <c r="B77">
        <f t="shared" si="30"/>
        <v>180.318603515625</v>
      </c>
      <c r="C77">
        <f t="shared" si="31"/>
        <v>-5.954869782303529E-3</v>
      </c>
      <c r="D77">
        <f t="shared" si="32"/>
        <v>2.7044513576952589E-3</v>
      </c>
      <c r="E77">
        <f t="shared" si="33"/>
        <v>180.31723022460938</v>
      </c>
      <c r="F77">
        <f t="shared" si="18"/>
        <v>-1.6252427025005289E-3</v>
      </c>
    </row>
    <row r="78" spans="1:6" x14ac:dyDescent="0.45">
      <c r="A78">
        <f t="shared" ref="A78:A80" si="34">IF(F77&lt;0,E77,A77)</f>
        <v>180.31723022460938</v>
      </c>
      <c r="B78">
        <f t="shared" ref="B78:B80" si="35">IF(F77&gt;0,E77,B77)</f>
        <v>180.318603515625</v>
      </c>
      <c r="C78">
        <f t="shared" ref="C78:C80" si="36">A78*TAN(RADIANS(A78))-1</f>
        <v>-1.6252427025005289E-3</v>
      </c>
      <c r="D78">
        <f t="shared" ref="D78:D80" si="37">B78*TAN(RADIANS(B78))-1</f>
        <v>2.7044513576952589E-3</v>
      </c>
      <c r="E78">
        <f t="shared" ref="E78:E80" si="38">(A78+B78)/2</f>
        <v>180.31791687011719</v>
      </c>
      <c r="F78">
        <f t="shared" si="18"/>
        <v>5.395959547260798E-4</v>
      </c>
    </row>
    <row r="79" spans="1:6" x14ac:dyDescent="0.45">
      <c r="A79">
        <f t="shared" si="34"/>
        <v>180.31723022460938</v>
      </c>
      <c r="B79">
        <f t="shared" si="35"/>
        <v>180.31791687011719</v>
      </c>
      <c r="C79">
        <f t="shared" si="36"/>
        <v>-1.6252427025005289E-3</v>
      </c>
      <c r="D79">
        <f t="shared" si="37"/>
        <v>5.395959547260798E-4</v>
      </c>
      <c r="E79">
        <f t="shared" si="38"/>
        <v>180.31757354736328</v>
      </c>
      <c r="F79">
        <f t="shared" si="18"/>
        <v>-5.4282546710593405E-4</v>
      </c>
    </row>
    <row r="80" spans="1:6" x14ac:dyDescent="0.45">
      <c r="A80">
        <f t="shared" si="34"/>
        <v>180.31757354736328</v>
      </c>
      <c r="B80">
        <f t="shared" si="35"/>
        <v>180.31791687011719</v>
      </c>
      <c r="C80">
        <f t="shared" si="36"/>
        <v>-5.4282546710593405E-4</v>
      </c>
      <c r="D80">
        <f t="shared" si="37"/>
        <v>5.395959547260798E-4</v>
      </c>
      <c r="E80" s="1">
        <f t="shared" si="38"/>
        <v>180.31774520874023</v>
      </c>
      <c r="F80">
        <f t="shared" si="18"/>
        <v>-1.6152795294654965E-6</v>
      </c>
    </row>
    <row r="81" spans="1:6" x14ac:dyDescent="0.45">
      <c r="E81" s="2"/>
    </row>
    <row r="82" spans="1:6" x14ac:dyDescent="0.45">
      <c r="A82">
        <v>360</v>
      </c>
      <c r="B82">
        <v>405</v>
      </c>
      <c r="C82">
        <f t="shared" ref="C82" si="39">A82*TAN(RADIANS(A82))-1</f>
        <v>-1.0000000000000882</v>
      </c>
      <c r="D82">
        <f t="shared" ref="D82" si="40">B82*TAN(RADIANS(B82))-1</f>
        <v>403.99999999999977</v>
      </c>
      <c r="E82" s="2">
        <f t="shared" ref="E82" si="41">(A82+B82)/2</f>
        <v>382.5</v>
      </c>
      <c r="F82">
        <f t="shared" si="18"/>
        <v>157.43668760770893</v>
      </c>
    </row>
    <row r="83" spans="1:6" x14ac:dyDescent="0.45">
      <c r="A83">
        <f>IF(F82&lt;0,E82,A82)</f>
        <v>360</v>
      </c>
      <c r="B83">
        <f>IF(F82&gt;0,E82,B82)</f>
        <v>382.5</v>
      </c>
      <c r="C83">
        <f t="shared" ref="C83" si="42">A83*TAN(RADIANS(A83))-1</f>
        <v>-1.0000000000000882</v>
      </c>
      <c r="D83">
        <f t="shared" ref="D83" si="43">B83*TAN(RADIANS(B83))-1</f>
        <v>157.43668760770893</v>
      </c>
      <c r="E83" s="2">
        <f t="shared" ref="E83" si="44">(A83+B83)/2</f>
        <v>371.25</v>
      </c>
      <c r="F83">
        <f t="shared" si="18"/>
        <v>72.846216389698029</v>
      </c>
    </row>
    <row r="84" spans="1:6" x14ac:dyDescent="0.45">
      <c r="A84">
        <f t="shared" ref="A84:A93" si="45">IF(F83&lt;0,E83,A83)</f>
        <v>360</v>
      </c>
      <c r="B84">
        <f t="shared" ref="B84:B93" si="46">IF(F83&gt;0,E83,B83)</f>
        <v>371.25</v>
      </c>
      <c r="C84">
        <f t="shared" ref="C84:C93" si="47">A84*TAN(RADIANS(A84))-1</f>
        <v>-1.0000000000000882</v>
      </c>
      <c r="D84">
        <f t="shared" ref="D84:D93" si="48">B84*TAN(RADIANS(B84))-1</f>
        <v>72.846216389698029</v>
      </c>
      <c r="E84" s="2">
        <f t="shared" ref="E84:E93" si="49">(A84+B84)/2</f>
        <v>365.625</v>
      </c>
      <c r="F84">
        <f t="shared" si="18"/>
        <v>35.010919352463297</v>
      </c>
    </row>
    <row r="85" spans="1:6" x14ac:dyDescent="0.45">
      <c r="A85">
        <f t="shared" si="45"/>
        <v>360</v>
      </c>
      <c r="B85">
        <f t="shared" si="46"/>
        <v>365.625</v>
      </c>
      <c r="C85">
        <f t="shared" si="47"/>
        <v>-1.0000000000000882</v>
      </c>
      <c r="D85">
        <f t="shared" si="48"/>
        <v>35.010919352463297</v>
      </c>
      <c r="E85" s="2">
        <f t="shared" si="49"/>
        <v>362.8125</v>
      </c>
      <c r="F85">
        <f t="shared" si="18"/>
        <v>16.823835181984688</v>
      </c>
    </row>
    <row r="86" spans="1:6" x14ac:dyDescent="0.45">
      <c r="A86">
        <f t="shared" si="45"/>
        <v>360</v>
      </c>
      <c r="B86">
        <f t="shared" si="46"/>
        <v>362.8125</v>
      </c>
      <c r="C86">
        <f t="shared" si="47"/>
        <v>-1.0000000000000882</v>
      </c>
      <c r="D86">
        <f t="shared" si="48"/>
        <v>16.823835181984688</v>
      </c>
      <c r="E86" s="2">
        <f t="shared" si="49"/>
        <v>361.40625</v>
      </c>
      <c r="F86">
        <f t="shared" si="18"/>
        <v>7.8720254590537166</v>
      </c>
    </row>
    <row r="87" spans="1:6" x14ac:dyDescent="0.45">
      <c r="A87">
        <f t="shared" si="45"/>
        <v>360</v>
      </c>
      <c r="B87">
        <f t="shared" si="46"/>
        <v>361.40625</v>
      </c>
      <c r="C87">
        <f t="shared" si="47"/>
        <v>-1.0000000000000882</v>
      </c>
      <c r="D87">
        <f t="shared" si="48"/>
        <v>7.8720254590537166</v>
      </c>
      <c r="E87" s="2">
        <f t="shared" si="49"/>
        <v>360.703125</v>
      </c>
      <c r="F87">
        <f t="shared" si="18"/>
        <v>3.4267155317545477</v>
      </c>
    </row>
    <row r="88" spans="1:6" x14ac:dyDescent="0.45">
      <c r="A88">
        <f t="shared" si="45"/>
        <v>360</v>
      </c>
      <c r="B88">
        <f t="shared" si="46"/>
        <v>360.703125</v>
      </c>
      <c r="C88">
        <f t="shared" si="47"/>
        <v>-1.0000000000000882</v>
      </c>
      <c r="D88">
        <f t="shared" si="48"/>
        <v>3.4267155317545477</v>
      </c>
      <c r="E88" s="2">
        <f t="shared" si="49"/>
        <v>360.3515625</v>
      </c>
      <c r="F88">
        <f t="shared" si="18"/>
        <v>1.2111172442996634</v>
      </c>
    </row>
    <row r="89" spans="1:6" x14ac:dyDescent="0.45">
      <c r="A89">
        <f t="shared" si="45"/>
        <v>360</v>
      </c>
      <c r="B89">
        <f t="shared" si="46"/>
        <v>360.3515625</v>
      </c>
      <c r="C89">
        <f t="shared" si="47"/>
        <v>-1.0000000000000882</v>
      </c>
      <c r="D89">
        <f t="shared" si="48"/>
        <v>1.2111172442996634</v>
      </c>
      <c r="E89" s="2">
        <f t="shared" si="49"/>
        <v>360.17578125</v>
      </c>
      <c r="F89">
        <f t="shared" si="18"/>
        <v>0.10500892432493747</v>
      </c>
    </row>
    <row r="90" spans="1:6" x14ac:dyDescent="0.45">
      <c r="A90">
        <f t="shared" si="45"/>
        <v>360</v>
      </c>
      <c r="B90">
        <f t="shared" si="46"/>
        <v>360.17578125</v>
      </c>
      <c r="C90">
        <f t="shared" si="47"/>
        <v>-1.0000000000000882</v>
      </c>
      <c r="D90">
        <f t="shared" si="48"/>
        <v>0.10500892432493747</v>
      </c>
      <c r="E90" s="2">
        <f t="shared" si="49"/>
        <v>360.087890625</v>
      </c>
      <c r="F90">
        <f t="shared" si="18"/>
        <v>-0.44763166057217474</v>
      </c>
    </row>
    <row r="91" spans="1:6" x14ac:dyDescent="0.45">
      <c r="A91">
        <f t="shared" si="45"/>
        <v>360.087890625</v>
      </c>
      <c r="B91">
        <f t="shared" si="46"/>
        <v>360.17578125</v>
      </c>
      <c r="C91">
        <f t="shared" si="47"/>
        <v>-0.44763166057217474</v>
      </c>
      <c r="D91">
        <f t="shared" si="48"/>
        <v>0.10500892432493747</v>
      </c>
      <c r="E91" s="2">
        <f t="shared" si="49"/>
        <v>360.1318359375</v>
      </c>
      <c r="F91">
        <f t="shared" si="18"/>
        <v>-0.17134556142024093</v>
      </c>
    </row>
    <row r="92" spans="1:6" x14ac:dyDescent="0.45">
      <c r="A92">
        <f t="shared" si="45"/>
        <v>360.1318359375</v>
      </c>
      <c r="B92">
        <f t="shared" si="46"/>
        <v>360.17578125</v>
      </c>
      <c r="C92">
        <f t="shared" si="47"/>
        <v>-0.17134556142024093</v>
      </c>
      <c r="D92">
        <f t="shared" si="48"/>
        <v>0.10500892432493747</v>
      </c>
      <c r="E92" s="2">
        <f t="shared" si="49"/>
        <v>360.15380859375</v>
      </c>
      <c r="F92">
        <f t="shared" si="18"/>
        <v>-3.3176887207252981E-2</v>
      </c>
    </row>
    <row r="93" spans="1:6" x14ac:dyDescent="0.45">
      <c r="A93">
        <f>IF(F92&lt;0,E92,A92)</f>
        <v>360.15380859375</v>
      </c>
      <c r="B93">
        <f t="shared" si="46"/>
        <v>360.17578125</v>
      </c>
      <c r="C93">
        <f t="shared" si="47"/>
        <v>-3.3176887207252981E-2</v>
      </c>
      <c r="D93">
        <f t="shared" si="48"/>
        <v>0.10500892432493747</v>
      </c>
      <c r="E93" s="2">
        <f t="shared" si="49"/>
        <v>360.164794921875</v>
      </c>
      <c r="F93">
        <f t="shared" si="18"/>
        <v>3.591387385128697E-2</v>
      </c>
    </row>
    <row r="94" spans="1:6" x14ac:dyDescent="0.45">
      <c r="A94">
        <f t="shared" ref="A94:A104" si="50">IF(F93&lt;0,E93,A93)</f>
        <v>360.15380859375</v>
      </c>
      <c r="B94">
        <f t="shared" ref="B94:B104" si="51">IF(F93&gt;0,E93,B93)</f>
        <v>360.164794921875</v>
      </c>
      <c r="C94">
        <f t="shared" ref="C94:C104" si="52">A94*TAN(RADIANS(A94))-1</f>
        <v>-3.3176887207252981E-2</v>
      </c>
      <c r="D94">
        <f t="shared" ref="D94:D104" si="53">B94*TAN(RADIANS(B94))-1</f>
        <v>3.591387385128697E-2</v>
      </c>
      <c r="E94" s="2">
        <f t="shared" ref="E94:E104" si="54">(A94+B94)/2</f>
        <v>360.1593017578125</v>
      </c>
      <c r="F94">
        <f t="shared" si="18"/>
        <v>1.3679574630052205E-3</v>
      </c>
    </row>
    <row r="95" spans="1:6" x14ac:dyDescent="0.45">
      <c r="A95">
        <f t="shared" si="50"/>
        <v>360.15380859375</v>
      </c>
      <c r="B95">
        <f t="shared" si="51"/>
        <v>360.1593017578125</v>
      </c>
      <c r="C95">
        <f t="shared" si="52"/>
        <v>-3.3176887207252981E-2</v>
      </c>
      <c r="D95">
        <f t="shared" si="53"/>
        <v>1.3679574630052205E-3</v>
      </c>
      <c r="E95" s="2">
        <f t="shared" si="54"/>
        <v>360.15655517578125</v>
      </c>
      <c r="F95">
        <f t="shared" si="18"/>
        <v>-1.590459879714945E-2</v>
      </c>
    </row>
    <row r="96" spans="1:6" x14ac:dyDescent="0.45">
      <c r="A96">
        <f t="shared" si="50"/>
        <v>360.15655517578125</v>
      </c>
      <c r="B96">
        <f t="shared" si="51"/>
        <v>360.1593017578125</v>
      </c>
      <c r="C96">
        <f t="shared" si="52"/>
        <v>-1.590459879714945E-2</v>
      </c>
      <c r="D96">
        <f t="shared" si="53"/>
        <v>1.3679574630052205E-3</v>
      </c>
      <c r="E96" s="2">
        <f t="shared" si="54"/>
        <v>360.15792846679688</v>
      </c>
      <c r="F96">
        <f t="shared" si="18"/>
        <v>-7.2683541532942986E-3</v>
      </c>
    </row>
    <row r="97" spans="1:6" x14ac:dyDescent="0.45">
      <c r="A97">
        <f t="shared" si="50"/>
        <v>360.15792846679688</v>
      </c>
      <c r="B97">
        <f t="shared" si="51"/>
        <v>360.1593017578125</v>
      </c>
      <c r="C97">
        <f t="shared" si="52"/>
        <v>-7.2683541532942986E-3</v>
      </c>
      <c r="D97">
        <f t="shared" si="53"/>
        <v>1.3679574630052205E-3</v>
      </c>
      <c r="E97" s="2">
        <f t="shared" si="54"/>
        <v>360.15861511230469</v>
      </c>
      <c r="F97">
        <f t="shared" si="18"/>
        <v>-2.9502067171609525E-3</v>
      </c>
    </row>
    <row r="98" spans="1:6" x14ac:dyDescent="0.45">
      <c r="A98">
        <f t="shared" si="50"/>
        <v>360.15861511230469</v>
      </c>
      <c r="B98">
        <f t="shared" si="51"/>
        <v>360.1593017578125</v>
      </c>
      <c r="C98">
        <f t="shared" si="52"/>
        <v>-2.9502067171609525E-3</v>
      </c>
      <c r="D98">
        <f t="shared" si="53"/>
        <v>1.3679574630052205E-3</v>
      </c>
      <c r="E98" s="2">
        <f t="shared" si="54"/>
        <v>360.15895843505859</v>
      </c>
      <c r="F98">
        <f t="shared" si="18"/>
        <v>-7.9112672019943098E-4</v>
      </c>
    </row>
    <row r="99" spans="1:6" x14ac:dyDescent="0.45">
      <c r="A99">
        <f t="shared" si="50"/>
        <v>360.15895843505859</v>
      </c>
      <c r="B99">
        <f t="shared" si="51"/>
        <v>360.1593017578125</v>
      </c>
      <c r="C99">
        <f t="shared" si="52"/>
        <v>-7.9112672019943098E-4</v>
      </c>
      <c r="D99">
        <f t="shared" si="53"/>
        <v>1.3679574630052205E-3</v>
      </c>
      <c r="E99" s="2">
        <f t="shared" si="54"/>
        <v>360.15913009643555</v>
      </c>
      <c r="F99">
        <f t="shared" si="18"/>
        <v>2.8841484811281681E-4</v>
      </c>
    </row>
    <row r="100" spans="1:6" x14ac:dyDescent="0.45">
      <c r="A100">
        <f t="shared" si="50"/>
        <v>360.15895843505859</v>
      </c>
      <c r="B100">
        <f t="shared" si="51"/>
        <v>360.15913009643555</v>
      </c>
      <c r="C100">
        <f t="shared" si="52"/>
        <v>-7.9112672019943098E-4</v>
      </c>
      <c r="D100">
        <f t="shared" si="53"/>
        <v>2.8841484811281681E-4</v>
      </c>
      <c r="E100" s="2">
        <f t="shared" si="54"/>
        <v>360.15904426574707</v>
      </c>
      <c r="F100">
        <f t="shared" si="18"/>
        <v>-2.5135606686466083E-4</v>
      </c>
    </row>
    <row r="101" spans="1:6" x14ac:dyDescent="0.45">
      <c r="A101">
        <f t="shared" si="50"/>
        <v>360.15904426574707</v>
      </c>
      <c r="B101">
        <f t="shared" si="51"/>
        <v>360.15913009643555</v>
      </c>
      <c r="C101">
        <f t="shared" si="52"/>
        <v>-2.5135606686466083E-4</v>
      </c>
      <c r="D101">
        <f t="shared" si="53"/>
        <v>2.8841484811281681E-4</v>
      </c>
      <c r="E101" s="1">
        <f t="shared" si="54"/>
        <v>360.15908718109131</v>
      </c>
      <c r="F101">
        <f t="shared" si="18"/>
        <v>1.8529358078334113E-5</v>
      </c>
    </row>
    <row r="102" spans="1:6" x14ac:dyDescent="0.45">
      <c r="A102">
        <f t="shared" si="50"/>
        <v>360.15904426574707</v>
      </c>
      <c r="B102">
        <f t="shared" si="51"/>
        <v>360.15908718109131</v>
      </c>
      <c r="C102">
        <f t="shared" si="52"/>
        <v>-2.5135606686466083E-4</v>
      </c>
      <c r="D102">
        <f t="shared" si="53"/>
        <v>1.8529358078334113E-5</v>
      </c>
      <c r="E102" s="2">
        <f t="shared" si="54"/>
        <v>360.15906572341919</v>
      </c>
      <c r="F102">
        <f t="shared" si="18"/>
        <v>-1.1641336272949498E-4</v>
      </c>
    </row>
    <row r="103" spans="1:6" x14ac:dyDescent="0.45">
      <c r="A103">
        <f t="shared" si="50"/>
        <v>360.15906572341919</v>
      </c>
      <c r="B103">
        <f t="shared" si="51"/>
        <v>360.15908718109131</v>
      </c>
      <c r="C103">
        <f t="shared" si="52"/>
        <v>-1.1641336272949498E-4</v>
      </c>
      <c r="D103">
        <f t="shared" si="53"/>
        <v>1.8529358078334113E-5</v>
      </c>
      <c r="E103" s="2">
        <f t="shared" si="54"/>
        <v>360.15907645225525</v>
      </c>
      <c r="F103">
        <f t="shared" si="18"/>
        <v>-4.8942004529428651E-5</v>
      </c>
    </row>
    <row r="104" spans="1:6" x14ac:dyDescent="0.45">
      <c r="A104">
        <f t="shared" si="50"/>
        <v>360.15907645225525</v>
      </c>
      <c r="B104">
        <f t="shared" si="51"/>
        <v>360.15908718109131</v>
      </c>
      <c r="C104">
        <f t="shared" si="52"/>
        <v>-4.8942004529428651E-5</v>
      </c>
      <c r="D104">
        <f t="shared" si="53"/>
        <v>1.8529358078334113E-5</v>
      </c>
      <c r="E104" s="2">
        <f t="shared" si="54"/>
        <v>360.15908181667328</v>
      </c>
      <c r="F104">
        <f t="shared" si="18"/>
        <v>-1.5206323576544278E-5</v>
      </c>
    </row>
    <row r="105" spans="1:6" x14ac:dyDescent="0.45">
      <c r="E105" s="2"/>
    </row>
    <row r="106" spans="1:6" x14ac:dyDescent="0.45">
      <c r="E106" s="2"/>
    </row>
    <row r="109" spans="1:6" x14ac:dyDescent="0.45">
      <c r="A109" t="s">
        <v>33</v>
      </c>
      <c r="B109" t="s">
        <v>35</v>
      </c>
      <c r="C109" s="3" t="s">
        <v>55</v>
      </c>
    </row>
    <row r="110" spans="1:6" x14ac:dyDescent="0.45">
      <c r="A110">
        <v>1</v>
      </c>
      <c r="B110">
        <f>A110^4-EXP(A110)+1</f>
        <v>-0.71828182845904509</v>
      </c>
    </row>
    <row r="111" spans="1:6" x14ac:dyDescent="0.45">
      <c r="A111">
        <v>2</v>
      </c>
      <c r="B111">
        <f t="shared" ref="B111:B124" si="55">A111^4-EXP(A111)+1</f>
        <v>9.6109439010693496</v>
      </c>
    </row>
    <row r="112" spans="1:6" x14ac:dyDescent="0.45">
      <c r="A112">
        <v>3</v>
      </c>
      <c r="B112">
        <f t="shared" si="55"/>
        <v>61.914463076812332</v>
      </c>
    </row>
    <row r="113" spans="1:6" x14ac:dyDescent="0.45">
      <c r="A113">
        <v>4</v>
      </c>
      <c r="B113">
        <f t="shared" si="55"/>
        <v>202.40184996685576</v>
      </c>
    </row>
    <row r="114" spans="1:6" x14ac:dyDescent="0.45">
      <c r="A114">
        <v>5</v>
      </c>
      <c r="B114">
        <f t="shared" si="55"/>
        <v>477.58684089742337</v>
      </c>
    </row>
    <row r="115" spans="1:6" x14ac:dyDescent="0.45">
      <c r="A115">
        <v>6</v>
      </c>
      <c r="B115">
        <f t="shared" si="55"/>
        <v>893.57120650726483</v>
      </c>
    </row>
    <row r="116" spans="1:6" x14ac:dyDescent="0.45">
      <c r="A116">
        <v>7</v>
      </c>
      <c r="B116">
        <f t="shared" si="55"/>
        <v>1305.3668415715415</v>
      </c>
    </row>
    <row r="117" spans="1:6" x14ac:dyDescent="0.45">
      <c r="A117">
        <v>8</v>
      </c>
      <c r="B117">
        <f t="shared" si="55"/>
        <v>1116.0420129582717</v>
      </c>
    </row>
    <row r="118" spans="1:6" x14ac:dyDescent="0.45">
      <c r="A118">
        <v>9</v>
      </c>
      <c r="B118">
        <f t="shared" si="55"/>
        <v>-1541.0839275753842</v>
      </c>
    </row>
    <row r="119" spans="1:6" x14ac:dyDescent="0.45">
      <c r="A119">
        <v>10</v>
      </c>
      <c r="B119">
        <f t="shared" si="55"/>
        <v>-12025.465794806718</v>
      </c>
    </row>
    <row r="123" spans="1:6" x14ac:dyDescent="0.45">
      <c r="A123" t="s">
        <v>25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</row>
    <row r="124" spans="1:6" x14ac:dyDescent="0.45">
      <c r="A124">
        <v>1</v>
      </c>
      <c r="B124">
        <v>2</v>
      </c>
      <c r="C124">
        <f>A124^4-EXP(A124)+1</f>
        <v>-0.71828182845904509</v>
      </c>
      <c r="D124">
        <f>B124^4-EXP(B124)+1</f>
        <v>9.6109439010693496</v>
      </c>
      <c r="E124">
        <f>(A124+B124)/2</f>
        <v>1.5</v>
      </c>
      <c r="F124">
        <f>E124^4-EXP(E124)+1</f>
        <v>1.5808109296619355</v>
      </c>
    </row>
    <row r="125" spans="1:6" x14ac:dyDescent="0.45">
      <c r="A125">
        <f>IF(F124&lt;0,E124,A124)</f>
        <v>1</v>
      </c>
      <c r="B125">
        <f>IF(F124&gt;0,E124,B124)</f>
        <v>1.5</v>
      </c>
      <c r="C125">
        <f>A125^4-EXP(A125)+1</f>
        <v>-0.71828182845904509</v>
      </c>
      <c r="D125">
        <f>B125^4-EXP(B125)+1</f>
        <v>1.5808109296619355</v>
      </c>
      <c r="E125">
        <f>(A125+B125)/2</f>
        <v>1.25</v>
      </c>
      <c r="F125">
        <f>E125^4-EXP(E125)+1</f>
        <v>-4.8936707461841422E-2</v>
      </c>
    </row>
    <row r="126" spans="1:6" x14ac:dyDescent="0.45">
      <c r="A126">
        <f t="shared" ref="A126:A135" si="56">IF(F125&lt;0,E125,A125)</f>
        <v>1.25</v>
      </c>
      <c r="B126">
        <f t="shared" ref="B126:B135" si="57">IF(F125&gt;0,E125,B125)</f>
        <v>1.5</v>
      </c>
      <c r="C126">
        <f t="shared" ref="C126:C135" si="58">A126^4-EXP(A126)+1</f>
        <v>-4.8936707461841422E-2</v>
      </c>
      <c r="D126">
        <f t="shared" ref="D126:D135" si="59">B126^4-EXP(B126)+1</f>
        <v>1.5808109296619355</v>
      </c>
      <c r="E126">
        <f t="shared" ref="E126:E135" si="60">(A126+B126)/2</f>
        <v>1.375</v>
      </c>
      <c r="F126">
        <f t="shared" ref="F126:F148" si="61">E126^4-EXP(E126)+1</f>
        <v>0.61938616770442279</v>
      </c>
    </row>
    <row r="127" spans="1:6" x14ac:dyDescent="0.45">
      <c r="A127">
        <f t="shared" si="56"/>
        <v>1.25</v>
      </c>
      <c r="B127">
        <f t="shared" si="57"/>
        <v>1.375</v>
      </c>
      <c r="C127">
        <f t="shared" si="58"/>
        <v>-4.8936707461841422E-2</v>
      </c>
      <c r="D127">
        <f t="shared" si="59"/>
        <v>0.61938616770442279</v>
      </c>
      <c r="E127">
        <f t="shared" si="60"/>
        <v>1.3125</v>
      </c>
      <c r="F127">
        <f t="shared" si="61"/>
        <v>0.25209381772295858</v>
      </c>
    </row>
    <row r="128" spans="1:6" x14ac:dyDescent="0.45">
      <c r="A128">
        <f t="shared" si="56"/>
        <v>1.25</v>
      </c>
      <c r="B128">
        <f t="shared" si="57"/>
        <v>1.3125</v>
      </c>
      <c r="C128">
        <f t="shared" si="58"/>
        <v>-4.8936707461841422E-2</v>
      </c>
      <c r="D128">
        <f t="shared" si="59"/>
        <v>0.25209381772295858</v>
      </c>
      <c r="E128">
        <f t="shared" si="60"/>
        <v>1.28125</v>
      </c>
      <c r="F128">
        <f t="shared" si="61"/>
        <v>9.3717353730265796E-2</v>
      </c>
    </row>
    <row r="129" spans="1:6" x14ac:dyDescent="0.45">
      <c r="A129">
        <f t="shared" si="56"/>
        <v>1.25</v>
      </c>
      <c r="B129">
        <f t="shared" si="57"/>
        <v>1.28125</v>
      </c>
      <c r="C129">
        <f t="shared" si="58"/>
        <v>-4.8936707461841422E-2</v>
      </c>
      <c r="D129">
        <f t="shared" si="59"/>
        <v>9.3717353730265796E-2</v>
      </c>
      <c r="E129">
        <f t="shared" si="60"/>
        <v>1.265625</v>
      </c>
      <c r="F129">
        <f t="shared" si="61"/>
        <v>2.0476652726806766E-2</v>
      </c>
    </row>
    <row r="130" spans="1:6" x14ac:dyDescent="0.45">
      <c r="A130">
        <f t="shared" si="56"/>
        <v>1.25</v>
      </c>
      <c r="B130">
        <f t="shared" si="57"/>
        <v>1.265625</v>
      </c>
      <c r="C130">
        <f t="shared" si="58"/>
        <v>-4.8936707461841422E-2</v>
      </c>
      <c r="D130">
        <f t="shared" si="59"/>
        <v>2.0476652726806766E-2</v>
      </c>
      <c r="E130">
        <f t="shared" si="60"/>
        <v>1.2578125</v>
      </c>
      <c r="F130">
        <f t="shared" si="61"/>
        <v>-1.4702057810130675E-2</v>
      </c>
    </row>
    <row r="131" spans="1:6" x14ac:dyDescent="0.45">
      <c r="A131">
        <f t="shared" si="56"/>
        <v>1.2578125</v>
      </c>
      <c r="B131">
        <f t="shared" si="57"/>
        <v>1.265625</v>
      </c>
      <c r="C131">
        <f t="shared" si="58"/>
        <v>-1.4702057810130675E-2</v>
      </c>
      <c r="D131">
        <f t="shared" si="59"/>
        <v>2.0476652726806766E-2</v>
      </c>
      <c r="E131">
        <f t="shared" si="60"/>
        <v>1.26171875</v>
      </c>
      <c r="F131">
        <f t="shared" si="61"/>
        <v>2.7684944305326198E-3</v>
      </c>
    </row>
    <row r="132" spans="1:6" x14ac:dyDescent="0.45">
      <c r="A132">
        <f t="shared" si="56"/>
        <v>1.2578125</v>
      </c>
      <c r="B132">
        <f t="shared" si="57"/>
        <v>1.26171875</v>
      </c>
      <c r="C132">
        <f t="shared" si="58"/>
        <v>-1.4702057810130675E-2</v>
      </c>
      <c r="D132">
        <f t="shared" si="59"/>
        <v>2.7684944305326198E-3</v>
      </c>
      <c r="E132">
        <f t="shared" si="60"/>
        <v>1.259765625</v>
      </c>
      <c r="F132">
        <f t="shared" si="61"/>
        <v>-5.9963828333589042E-3</v>
      </c>
    </row>
    <row r="133" spans="1:6" x14ac:dyDescent="0.45">
      <c r="A133">
        <f t="shared" si="56"/>
        <v>1.259765625</v>
      </c>
      <c r="B133">
        <f t="shared" si="57"/>
        <v>1.26171875</v>
      </c>
      <c r="C133">
        <f t="shared" si="58"/>
        <v>-5.9963828333589042E-3</v>
      </c>
      <c r="D133">
        <f t="shared" si="59"/>
        <v>2.7684944305326198E-3</v>
      </c>
      <c r="E133" s="1">
        <f t="shared" si="60"/>
        <v>1.2607421875</v>
      </c>
      <c r="F133">
        <f t="shared" si="61"/>
        <v>-1.6213569273406669E-3</v>
      </c>
    </row>
    <row r="134" spans="1:6" x14ac:dyDescent="0.45">
      <c r="A134">
        <f t="shared" si="56"/>
        <v>1.2607421875</v>
      </c>
      <c r="B134">
        <f t="shared" si="57"/>
        <v>1.26171875</v>
      </c>
      <c r="C134">
        <f t="shared" si="58"/>
        <v>-1.6213569273406669E-3</v>
      </c>
      <c r="D134">
        <f t="shared" si="59"/>
        <v>2.7684944305326198E-3</v>
      </c>
      <c r="E134">
        <f t="shared" si="60"/>
        <v>1.26123046875</v>
      </c>
      <c r="F134">
        <f t="shared" si="61"/>
        <v>5.7171401409084055E-4</v>
      </c>
    </row>
    <row r="135" spans="1:6" x14ac:dyDescent="0.45">
      <c r="A135">
        <f t="shared" si="56"/>
        <v>1.2607421875</v>
      </c>
      <c r="B135">
        <f t="shared" si="57"/>
        <v>1.26123046875</v>
      </c>
      <c r="C135">
        <f t="shared" si="58"/>
        <v>-1.6213569273406669E-3</v>
      </c>
      <c r="D135">
        <f t="shared" si="59"/>
        <v>5.7171401409084055E-4</v>
      </c>
      <c r="E135">
        <f t="shared" si="60"/>
        <v>1.260986328125</v>
      </c>
      <c r="F135">
        <f t="shared" si="61"/>
        <v>-5.2528494645276425E-4</v>
      </c>
    </row>
    <row r="136" spans="1:6" x14ac:dyDescent="0.45">
      <c r="A136">
        <f>IF(F135&lt;0,E135,A135)</f>
        <v>1.260986328125</v>
      </c>
      <c r="B136">
        <f>IF(F135&gt;0,E135,B135)</f>
        <v>1.26123046875</v>
      </c>
      <c r="C136">
        <f>A136^4-EXP(A136)+1</f>
        <v>-5.2528494645276425E-4</v>
      </c>
      <c r="D136">
        <f>B136^4-EXP(B136)+1</f>
        <v>5.7171401409084055E-4</v>
      </c>
      <c r="E136">
        <f>(A136+B136)/2</f>
        <v>1.2611083984375</v>
      </c>
      <c r="F136">
        <f>E136^4-EXP(E136)+1</f>
        <v>2.3098637046192749E-5</v>
      </c>
    </row>
    <row r="137" spans="1:6" x14ac:dyDescent="0.45">
      <c r="A137">
        <f t="shared" ref="A137" si="62">IF(F136&lt;0,E136,A136)</f>
        <v>1.260986328125</v>
      </c>
      <c r="B137">
        <f t="shared" ref="B137" si="63">IF(F136&gt;0,E136,B136)</f>
        <v>1.2611083984375</v>
      </c>
      <c r="C137">
        <f t="shared" ref="C137:C139" si="64">A137^4-EXP(A137)+1</f>
        <v>-5.2528494645276425E-4</v>
      </c>
      <c r="D137">
        <f t="shared" ref="D137:D139" si="65">B137^4-EXP(B137)+1</f>
        <v>2.3098637046192749E-5</v>
      </c>
      <c r="E137">
        <f t="shared" ref="E137:E139" si="66">(A137+B137)/2</f>
        <v>1.26104736328125</v>
      </c>
      <c r="F137">
        <f t="shared" si="61"/>
        <v>-2.5112212585653992E-4</v>
      </c>
    </row>
    <row r="139" spans="1:6" x14ac:dyDescent="0.45">
      <c r="A139">
        <v>8</v>
      </c>
      <c r="B139">
        <v>9</v>
      </c>
      <c r="C139">
        <f t="shared" si="64"/>
        <v>1116.0420129582717</v>
      </c>
      <c r="D139">
        <f t="shared" si="65"/>
        <v>-1541.0839275753842</v>
      </c>
      <c r="E139">
        <f t="shared" si="66"/>
        <v>8.5</v>
      </c>
      <c r="F139">
        <f t="shared" si="61"/>
        <v>306.29365970086565</v>
      </c>
    </row>
    <row r="140" spans="1:6" x14ac:dyDescent="0.45">
      <c r="A140">
        <f>IF(F139&gt;0,E139,A139)</f>
        <v>8.5</v>
      </c>
      <c r="B140">
        <f>IF(F139&lt;0,E139,B139)</f>
        <v>9</v>
      </c>
      <c r="C140">
        <f t="shared" ref="C140" si="67">A140^4-EXP(A140)+1</f>
        <v>306.29365970086565</v>
      </c>
      <c r="D140">
        <f t="shared" ref="D140" si="68">B140^4-EXP(B140)+1</f>
        <v>-1541.0839275753842</v>
      </c>
      <c r="E140">
        <f t="shared" ref="E140" si="69">(A140+B140)/2</f>
        <v>8.75</v>
      </c>
      <c r="F140">
        <f t="shared" si="61"/>
        <v>-447.87170183902435</v>
      </c>
    </row>
    <row r="141" spans="1:6" x14ac:dyDescent="0.45">
      <c r="A141">
        <f t="shared" ref="A141:A148" si="70">IF(F140&gt;0,E140,A140)</f>
        <v>8.5</v>
      </c>
      <c r="B141">
        <f t="shared" ref="B141:B148" si="71">IF(F140&lt;0,E140,B140)</f>
        <v>8.75</v>
      </c>
      <c r="C141">
        <f t="shared" ref="C141:C148" si="72">A141^4-EXP(A141)+1</f>
        <v>306.29365970086565</v>
      </c>
      <c r="D141">
        <f t="shared" ref="D141:D148" si="73">B141^4-EXP(B141)+1</f>
        <v>-447.87170183902435</v>
      </c>
      <c r="E141">
        <f t="shared" ref="E141:E148" si="74">(A141+B141)/2</f>
        <v>8.625</v>
      </c>
      <c r="F141">
        <f t="shared" si="61"/>
        <v>-34.197620675378857</v>
      </c>
    </row>
    <row r="142" spans="1:6" x14ac:dyDescent="0.45">
      <c r="A142">
        <f t="shared" si="70"/>
        <v>8.5</v>
      </c>
      <c r="B142">
        <f t="shared" si="71"/>
        <v>8.625</v>
      </c>
      <c r="C142">
        <f t="shared" si="72"/>
        <v>306.29365970086565</v>
      </c>
      <c r="D142">
        <f t="shared" si="73"/>
        <v>-34.197620675378857</v>
      </c>
      <c r="E142">
        <f t="shared" si="74"/>
        <v>8.5625</v>
      </c>
      <c r="F142">
        <f t="shared" si="61"/>
        <v>144.55122805445626</v>
      </c>
    </row>
    <row r="143" spans="1:6" x14ac:dyDescent="0.45">
      <c r="A143">
        <f t="shared" si="70"/>
        <v>8.5625</v>
      </c>
      <c r="B143">
        <f t="shared" si="71"/>
        <v>8.625</v>
      </c>
      <c r="C143">
        <f t="shared" si="72"/>
        <v>144.55122805445626</v>
      </c>
      <c r="D143">
        <f t="shared" si="73"/>
        <v>-34.197620675378857</v>
      </c>
      <c r="E143">
        <f t="shared" si="74"/>
        <v>8.59375</v>
      </c>
      <c r="F143">
        <f t="shared" si="61"/>
        <v>57.379940629622979</v>
      </c>
    </row>
    <row r="144" spans="1:6" x14ac:dyDescent="0.45">
      <c r="A144">
        <f t="shared" si="70"/>
        <v>8.59375</v>
      </c>
      <c r="B144">
        <f t="shared" si="71"/>
        <v>8.625</v>
      </c>
      <c r="C144">
        <f t="shared" si="72"/>
        <v>57.379940629622979</v>
      </c>
      <c r="D144">
        <f t="shared" si="73"/>
        <v>-34.197620675378857</v>
      </c>
      <c r="E144" s="2">
        <f t="shared" si="74"/>
        <v>8.609375</v>
      </c>
      <c r="F144">
        <f t="shared" si="61"/>
        <v>12.151887009580605</v>
      </c>
    </row>
    <row r="145" spans="1:6" x14ac:dyDescent="0.45">
      <c r="A145">
        <f t="shared" si="70"/>
        <v>8.609375</v>
      </c>
      <c r="B145">
        <f t="shared" si="71"/>
        <v>8.625</v>
      </c>
      <c r="C145">
        <f t="shared" si="72"/>
        <v>12.151887009580605</v>
      </c>
      <c r="D145">
        <f t="shared" si="73"/>
        <v>-34.197620675378857</v>
      </c>
      <c r="E145">
        <f t="shared" si="74"/>
        <v>8.6171875</v>
      </c>
      <c r="F145">
        <f t="shared" si="61"/>
        <v>-10.881424569734008</v>
      </c>
    </row>
    <row r="146" spans="1:6" x14ac:dyDescent="0.45">
      <c r="A146">
        <f t="shared" si="70"/>
        <v>8.609375</v>
      </c>
      <c r="B146">
        <f t="shared" si="71"/>
        <v>8.6171875</v>
      </c>
      <c r="C146">
        <f t="shared" si="72"/>
        <v>12.151887009580605</v>
      </c>
      <c r="D146">
        <f t="shared" si="73"/>
        <v>-10.881424569734008</v>
      </c>
      <c r="E146" s="1">
        <f t="shared" si="74"/>
        <v>8.61328125</v>
      </c>
      <c r="F146">
        <f t="shared" si="61"/>
        <v>0.67043342634042347</v>
      </c>
    </row>
    <row r="147" spans="1:6" x14ac:dyDescent="0.45">
      <c r="A147">
        <f t="shared" si="70"/>
        <v>8.61328125</v>
      </c>
      <c r="B147">
        <f t="shared" si="71"/>
        <v>8.6171875</v>
      </c>
      <c r="C147">
        <f t="shared" si="72"/>
        <v>0.67043342634042347</v>
      </c>
      <c r="D147">
        <f t="shared" si="73"/>
        <v>-10.881424569734008</v>
      </c>
      <c r="E147">
        <f t="shared" si="74"/>
        <v>8.615234375</v>
      </c>
      <c r="F147">
        <f t="shared" si="61"/>
        <v>-5.0966752751510285</v>
      </c>
    </row>
    <row r="148" spans="1:6" x14ac:dyDescent="0.45">
      <c r="A148">
        <f t="shared" si="70"/>
        <v>8.61328125</v>
      </c>
      <c r="B148">
        <f t="shared" si="71"/>
        <v>8.615234375</v>
      </c>
      <c r="C148">
        <f t="shared" si="72"/>
        <v>0.67043342634042347</v>
      </c>
      <c r="D148">
        <f t="shared" si="73"/>
        <v>-5.0966752751510285</v>
      </c>
      <c r="E148">
        <f t="shared" si="74"/>
        <v>8.6142578125</v>
      </c>
      <c r="F148">
        <f t="shared" si="61"/>
        <v>-2.2109183215034136</v>
      </c>
    </row>
    <row r="152" spans="1:6" x14ac:dyDescent="0.45">
      <c r="A152" t="s">
        <v>33</v>
      </c>
      <c r="B152" t="s">
        <v>35</v>
      </c>
      <c r="C152" s="3" t="s">
        <v>56</v>
      </c>
    </row>
    <row r="153" spans="1:6" x14ac:dyDescent="0.45">
      <c r="A153">
        <v>-10</v>
      </c>
      <c r="B153">
        <f>A153^2*EXP(A153)-1</f>
        <v>-0.99546000702375148</v>
      </c>
    </row>
    <row r="154" spans="1:6" x14ac:dyDescent="0.45">
      <c r="A154">
        <v>-9</v>
      </c>
      <c r="B154">
        <f t="shared" ref="B154:B173" si="75">A154^2*EXP(A154)-1</f>
        <v>-0.99000380586897896</v>
      </c>
    </row>
    <row r="155" spans="1:6" x14ac:dyDescent="0.45">
      <c r="A155">
        <v>-8</v>
      </c>
      <c r="B155">
        <f t="shared" si="75"/>
        <v>-0.97853039181423929</v>
      </c>
    </row>
    <row r="156" spans="1:6" x14ac:dyDescent="0.45">
      <c r="A156">
        <v>-7</v>
      </c>
      <c r="B156">
        <f t="shared" si="75"/>
        <v>-0.95531778368782871</v>
      </c>
    </row>
    <row r="157" spans="1:6" x14ac:dyDescent="0.45">
      <c r="A157">
        <v>-6</v>
      </c>
      <c r="B157">
        <f t="shared" si="75"/>
        <v>-0.9107649216400111</v>
      </c>
    </row>
    <row r="158" spans="1:6" x14ac:dyDescent="0.45">
      <c r="A158">
        <v>-5</v>
      </c>
      <c r="B158">
        <f t="shared" si="75"/>
        <v>-0.83155132502286333</v>
      </c>
    </row>
    <row r="159" spans="1:6" x14ac:dyDescent="0.45">
      <c r="A159">
        <v>-4</v>
      </c>
      <c r="B159">
        <f t="shared" si="75"/>
        <v>-0.70694977778025314</v>
      </c>
    </row>
    <row r="160" spans="1:6" x14ac:dyDescent="0.45">
      <c r="A160">
        <v>-3</v>
      </c>
      <c r="B160">
        <f t="shared" si="75"/>
        <v>-0.55191638468922455</v>
      </c>
    </row>
    <row r="161" spans="1:6" x14ac:dyDescent="0.45">
      <c r="A161">
        <v>-2</v>
      </c>
      <c r="B161">
        <f t="shared" si="75"/>
        <v>-0.45865886705354919</v>
      </c>
    </row>
    <row r="162" spans="1:6" x14ac:dyDescent="0.45">
      <c r="A162">
        <v>-1</v>
      </c>
      <c r="B162">
        <f t="shared" si="75"/>
        <v>-0.63212055882855767</v>
      </c>
    </row>
    <row r="163" spans="1:6" x14ac:dyDescent="0.45">
      <c r="A163">
        <v>0</v>
      </c>
      <c r="B163">
        <f t="shared" si="75"/>
        <v>-1</v>
      </c>
    </row>
    <row r="164" spans="1:6" x14ac:dyDescent="0.45">
      <c r="A164">
        <v>1</v>
      </c>
      <c r="B164">
        <f t="shared" si="75"/>
        <v>1.7182818284590451</v>
      </c>
    </row>
    <row r="165" spans="1:6" x14ac:dyDescent="0.45">
      <c r="A165">
        <v>2</v>
      </c>
      <c r="B165">
        <f t="shared" si="75"/>
        <v>28.556224395722602</v>
      </c>
    </row>
    <row r="166" spans="1:6" x14ac:dyDescent="0.45">
      <c r="A166">
        <v>3</v>
      </c>
      <c r="B166">
        <f t="shared" si="75"/>
        <v>179.76983230868902</v>
      </c>
    </row>
    <row r="167" spans="1:6" x14ac:dyDescent="0.45">
      <c r="A167">
        <v>4</v>
      </c>
      <c r="B167">
        <f t="shared" si="75"/>
        <v>872.57040053030778</v>
      </c>
    </row>
    <row r="168" spans="1:6" x14ac:dyDescent="0.45">
      <c r="A168">
        <v>5</v>
      </c>
      <c r="B168">
        <f t="shared" si="75"/>
        <v>3709.3289775644148</v>
      </c>
    </row>
    <row r="169" spans="1:6" x14ac:dyDescent="0.45">
      <c r="A169">
        <v>6</v>
      </c>
      <c r="B169">
        <f t="shared" si="75"/>
        <v>14522.436565738464</v>
      </c>
    </row>
    <row r="170" spans="1:6" x14ac:dyDescent="0.45">
      <c r="A170">
        <v>7</v>
      </c>
      <c r="B170">
        <f t="shared" si="75"/>
        <v>53734.024762994464</v>
      </c>
    </row>
    <row r="171" spans="1:6" x14ac:dyDescent="0.45">
      <c r="A171">
        <v>8</v>
      </c>
      <c r="B171">
        <f t="shared" si="75"/>
        <v>190780.31117067061</v>
      </c>
    </row>
    <row r="172" spans="1:6" x14ac:dyDescent="0.45">
      <c r="A172">
        <v>9</v>
      </c>
      <c r="B172">
        <f t="shared" si="75"/>
        <v>656348.79813360609</v>
      </c>
    </row>
    <row r="173" spans="1:6" x14ac:dyDescent="0.45">
      <c r="A173">
        <v>10</v>
      </c>
      <c r="B173">
        <f t="shared" si="75"/>
        <v>2202645.5794806718</v>
      </c>
    </row>
    <row r="175" spans="1:6" x14ac:dyDescent="0.45">
      <c r="A175" t="s">
        <v>25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</row>
    <row r="176" spans="1:6" x14ac:dyDescent="0.45">
      <c r="A176">
        <v>0</v>
      </c>
      <c r="B176">
        <v>1</v>
      </c>
      <c r="C176">
        <f>A176^2*EXP(A176)-1</f>
        <v>-1</v>
      </c>
      <c r="D176">
        <f>B176^2*EXP(B176)-1</f>
        <v>1.7182818284590451</v>
      </c>
      <c r="E176">
        <f>(A176+B176)/2</f>
        <v>0.5</v>
      </c>
      <c r="F176">
        <f>E176^2*EXP(E176)-1</f>
        <v>-0.58781968232496795</v>
      </c>
    </row>
    <row r="177" spans="1:6" x14ac:dyDescent="0.45">
      <c r="A177">
        <f>IF(F176&lt;0,E176,A176)</f>
        <v>0.5</v>
      </c>
      <c r="B177">
        <f>IF(F176&gt;0,E176,B176)</f>
        <v>1</v>
      </c>
      <c r="C177">
        <f>A177^2*EXP(A177)-1</f>
        <v>-0.58781968232496795</v>
      </c>
      <c r="D177">
        <f>B177^2*EXP(B177)-1</f>
        <v>1.7182818284590451</v>
      </c>
      <c r="E177">
        <f>(A177+B177)/2</f>
        <v>0.75</v>
      </c>
      <c r="F177">
        <f>E177^2*EXP(E177)-1</f>
        <v>0.19081250934462957</v>
      </c>
    </row>
    <row r="178" spans="1:6" x14ac:dyDescent="0.45">
      <c r="A178">
        <f t="shared" ref="A178:A189" si="76">IF(F177&lt;0,E177,A177)</f>
        <v>0.5</v>
      </c>
      <c r="B178">
        <f t="shared" ref="B178:B189" si="77">IF(F177&gt;0,E177,B177)</f>
        <v>0.75</v>
      </c>
      <c r="C178">
        <f t="shared" ref="C178:C189" si="78">A178^2*EXP(A178)-1</f>
        <v>-0.58781968232496795</v>
      </c>
      <c r="D178">
        <f t="shared" ref="D178:D189" si="79">B178^2*EXP(B178)-1</f>
        <v>0.19081250934462957</v>
      </c>
      <c r="E178">
        <f t="shared" ref="E178:E189" si="80">(A178+B178)/2</f>
        <v>0.625</v>
      </c>
      <c r="F178">
        <f t="shared" ref="F178:F189" si="81">E178^2*EXP(E178)-1</f>
        <v>-0.27021642287803815</v>
      </c>
    </row>
    <row r="179" spans="1:6" x14ac:dyDescent="0.45">
      <c r="A179">
        <f t="shared" si="76"/>
        <v>0.625</v>
      </c>
      <c r="B179">
        <f t="shared" si="77"/>
        <v>0.75</v>
      </c>
      <c r="C179">
        <f t="shared" si="78"/>
        <v>-0.27021642287803815</v>
      </c>
      <c r="D179">
        <f t="shared" si="79"/>
        <v>0.19081250934462957</v>
      </c>
      <c r="E179">
        <f t="shared" si="80"/>
        <v>0.6875</v>
      </c>
      <c r="F179">
        <f t="shared" si="81"/>
        <v>-6.0010805392744837E-2</v>
      </c>
    </row>
    <row r="180" spans="1:6" x14ac:dyDescent="0.45">
      <c r="A180">
        <f t="shared" si="76"/>
        <v>0.6875</v>
      </c>
      <c r="B180">
        <f t="shared" si="77"/>
        <v>0.75</v>
      </c>
      <c r="C180">
        <f t="shared" si="78"/>
        <v>-6.0010805392744837E-2</v>
      </c>
      <c r="D180">
        <f t="shared" si="79"/>
        <v>0.19081250934462957</v>
      </c>
      <c r="E180">
        <f t="shared" si="80"/>
        <v>0.71875</v>
      </c>
      <c r="F180">
        <f t="shared" si="81"/>
        <v>5.9997581225722296E-2</v>
      </c>
    </row>
    <row r="181" spans="1:6" x14ac:dyDescent="0.45">
      <c r="A181">
        <f t="shared" si="76"/>
        <v>0.6875</v>
      </c>
      <c r="B181">
        <f t="shared" si="77"/>
        <v>0.71875</v>
      </c>
      <c r="C181">
        <f t="shared" si="78"/>
        <v>-6.0010805392744837E-2</v>
      </c>
      <c r="D181">
        <f t="shared" si="79"/>
        <v>5.9997581225722296E-2</v>
      </c>
      <c r="E181" s="1">
        <f t="shared" si="80"/>
        <v>0.703125</v>
      </c>
      <c r="F181">
        <f t="shared" si="81"/>
        <v>-1.3153213842503897E-3</v>
      </c>
    </row>
    <row r="182" spans="1:6" x14ac:dyDescent="0.45">
      <c r="A182">
        <f t="shared" si="76"/>
        <v>0.703125</v>
      </c>
      <c r="B182">
        <f t="shared" si="77"/>
        <v>0.71875</v>
      </c>
      <c r="C182">
        <f t="shared" si="78"/>
        <v>-1.3153213842503897E-3</v>
      </c>
      <c r="D182">
        <f t="shared" si="79"/>
        <v>5.9997581225722296E-2</v>
      </c>
      <c r="E182">
        <f t="shared" si="80"/>
        <v>0.7109375</v>
      </c>
      <c r="F182">
        <f t="shared" si="81"/>
        <v>2.9008775701908185E-2</v>
      </c>
    </row>
    <row r="183" spans="1:6" x14ac:dyDescent="0.45">
      <c r="A183">
        <f t="shared" si="76"/>
        <v>0.703125</v>
      </c>
      <c r="B183">
        <f t="shared" si="77"/>
        <v>0.7109375</v>
      </c>
      <c r="C183">
        <f t="shared" si="78"/>
        <v>-1.3153213842503897E-3</v>
      </c>
      <c r="D183">
        <f t="shared" si="79"/>
        <v>2.9008775701908185E-2</v>
      </c>
      <c r="E183">
        <f t="shared" si="80"/>
        <v>0.70703125</v>
      </c>
      <c r="F183">
        <f t="shared" si="81"/>
        <v>1.376429106124144E-2</v>
      </c>
    </row>
    <row r="184" spans="1:6" x14ac:dyDescent="0.45">
      <c r="A184">
        <f t="shared" si="76"/>
        <v>0.703125</v>
      </c>
      <c r="B184">
        <f t="shared" si="77"/>
        <v>0.70703125</v>
      </c>
      <c r="C184">
        <f t="shared" si="78"/>
        <v>-1.3153213842503897E-3</v>
      </c>
      <c r="D184">
        <f t="shared" si="79"/>
        <v>1.376429106124144E-2</v>
      </c>
      <c r="E184">
        <f t="shared" si="80"/>
        <v>0.705078125</v>
      </c>
      <c r="F184">
        <f t="shared" si="81"/>
        <v>6.2039569010177154E-3</v>
      </c>
    </row>
    <row r="185" spans="1:6" x14ac:dyDescent="0.45">
      <c r="A185">
        <f t="shared" si="76"/>
        <v>0.703125</v>
      </c>
      <c r="B185">
        <f t="shared" si="77"/>
        <v>0.705078125</v>
      </c>
      <c r="C185">
        <f t="shared" si="78"/>
        <v>-1.3153213842503897E-3</v>
      </c>
      <c r="D185">
        <f t="shared" si="79"/>
        <v>6.2039569010177154E-3</v>
      </c>
      <c r="E185">
        <f t="shared" si="80"/>
        <v>0.7041015625</v>
      </c>
      <c r="F185">
        <f t="shared" si="81"/>
        <v>2.4391958806209146E-3</v>
      </c>
    </row>
    <row r="186" spans="1:6" x14ac:dyDescent="0.45">
      <c r="A186">
        <f t="shared" si="76"/>
        <v>0.703125</v>
      </c>
      <c r="B186">
        <f t="shared" si="77"/>
        <v>0.7041015625</v>
      </c>
      <c r="C186">
        <f t="shared" si="78"/>
        <v>-1.3153213842503897E-3</v>
      </c>
      <c r="D186">
        <f t="shared" si="79"/>
        <v>2.4391958806209146E-3</v>
      </c>
      <c r="E186">
        <f t="shared" si="80"/>
        <v>0.70361328125</v>
      </c>
      <c r="F186">
        <f t="shared" si="81"/>
        <v>5.6065804024574284E-4</v>
      </c>
    </row>
    <row r="187" spans="1:6" x14ac:dyDescent="0.45">
      <c r="A187">
        <f t="shared" si="76"/>
        <v>0.703125</v>
      </c>
      <c r="B187">
        <f t="shared" si="77"/>
        <v>0.70361328125</v>
      </c>
      <c r="C187">
        <f t="shared" si="78"/>
        <v>-1.3153213842503897E-3</v>
      </c>
      <c r="D187">
        <f t="shared" si="79"/>
        <v>5.6065804024574284E-4</v>
      </c>
      <c r="E187">
        <f t="shared" si="80"/>
        <v>0.703369140625</v>
      </c>
      <c r="F187">
        <f t="shared" si="81"/>
        <v>-3.7765131641342986E-4</v>
      </c>
    </row>
    <row r="188" spans="1:6" x14ac:dyDescent="0.45">
      <c r="A188">
        <f t="shared" si="76"/>
        <v>0.703369140625</v>
      </c>
      <c r="B188">
        <f t="shared" si="77"/>
        <v>0.70361328125</v>
      </c>
      <c r="C188">
        <f t="shared" si="78"/>
        <v>-3.7765131641342986E-4</v>
      </c>
      <c r="D188">
        <f t="shared" si="79"/>
        <v>5.6065804024574284E-4</v>
      </c>
      <c r="E188">
        <f t="shared" si="80"/>
        <v>0.7034912109375</v>
      </c>
      <c r="F188">
        <f t="shared" si="81"/>
        <v>9.1423431121784304E-5</v>
      </c>
    </row>
    <row r="189" spans="1:6" x14ac:dyDescent="0.45">
      <c r="A189">
        <f t="shared" si="76"/>
        <v>0.703369140625</v>
      </c>
      <c r="B189">
        <f t="shared" si="77"/>
        <v>0.7034912109375</v>
      </c>
      <c r="C189">
        <f t="shared" si="78"/>
        <v>-3.7765131641342986E-4</v>
      </c>
      <c r="D189">
        <f t="shared" si="79"/>
        <v>9.1423431121784304E-5</v>
      </c>
      <c r="E189">
        <f t="shared" si="80"/>
        <v>0.70343017578125</v>
      </c>
      <c r="F189">
        <f t="shared" si="81"/>
        <v>-1.4313392288256566E-4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68FA-496E-4587-98C7-BAC6061812E0}">
  <dimension ref="A1:E155"/>
  <sheetViews>
    <sheetView topLeftCell="A157" zoomScale="102" workbookViewId="0">
      <selection activeCell="I140" sqref="I140"/>
    </sheetView>
  </sheetViews>
  <sheetFormatPr defaultRowHeight="14.25" x14ac:dyDescent="0.45"/>
  <sheetData>
    <row r="1" spans="1:5" x14ac:dyDescent="0.45">
      <c r="A1" t="s">
        <v>33</v>
      </c>
      <c r="B1" t="s">
        <v>35</v>
      </c>
      <c r="C1" s="3" t="s">
        <v>52</v>
      </c>
    </row>
    <row r="2" spans="1:5" x14ac:dyDescent="0.45">
      <c r="A2">
        <v>1</v>
      </c>
      <c r="B2">
        <f t="shared" ref="B2:B11" si="0">A2-A2^(1/3)-2</f>
        <v>-2</v>
      </c>
    </row>
    <row r="3" spans="1:5" x14ac:dyDescent="0.45">
      <c r="A3">
        <v>2</v>
      </c>
      <c r="B3">
        <f t="shared" si="0"/>
        <v>-1.2599210498948732</v>
      </c>
    </row>
    <row r="4" spans="1:5" x14ac:dyDescent="0.45">
      <c r="A4">
        <v>3</v>
      </c>
      <c r="B4">
        <f t="shared" si="0"/>
        <v>-0.4422495703074083</v>
      </c>
    </row>
    <row r="5" spans="1:5" x14ac:dyDescent="0.45">
      <c r="A5">
        <v>4</v>
      </c>
      <c r="B5">
        <f t="shared" si="0"/>
        <v>0.41259894803180064</v>
      </c>
    </row>
    <row r="6" spans="1:5" x14ac:dyDescent="0.45">
      <c r="A6">
        <v>5</v>
      </c>
      <c r="B6">
        <f t="shared" si="0"/>
        <v>1.2900240533233029</v>
      </c>
    </row>
    <row r="7" spans="1:5" x14ac:dyDescent="0.45">
      <c r="A7">
        <v>6</v>
      </c>
      <c r="B7">
        <f t="shared" si="0"/>
        <v>2.1828794071678601</v>
      </c>
    </row>
    <row r="8" spans="1:5" x14ac:dyDescent="0.45">
      <c r="A8">
        <v>7</v>
      </c>
      <c r="B8">
        <f t="shared" si="0"/>
        <v>3.0870688172276113</v>
      </c>
    </row>
    <row r="9" spans="1:5" x14ac:dyDescent="0.45">
      <c r="A9">
        <v>8</v>
      </c>
      <c r="B9">
        <f t="shared" si="0"/>
        <v>4</v>
      </c>
    </row>
    <row r="10" spans="1:5" x14ac:dyDescent="0.45">
      <c r="A10">
        <v>9</v>
      </c>
      <c r="B10">
        <f t="shared" si="0"/>
        <v>4.9199161769480959</v>
      </c>
    </row>
    <row r="11" spans="1:5" x14ac:dyDescent="0.45">
      <c r="A11">
        <v>10</v>
      </c>
      <c r="B11">
        <f t="shared" si="0"/>
        <v>5.8455653099681157</v>
      </c>
    </row>
    <row r="15" spans="1:5" x14ac:dyDescent="0.45">
      <c r="A15" t="s">
        <v>50</v>
      </c>
      <c r="B15" t="s">
        <v>25</v>
      </c>
      <c r="C15" t="s">
        <v>51</v>
      </c>
      <c r="D15" t="s">
        <v>27</v>
      </c>
      <c r="E15" t="s">
        <v>26</v>
      </c>
    </row>
    <row r="16" spans="1:5" x14ac:dyDescent="0.45">
      <c r="A16">
        <v>3</v>
      </c>
      <c r="B16">
        <v>4</v>
      </c>
      <c r="C16">
        <f>A16-A16^(1/3)-2</f>
        <v>-0.4422495703074083</v>
      </c>
      <c r="D16">
        <f>B16-B16^(1/3)-2</f>
        <v>0.41259894803180064</v>
      </c>
      <c r="E16">
        <f>B16-(D16/(D16-C16))*(B16-A16)</f>
        <v>3.5173426178085987</v>
      </c>
    </row>
    <row r="17" spans="1:5" x14ac:dyDescent="0.45">
      <c r="A17">
        <f>B16</f>
        <v>4</v>
      </c>
      <c r="B17">
        <f>E16</f>
        <v>3.5173426178085987</v>
      </c>
      <c r="C17">
        <f>A17-A17^(1/3)-2</f>
        <v>0.41259894803180064</v>
      </c>
      <c r="D17">
        <f>B17-B17^(1/3)-2</f>
        <v>-3.4554709535195016E-3</v>
      </c>
      <c r="E17">
        <f>B17-(D17/(D17-C17))*(B17-A17)</f>
        <v>3.5213512486236049</v>
      </c>
    </row>
    <row r="18" spans="1:5" x14ac:dyDescent="0.45">
      <c r="A18">
        <f>B17</f>
        <v>3.5173426178085987</v>
      </c>
      <c r="B18">
        <f>E17</f>
        <v>3.5213512486236049</v>
      </c>
      <c r="C18">
        <f>A18-A18^(1/3)-2</f>
        <v>-3.4554709535195016E-3</v>
      </c>
      <c r="D18">
        <f>B18-B18^(1/3)-2</f>
        <v>-2.4359804829288123E-5</v>
      </c>
      <c r="E18">
        <f>B18-(D18/(D18-C18))*(B18-A18)</f>
        <v>3.5213797086355529</v>
      </c>
    </row>
    <row r="19" spans="1:5" x14ac:dyDescent="0.45">
      <c r="A19">
        <f>B18</f>
        <v>3.5213512486236049</v>
      </c>
      <c r="B19">
        <f>E18</f>
        <v>3.5213797086355529</v>
      </c>
      <c r="C19">
        <f>A19-A19^(1/3)-2</f>
        <v>-2.4359804829288123E-5</v>
      </c>
      <c r="D19">
        <f>B19-B19^(1/3)-2</f>
        <v>1.5672987352388645E-9</v>
      </c>
      <c r="E19">
        <f>B19-(D19/(D19-C19))*(B19-A19)</f>
        <v>3.5213797068045665</v>
      </c>
    </row>
    <row r="20" spans="1:5" x14ac:dyDescent="0.45">
      <c r="A20">
        <f>B19</f>
        <v>3.5213797086355529</v>
      </c>
      <c r="B20">
        <f>E19</f>
        <v>3.5213797068045665</v>
      </c>
      <c r="C20">
        <f>A20-A20^(1/3)-2</f>
        <v>1.5672987352388645E-9</v>
      </c>
      <c r="D20">
        <f>B20-B20^(1/3)-2</f>
        <v>0</v>
      </c>
      <c r="E20" s="1">
        <f>B20-(D20/(D20-C20))*(B20-A20)</f>
        <v>3.5213797068045665</v>
      </c>
    </row>
    <row r="24" spans="1:5" x14ac:dyDescent="0.45">
      <c r="A24" t="s">
        <v>33</v>
      </c>
      <c r="B24" t="s">
        <v>35</v>
      </c>
      <c r="C24" s="3" t="s">
        <v>54</v>
      </c>
    </row>
    <row r="25" spans="1:5" x14ac:dyDescent="0.45">
      <c r="A25">
        <v>0</v>
      </c>
      <c r="B25">
        <f>A25*TAN(RADIANS(A25))-1</f>
        <v>-1</v>
      </c>
    </row>
    <row r="26" spans="1:5" x14ac:dyDescent="0.45">
      <c r="A26">
        <v>15</v>
      </c>
      <c r="B26">
        <f t="shared" ref="B26:B50" si="1">A26*TAN(RADIANS(A26))-1</f>
        <v>3.0192378864668408</v>
      </c>
    </row>
    <row r="27" spans="1:5" x14ac:dyDescent="0.45">
      <c r="A27">
        <v>30</v>
      </c>
      <c r="B27">
        <f t="shared" si="1"/>
        <v>16.320508075688771</v>
      </c>
    </row>
    <row r="28" spans="1:5" x14ac:dyDescent="0.45">
      <c r="A28">
        <v>45</v>
      </c>
      <c r="B28">
        <f t="shared" si="1"/>
        <v>43.999999999999993</v>
      </c>
    </row>
    <row r="29" spans="1:5" x14ac:dyDescent="0.45">
      <c r="A29">
        <v>60</v>
      </c>
      <c r="B29">
        <f t="shared" si="1"/>
        <v>102.92304845413261</v>
      </c>
    </row>
    <row r="30" spans="1:5" x14ac:dyDescent="0.45">
      <c r="A30">
        <v>75</v>
      </c>
      <c r="B30">
        <f t="shared" si="1"/>
        <v>278.9038105676658</v>
      </c>
    </row>
    <row r="31" spans="1:5" x14ac:dyDescent="0.45">
      <c r="A31">
        <v>90</v>
      </c>
      <c r="B31">
        <f t="shared" si="1"/>
        <v>1.4692097049857165E+18</v>
      </c>
    </row>
    <row r="32" spans="1:5" x14ac:dyDescent="0.45">
      <c r="A32">
        <v>105</v>
      </c>
      <c r="B32">
        <f t="shared" si="1"/>
        <v>-392.86533479473201</v>
      </c>
    </row>
    <row r="33" spans="1:2" x14ac:dyDescent="0.45">
      <c r="A33">
        <v>120</v>
      </c>
      <c r="B33">
        <f t="shared" si="1"/>
        <v>-208.84609690826539</v>
      </c>
    </row>
    <row r="34" spans="1:2" x14ac:dyDescent="0.45">
      <c r="A34">
        <v>135</v>
      </c>
      <c r="B34">
        <f t="shared" si="1"/>
        <v>-136.00000000000003</v>
      </c>
    </row>
    <row r="35" spans="1:2" x14ac:dyDescent="0.45">
      <c r="A35">
        <v>150</v>
      </c>
      <c r="B35">
        <f t="shared" si="1"/>
        <v>-87.602540378443862</v>
      </c>
    </row>
    <row r="36" spans="1:2" x14ac:dyDescent="0.45">
      <c r="A36">
        <v>165</v>
      </c>
      <c r="B36">
        <f t="shared" si="1"/>
        <v>-45.211616751135288</v>
      </c>
    </row>
    <row r="37" spans="1:2" x14ac:dyDescent="0.45">
      <c r="A37">
        <v>180</v>
      </c>
      <c r="B37">
        <f t="shared" si="1"/>
        <v>-1.000000000000022</v>
      </c>
    </row>
    <row r="38" spans="1:2" x14ac:dyDescent="0.45">
      <c r="A38">
        <v>195</v>
      </c>
      <c r="B38">
        <f t="shared" si="1"/>
        <v>51.250092524068926</v>
      </c>
    </row>
    <row r="39" spans="1:2" x14ac:dyDescent="0.45">
      <c r="A39">
        <v>210</v>
      </c>
      <c r="B39">
        <f t="shared" si="1"/>
        <v>120.24355652982145</v>
      </c>
    </row>
    <row r="40" spans="1:2" x14ac:dyDescent="0.45">
      <c r="A40">
        <v>225</v>
      </c>
      <c r="B40">
        <f t="shared" si="1"/>
        <v>223.99999999999991</v>
      </c>
    </row>
    <row r="41" spans="1:2" x14ac:dyDescent="0.45">
      <c r="A41">
        <v>240</v>
      </c>
      <c r="B41">
        <f t="shared" si="1"/>
        <v>414.69219381653011</v>
      </c>
    </row>
    <row r="42" spans="1:2" x14ac:dyDescent="0.45">
      <c r="A42">
        <v>255</v>
      </c>
      <c r="B42">
        <f t="shared" si="1"/>
        <v>950.67295593006418</v>
      </c>
    </row>
    <row r="43" spans="1:2" x14ac:dyDescent="0.45">
      <c r="A43">
        <v>270</v>
      </c>
      <c r="B43">
        <f t="shared" si="1"/>
        <v>1.4692097049857165E+18</v>
      </c>
    </row>
    <row r="44" spans="1:2" x14ac:dyDescent="0.45">
      <c r="A44">
        <v>285</v>
      </c>
      <c r="B44">
        <f t="shared" si="1"/>
        <v>-1064.6344801571322</v>
      </c>
    </row>
    <row r="45" spans="1:2" x14ac:dyDescent="0.45">
      <c r="A45">
        <v>300</v>
      </c>
      <c r="B45">
        <f t="shared" si="1"/>
        <v>-520.61524227066309</v>
      </c>
    </row>
    <row r="46" spans="1:2" x14ac:dyDescent="0.45">
      <c r="A46">
        <v>315</v>
      </c>
      <c r="B46">
        <f t="shared" si="1"/>
        <v>-316.00000000000011</v>
      </c>
    </row>
    <row r="47" spans="1:2" x14ac:dyDescent="0.45">
      <c r="A47">
        <v>330</v>
      </c>
      <c r="B47">
        <f t="shared" si="1"/>
        <v>-191.52558883257674</v>
      </c>
    </row>
    <row r="48" spans="1:2" x14ac:dyDescent="0.45">
      <c r="A48">
        <v>345</v>
      </c>
      <c r="B48">
        <f t="shared" si="1"/>
        <v>-93.442471388737317</v>
      </c>
    </row>
    <row r="49" spans="1:5" x14ac:dyDescent="0.45">
      <c r="A49">
        <v>360</v>
      </c>
      <c r="B49">
        <f t="shared" si="1"/>
        <v>-1.0000000000000882</v>
      </c>
    </row>
    <row r="50" spans="1:5" x14ac:dyDescent="0.45">
      <c r="A50">
        <v>375</v>
      </c>
      <c r="B50">
        <f t="shared" si="1"/>
        <v>99.480947161670798</v>
      </c>
    </row>
    <row r="52" spans="1:5" x14ac:dyDescent="0.45">
      <c r="A52" t="s">
        <v>50</v>
      </c>
      <c r="B52" t="s">
        <v>25</v>
      </c>
      <c r="C52" t="s">
        <v>51</v>
      </c>
      <c r="D52" t="s">
        <v>27</v>
      </c>
      <c r="E52" t="s">
        <v>26</v>
      </c>
    </row>
    <row r="53" spans="1:5" x14ac:dyDescent="0.45">
      <c r="A53">
        <v>0</v>
      </c>
      <c r="B53">
        <v>15</v>
      </c>
      <c r="C53">
        <f>A53*TAN(RADIANS(A53))-1</f>
        <v>-1</v>
      </c>
      <c r="D53">
        <f>B53*TAN(RADIANS(B53))-1</f>
        <v>3.0192378864668408</v>
      </c>
      <c r="E53">
        <f>B53-(D53/(D53-C53))*(B53-A53)</f>
        <v>3.7320508075688767</v>
      </c>
    </row>
    <row r="54" spans="1:5" x14ac:dyDescent="0.45">
      <c r="A54">
        <f>B53</f>
        <v>15</v>
      </c>
      <c r="B54">
        <f>E53</f>
        <v>3.7320508075688767</v>
      </c>
      <c r="C54">
        <f>A54*TAN(RADIANS(A54))-1</f>
        <v>3.0192378864668408</v>
      </c>
      <c r="D54">
        <f>B54*TAN(RADIANS(B54))-1</f>
        <v>-0.75656261410822268</v>
      </c>
      <c r="E54">
        <f>B54-(D54/(D54-C54))*(B54-A54)</f>
        <v>5.9898261045862808</v>
      </c>
    </row>
    <row r="55" spans="1:5" x14ac:dyDescent="0.45">
      <c r="A55">
        <f t="shared" ref="A55:A63" si="2">B54</f>
        <v>3.7320508075688767</v>
      </c>
      <c r="B55">
        <f t="shared" ref="B55:B63" si="3">E54</f>
        <v>5.9898261045862808</v>
      </c>
      <c r="C55">
        <f t="shared" ref="C55:C63" si="4">A55*TAN(RADIANS(A55))-1</f>
        <v>-0.75656261410822268</v>
      </c>
      <c r="D55">
        <f t="shared" ref="D55:D63" si="5">B55*TAN(RADIANS(B55))-1</f>
        <v>-0.37151923862092506</v>
      </c>
      <c r="E55">
        <f t="shared" ref="E55:E63" si="6">B55-(D55/(D55-C55))*(B55-A55)</f>
        <v>8.1683000447325664</v>
      </c>
    </row>
    <row r="56" spans="1:5" x14ac:dyDescent="0.45">
      <c r="A56">
        <f t="shared" si="2"/>
        <v>5.9898261045862808</v>
      </c>
      <c r="B56">
        <f t="shared" si="3"/>
        <v>8.1683000447325664</v>
      </c>
      <c r="C56">
        <f t="shared" si="4"/>
        <v>-0.37151923862092506</v>
      </c>
      <c r="D56">
        <f t="shared" si="5"/>
        <v>0.17245727653420251</v>
      </c>
      <c r="E56">
        <f t="shared" si="6"/>
        <v>7.4776568418523395</v>
      </c>
    </row>
    <row r="57" spans="1:5" x14ac:dyDescent="0.45">
      <c r="A57">
        <f t="shared" si="2"/>
        <v>8.1683000447325664</v>
      </c>
      <c r="B57">
        <f t="shared" si="3"/>
        <v>7.4776568418523395</v>
      </c>
      <c r="C57">
        <f t="shared" si="4"/>
        <v>0.17245727653420251</v>
      </c>
      <c r="D57">
        <f t="shared" si="5"/>
        <v>-1.8514189326504837E-2</v>
      </c>
      <c r="E57">
        <f t="shared" si="6"/>
        <v>7.5446129127897361</v>
      </c>
    </row>
    <row r="58" spans="1:5" x14ac:dyDescent="0.45">
      <c r="A58">
        <f t="shared" si="2"/>
        <v>7.4776568418523395</v>
      </c>
      <c r="B58">
        <f t="shared" si="3"/>
        <v>7.5446129127897361</v>
      </c>
      <c r="C58">
        <f t="shared" si="4"/>
        <v>-1.8514189326504837E-2</v>
      </c>
      <c r="D58">
        <f t="shared" si="5"/>
        <v>-7.5587866038751006E-4</v>
      </c>
      <c r="E58">
        <f t="shared" si="6"/>
        <v>7.5474628834967774</v>
      </c>
    </row>
    <row r="59" spans="1:5" x14ac:dyDescent="0.45">
      <c r="A59">
        <f t="shared" si="2"/>
        <v>7.5446129127897361</v>
      </c>
      <c r="B59">
        <f t="shared" si="3"/>
        <v>7.5474628834967774</v>
      </c>
      <c r="C59">
        <f t="shared" si="4"/>
        <v>-7.5587866038751006E-4</v>
      </c>
      <c r="D59">
        <f t="shared" si="5"/>
        <v>3.5940711944348891E-6</v>
      </c>
      <c r="E59">
        <f t="shared" si="6"/>
        <v>7.5474493965114027</v>
      </c>
    </row>
    <row r="60" spans="1:5" x14ac:dyDescent="0.45">
      <c r="A60">
        <f t="shared" si="2"/>
        <v>7.5474628834967774</v>
      </c>
      <c r="B60">
        <f t="shared" si="3"/>
        <v>7.5474493965114027</v>
      </c>
      <c r="C60">
        <f t="shared" si="4"/>
        <v>3.5940711944348891E-6</v>
      </c>
      <c r="D60">
        <f t="shared" si="5"/>
        <v>-6.912593830676883E-10</v>
      </c>
      <c r="E60">
        <f t="shared" si="6"/>
        <v>7.5474493991048996</v>
      </c>
    </row>
    <row r="61" spans="1:5" x14ac:dyDescent="0.45">
      <c r="A61">
        <f t="shared" si="2"/>
        <v>7.5474493965114027</v>
      </c>
      <c r="B61">
        <f t="shared" si="3"/>
        <v>7.5474493991048996</v>
      </c>
      <c r="C61">
        <f t="shared" si="4"/>
        <v>-6.912593830676883E-10</v>
      </c>
      <c r="D61">
        <f t="shared" si="5"/>
        <v>0</v>
      </c>
      <c r="E61" s="1">
        <f t="shared" si="6"/>
        <v>7.5474493991048996</v>
      </c>
    </row>
    <row r="62" spans="1:5" x14ac:dyDescent="0.45">
      <c r="C62" s="2"/>
      <c r="D62" s="2"/>
      <c r="E62" s="2"/>
    </row>
    <row r="63" spans="1:5" x14ac:dyDescent="0.45">
      <c r="A63">
        <v>180</v>
      </c>
      <c r="B63">
        <v>195</v>
      </c>
      <c r="C63" s="2">
        <f t="shared" ref="C62:C63" si="7">A63*TAN(RADIANS(A63))-1</f>
        <v>-1.000000000000022</v>
      </c>
      <c r="D63" s="2">
        <f t="shared" ref="D62:D63" si="8">B63*TAN(RADIANS(B63))-1</f>
        <v>51.250092524068926</v>
      </c>
      <c r="E63" s="2">
        <f t="shared" ref="E62:E63" si="9">B63-(D63/(D63-C63))*(B63-A63)</f>
        <v>180.28708083135146</v>
      </c>
    </row>
    <row r="64" spans="1:5" x14ac:dyDescent="0.45">
      <c r="A64">
        <f>B63</f>
        <v>195</v>
      </c>
      <c r="B64">
        <f>E63</f>
        <v>180.28708083135146</v>
      </c>
      <c r="C64" s="2">
        <f t="shared" ref="C64" si="10">A64*TAN(RADIANS(A64))-1</f>
        <v>51.250092524068926</v>
      </c>
      <c r="D64" s="2">
        <f t="shared" ref="D64" si="11">B64*TAN(RADIANS(B64))-1</f>
        <v>-9.666298960203612E-2</v>
      </c>
      <c r="E64" s="2">
        <f t="shared" ref="E64" si="12">B64-(D64/(D64-C64))*(B64-A64)</f>
        <v>180.31477868174895</v>
      </c>
    </row>
    <row r="65" spans="1:5" x14ac:dyDescent="0.45">
      <c r="A65">
        <f t="shared" ref="A65:A74" si="13">B64</f>
        <v>180.28708083135146</v>
      </c>
      <c r="B65">
        <f t="shared" ref="B65:B67" si="14">E64</f>
        <v>180.31477868174895</v>
      </c>
      <c r="C65" s="2">
        <f t="shared" ref="C65:C68" si="15">A65*TAN(RADIANS(A65))-1</f>
        <v>-9.666298960203612E-2</v>
      </c>
      <c r="D65" s="2">
        <f t="shared" ref="D65:D68" si="16">B65*TAN(RADIANS(B65))-1</f>
        <v>-9.3542686522880558E-3</v>
      </c>
      <c r="E65" s="2">
        <f t="shared" ref="E65:E68" si="17">B65-(D65/(D65-C65))*(B65-A65)</f>
        <v>180.31774623333934</v>
      </c>
    </row>
    <row r="66" spans="1:5" x14ac:dyDescent="0.45">
      <c r="A66">
        <f t="shared" si="13"/>
        <v>180.31477868174895</v>
      </c>
      <c r="B66">
        <f t="shared" si="14"/>
        <v>180.31774623333934</v>
      </c>
      <c r="C66" s="2">
        <f t="shared" si="15"/>
        <v>-9.3542686522880558E-3</v>
      </c>
      <c r="D66" s="2">
        <f t="shared" si="16"/>
        <v>1.6150569666084635E-6</v>
      </c>
      <c r="E66" s="2">
        <f t="shared" si="17"/>
        <v>180.31774572106653</v>
      </c>
    </row>
    <row r="67" spans="1:5" x14ac:dyDescent="0.45">
      <c r="A67">
        <f t="shared" si="13"/>
        <v>180.31774623333934</v>
      </c>
      <c r="B67">
        <f t="shared" si="14"/>
        <v>180.31774572106653</v>
      </c>
      <c r="C67" s="2">
        <f t="shared" si="15"/>
        <v>1.6150569666084635E-6</v>
      </c>
      <c r="D67" s="2">
        <f t="shared" si="16"/>
        <v>-2.6973978606292803E-11</v>
      </c>
      <c r="E67" s="2">
        <f t="shared" si="17"/>
        <v>180.31774572107508</v>
      </c>
    </row>
    <row r="68" spans="1:5" x14ac:dyDescent="0.45">
      <c r="A68">
        <f>B67</f>
        <v>180.31774572106653</v>
      </c>
      <c r="B68">
        <f>E67</f>
        <v>180.31774572107508</v>
      </c>
      <c r="C68" s="2">
        <f t="shared" si="15"/>
        <v>-2.6973978606292803E-11</v>
      </c>
      <c r="D68" s="2">
        <f t="shared" si="16"/>
        <v>6.0174087934683484E-14</v>
      </c>
      <c r="E68" s="2">
        <f t="shared" si="17"/>
        <v>180.31774572107506</v>
      </c>
    </row>
    <row r="69" spans="1:5" x14ac:dyDescent="0.45">
      <c r="A69">
        <f t="shared" si="13"/>
        <v>180.31774572107508</v>
      </c>
      <c r="B69">
        <f t="shared" ref="B69:B70" si="18">E68</f>
        <v>180.31774572107506</v>
      </c>
      <c r="C69" s="2">
        <f t="shared" ref="C69:C74" si="19">A69*TAN(RADIANS(A69))-1</f>
        <v>6.0174087934683484E-14</v>
      </c>
      <c r="D69" s="2">
        <f t="shared" ref="D69:D74" si="20">B69*TAN(RADIANS(B69))-1</f>
        <v>-1.0014211682118912E-13</v>
      </c>
      <c r="E69" s="2">
        <f t="shared" ref="E69:E74" si="21">B69-(D69/(D69-C69))*(B69-A69)</f>
        <v>180.31774572107508</v>
      </c>
    </row>
    <row r="70" spans="1:5" x14ac:dyDescent="0.45">
      <c r="A70">
        <f t="shared" si="13"/>
        <v>180.31774572107506</v>
      </c>
      <c r="B70">
        <f t="shared" si="18"/>
        <v>180.31774572107508</v>
      </c>
      <c r="C70" s="2">
        <f t="shared" si="19"/>
        <v>-1.0014211682118912E-13</v>
      </c>
      <c r="D70" s="2">
        <f t="shared" si="20"/>
        <v>6.0174087934683484E-14</v>
      </c>
      <c r="E70" s="4">
        <f t="shared" si="21"/>
        <v>180.31774572107508</v>
      </c>
    </row>
    <row r="71" spans="1:5" x14ac:dyDescent="0.45">
      <c r="A71">
        <f>B70</f>
        <v>180.31774572107508</v>
      </c>
      <c r="B71">
        <f>E70</f>
        <v>180.31774572107508</v>
      </c>
      <c r="C71" s="2">
        <f t="shared" si="19"/>
        <v>6.0174087934683484E-14</v>
      </c>
      <c r="D71" s="2">
        <f t="shared" si="20"/>
        <v>6.0174087934683484E-14</v>
      </c>
      <c r="E71" s="2" t="e">
        <f t="shared" si="21"/>
        <v>#DIV/0!</v>
      </c>
    </row>
    <row r="72" spans="1:5" x14ac:dyDescent="0.45">
      <c r="A72">
        <f t="shared" si="13"/>
        <v>180.31774572107508</v>
      </c>
      <c r="B72" t="e">
        <f t="shared" ref="B72:B74" si="22">E71</f>
        <v>#DIV/0!</v>
      </c>
      <c r="C72" s="2">
        <f t="shared" si="19"/>
        <v>6.0174087934683484E-14</v>
      </c>
      <c r="D72" s="2" t="e">
        <f t="shared" si="20"/>
        <v>#DIV/0!</v>
      </c>
      <c r="E72" s="2" t="e">
        <f t="shared" si="21"/>
        <v>#DIV/0!</v>
      </c>
    </row>
    <row r="73" spans="1:5" x14ac:dyDescent="0.45">
      <c r="C73" s="2"/>
      <c r="D73" s="2"/>
      <c r="E73" s="2"/>
    </row>
    <row r="74" spans="1:5" x14ac:dyDescent="0.45">
      <c r="C74" s="2"/>
      <c r="D74" s="2"/>
      <c r="E74" s="2"/>
    </row>
    <row r="75" spans="1:5" x14ac:dyDescent="0.45">
      <c r="C75" s="2"/>
      <c r="D75" s="2"/>
      <c r="E75" s="2"/>
    </row>
    <row r="76" spans="1:5" x14ac:dyDescent="0.45">
      <c r="A76">
        <v>360</v>
      </c>
      <c r="B76">
        <v>375</v>
      </c>
      <c r="C76" s="2">
        <f t="shared" ref="C75:C76" si="23">A76*TAN(RADIANS(A76))-1</f>
        <v>-1.0000000000000882</v>
      </c>
      <c r="D76" s="2">
        <f t="shared" ref="D75:D76" si="24">B76*TAN(RADIANS(B76))-1</f>
        <v>99.480947161670798</v>
      </c>
      <c r="E76" s="2">
        <f>B76-(D76/(D76-C76))*(B76-A76)</f>
        <v>360.14928203230278</v>
      </c>
    </row>
    <row r="77" spans="1:5" x14ac:dyDescent="0.45">
      <c r="A77">
        <f>B76</f>
        <v>375</v>
      </c>
      <c r="B77">
        <f>E76</f>
        <v>360.14928203230278</v>
      </c>
      <c r="C77" s="2">
        <f t="shared" ref="C77" si="25">A77*TAN(RADIANS(A77))-1</f>
        <v>99.480947161670798</v>
      </c>
      <c r="D77" s="2">
        <f t="shared" ref="D77" si="26">B77*TAN(RADIANS(B77))-1</f>
        <v>-6.1642255872382146E-2</v>
      </c>
      <c r="E77" s="2">
        <f t="shared" ref="E77" si="27">B77-(D77/(D77-C77))*(B77-A77)</f>
        <v>360.15847841509941</v>
      </c>
    </row>
    <row r="78" spans="1:5" x14ac:dyDescent="0.45">
      <c r="A78">
        <f t="shared" ref="A78:A82" si="28">B77</f>
        <v>360.14928203230278</v>
      </c>
      <c r="B78">
        <f t="shared" ref="B78:B82" si="29">E77</f>
        <v>360.15847841509941</v>
      </c>
      <c r="C78" s="2">
        <f t="shared" ref="C78:C82" si="30">A78*TAN(RADIANS(A78))-1</f>
        <v>-6.1642255872382146E-2</v>
      </c>
      <c r="D78" s="2">
        <f t="shared" ref="D78:D82" si="31">B78*TAN(RADIANS(B78))-1</f>
        <v>-3.8098636965457899E-3</v>
      </c>
      <c r="E78" s="2">
        <f t="shared" ref="E78:E82" si="32">B78-(D78/(D78-C78))*(B78-A78)</f>
        <v>360.15908425144198</v>
      </c>
    </row>
    <row r="79" spans="1:5" x14ac:dyDescent="0.45">
      <c r="A79">
        <f t="shared" si="28"/>
        <v>360.15847841509941</v>
      </c>
      <c r="B79">
        <f t="shared" si="29"/>
        <v>360.15908425144198</v>
      </c>
      <c r="C79" s="2">
        <f t="shared" si="30"/>
        <v>-3.8098636965457899E-3</v>
      </c>
      <c r="D79" s="2">
        <f t="shared" si="31"/>
        <v>1.0541775341543769E-7</v>
      </c>
      <c r="E79" s="2">
        <f t="shared" si="32"/>
        <v>360.15908423467914</v>
      </c>
    </row>
    <row r="80" spans="1:5" x14ac:dyDescent="0.45">
      <c r="A80">
        <f t="shared" si="28"/>
        <v>360.15908425144198</v>
      </c>
      <c r="B80">
        <f t="shared" si="29"/>
        <v>360.15908423467914</v>
      </c>
      <c r="C80" s="2">
        <f t="shared" si="30"/>
        <v>1.0541775341543769E-7</v>
      </c>
      <c r="D80" s="2">
        <f t="shared" si="31"/>
        <v>-2.1405099914773018E-13</v>
      </c>
      <c r="E80" s="2">
        <f t="shared" si="32"/>
        <v>360.1590842346792</v>
      </c>
    </row>
    <row r="81" spans="1:5" x14ac:dyDescent="0.45">
      <c r="A81">
        <f t="shared" si="28"/>
        <v>360.15908423467914</v>
      </c>
      <c r="B81">
        <f t="shared" si="29"/>
        <v>360.1590842346792</v>
      </c>
      <c r="C81" s="2">
        <f t="shared" si="30"/>
        <v>-2.1405099914773018E-13</v>
      </c>
      <c r="D81" s="2">
        <f t="shared" si="31"/>
        <v>1.0613732115416497E-13</v>
      </c>
      <c r="E81" s="1">
        <f t="shared" si="32"/>
        <v>360.1590842346792</v>
      </c>
    </row>
    <row r="82" spans="1:5" x14ac:dyDescent="0.45">
      <c r="A82">
        <f t="shared" si="28"/>
        <v>360.1590842346792</v>
      </c>
      <c r="B82">
        <f t="shared" si="29"/>
        <v>360.1590842346792</v>
      </c>
      <c r="C82" s="2">
        <f t="shared" si="30"/>
        <v>1.0613732115416497E-13</v>
      </c>
      <c r="D82" s="2">
        <f t="shared" si="31"/>
        <v>1.0613732115416497E-13</v>
      </c>
      <c r="E82" s="2" t="e">
        <f t="shared" si="32"/>
        <v>#DIV/0!</v>
      </c>
    </row>
    <row r="85" spans="1:5" x14ac:dyDescent="0.45">
      <c r="A85" t="s">
        <v>33</v>
      </c>
      <c r="B85" t="s">
        <v>35</v>
      </c>
      <c r="C85" s="3" t="s">
        <v>55</v>
      </c>
    </row>
    <row r="86" spans="1:5" x14ac:dyDescent="0.45">
      <c r="A86">
        <v>-2</v>
      </c>
      <c r="B86">
        <f>A86^4-EXP(A86)+1</f>
        <v>16.864664716763386</v>
      </c>
    </row>
    <row r="87" spans="1:5" x14ac:dyDescent="0.45">
      <c r="A87">
        <v>-1</v>
      </c>
      <c r="B87">
        <f t="shared" ref="B87:B98" si="33">A87^4-EXP(A87)+1</f>
        <v>1.6321205588285577</v>
      </c>
    </row>
    <row r="88" spans="1:5" x14ac:dyDescent="0.45">
      <c r="A88" s="1">
        <v>0</v>
      </c>
      <c r="B88">
        <f t="shared" si="33"/>
        <v>0</v>
      </c>
    </row>
    <row r="89" spans="1:5" x14ac:dyDescent="0.45">
      <c r="A89">
        <v>1</v>
      </c>
      <c r="B89">
        <f t="shared" si="33"/>
        <v>-0.71828182845904509</v>
      </c>
    </row>
    <row r="90" spans="1:5" x14ac:dyDescent="0.45">
      <c r="A90">
        <v>2</v>
      </c>
      <c r="B90">
        <f t="shared" si="33"/>
        <v>9.6109439010693496</v>
      </c>
    </row>
    <row r="91" spans="1:5" x14ac:dyDescent="0.45">
      <c r="A91">
        <v>3</v>
      </c>
      <c r="B91">
        <f t="shared" si="33"/>
        <v>61.914463076812332</v>
      </c>
    </row>
    <row r="92" spans="1:5" x14ac:dyDescent="0.45">
      <c r="A92">
        <v>4</v>
      </c>
      <c r="B92">
        <f t="shared" si="33"/>
        <v>202.40184996685576</v>
      </c>
    </row>
    <row r="93" spans="1:5" x14ac:dyDescent="0.45">
      <c r="A93">
        <v>5</v>
      </c>
      <c r="B93">
        <f t="shared" si="33"/>
        <v>477.58684089742337</v>
      </c>
    </row>
    <row r="94" spans="1:5" x14ac:dyDescent="0.45">
      <c r="A94">
        <v>6</v>
      </c>
      <c r="B94">
        <f t="shared" si="33"/>
        <v>893.57120650726483</v>
      </c>
    </row>
    <row r="95" spans="1:5" x14ac:dyDescent="0.45">
      <c r="A95">
        <v>7</v>
      </c>
      <c r="B95">
        <f t="shared" si="33"/>
        <v>1305.3668415715415</v>
      </c>
    </row>
    <row r="96" spans="1:5" x14ac:dyDescent="0.45">
      <c r="A96">
        <v>8</v>
      </c>
      <c r="B96">
        <f t="shared" si="33"/>
        <v>1116.0420129582717</v>
      </c>
    </row>
    <row r="97" spans="1:5" x14ac:dyDescent="0.45">
      <c r="A97">
        <v>9</v>
      </c>
      <c r="B97">
        <f t="shared" si="33"/>
        <v>-1541.0839275753842</v>
      </c>
    </row>
    <row r="98" spans="1:5" x14ac:dyDescent="0.45">
      <c r="A98">
        <v>10</v>
      </c>
      <c r="B98">
        <f t="shared" si="33"/>
        <v>-12025.465794806718</v>
      </c>
    </row>
    <row r="100" spans="1:5" x14ac:dyDescent="0.45">
      <c r="A100" t="s">
        <v>50</v>
      </c>
      <c r="B100" t="s">
        <v>25</v>
      </c>
      <c r="C100" t="s">
        <v>51</v>
      </c>
      <c r="D100" t="s">
        <v>27</v>
      </c>
      <c r="E100" t="s">
        <v>26</v>
      </c>
    </row>
    <row r="101" spans="1:5" x14ac:dyDescent="0.45">
      <c r="A101">
        <v>1</v>
      </c>
      <c r="B101">
        <v>2</v>
      </c>
      <c r="C101">
        <f>A101^4-EXP(A101)+1</f>
        <v>-0.71828182845904509</v>
      </c>
      <c r="D101">
        <f>B101^4-EXP(B101)+1</f>
        <v>9.6109439010693496</v>
      </c>
      <c r="E101">
        <f>B101-(D101/(D101-C101))*(B101-A101)</f>
        <v>1.0695387870560014</v>
      </c>
    </row>
    <row r="102" spans="1:5" x14ac:dyDescent="0.45">
      <c r="A102">
        <f>B101</f>
        <v>2</v>
      </c>
      <c r="B102">
        <f>E101</f>
        <v>1.0695387870560014</v>
      </c>
      <c r="C102">
        <f>A102^4-EXP(A102)+1</f>
        <v>9.6109439010693496</v>
      </c>
      <c r="D102">
        <f>B102^4-EXP(B102)+1</f>
        <v>-0.60549775117652671</v>
      </c>
      <c r="E102" s="2">
        <f>B102-(D102/(D102-C102))*(B102-A102)</f>
        <v>1.1246844229996789</v>
      </c>
    </row>
    <row r="103" spans="1:5" x14ac:dyDescent="0.45">
      <c r="A103">
        <f t="shared" ref="A103:A113" si="34">B102</f>
        <v>1.0695387870560014</v>
      </c>
      <c r="B103">
        <f t="shared" ref="B103:B106" si="35">E102</f>
        <v>1.1246844229996789</v>
      </c>
      <c r="C103">
        <f t="shared" ref="C103:C106" si="36">A103^4-EXP(A103)+1</f>
        <v>-0.60549775117652671</v>
      </c>
      <c r="D103">
        <f t="shared" ref="D103:D106" si="37">B103^4-EXP(B103)+1</f>
        <v>-0.47923486958427408</v>
      </c>
      <c r="E103">
        <f t="shared" ref="E103:E106" si="38">B103-(D103/(D103-C103))*(B103-A103)</f>
        <v>1.3339914760016414</v>
      </c>
    </row>
    <row r="104" spans="1:5" x14ac:dyDescent="0.45">
      <c r="A104">
        <f t="shared" si="34"/>
        <v>1.1246844229996789</v>
      </c>
      <c r="B104">
        <f t="shared" si="35"/>
        <v>1.3339914760016414</v>
      </c>
      <c r="C104">
        <f t="shared" si="36"/>
        <v>-0.47923486958427408</v>
      </c>
      <c r="D104">
        <f t="shared" si="37"/>
        <v>0.37057312529706632</v>
      </c>
      <c r="E104">
        <f t="shared" si="38"/>
        <v>1.2427196013607276</v>
      </c>
    </row>
    <row r="105" spans="1:5" x14ac:dyDescent="0.45">
      <c r="A105">
        <f t="shared" si="34"/>
        <v>1.3339914760016414</v>
      </c>
      <c r="B105">
        <f t="shared" si="35"/>
        <v>1.2427196013607276</v>
      </c>
      <c r="C105">
        <f t="shared" si="36"/>
        <v>0.37057312529706632</v>
      </c>
      <c r="D105">
        <f t="shared" si="37"/>
        <v>-8.0001023297795015E-2</v>
      </c>
      <c r="E105">
        <f t="shared" si="38"/>
        <v>1.2589252434117693</v>
      </c>
    </row>
    <row r="106" spans="1:5" x14ac:dyDescent="0.45">
      <c r="A106">
        <f t="shared" si="34"/>
        <v>1.2427196013607276</v>
      </c>
      <c r="B106">
        <f t="shared" si="35"/>
        <v>1.2589252434117693</v>
      </c>
      <c r="C106">
        <f t="shared" si="36"/>
        <v>-8.0001023297795015E-2</v>
      </c>
      <c r="D106">
        <f t="shared" si="37"/>
        <v>-9.7494651348823957E-3</v>
      </c>
      <c r="E106">
        <f t="shared" si="38"/>
        <v>1.2611742517796496</v>
      </c>
    </row>
    <row r="107" spans="1:5" x14ac:dyDescent="0.45">
      <c r="A107">
        <f t="shared" si="34"/>
        <v>1.2589252434117693</v>
      </c>
      <c r="B107">
        <f t="shared" ref="B107:B113" si="39">E106</f>
        <v>1.2611742517796496</v>
      </c>
      <c r="C107">
        <f t="shared" ref="C107:C113" si="40">A107^4-EXP(A107)+1</f>
        <v>-9.7494651348823957E-3</v>
      </c>
      <c r="D107">
        <f t="shared" ref="D107:D113" si="41">B107^4-EXP(B107)+1</f>
        <v>3.1903169535318909E-4</v>
      </c>
      <c r="E107">
        <f t="shared" ref="E107:E113" si="42">B107-(D107/(D107-C107))*(B107-A107)</f>
        <v>1.2611029894090529</v>
      </c>
    </row>
    <row r="108" spans="1:5" x14ac:dyDescent="0.45">
      <c r="A108">
        <f t="shared" si="34"/>
        <v>1.2611742517796496</v>
      </c>
      <c r="B108">
        <f t="shared" si="39"/>
        <v>1.2611029894090529</v>
      </c>
      <c r="C108">
        <f t="shared" si="40"/>
        <v>3.1903169535318909E-4</v>
      </c>
      <c r="D108">
        <f t="shared" si="41"/>
        <v>-1.2055644385000619E-6</v>
      </c>
      <c r="E108">
        <f t="shared" si="42"/>
        <v>1.2611032576832064</v>
      </c>
    </row>
    <row r="109" spans="1:5" x14ac:dyDescent="0.45">
      <c r="A109">
        <f t="shared" si="34"/>
        <v>1.2611029894090529</v>
      </c>
      <c r="B109">
        <f t="shared" si="39"/>
        <v>1.2611032576832064</v>
      </c>
      <c r="C109">
        <f t="shared" si="40"/>
        <v>-1.2055644385000619E-6</v>
      </c>
      <c r="D109">
        <f t="shared" si="41"/>
        <v>-1.4813750226494449E-10</v>
      </c>
      <c r="E109">
        <f t="shared" si="42"/>
        <v>1.2611032577161756</v>
      </c>
    </row>
    <row r="110" spans="1:5" x14ac:dyDescent="0.45">
      <c r="A110">
        <f t="shared" si="34"/>
        <v>1.2611032576832064</v>
      </c>
      <c r="B110">
        <f t="shared" si="39"/>
        <v>1.2611032577161756</v>
      </c>
      <c r="C110">
        <f t="shared" si="40"/>
        <v>-1.4813750226494449E-10</v>
      </c>
      <c r="D110">
        <f t="shared" si="41"/>
        <v>0</v>
      </c>
      <c r="E110" s="1">
        <f t="shared" si="42"/>
        <v>1.2611032577161756</v>
      </c>
    </row>
    <row r="111" spans="1:5" x14ac:dyDescent="0.45">
      <c r="A111">
        <f t="shared" si="34"/>
        <v>1.2611032577161756</v>
      </c>
      <c r="B111">
        <f t="shared" si="39"/>
        <v>1.2611032577161756</v>
      </c>
      <c r="C111">
        <f t="shared" si="40"/>
        <v>0</v>
      </c>
      <c r="D111">
        <f t="shared" si="41"/>
        <v>0</v>
      </c>
      <c r="E111" t="e">
        <f t="shared" si="42"/>
        <v>#DIV/0!</v>
      </c>
    </row>
    <row r="115" spans="1:5" x14ac:dyDescent="0.45">
      <c r="A115">
        <v>8</v>
      </c>
      <c r="B115">
        <v>9</v>
      </c>
      <c r="C115">
        <f t="shared" ref="C114:C115" si="43">A115^4-EXP(A115)+1</f>
        <v>1116.0420129582717</v>
      </c>
      <c r="D115">
        <f t="shared" ref="D114:D115" si="44">B115^4-EXP(B115)+1</f>
        <v>-1541.0839275753842</v>
      </c>
      <c r="E115">
        <f t="shared" ref="E114:E115" si="45">B115-(D115/(D115-C115))*(B115-A115)</f>
        <v>8.4200184853617159</v>
      </c>
    </row>
    <row r="116" spans="1:5" x14ac:dyDescent="0.45">
      <c r="A116">
        <f>B115</f>
        <v>9</v>
      </c>
      <c r="B116">
        <f>E115</f>
        <v>8.4200184853617159</v>
      </c>
      <c r="C116">
        <f t="shared" ref="C116" si="46">A116^4-EXP(A116)+1</f>
        <v>-1541.0839275753842</v>
      </c>
      <c r="D116">
        <f t="shared" ref="D116" si="47">B116^4-EXP(B116)+1</f>
        <v>490.35635001269475</v>
      </c>
      <c r="E116">
        <f t="shared" ref="E116" si="48">B116-(D116/(D116-C116))*(B116-A116)</f>
        <v>8.5600165063375169</v>
      </c>
    </row>
    <row r="117" spans="1:5" x14ac:dyDescent="0.45">
      <c r="A117">
        <f t="shared" ref="A117:A126" si="49">B116</f>
        <v>8.4200184853617159</v>
      </c>
      <c r="B117">
        <f t="shared" ref="B117:B123" si="50">E116</f>
        <v>8.5600165063375169</v>
      </c>
      <c r="C117">
        <f t="shared" ref="C117:C124" si="51">A117^4-EXP(A117)+1</f>
        <v>490.35635001269475</v>
      </c>
      <c r="D117">
        <f t="shared" ref="D117:D124" si="52">B117^4-EXP(B117)+1</f>
        <v>151.29455515721838</v>
      </c>
      <c r="E117">
        <f t="shared" ref="E117:E124" si="53">B117-(D117/(D117-C117))*(B117-A117)</f>
        <v>8.6224857630564973</v>
      </c>
    </row>
    <row r="118" spans="1:5" x14ac:dyDescent="0.45">
      <c r="A118">
        <f t="shared" si="49"/>
        <v>8.5600165063375169</v>
      </c>
      <c r="B118">
        <f t="shared" si="50"/>
        <v>8.6224857630564973</v>
      </c>
      <c r="C118">
        <f t="shared" si="51"/>
        <v>151.29455515721838</v>
      </c>
      <c r="D118">
        <f t="shared" si="52"/>
        <v>-26.662922948281448</v>
      </c>
      <c r="E118">
        <f t="shared" si="53"/>
        <v>8.6131261508824739</v>
      </c>
    </row>
    <row r="119" spans="1:5" x14ac:dyDescent="0.45">
      <c r="A119">
        <f t="shared" si="49"/>
        <v>8.6224857630564973</v>
      </c>
      <c r="B119">
        <f t="shared" si="50"/>
        <v>8.6131261508824739</v>
      </c>
      <c r="C119">
        <f t="shared" si="51"/>
        <v>-26.662922948281448</v>
      </c>
      <c r="D119">
        <f t="shared" si="52"/>
        <v>1.1276489696474528</v>
      </c>
      <c r="E119">
        <f t="shared" si="53"/>
        <v>8.6135059328119539</v>
      </c>
    </row>
    <row r="120" spans="1:5" x14ac:dyDescent="0.45">
      <c r="A120">
        <f t="shared" si="49"/>
        <v>8.6131261508824739</v>
      </c>
      <c r="B120">
        <f t="shared" si="50"/>
        <v>8.6135059328119539</v>
      </c>
      <c r="C120">
        <f t="shared" si="51"/>
        <v>1.1276489696474528</v>
      </c>
      <c r="D120">
        <f t="shared" si="52"/>
        <v>7.8957606829135329E-3</v>
      </c>
      <c r="E120">
        <f t="shared" si="53"/>
        <v>8.6135086107834944</v>
      </c>
    </row>
    <row r="121" spans="1:5" x14ac:dyDescent="0.45">
      <c r="A121">
        <f t="shared" si="49"/>
        <v>8.6135059328119539</v>
      </c>
      <c r="B121">
        <f t="shared" si="50"/>
        <v>8.6135086107834944</v>
      </c>
      <c r="C121">
        <f t="shared" si="51"/>
        <v>7.8957606829135329E-3</v>
      </c>
      <c r="D121">
        <f t="shared" si="52"/>
        <v>-2.3631437215954065E-6</v>
      </c>
      <c r="E121">
        <f t="shared" si="53"/>
        <v>8.6135086099822367</v>
      </c>
    </row>
    <row r="122" spans="1:5" x14ac:dyDescent="0.45">
      <c r="A122">
        <f t="shared" si="49"/>
        <v>8.6135086107834944</v>
      </c>
      <c r="B122">
        <f t="shared" si="50"/>
        <v>8.6135086099822367</v>
      </c>
      <c r="C122">
        <f t="shared" si="51"/>
        <v>-2.3631437215954065E-6</v>
      </c>
      <c r="D122">
        <f t="shared" si="52"/>
        <v>4.5474735088646412E-12</v>
      </c>
      <c r="E122">
        <f>B122-(D122/(D122-C122))*(B122-A122)</f>
        <v>8.6135086099822384</v>
      </c>
    </row>
    <row r="123" spans="1:5" x14ac:dyDescent="0.45">
      <c r="A123">
        <f t="shared" si="49"/>
        <v>8.6135086099822367</v>
      </c>
      <c r="B123">
        <f t="shared" si="50"/>
        <v>8.6135086099822384</v>
      </c>
      <c r="C123">
        <f t="shared" si="51"/>
        <v>4.5474735088646412E-12</v>
      </c>
      <c r="D123">
        <f t="shared" si="52"/>
        <v>-1.8189894035458565E-12</v>
      </c>
      <c r="E123" s="1">
        <f t="shared" si="53"/>
        <v>8.6135086099822384</v>
      </c>
    </row>
    <row r="124" spans="1:5" x14ac:dyDescent="0.45">
      <c r="A124">
        <f>B123</f>
        <v>8.6135086099822384</v>
      </c>
      <c r="B124">
        <f>E123</f>
        <v>8.6135086099822384</v>
      </c>
      <c r="C124">
        <f t="shared" si="51"/>
        <v>-1.8189894035458565E-12</v>
      </c>
      <c r="D124">
        <f t="shared" si="52"/>
        <v>-1.8189894035458565E-12</v>
      </c>
      <c r="E124" t="e">
        <f t="shared" si="53"/>
        <v>#DIV/0!</v>
      </c>
    </row>
    <row r="128" spans="1:5" x14ac:dyDescent="0.45">
      <c r="A128" t="s">
        <v>33</v>
      </c>
      <c r="B128" t="s">
        <v>35</v>
      </c>
      <c r="C128" s="3" t="s">
        <v>57</v>
      </c>
    </row>
    <row r="129" spans="1:5" x14ac:dyDescent="0.45">
      <c r="A129">
        <v>-4</v>
      </c>
      <c r="B129">
        <f>A129^2*EXP(A129)-1</f>
        <v>-0.70694977778025314</v>
      </c>
    </row>
    <row r="130" spans="1:5" x14ac:dyDescent="0.45">
      <c r="A130">
        <v>-3</v>
      </c>
      <c r="B130">
        <f t="shared" ref="B130:B141" si="54">A130^2*EXP(A130)-1</f>
        <v>-0.55191638468922455</v>
      </c>
    </row>
    <row r="131" spans="1:5" x14ac:dyDescent="0.45">
      <c r="A131">
        <v>-2</v>
      </c>
      <c r="B131">
        <f t="shared" si="54"/>
        <v>-0.45865886705354919</v>
      </c>
    </row>
    <row r="132" spans="1:5" x14ac:dyDescent="0.45">
      <c r="A132">
        <v>-1</v>
      </c>
      <c r="B132">
        <f t="shared" si="54"/>
        <v>-0.63212055882855767</v>
      </c>
    </row>
    <row r="133" spans="1:5" x14ac:dyDescent="0.45">
      <c r="A133">
        <v>0</v>
      </c>
      <c r="B133">
        <f t="shared" si="54"/>
        <v>-1</v>
      </c>
    </row>
    <row r="134" spans="1:5" x14ac:dyDescent="0.45">
      <c r="A134">
        <v>1</v>
      </c>
      <c r="B134">
        <f t="shared" si="54"/>
        <v>1.7182818284590451</v>
      </c>
    </row>
    <row r="135" spans="1:5" x14ac:dyDescent="0.45">
      <c r="A135">
        <v>2</v>
      </c>
      <c r="B135">
        <f t="shared" si="54"/>
        <v>28.556224395722602</v>
      </c>
    </row>
    <row r="136" spans="1:5" x14ac:dyDescent="0.45">
      <c r="A136">
        <v>3</v>
      </c>
      <c r="B136">
        <f t="shared" si="54"/>
        <v>179.76983230868902</v>
      </c>
    </row>
    <row r="137" spans="1:5" x14ac:dyDescent="0.45">
      <c r="A137">
        <v>4</v>
      </c>
      <c r="B137">
        <f t="shared" si="54"/>
        <v>872.57040053030778</v>
      </c>
    </row>
    <row r="138" spans="1:5" x14ac:dyDescent="0.45">
      <c r="A138">
        <v>5</v>
      </c>
      <c r="B138">
        <f t="shared" si="54"/>
        <v>3709.3289775644148</v>
      </c>
    </row>
    <row r="139" spans="1:5" x14ac:dyDescent="0.45">
      <c r="A139">
        <v>6</v>
      </c>
      <c r="B139">
        <f t="shared" si="54"/>
        <v>14522.436565738464</v>
      </c>
    </row>
    <row r="140" spans="1:5" x14ac:dyDescent="0.45">
      <c r="A140">
        <v>7</v>
      </c>
      <c r="B140">
        <f t="shared" si="54"/>
        <v>53734.024762994464</v>
      </c>
    </row>
    <row r="141" spans="1:5" x14ac:dyDescent="0.45">
      <c r="A141">
        <v>8</v>
      </c>
      <c r="B141">
        <f t="shared" si="54"/>
        <v>190780.31117067061</v>
      </c>
    </row>
    <row r="143" spans="1:5" x14ac:dyDescent="0.45">
      <c r="A143" t="s">
        <v>50</v>
      </c>
      <c r="B143" t="s">
        <v>25</v>
      </c>
      <c r="C143" t="s">
        <v>51</v>
      </c>
      <c r="D143" t="s">
        <v>27</v>
      </c>
      <c r="E143" t="s">
        <v>26</v>
      </c>
    </row>
    <row r="144" spans="1:5" x14ac:dyDescent="0.45">
      <c r="A144">
        <v>0</v>
      </c>
      <c r="B144">
        <v>1</v>
      </c>
      <c r="C144">
        <f>A144^2*EXP(A144)-1</f>
        <v>-1</v>
      </c>
      <c r="D144">
        <f>B144^2*EXP(B144)-1</f>
        <v>1.7182818284590451</v>
      </c>
      <c r="E144">
        <f>B144-(D144/(D144-C144))*(B144-A144)</f>
        <v>0.36787944117144233</v>
      </c>
    </row>
    <row r="145" spans="1:5" x14ac:dyDescent="0.45">
      <c r="A145">
        <f>B144</f>
        <v>1</v>
      </c>
      <c r="B145">
        <f>E144</f>
        <v>0.36787944117144233</v>
      </c>
      <c r="C145">
        <f>A145^2*EXP(A145)-1</f>
        <v>1.7182818284590451</v>
      </c>
      <c r="D145">
        <f>B145^2*EXP(B145)-1</f>
        <v>-0.80448546584741187</v>
      </c>
      <c r="E145">
        <f>B145-(D145/(D145-C145))*(B145-A145)</f>
        <v>0.56945641713296113</v>
      </c>
    </row>
    <row r="146" spans="1:5" x14ac:dyDescent="0.45">
      <c r="A146">
        <f t="shared" ref="A146:A155" si="55">B145</f>
        <v>0.36787944117144233</v>
      </c>
      <c r="B146">
        <f t="shared" ref="B146:B153" si="56">E145</f>
        <v>0.56945641713296113</v>
      </c>
      <c r="C146">
        <f t="shared" ref="C146:C153" si="57">A146^2*EXP(A146)-1</f>
        <v>-0.80448546584741187</v>
      </c>
      <c r="D146">
        <f t="shared" ref="D146:D153" si="58">B146^2*EXP(B146)-1</f>
        <v>-0.42689689384112528</v>
      </c>
      <c r="E146">
        <f t="shared" ref="E146:E153" si="59">B146-(D146/(D146-C146))*(B146-A146)</f>
        <v>0.79735681266301128</v>
      </c>
    </row>
    <row r="147" spans="1:5" x14ac:dyDescent="0.45">
      <c r="A147">
        <f t="shared" si="55"/>
        <v>0.56945641713296113</v>
      </c>
      <c r="B147">
        <f t="shared" si="56"/>
        <v>0.79735681266301128</v>
      </c>
      <c r="C147">
        <f t="shared" si="57"/>
        <v>-0.42689689384112528</v>
      </c>
      <c r="D147">
        <f t="shared" si="58"/>
        <v>0.41121466950829633</v>
      </c>
      <c r="E147">
        <f t="shared" si="59"/>
        <v>0.68553878040227756</v>
      </c>
    </row>
    <row r="148" spans="1:5" x14ac:dyDescent="0.45">
      <c r="A148">
        <f t="shared" si="55"/>
        <v>0.79735681266301128</v>
      </c>
      <c r="B148">
        <f t="shared" si="56"/>
        <v>0.68553878040227756</v>
      </c>
      <c r="C148">
        <f t="shared" si="57"/>
        <v>0.41121466950829633</v>
      </c>
      <c r="D148">
        <f t="shared" si="58"/>
        <v>-6.7197364376644586E-2</v>
      </c>
      <c r="E148">
        <f t="shared" si="59"/>
        <v>0.70124465008261894</v>
      </c>
    </row>
    <row r="149" spans="1:5" x14ac:dyDescent="0.45">
      <c r="A149">
        <f t="shared" si="55"/>
        <v>0.68553878040227756</v>
      </c>
      <c r="B149">
        <f t="shared" si="56"/>
        <v>0.70124465008261894</v>
      </c>
      <c r="C149">
        <f t="shared" si="57"/>
        <v>-6.7197364376644586E-2</v>
      </c>
      <c r="D149">
        <f t="shared" si="58"/>
        <v>-8.5157860169428057E-3</v>
      </c>
      <c r="E149">
        <f t="shared" si="59"/>
        <v>0.70352386323854221</v>
      </c>
    </row>
    <row r="150" spans="1:5" x14ac:dyDescent="0.45">
      <c r="A150">
        <f t="shared" si="55"/>
        <v>0.70124465008261894</v>
      </c>
      <c r="B150">
        <f t="shared" si="56"/>
        <v>0.70352386323854221</v>
      </c>
      <c r="C150">
        <f t="shared" si="57"/>
        <v>-8.5157860169428057E-3</v>
      </c>
      <c r="D150">
        <f t="shared" si="58"/>
        <v>2.1692223096891894E-4</v>
      </c>
      <c r="E150">
        <f t="shared" si="59"/>
        <v>0.70346724712489217</v>
      </c>
    </row>
    <row r="151" spans="1:5" x14ac:dyDescent="0.45">
      <c r="A151">
        <f t="shared" si="55"/>
        <v>0.70352386323854221</v>
      </c>
      <c r="B151">
        <f t="shared" si="56"/>
        <v>0.70346724712489217</v>
      </c>
      <c r="C151">
        <f t="shared" si="57"/>
        <v>2.1692223096891894E-4</v>
      </c>
      <c r="D151">
        <f t="shared" si="58"/>
        <v>-6.7397069358765549E-7</v>
      </c>
      <c r="E151">
        <f t="shared" si="59"/>
        <v>0.70346742248457717</v>
      </c>
    </row>
    <row r="152" spans="1:5" x14ac:dyDescent="0.45">
      <c r="A152">
        <f t="shared" si="55"/>
        <v>0.70346724712489217</v>
      </c>
      <c r="B152">
        <f t="shared" si="56"/>
        <v>0.70346742248457717</v>
      </c>
      <c r="C152">
        <f t="shared" si="57"/>
        <v>-6.7397069358765549E-7</v>
      </c>
      <c r="D152">
        <f t="shared" si="58"/>
        <v>-5.3089865836852823E-11</v>
      </c>
      <c r="E152">
        <f t="shared" si="59"/>
        <v>0.70346742249839167</v>
      </c>
    </row>
    <row r="153" spans="1:5" x14ac:dyDescent="0.45">
      <c r="A153">
        <f t="shared" si="55"/>
        <v>0.70346742248457717</v>
      </c>
      <c r="B153">
        <f t="shared" si="56"/>
        <v>0.70346742249839167</v>
      </c>
      <c r="C153">
        <f t="shared" si="57"/>
        <v>-5.3089865836852823E-11</v>
      </c>
      <c r="D153">
        <f t="shared" si="58"/>
        <v>0</v>
      </c>
      <c r="E153" s="1">
        <f t="shared" si="59"/>
        <v>0.70346742249839167</v>
      </c>
    </row>
    <row r="154" spans="1:5" x14ac:dyDescent="0.45">
      <c r="A154">
        <f>B153</f>
        <v>0.70346742249839167</v>
      </c>
      <c r="B154">
        <f>E153</f>
        <v>0.70346742249839167</v>
      </c>
      <c r="C154">
        <f>A154^2*EXP(A154)-1</f>
        <v>0</v>
      </c>
      <c r="D154">
        <f>B154^2*EXP(B154)-1</f>
        <v>0</v>
      </c>
      <c r="E154" t="e">
        <f>B154-(D154/(D154-C154))*(B154-A154)</f>
        <v>#DIV/0!</v>
      </c>
    </row>
    <row r="155" spans="1:5" x14ac:dyDescent="0.45">
      <c r="A155">
        <f t="shared" si="55"/>
        <v>0.70346742249839167</v>
      </c>
      <c r="B155" t="e">
        <f t="shared" ref="B155" si="60">E154</f>
        <v>#DIV/0!</v>
      </c>
      <c r="C155">
        <f t="shared" ref="C155" si="61">A155^2*EXP(A155)-1</f>
        <v>0</v>
      </c>
      <c r="D155" t="e">
        <f t="shared" ref="D155" si="62">B155^2*EXP(B155)-1</f>
        <v>#DIV/0!</v>
      </c>
      <c r="E155" t="e">
        <f t="shared" ref="E155" si="63">B155-(D155/(D155-C155))*(B155-A155)</f>
        <v>#DIV/0!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36AE3-E69A-4FFD-A9B2-A108CCFF7B4E}">
  <dimension ref="A1:K165"/>
  <sheetViews>
    <sheetView topLeftCell="A69" workbookViewId="0">
      <selection activeCell="I101" sqref="I101"/>
    </sheetView>
  </sheetViews>
  <sheetFormatPr defaultRowHeight="14.25" x14ac:dyDescent="0.45"/>
  <sheetData>
    <row r="1" spans="1:3" x14ac:dyDescent="0.45">
      <c r="A1" t="s">
        <v>33</v>
      </c>
      <c r="B1" t="s">
        <v>35</v>
      </c>
      <c r="C1" s="3" t="s">
        <v>52</v>
      </c>
    </row>
    <row r="2" spans="1:3" x14ac:dyDescent="0.45">
      <c r="A2">
        <v>1</v>
      </c>
      <c r="B2">
        <f t="shared" ref="B2:B11" si="0">A2-A2^(1/3)-2</f>
        <v>-2</v>
      </c>
    </row>
    <row r="3" spans="1:3" x14ac:dyDescent="0.45">
      <c r="A3">
        <v>2</v>
      </c>
      <c r="B3">
        <f t="shared" si="0"/>
        <v>-1.2599210498948732</v>
      </c>
    </row>
    <row r="4" spans="1:3" x14ac:dyDescent="0.45">
      <c r="A4">
        <v>3</v>
      </c>
      <c r="B4">
        <f t="shared" si="0"/>
        <v>-0.4422495703074083</v>
      </c>
    </row>
    <row r="5" spans="1:3" x14ac:dyDescent="0.45">
      <c r="A5">
        <v>4</v>
      </c>
      <c r="B5">
        <f t="shared" si="0"/>
        <v>0.41259894803180064</v>
      </c>
    </row>
    <row r="6" spans="1:3" x14ac:dyDescent="0.45">
      <c r="A6">
        <v>5</v>
      </c>
      <c r="B6">
        <f t="shared" si="0"/>
        <v>1.2900240533233029</v>
      </c>
    </row>
    <row r="7" spans="1:3" x14ac:dyDescent="0.45">
      <c r="A7">
        <v>6</v>
      </c>
      <c r="B7">
        <f t="shared" si="0"/>
        <v>2.1828794071678601</v>
      </c>
    </row>
    <row r="8" spans="1:3" x14ac:dyDescent="0.45">
      <c r="A8">
        <v>7</v>
      </c>
      <c r="B8">
        <f t="shared" si="0"/>
        <v>3.0870688172276113</v>
      </c>
    </row>
    <row r="9" spans="1:3" x14ac:dyDescent="0.45">
      <c r="A9">
        <v>8</v>
      </c>
      <c r="B9">
        <f t="shared" si="0"/>
        <v>4</v>
      </c>
    </row>
    <row r="10" spans="1:3" x14ac:dyDescent="0.45">
      <c r="A10">
        <v>9</v>
      </c>
      <c r="B10">
        <f t="shared" si="0"/>
        <v>4.9199161769480959</v>
      </c>
    </row>
    <row r="11" spans="1:3" x14ac:dyDescent="0.45">
      <c r="A11">
        <v>10</v>
      </c>
      <c r="B11">
        <f t="shared" si="0"/>
        <v>5.8455653099681157</v>
      </c>
    </row>
    <row r="16" spans="1:3" x14ac:dyDescent="0.45">
      <c r="A16" t="s">
        <v>41</v>
      </c>
      <c r="B16" t="s">
        <v>21</v>
      </c>
      <c r="C16" t="s">
        <v>42</v>
      </c>
    </row>
    <row r="17" spans="1:3" x14ac:dyDescent="0.45">
      <c r="A17">
        <v>3</v>
      </c>
      <c r="B17">
        <f>A17-A17^(1/3)-2</f>
        <v>-0.4422495703074083</v>
      </c>
      <c r="C17">
        <f>1-(1/3)*A17^(-2/3)</f>
        <v>0.83975004774362128</v>
      </c>
    </row>
    <row r="18" spans="1:3" x14ac:dyDescent="0.45">
      <c r="A18">
        <f>A17-(B17/C17)</f>
        <v>3.5266442931390327</v>
      </c>
      <c r="B18">
        <f>A18-A18^(1/3)-2</f>
        <v>4.5067918211101343E-3</v>
      </c>
      <c r="C18">
        <f>1-(1/3)*A18^(-2/3)</f>
        <v>0.85612975822566983</v>
      </c>
    </row>
    <row r="19" spans="1:3" x14ac:dyDescent="0.45">
      <c r="A19">
        <f t="shared" ref="A19:A21" si="1">A18-(B18/C18)</f>
        <v>3.5213801473973283</v>
      </c>
      <c r="B19">
        <f t="shared" ref="B19:B21" si="2">A19-A19^(1/3)-2</f>
        <v>3.7714141409850299E-7</v>
      </c>
      <c r="C19">
        <f t="shared" ref="C19:C21" si="3">1-(1/3)*A19^(-2/3)</f>
        <v>0.85598641190155944</v>
      </c>
    </row>
    <row r="20" spans="1:3" x14ac:dyDescent="0.45">
      <c r="A20" s="1">
        <f t="shared" si="1"/>
        <v>3.52137970680457</v>
      </c>
      <c r="B20">
        <f t="shared" si="2"/>
        <v>0</v>
      </c>
      <c r="C20">
        <f t="shared" si="3"/>
        <v>0.85598639988896807</v>
      </c>
    </row>
    <row r="21" spans="1:3" x14ac:dyDescent="0.45">
      <c r="A21">
        <f t="shared" si="1"/>
        <v>3.52137970680457</v>
      </c>
      <c r="B21">
        <f t="shared" si="2"/>
        <v>0</v>
      </c>
      <c r="C21">
        <f t="shared" si="3"/>
        <v>0.85598639988896807</v>
      </c>
    </row>
    <row r="24" spans="1:3" x14ac:dyDescent="0.45">
      <c r="A24" t="s">
        <v>33</v>
      </c>
      <c r="B24" t="s">
        <v>35</v>
      </c>
      <c r="C24" s="3" t="s">
        <v>54</v>
      </c>
    </row>
    <row r="25" spans="1:3" x14ac:dyDescent="0.45">
      <c r="A25">
        <v>0</v>
      </c>
      <c r="B25">
        <f>A25*TAN(RADIANS(A25))-1</f>
        <v>-1</v>
      </c>
    </row>
    <row r="26" spans="1:3" x14ac:dyDescent="0.45">
      <c r="A26">
        <v>15</v>
      </c>
      <c r="B26">
        <f t="shared" ref="B26:B50" si="4">A26*TAN(RADIANS(A26))-1</f>
        <v>3.0192378864668408</v>
      </c>
    </row>
    <row r="27" spans="1:3" x14ac:dyDescent="0.45">
      <c r="A27">
        <v>30</v>
      </c>
      <c r="B27">
        <f t="shared" si="4"/>
        <v>16.320508075688771</v>
      </c>
    </row>
    <row r="28" spans="1:3" x14ac:dyDescent="0.45">
      <c r="A28">
        <v>45</v>
      </c>
      <c r="B28">
        <f t="shared" si="4"/>
        <v>43.999999999999993</v>
      </c>
    </row>
    <row r="29" spans="1:3" x14ac:dyDescent="0.45">
      <c r="A29">
        <v>60</v>
      </c>
      <c r="B29">
        <f t="shared" si="4"/>
        <v>102.92304845413261</v>
      </c>
    </row>
    <row r="30" spans="1:3" x14ac:dyDescent="0.45">
      <c r="A30">
        <v>75</v>
      </c>
      <c r="B30">
        <f t="shared" si="4"/>
        <v>278.9038105676658</v>
      </c>
    </row>
    <row r="31" spans="1:3" x14ac:dyDescent="0.45">
      <c r="A31">
        <v>90</v>
      </c>
      <c r="B31">
        <f t="shared" si="4"/>
        <v>1.4692097049857165E+18</v>
      </c>
    </row>
    <row r="32" spans="1:3" x14ac:dyDescent="0.45">
      <c r="A32">
        <v>105</v>
      </c>
      <c r="B32">
        <f t="shared" si="4"/>
        <v>-392.86533479473201</v>
      </c>
    </row>
    <row r="33" spans="1:2" x14ac:dyDescent="0.45">
      <c r="A33">
        <v>120</v>
      </c>
      <c r="B33">
        <f t="shared" si="4"/>
        <v>-208.84609690826539</v>
      </c>
    </row>
    <row r="34" spans="1:2" x14ac:dyDescent="0.45">
      <c r="A34">
        <v>135</v>
      </c>
      <c r="B34">
        <f t="shared" si="4"/>
        <v>-136.00000000000003</v>
      </c>
    </row>
    <row r="35" spans="1:2" x14ac:dyDescent="0.45">
      <c r="A35">
        <v>150</v>
      </c>
      <c r="B35">
        <f t="shared" si="4"/>
        <v>-87.602540378443862</v>
      </c>
    </row>
    <row r="36" spans="1:2" x14ac:dyDescent="0.45">
      <c r="A36">
        <v>165</v>
      </c>
      <c r="B36">
        <f t="shared" si="4"/>
        <v>-45.211616751135288</v>
      </c>
    </row>
    <row r="37" spans="1:2" x14ac:dyDescent="0.45">
      <c r="A37">
        <v>180</v>
      </c>
      <c r="B37">
        <f t="shared" si="4"/>
        <v>-1.000000000000022</v>
      </c>
    </row>
    <row r="38" spans="1:2" x14ac:dyDescent="0.45">
      <c r="A38">
        <v>195</v>
      </c>
      <c r="B38">
        <f t="shared" si="4"/>
        <v>51.250092524068926</v>
      </c>
    </row>
    <row r="39" spans="1:2" x14ac:dyDescent="0.45">
      <c r="A39">
        <v>210</v>
      </c>
      <c r="B39">
        <f t="shared" si="4"/>
        <v>120.24355652982145</v>
      </c>
    </row>
    <row r="40" spans="1:2" x14ac:dyDescent="0.45">
      <c r="A40">
        <v>225</v>
      </c>
      <c r="B40">
        <f t="shared" si="4"/>
        <v>223.99999999999991</v>
      </c>
    </row>
    <row r="41" spans="1:2" x14ac:dyDescent="0.45">
      <c r="A41">
        <v>240</v>
      </c>
      <c r="B41">
        <f t="shared" si="4"/>
        <v>414.69219381653011</v>
      </c>
    </row>
    <row r="42" spans="1:2" x14ac:dyDescent="0.45">
      <c r="A42">
        <v>255</v>
      </c>
      <c r="B42">
        <f t="shared" si="4"/>
        <v>950.67295593006418</v>
      </c>
    </row>
    <row r="43" spans="1:2" x14ac:dyDescent="0.45">
      <c r="A43">
        <v>270</v>
      </c>
      <c r="B43">
        <f t="shared" si="4"/>
        <v>1.4692097049857165E+18</v>
      </c>
    </row>
    <row r="44" spans="1:2" x14ac:dyDescent="0.45">
      <c r="A44">
        <v>285</v>
      </c>
      <c r="B44">
        <f t="shared" si="4"/>
        <v>-1064.6344801571322</v>
      </c>
    </row>
    <row r="45" spans="1:2" x14ac:dyDescent="0.45">
      <c r="A45">
        <v>300</v>
      </c>
      <c r="B45">
        <f t="shared" si="4"/>
        <v>-520.61524227066309</v>
      </c>
    </row>
    <row r="46" spans="1:2" x14ac:dyDescent="0.45">
      <c r="A46">
        <v>315</v>
      </c>
      <c r="B46">
        <f t="shared" si="4"/>
        <v>-316.00000000000011</v>
      </c>
    </row>
    <row r="47" spans="1:2" x14ac:dyDescent="0.45">
      <c r="A47">
        <v>330</v>
      </c>
      <c r="B47">
        <f t="shared" si="4"/>
        <v>-191.52558883257674</v>
      </c>
    </row>
    <row r="48" spans="1:2" x14ac:dyDescent="0.45">
      <c r="A48">
        <v>345</v>
      </c>
      <c r="B48">
        <f t="shared" si="4"/>
        <v>-93.442471388737317</v>
      </c>
    </row>
    <row r="49" spans="1:11" x14ac:dyDescent="0.45">
      <c r="A49">
        <v>360</v>
      </c>
      <c r="B49">
        <f t="shared" si="4"/>
        <v>-1.0000000000000882</v>
      </c>
    </row>
    <row r="50" spans="1:11" x14ac:dyDescent="0.45">
      <c r="A50">
        <v>375</v>
      </c>
      <c r="B50">
        <f t="shared" si="4"/>
        <v>99.480947161670798</v>
      </c>
    </row>
    <row r="52" spans="1:11" x14ac:dyDescent="0.45">
      <c r="A52" t="s">
        <v>41</v>
      </c>
      <c r="B52" t="s">
        <v>21</v>
      </c>
      <c r="C52" t="s">
        <v>42</v>
      </c>
      <c r="E52" t="s">
        <v>41</v>
      </c>
      <c r="F52" t="s">
        <v>21</v>
      </c>
      <c r="G52" t="s">
        <v>42</v>
      </c>
      <c r="I52" t="s">
        <v>41</v>
      </c>
      <c r="J52" t="s">
        <v>21</v>
      </c>
      <c r="K52" t="s">
        <v>42</v>
      </c>
    </row>
    <row r="53" spans="1:11" x14ac:dyDescent="0.45">
      <c r="A53">
        <v>7.54</v>
      </c>
      <c r="B53">
        <f>A53*TAN(RADIANS(A53))-1</f>
        <v>-1.9845259142025062E-3</v>
      </c>
      <c r="C53">
        <f>TAN(RADIANS(A53))+A53*(_xlfn.SEC(RADIANS(A53))^2)</f>
        <v>7.8044629125464846</v>
      </c>
      <c r="E53">
        <v>180.3</v>
      </c>
      <c r="F53">
        <f>E53*TAN(RADIANS(E53))-1</f>
        <v>-5.5942780292267735E-2</v>
      </c>
      <c r="G53">
        <f>TAN(RADIANS(E53))+E53*(_xlfn.SEC(RADIANS(E53))^2)</f>
        <v>180.31017915282192</v>
      </c>
      <c r="I53">
        <v>360.16</v>
      </c>
      <c r="J53">
        <f>I53*TAN(RADIANS(I53))-1</f>
        <v>5.7590678108869753E-3</v>
      </c>
      <c r="K53">
        <f>TAN(RADIANS(I53))+I53*(_xlfn.SEC(RADIANS(I53))^2)</f>
        <v>360.1656011505172</v>
      </c>
    </row>
    <row r="54" spans="1:11" x14ac:dyDescent="0.45">
      <c r="A54">
        <f>A53-(B53/C53)</f>
        <v>7.5402542809077886</v>
      </c>
      <c r="B54">
        <f>A54*TAN(RADIANS(A54))-1</f>
        <v>-1.9168183342180845E-3</v>
      </c>
      <c r="C54">
        <f>TAN(RADIANS(A54))+A54*(_xlfn.SEC(RADIANS(A54))^2)</f>
        <v>7.8047351783543633</v>
      </c>
      <c r="E54">
        <f>E53-(F53/G53)</f>
        <v>180.30031025858085</v>
      </c>
      <c r="F54">
        <f>E54*TAN(RADIANS(E54))-1</f>
        <v>-5.4964796703885543E-2</v>
      </c>
      <c r="G54">
        <f>TAN(RADIANS(E54))+E54*(_xlfn.SEC(RADIANS(E54))^2)</f>
        <v>180.31050506488</v>
      </c>
      <c r="I54">
        <f>I53-(J53/K53)</f>
        <v>360.15998400994494</v>
      </c>
      <c r="J54">
        <f>I54*TAN(RADIANS(I54))-1</f>
        <v>5.6585092468748321E-3</v>
      </c>
      <c r="K54">
        <f>TAN(RADIANS(I54))+I54*(_xlfn.SEC(RADIANS(I54))^2)</f>
        <v>360.16558431990711</v>
      </c>
    </row>
    <row r="55" spans="1:11" x14ac:dyDescent="0.45">
      <c r="A55">
        <f t="shared" ref="A55:A65" si="5">A54-(B54/C54)</f>
        <v>7.5404998777525778</v>
      </c>
      <c r="B55">
        <f t="shared" ref="B55:B88" si="6">A55*TAN(RADIANS(A55))-1</f>
        <v>-1.8514208483751959E-3</v>
      </c>
      <c r="C55">
        <f t="shared" ref="C55:C65" si="7">TAN(RADIANS(A55))+A55*(_xlfn.SEC(RADIANS(A55))^2)</f>
        <v>7.804998146772971</v>
      </c>
      <c r="E55">
        <f t="shared" ref="E55:E74" si="8">E54-(F54/G54)</f>
        <v>180.30061509271508</v>
      </c>
      <c r="F55">
        <f t="shared" ref="F55:F102" si="9">E55*TAN(RADIANS(E55))-1</f>
        <v>-5.4003908493428399E-2</v>
      </c>
      <c r="G55">
        <f t="shared" ref="G55:G74" si="10">TAN(RADIANS(E55))+E55*(_xlfn.SEC(RADIANS(E55))^2)</f>
        <v>180.31082528914567</v>
      </c>
      <c r="I55">
        <f t="shared" ref="I55:I86" si="11">I54-(J54/K54)</f>
        <v>360.15996829909</v>
      </c>
      <c r="J55">
        <f t="shared" ref="J55:J101" si="12">I55*TAN(RADIANS(I55))-1</f>
        <v>5.5597065311567828E-3</v>
      </c>
      <c r="K55">
        <f t="shared" ref="K55:K86" si="13">TAN(RADIANS(I55))+I55*(_xlfn.SEC(RADIANS(I55))^2)</f>
        <v>360.16556778322888</v>
      </c>
    </row>
    <row r="56" spans="1:11" x14ac:dyDescent="0.45">
      <c r="A56">
        <f t="shared" si="5"/>
        <v>7.540737087398699</v>
      </c>
      <c r="B56">
        <f t="shared" si="6"/>
        <v>-1.7882546350403983E-3</v>
      </c>
      <c r="C56">
        <f t="shared" si="7"/>
        <v>7.8052521355738644</v>
      </c>
      <c r="E56">
        <f t="shared" si="8"/>
        <v>180.30091459724235</v>
      </c>
      <c r="F56">
        <f t="shared" si="9"/>
        <v>-5.3059816884694189E-2</v>
      </c>
      <c r="G56">
        <f t="shared" si="10"/>
        <v>180.31113992470466</v>
      </c>
      <c r="I56">
        <f t="shared" si="11"/>
        <v>360.15995286256015</v>
      </c>
      <c r="J56">
        <f t="shared" si="12"/>
        <v>5.4626290046293491E-3</v>
      </c>
      <c r="K56">
        <f t="shared" si="13"/>
        <v>360.1655515353479</v>
      </c>
    </row>
    <row r="57" spans="1:11" x14ac:dyDescent="0.45">
      <c r="A57">
        <f t="shared" si="5"/>
        <v>7.5409661965426418</v>
      </c>
      <c r="B57">
        <f t="shared" si="6"/>
        <v>-1.7272435623025828E-3</v>
      </c>
      <c r="C57">
        <f t="shared" si="7"/>
        <v>7.8054974516486491</v>
      </c>
      <c r="E57">
        <f t="shared" si="8"/>
        <v>180.30120886534419</v>
      </c>
      <c r="F57">
        <f t="shared" si="9"/>
        <v>-5.2132228321406626E-2</v>
      </c>
      <c r="G57">
        <f t="shared" si="10"/>
        <v>180.31144906892288</v>
      </c>
      <c r="I57">
        <f t="shared" si="11"/>
        <v>360.15993769556547</v>
      </c>
      <c r="J57">
        <f t="shared" si="12"/>
        <v>5.3672465439398298E-3</v>
      </c>
      <c r="K57">
        <f t="shared" si="13"/>
        <v>360.16553557122</v>
      </c>
    </row>
    <row r="58" spans="1:11" x14ac:dyDescent="0.45">
      <c r="A58">
        <f t="shared" si="5"/>
        <v>7.5411874820626235</v>
      </c>
      <c r="B58">
        <f t="shared" si="6"/>
        <v>-1.6683140961658571E-3</v>
      </c>
      <c r="C58">
        <f t="shared" si="7"/>
        <v>7.8057343913827673</v>
      </c>
      <c r="E58">
        <f t="shared" si="8"/>
        <v>180.30149798857286</v>
      </c>
      <c r="F58">
        <f t="shared" si="9"/>
        <v>-5.1220854376203273E-2</v>
      </c>
      <c r="G58">
        <f t="shared" si="10"/>
        <v>180.31175281747571</v>
      </c>
      <c r="I58">
        <f t="shared" si="11"/>
        <v>360.15992279339963</v>
      </c>
      <c r="J58">
        <f t="shared" si="12"/>
        <v>5.2735295512431613E-3</v>
      </c>
      <c r="K58">
        <f t="shared" si="13"/>
        <v>360.1655198858889</v>
      </c>
    </row>
    <row r="59" spans="1:11" x14ac:dyDescent="0.45">
      <c r="A59">
        <f t="shared" si="5"/>
        <v>7.5414012113560522</v>
      </c>
      <c r="B59">
        <f t="shared" si="6"/>
        <v>-1.6113952118839148E-3</v>
      </c>
      <c r="C59">
        <f t="shared" si="7"/>
        <v>7.8059632410163386</v>
      </c>
      <c r="E59">
        <f t="shared" si="8"/>
        <v>180.30178205687997</v>
      </c>
      <c r="F59">
        <f t="shared" si="9"/>
        <v>-5.0325411660496755E-2</v>
      </c>
      <c r="G59">
        <f t="shared" si="10"/>
        <v>180.31205126437726</v>
      </c>
      <c r="I59">
        <f t="shared" si="11"/>
        <v>360.15990815143846</v>
      </c>
      <c r="J59">
        <f t="shared" si="12"/>
        <v>5.1814489458823498E-3</v>
      </c>
      <c r="K59">
        <f t="shared" si="13"/>
        <v>360.16550447448446</v>
      </c>
    </row>
    <row r="60" spans="1:11" x14ac:dyDescent="0.45">
      <c r="A60">
        <f t="shared" si="5"/>
        <v>7.5416076426653129</v>
      </c>
      <c r="B60">
        <f t="shared" si="6"/>
        <v>-1.5564183083164318E-3</v>
      </c>
      <c r="C60">
        <f t="shared" si="7"/>
        <v>7.8061842769925542</v>
      </c>
      <c r="E60">
        <f t="shared" si="8"/>
        <v>180.30206115864442</v>
      </c>
      <c r="F60">
        <f t="shared" si="9"/>
        <v>-4.9445621737132961E-2</v>
      </c>
      <c r="G60">
        <f t="shared" si="10"/>
        <v>180.3123445020093</v>
      </c>
      <c r="I60">
        <f t="shared" si="11"/>
        <v>360.15989376513858</v>
      </c>
      <c r="J60">
        <f t="shared" si="12"/>
        <v>5.0909761551063415E-3</v>
      </c>
      <c r="K60">
        <f t="shared" si="13"/>
        <v>360.16548933222248</v>
      </c>
    </row>
    <row r="61" spans="1:11" x14ac:dyDescent="0.45">
      <c r="A61">
        <f t="shared" si="5"/>
        <v>7.5418070253922753</v>
      </c>
      <c r="B61">
        <f t="shared" si="6"/>
        <v>-1.5033171252131217E-3</v>
      </c>
      <c r="C61">
        <f t="shared" si="7"/>
        <v>7.8063977662940482</v>
      </c>
      <c r="E61">
        <f t="shared" si="8"/>
        <v>180.3023353806999</v>
      </c>
      <c r="F61">
        <f t="shared" si="9"/>
        <v>-4.8581211033522975E-2</v>
      </c>
      <c r="G61">
        <f t="shared" si="10"/>
        <v>180.31263262114911</v>
      </c>
      <c r="I61">
        <f t="shared" si="11"/>
        <v>360.15987963003596</v>
      </c>
      <c r="J61">
        <f t="shared" si="12"/>
        <v>5.0020831044674807E-3</v>
      </c>
      <c r="K61">
        <f t="shared" si="13"/>
        <v>360.16547445440187</v>
      </c>
    </row>
    <row r="62" spans="1:11" x14ac:dyDescent="0.45">
      <c r="A62">
        <f t="shared" si="5"/>
        <v>7.5419996004019305</v>
      </c>
      <c r="B62">
        <f t="shared" si="6"/>
        <v>-1.4520276633190887E-3</v>
      </c>
      <c r="C62">
        <f t="shared" si="7"/>
        <v>7.8066039667675886</v>
      </c>
      <c r="E62">
        <f t="shared" si="8"/>
        <v>180.30260480836188</v>
      </c>
      <c r="F62">
        <f t="shared" si="9"/>
        <v>-4.773191075693195E-2</v>
      </c>
      <c r="G62">
        <f t="shared" si="10"/>
        <v>180.31291571099695</v>
      </c>
      <c r="I62">
        <f t="shared" si="11"/>
        <v>360.15986574174445</v>
      </c>
      <c r="J62">
        <f t="shared" si="12"/>
        <v>4.914742210461398E-3</v>
      </c>
      <c r="K62">
        <f t="shared" si="13"/>
        <v>360.16545983640327</v>
      </c>
    </row>
    <row r="63" spans="1:11" x14ac:dyDescent="0.45">
      <c r="A63">
        <f t="shared" si="5"/>
        <v>7.5421856003155296</v>
      </c>
      <c r="B63">
        <f t="shared" si="6"/>
        <v>-1.4024881072115525E-3</v>
      </c>
      <c r="C63">
        <f t="shared" si="7"/>
        <v>7.8068031274376084</v>
      </c>
      <c r="E63">
        <f t="shared" si="8"/>
        <v>180.30286952545421</v>
      </c>
      <c r="F63">
        <f t="shared" si="9"/>
        <v>-4.6897456810882532E-2</v>
      </c>
      <c r="G63">
        <f t="shared" si="10"/>
        <v>180.31319385920398</v>
      </c>
      <c r="I63">
        <f t="shared" si="11"/>
        <v>360.15985209595453</v>
      </c>
      <c r="J63">
        <f t="shared" si="12"/>
        <v>4.8289263706049468E-3</v>
      </c>
      <c r="K63">
        <f t="shared" si="13"/>
        <v>360.16544547368932</v>
      </c>
    </row>
    <row r="64" spans="1:11" x14ac:dyDescent="0.45">
      <c r="A64">
        <f t="shared" si="5"/>
        <v>7.5423652497935958</v>
      </c>
      <c r="B64">
        <f t="shared" si="6"/>
        <v>-1.3546387507675783E-3</v>
      </c>
      <c r="C64">
        <f t="shared" si="7"/>
        <v>7.8069954888089317</v>
      </c>
      <c r="E64">
        <f t="shared" si="8"/>
        <v>180.30312961433515</v>
      </c>
      <c r="F64">
        <f t="shared" si="9"/>
        <v>-4.6077589713394151E-2</v>
      </c>
      <c r="G64">
        <f t="shared" si="10"/>
        <v>180.31346715189829</v>
      </c>
      <c r="I64">
        <f t="shared" si="11"/>
        <v>360.15983868843188</v>
      </c>
      <c r="J64">
        <f t="shared" si="12"/>
        <v>4.7446089557554583E-3</v>
      </c>
      <c r="K64">
        <f t="shared" si="13"/>
        <v>360.16543136180019</v>
      </c>
    </row>
    <row r="65" spans="1:11" x14ac:dyDescent="0.45">
      <c r="A65">
        <f t="shared" si="5"/>
        <v>7.5425387658091632</v>
      </c>
      <c r="B65">
        <f t="shared" si="6"/>
        <v>-1.3084219251769946E-3</v>
      </c>
      <c r="C65">
        <f t="shared" si="7"/>
        <v>7.8071812831589895</v>
      </c>
      <c r="E65">
        <f t="shared" si="8"/>
        <v>180.30338515592302</v>
      </c>
      <c r="F65">
        <f t="shared" si="9"/>
        <v>-4.5272054515859028E-2</v>
      </c>
      <c r="G65">
        <f t="shared" si="10"/>
        <v>180.31373567371148</v>
      </c>
      <c r="I65">
        <f t="shared" si="11"/>
        <v>360.15982551501617</v>
      </c>
      <c r="J65">
        <f t="shared" si="12"/>
        <v>4.6617638021082541E-3</v>
      </c>
      <c r="K65">
        <f t="shared" si="13"/>
        <v>360.16541749635547</v>
      </c>
    </row>
    <row r="66" spans="1:11" x14ac:dyDescent="0.45">
      <c r="A66">
        <f>A65-(B65/C65)</f>
        <v>7.5427063579115776</v>
      </c>
      <c r="B66">
        <f>A66*TAN(RADIANS(A66))-1</f>
        <v>-1.2637819294153418E-3</v>
      </c>
      <c r="C66">
        <f>TAN(RADIANS(A66))+A66*(_xlfn.SEC(RADIANS(A66))^2)</f>
        <v>7.8073607348200289</v>
      </c>
      <c r="E66">
        <f t="shared" si="8"/>
        <v>180.30363622972141</v>
      </c>
      <c r="F66">
        <f t="shared" si="9"/>
        <v>-4.4480600724634889E-2</v>
      </c>
      <c r="G66">
        <f t="shared" si="10"/>
        <v>180.31399950780471</v>
      </c>
      <c r="I66">
        <f t="shared" si="11"/>
        <v>360.15981257161968</v>
      </c>
      <c r="J66">
        <f t="shared" si="12"/>
        <v>4.5803652025564467E-3</v>
      </c>
      <c r="K66">
        <f t="shared" si="13"/>
        <v>360.16540387305048</v>
      </c>
    </row>
    <row r="67" spans="1:11" x14ac:dyDescent="0.45">
      <c r="A67">
        <f t="shared" ref="A67:A74" si="14">A66-(B66/C66)</f>
        <v>7.5428682284812032</v>
      </c>
      <c r="B67">
        <f t="shared" si="6"/>
        <v>-1.2206649630863708E-3</v>
      </c>
      <c r="C67">
        <f t="shared" ref="C67:C74" si="15">TAN(RADIANS(A67))+A67*(_xlfn.SEC(RADIANS(A67))^2)</f>
        <v>7.8075340604515509</v>
      </c>
      <c r="E67">
        <f t="shared" si="8"/>
        <v>180.30388291384381</v>
      </c>
      <c r="F67">
        <f t="shared" si="9"/>
        <v>-4.3702982222792786E-2</v>
      </c>
      <c r="G67">
        <f t="shared" si="10"/>
        <v>180.3142587358935</v>
      </c>
      <c r="I67">
        <f t="shared" si="11"/>
        <v>360.15979985422609</v>
      </c>
      <c r="J67">
        <f t="shared" si="12"/>
        <v>4.5003878986891177E-3</v>
      </c>
      <c r="K67">
        <f t="shared" si="13"/>
        <v>360.16539048765605</v>
      </c>
    </row>
    <row r="68" spans="1:11" x14ac:dyDescent="0.45">
      <c r="A68">
        <f t="shared" si="14"/>
        <v>7.5430245729753338</v>
      </c>
      <c r="B68">
        <f t="shared" si="6"/>
        <v>-1.1790190615613705E-3</v>
      </c>
      <c r="C68">
        <f t="shared" si="15"/>
        <v>7.8077014693033764</v>
      </c>
      <c r="E68">
        <f t="shared" si="8"/>
        <v>180.30412528503803</v>
      </c>
      <c r="F68">
        <f t="shared" si="9"/>
        <v>-4.2938957193543237E-2</v>
      </c>
      <c r="G68">
        <f t="shared" si="10"/>
        <v>180.31451343827359</v>
      </c>
      <c r="I68">
        <f t="shared" si="11"/>
        <v>360.15978735888916</v>
      </c>
      <c r="J68">
        <f t="shared" si="12"/>
        <v>4.421807073110795E-3</v>
      </c>
      <c r="K68">
        <f t="shared" si="13"/>
        <v>360.16537733601666</v>
      </c>
    </row>
    <row r="69" spans="1:11" x14ac:dyDescent="0.45">
      <c r="A69">
        <f t="shared" si="14"/>
        <v>7.5431755801656317</v>
      </c>
      <c r="B69">
        <f t="shared" si="6"/>
        <v>-1.1387940333289492E-3</v>
      </c>
      <c r="C69">
        <f t="shared" si="15"/>
        <v>7.8078631634696407</v>
      </c>
      <c r="E69">
        <f t="shared" si="8"/>
        <v>180.30436341870998</v>
      </c>
      <c r="F69">
        <f t="shared" si="9"/>
        <v>-4.2188288045818423E-2</v>
      </c>
      <c r="G69">
        <f t="shared" si="10"/>
        <v>180.3147636938445</v>
      </c>
      <c r="I69">
        <f t="shared" si="11"/>
        <v>360.15977508173165</v>
      </c>
      <c r="J69">
        <f t="shared" si="12"/>
        <v>4.3445983423984202E-3</v>
      </c>
      <c r="K69">
        <f t="shared" si="13"/>
        <v>360.16536441404992</v>
      </c>
    </row>
    <row r="70" spans="1:11" x14ac:dyDescent="0.45">
      <c r="A70">
        <f t="shared" si="14"/>
        <v>7.5433214323673781</v>
      </c>
      <c r="B70">
        <f t="shared" si="6"/>
        <v>-1.0999413994866591E-3</v>
      </c>
      <c r="C70">
        <f t="shared" si="15"/>
        <v>7.8080193381340672</v>
      </c>
      <c r="E70">
        <f t="shared" si="8"/>
        <v>180.30459738894726</v>
      </c>
      <c r="F70">
        <f t="shared" si="9"/>
        <v>-4.1450741339610686E-2</v>
      </c>
      <c r="G70">
        <f t="shared" si="10"/>
        <v>180.31500958013442</v>
      </c>
      <c r="I70">
        <f t="shared" si="11"/>
        <v>360.15976301894392</v>
      </c>
      <c r="J70">
        <f t="shared" si="12"/>
        <v>4.2687377481427369E-3</v>
      </c>
      <c r="K70">
        <f t="shared" si="13"/>
        <v>360.16535171774393</v>
      </c>
    </row>
    <row r="71" spans="1:11" x14ac:dyDescent="0.45">
      <c r="A71">
        <f t="shared" si="14"/>
        <v>7.5434623056608281</v>
      </c>
      <c r="B71">
        <f t="shared" si="6"/>
        <v>-1.0624143352946369E-3</v>
      </c>
      <c r="C71">
        <f t="shared" si="15"/>
        <v>7.8081701818067542</v>
      </c>
      <c r="E71">
        <f t="shared" si="8"/>
        <v>180.30482726854206</v>
      </c>
      <c r="F71">
        <f t="shared" si="9"/>
        <v>-4.0726087714110237E-2</v>
      </c>
      <c r="G71">
        <f t="shared" si="10"/>
        <v>180.31525117332345</v>
      </c>
      <c r="I71">
        <f t="shared" si="11"/>
        <v>360.15975116678288</v>
      </c>
      <c r="J71">
        <f t="shared" si="12"/>
        <v>4.1942017502252238E-3</v>
      </c>
      <c r="K71">
        <f t="shared" si="13"/>
        <v>360.16533924315752</v>
      </c>
    </row>
    <row r="72" spans="1:11" x14ac:dyDescent="0.45">
      <c r="A72">
        <f t="shared" si="14"/>
        <v>7.5435983701049372</v>
      </c>
      <c r="B72">
        <f t="shared" si="6"/>
        <v>-1.0261676137278686E-3</v>
      </c>
      <c r="C72">
        <f t="shared" si="15"/>
        <v>7.8083158765528573</v>
      </c>
      <c r="E72">
        <f t="shared" si="8"/>
        <v>180.30505312901391</v>
      </c>
      <c r="F72">
        <f t="shared" si="9"/>
        <v>-4.0014101816238434E-2</v>
      </c>
      <c r="G72">
        <f t="shared" si="10"/>
        <v>180.31548854826721</v>
      </c>
      <c r="I72">
        <f t="shared" si="11"/>
        <v>360.15973952157083</v>
      </c>
      <c r="J72">
        <f t="shared" si="12"/>
        <v>4.1209672200974712E-3</v>
      </c>
      <c r="K72">
        <f t="shared" si="13"/>
        <v>360.16532698641822</v>
      </c>
    </row>
    <row r="73" spans="1:11" x14ac:dyDescent="0.45">
      <c r="A73">
        <f t="shared" si="14"/>
        <v>7.5437297899437281</v>
      </c>
      <c r="B73">
        <f t="shared" si="6"/>
        <v>-9.9115755095191549E-4</v>
      </c>
      <c r="C73">
        <f t="shared" si="15"/>
        <v>7.8084565982133709</v>
      </c>
      <c r="E73">
        <f t="shared" si="8"/>
        <v>180.30527504063193</v>
      </c>
      <c r="F73">
        <f t="shared" si="9"/>
        <v>-3.9314562230699179E-2</v>
      </c>
      <c r="G73">
        <f t="shared" si="10"/>
        <v>180.31572177851959</v>
      </c>
      <c r="I73">
        <f t="shared" si="11"/>
        <v>360.15972807969422</v>
      </c>
      <c r="J73">
        <f t="shared" si="12"/>
        <v>4.0490114331002136E-3</v>
      </c>
      <c r="K73">
        <f t="shared" si="13"/>
        <v>360.16531494372128</v>
      </c>
    </row>
    <row r="74" spans="1:11" x14ac:dyDescent="0.45">
      <c r="A74">
        <f t="shared" si="14"/>
        <v>7.5438567238055594</v>
      </c>
      <c r="B74">
        <f t="shared" si="6"/>
        <v>-9.5734195366337094E-4</v>
      </c>
      <c r="C74">
        <f t="shared" si="15"/>
        <v>7.8085925166183303</v>
      </c>
      <c r="E74">
        <f t="shared" si="8"/>
        <v>180.3054930724366</v>
      </c>
      <c r="F74">
        <f t="shared" si="9"/>
        <v>-3.8627251411229024E-2</v>
      </c>
      <c r="G74">
        <f t="shared" si="10"/>
        <v>180.31595093635519</v>
      </c>
      <c r="I74">
        <f t="shared" si="11"/>
        <v>360.15971683760267</v>
      </c>
      <c r="J74">
        <f t="shared" si="12"/>
        <v>3.9783120604630628E-3</v>
      </c>
      <c r="K74">
        <f t="shared" si="13"/>
        <v>360.16530311132806</v>
      </c>
    </row>
    <row r="75" spans="1:11" x14ac:dyDescent="0.45">
      <c r="A75">
        <f>A74-(B74/C74)</f>
        <v>7.5439793248955285</v>
      </c>
      <c r="B75">
        <f>A75*TAN(RADIANS(A75))-1</f>
        <v>-9.2468006822488125E-4</v>
      </c>
      <c r="C75">
        <f>TAN(RADIANS(A75))+A75*(_xlfn.SEC(RADIANS(A75))^2)</f>
        <v>7.8087237957926847</v>
      </c>
      <c r="E75">
        <f>E74-(F74/G74)</f>
        <v>180.30570729226136</v>
      </c>
      <c r="F75">
        <f>E75*TAN(RADIANS(E75))-1</f>
        <v>-3.7951955612963051E-2</v>
      </c>
      <c r="G75">
        <f>TAN(RADIANS(E75))+E75*(_xlfn.SEC(RADIANS(E75))^2)</f>
        <v>180.31617609279155</v>
      </c>
      <c r="I75">
        <f t="shared" si="11"/>
        <v>360.15970579180777</v>
      </c>
      <c r="J75">
        <f t="shared" si="12"/>
        <v>3.9088471645014611E-3</v>
      </c>
      <c r="K75">
        <f t="shared" si="13"/>
        <v>360.16529148556583</v>
      </c>
    </row>
    <row r="76" spans="1:11" x14ac:dyDescent="0.45">
      <c r="A76">
        <f t="shared" ref="A76:A86" si="16">A75-(B75/C75)</f>
        <v>7.5440977411812629</v>
      </c>
      <c r="B76">
        <f t="shared" si="6"/>
        <v>-8.9313253153577854E-4</v>
      </c>
      <c r="C76">
        <f t="shared" ref="C76:C86" si="17">TAN(RADIANS(A76))+A76*(_xlfn.SEC(RADIANS(A76))^2)</f>
        <v>7.8088505941550856</v>
      </c>
      <c r="E76">
        <f t="shared" ref="E76:E88" si="18">E75-(F75/G75)</f>
        <v>180.30591776675365</v>
      </c>
      <c r="F76">
        <f t="shared" si="9"/>
        <v>-3.7288464826000234E-2</v>
      </c>
      <c r="G76">
        <f t="shared" ref="G76:G88" si="19">TAN(RADIANS(E76))+E76*(_xlfn.SEC(RADIANS(E76))^2)</f>
        <v>180.31639731761106</v>
      </c>
      <c r="I76">
        <f t="shared" si="11"/>
        <v>360.15969493888201</v>
      </c>
      <c r="J76">
        <f t="shared" si="12"/>
        <v>3.8405951902973356E-3</v>
      </c>
      <c r="K76">
        <f t="shared" si="13"/>
        <v>360.16528006282567</v>
      </c>
    </row>
    <row r="77" spans="1:11" x14ac:dyDescent="0.45">
      <c r="A77">
        <f t="shared" si="16"/>
        <v>7.544212115572317</v>
      </c>
      <c r="B77">
        <f t="shared" si="6"/>
        <v>-8.6266132358359116E-4</v>
      </c>
      <c r="C77">
        <f t="shared" si="17"/>
        <v>7.8089730647098508</v>
      </c>
      <c r="E77">
        <f t="shared" si="18"/>
        <v>180.30612456139562</v>
      </c>
      <c r="F77">
        <f t="shared" si="9"/>
        <v>-3.6636572710406434E-2</v>
      </c>
      <c r="G77">
        <f t="shared" si="19"/>
        <v>180.31661467938207</v>
      </c>
      <c r="I77">
        <f t="shared" si="11"/>
        <v>360.15968427545772</v>
      </c>
      <c r="J77">
        <f t="shared" si="12"/>
        <v>3.7735349583380984E-3</v>
      </c>
      <c r="K77">
        <f t="shared" si="13"/>
        <v>360.16526883956152</v>
      </c>
    </row>
    <row r="78" spans="1:11" x14ac:dyDescent="0.45">
      <c r="A78">
        <f t="shared" si="16"/>
        <v>7.5443225860933998</v>
      </c>
      <c r="B78">
        <f t="shared" si="6"/>
        <v>-8.3322972161137265E-4</v>
      </c>
      <c r="C78">
        <f t="shared" si="17"/>
        <v>7.809091355232324</v>
      </c>
      <c r="E78">
        <f t="shared" si="18"/>
        <v>180.30632774052461</v>
      </c>
      <c r="F78">
        <f t="shared" si="9"/>
        <v>-3.5996076531775945E-2</v>
      </c>
      <c r="G78">
        <f t="shared" si="19"/>
        <v>180.31682824548002</v>
      </c>
      <c r="I78">
        <f t="shared" si="11"/>
        <v>360.15967379822604</v>
      </c>
      <c r="J78">
        <f t="shared" si="12"/>
        <v>3.7076456600344532E-3</v>
      </c>
      <c r="K78">
        <f t="shared" si="13"/>
        <v>360.16525781228967</v>
      </c>
    </row>
    <row r="79" spans="1:11" x14ac:dyDescent="0.45">
      <c r="A79">
        <f t="shared" si="16"/>
        <v>7.5444292860516544</v>
      </c>
      <c r="B79">
        <f t="shared" si="6"/>
        <v>-8.0480225585033427E-4</v>
      </c>
      <c r="C79">
        <f t="shared" si="17"/>
        <v>7.8092056084478774</v>
      </c>
      <c r="E79">
        <f t="shared" si="18"/>
        <v>180.30652736735303</v>
      </c>
      <c r="F79">
        <f t="shared" si="9"/>
        <v>-3.5366777098550295E-2</v>
      </c>
      <c r="G79">
        <f t="shared" si="19"/>
        <v>180.31703808210807</v>
      </c>
      <c r="I79">
        <f t="shared" si="11"/>
        <v>360.15966350393592</v>
      </c>
      <c r="J79">
        <f t="shared" si="12"/>
        <v>3.6429068500405393E-3</v>
      </c>
      <c r="K79">
        <f t="shared" si="13"/>
        <v>360.165246977587</v>
      </c>
    </row>
    <row r="80" spans="1:11" x14ac:dyDescent="0.45">
      <c r="A80">
        <f t="shared" si="16"/>
        <v>7.5445323441981804</v>
      </c>
      <c r="B80">
        <f t="shared" si="6"/>
        <v>-7.7734466676238068E-4</v>
      </c>
      <c r="C80">
        <f t="shared" si="17"/>
        <v>7.8093159622047601</v>
      </c>
      <c r="E80">
        <f t="shared" si="18"/>
        <v>180.30672350398811</v>
      </c>
      <c r="F80">
        <f t="shared" si="9"/>
        <v>-3.4748478700056928E-2</v>
      </c>
      <c r="G80">
        <f t="shared" si="19"/>
        <v>180.31724425431742</v>
      </c>
      <c r="I80">
        <f t="shared" si="11"/>
        <v>360.15965338939299</v>
      </c>
      <c r="J80">
        <f t="shared" si="12"/>
        <v>3.5792984388931526E-3</v>
      </c>
      <c r="K80">
        <f t="shared" si="13"/>
        <v>360.1652363320901</v>
      </c>
    </row>
    <row r="81" spans="1:11" x14ac:dyDescent="0.45">
      <c r="A81">
        <f t="shared" si="16"/>
        <v>7.544631884884013</v>
      </c>
      <c r="B81">
        <f t="shared" si="6"/>
        <v>-7.5082386374614174E-4</v>
      </c>
      <c r="C81">
        <f t="shared" si="17"/>
        <v>7.8094225496410052</v>
      </c>
      <c r="E81">
        <f t="shared" si="18"/>
        <v>180.30691621145124</v>
      </c>
      <c r="F81">
        <f t="shared" si="9"/>
        <v>-3.4140989045665093E-2</v>
      </c>
      <c r="G81">
        <f t="shared" si="19"/>
        <v>180.31744682602718</v>
      </c>
      <c r="I81">
        <f t="shared" si="11"/>
        <v>360.15964345145875</v>
      </c>
      <c r="J81">
        <f t="shared" si="12"/>
        <v>3.5168006894896742E-3</v>
      </c>
      <c r="K81">
        <f t="shared" si="13"/>
        <v>360.16522587249489</v>
      </c>
    </row>
    <row r="82" spans="1:11" x14ac:dyDescent="0.45">
      <c r="A82">
        <f t="shared" si="16"/>
        <v>7.5447280282107405</v>
      </c>
      <c r="B82">
        <f t="shared" si="6"/>
        <v>-7.2520788524621516E-4</v>
      </c>
      <c r="C82">
        <f t="shared" si="17"/>
        <v>7.8095254993456313</v>
      </c>
      <c r="E82">
        <f t="shared" ref="E82:E92" si="20">E81-(F81/G81)</f>
        <v>180.3071055496969</v>
      </c>
      <c r="F82">
        <f t="shared" si="9"/>
        <v>-3.3544119204901302E-2</v>
      </c>
      <c r="G82">
        <f t="shared" ref="G82:G92" si="21">TAN(RADIANS(E82))+E82*(_xlfn.SEC(RADIANS(E82))^2)</f>
        <v>180.31764586004417</v>
      </c>
      <c r="I82">
        <f t="shared" si="11"/>
        <v>360.15963368704945</v>
      </c>
      <c r="J82">
        <f t="shared" si="12"/>
        <v>3.4553942084478706E-3</v>
      </c>
      <c r="K82">
        <f t="shared" si="13"/>
        <v>360.16521559555434</v>
      </c>
    </row>
    <row r="83" spans="1:11" x14ac:dyDescent="0.45">
      <c r="A83">
        <f t="shared" si="16"/>
        <v>7.544820890175953</v>
      </c>
      <c r="B83">
        <f t="shared" si="6"/>
        <v>-7.0046586022787238E-4</v>
      </c>
      <c r="C83">
        <f t="shared" si="17"/>
        <v>7.8096249355142833</v>
      </c>
      <c r="E83">
        <f t="shared" si="20"/>
        <v>180.30729157763136</v>
      </c>
      <c r="F83">
        <f t="shared" si="9"/>
        <v>-3.2957683549082351E-2</v>
      </c>
      <c r="G83">
        <f t="shared" si="21"/>
        <v>180.31784141808217</v>
      </c>
      <c r="I83">
        <f t="shared" si="11"/>
        <v>360.15962409313516</v>
      </c>
      <c r="J83">
        <f t="shared" si="12"/>
        <v>3.395059940665357E-3</v>
      </c>
      <c r="K83">
        <f t="shared" si="13"/>
        <v>360.16520549807842</v>
      </c>
    </row>
    <row r="84" spans="1:11" x14ac:dyDescent="0.45">
      <c r="A84">
        <f t="shared" si="16"/>
        <v>7.5449105828136931</v>
      </c>
      <c r="B84">
        <f t="shared" si="6"/>
        <v>-6.7656797096682375E-4</v>
      </c>
      <c r="C84">
        <f t="shared" si="17"/>
        <v>7.8097209780995467</v>
      </c>
      <c r="E84">
        <f t="shared" si="20"/>
        <v>180.30747435313094</v>
      </c>
      <c r="F84">
        <f t="shared" si="9"/>
        <v>-3.2381499693430071E-2</v>
      </c>
      <c r="G84">
        <f t="shared" si="21"/>
        <v>180.31803356078038</v>
      </c>
      <c r="I84">
        <f t="shared" si="11"/>
        <v>360.15961466673895</v>
      </c>
      <c r="J84">
        <f t="shared" si="12"/>
        <v>3.335779164838959E-3</v>
      </c>
      <c r="K84">
        <f t="shared" si="13"/>
        <v>360.16519557693289</v>
      </c>
    </row>
    <row r="85" spans="1:11" x14ac:dyDescent="0.45">
      <c r="A85">
        <f t="shared" si="16"/>
        <v>7.5449972143300901</v>
      </c>
      <c r="B85">
        <f t="shared" si="6"/>
        <v>-6.5348541710563701E-4</v>
      </c>
      <c r="C85">
        <f t="shared" si="17"/>
        <v>7.8098137429561092</v>
      </c>
      <c r="E85">
        <f t="shared" si="20"/>
        <v>180.3076539330601</v>
      </c>
      <c r="F85">
        <f t="shared" si="9"/>
        <v>-3.1815388440540437E-2</v>
      </c>
      <c r="G85">
        <f t="shared" si="21"/>
        <v>180.31822234772275</v>
      </c>
      <c r="I85">
        <f t="shared" si="11"/>
        <v>360.15960540493575</v>
      </c>
      <c r="J85">
        <f t="shared" si="12"/>
        <v>3.2775334854622251E-3</v>
      </c>
      <c r="K85">
        <f t="shared" si="13"/>
        <v>360.16518582903797</v>
      </c>
    </row>
    <row r="86" spans="1:11" x14ac:dyDescent="0.45">
      <c r="A86">
        <f t="shared" si="16"/>
        <v>7.5450808892343337</v>
      </c>
      <c r="B86">
        <f t="shared" si="6"/>
        <v>-6.3119038094083812E-4</v>
      </c>
      <c r="C86">
        <f t="shared" si="17"/>
        <v>7.8099033419809265</v>
      </c>
      <c r="E86">
        <f t="shared" si="20"/>
        <v>180.30783037328908</v>
      </c>
      <c r="F86">
        <f t="shared" si="9"/>
        <v>-3.125917372449516E-2</v>
      </c>
      <c r="G86">
        <f t="shared" si="21"/>
        <v>180.31840783745591</v>
      </c>
      <c r="I86">
        <f t="shared" si="11"/>
        <v>360.15959630485162</v>
      </c>
      <c r="J86">
        <f t="shared" si="12"/>
        <v>3.2203048289867198E-3</v>
      </c>
      <c r="K86">
        <f t="shared" si="13"/>
        <v>360.16517625136834</v>
      </c>
    </row>
    <row r="87" spans="1:11" x14ac:dyDescent="0.45">
      <c r="A87">
        <f>A86-(B86/C86)</f>
        <v>7.5451617084651614</v>
      </c>
      <c r="B87">
        <f>A87*TAN(RADIANS(A87))-1</f>
        <v>-6.0965599389128933E-4</v>
      </c>
      <c r="C87">
        <f>TAN(RADIANS(A87))+A87*(_xlfn.SEC(RADIANS(A87))^2)</f>
        <v>7.8099898832486039</v>
      </c>
      <c r="E87">
        <f t="shared" si="20"/>
        <v>180.3080037287113</v>
      </c>
      <c r="F87">
        <f t="shared" si="9"/>
        <v>-3.071268255633175E-2</v>
      </c>
      <c r="G87">
        <f t="shared" si="21"/>
        <v>180.31859008750692</v>
      </c>
      <c r="I87">
        <f>I86-(J86/K86)</f>
        <v>360.15958736366287</v>
      </c>
      <c r="J87">
        <f>I87*TAN(RADIANS(I87))-1</f>
        <v>3.164075437419811E-3</v>
      </c>
      <c r="K87">
        <f>TAN(RADIANS(I87))+I87*(_xlfn.SEC(RADIANS(I87))^2)</f>
        <v>360.16516684095075</v>
      </c>
    </row>
    <row r="88" spans="1:11" x14ac:dyDescent="0.45">
      <c r="A88" s="1">
        <f t="shared" ref="A88" si="22">A87-(B87/C87)</f>
        <v>7.5452397695129996</v>
      </c>
      <c r="B88">
        <f t="shared" si="6"/>
        <v>-5.8885630411253942E-4</v>
      </c>
      <c r="C88">
        <f t="shared" ref="C88" si="23">TAN(RADIANS(A88))+A88*(_xlfn.SEC(RADIANS(A88))^2)</f>
        <v>7.8100734711421227</v>
      </c>
      <c r="E88">
        <f t="shared" si="20"/>
        <v>180.30817405326042</v>
      </c>
      <c r="F88">
        <f t="shared" si="9"/>
        <v>-3.0175744970392326E-2</v>
      </c>
      <c r="G88">
        <f t="shared" si="21"/>
        <v>180.31876915440159</v>
      </c>
      <c r="I88">
        <f t="shared" ref="I88:I96" si="24">I87-(J87/K87)</f>
        <v>360.15957857859502</v>
      </c>
      <c r="J88">
        <f t="shared" si="12"/>
        <v>3.1088278625648336E-3</v>
      </c>
      <c r="K88">
        <f t="shared" ref="K88:K96" si="25">TAN(RADIANS(I88))+I88*(_xlfn.SEC(RADIANS(I88))^2)</f>
        <v>360.16515759486418</v>
      </c>
    </row>
    <row r="89" spans="1:11" x14ac:dyDescent="0.45">
      <c r="E89">
        <f t="shared" si="20"/>
        <v>180.30834139992717</v>
      </c>
      <c r="F89">
        <f t="shared" si="9"/>
        <v>-2.9648193970989722E-2</v>
      </c>
      <c r="G89">
        <f t="shared" si="21"/>
        <v>180.31894509368121</v>
      </c>
      <c r="I89">
        <f t="shared" si="24"/>
        <v>360.15956994692203</v>
      </c>
      <c r="J89">
        <f t="shared" si="12"/>
        <v>3.05454496089963E-3</v>
      </c>
      <c r="K89">
        <f t="shared" si="25"/>
        <v>360.16514851023891</v>
      </c>
    </row>
    <row r="90" spans="1:11" x14ac:dyDescent="0.45">
      <c r="E90">
        <f t="shared" si="20"/>
        <v>180.30850582077576</v>
      </c>
      <c r="F90">
        <f t="shared" si="9"/>
        <v>-2.9129865481398398E-2</v>
      </c>
      <c r="G90">
        <f t="shared" si="21"/>
        <v>180.31911795991979</v>
      </c>
      <c r="I90">
        <f t="shared" si="24"/>
        <v>360.15956146596551</v>
      </c>
      <c r="J90">
        <f t="shared" si="12"/>
        <v>3.0012098878164917E-3</v>
      </c>
      <c r="K90">
        <f t="shared" si="25"/>
        <v>360.16513958425492</v>
      </c>
    </row>
    <row r="91" spans="1:11" x14ac:dyDescent="0.45">
      <c r="E91">
        <f t="shared" si="20"/>
        <v>180.30866736696018</v>
      </c>
      <c r="F91">
        <f t="shared" si="9"/>
        <v>-2.8620598291957289E-2</v>
      </c>
      <c r="G91">
        <f t="shared" si="21"/>
        <v>180.31928780674127</v>
      </c>
      <c r="I91">
        <f t="shared" si="24"/>
        <v>360.15955313309382</v>
      </c>
      <c r="J91">
        <f t="shared" si="12"/>
        <v>2.9488060937803429E-3</v>
      </c>
      <c r="K91">
        <f t="shared" si="25"/>
        <v>360.16513081414172</v>
      </c>
    </row>
    <row r="92" spans="1:11" x14ac:dyDescent="0.45">
      <c r="E92">
        <f t="shared" si="20"/>
        <v>180.30882608873998</v>
      </c>
      <c r="F92">
        <f t="shared" si="9"/>
        <v>-2.8120234010659106E-2</v>
      </c>
      <c r="G92">
        <f t="shared" si="21"/>
        <v>180.31945468683529</v>
      </c>
      <c r="I92">
        <f t="shared" si="24"/>
        <v>360.15954494572128</v>
      </c>
      <c r="J92">
        <f t="shared" si="12"/>
        <v>2.8973173176096712E-3</v>
      </c>
      <c r="K92">
        <f t="shared" si="25"/>
        <v>360.16512219717708</v>
      </c>
    </row>
    <row r="93" spans="1:11" x14ac:dyDescent="0.45">
      <c r="E93">
        <f t="shared" ref="E93:E102" si="26">E92-(F92/G92)</f>
        <v>180.30898203549603</v>
      </c>
      <c r="F93">
        <f t="shared" si="9"/>
        <v>-2.7628617013573886E-2</v>
      </c>
      <c r="G93">
        <f t="shared" ref="G93:G102" si="27">TAN(RADIANS(E93))+E93*(_xlfn.SEC(RADIANS(E93))^2)</f>
        <v>180.31961865197397</v>
      </c>
      <c r="I93">
        <f t="shared" si="24"/>
        <v>360.15953690130738</v>
      </c>
      <c r="J93">
        <f t="shared" si="12"/>
        <v>2.8467275829542338E-3</v>
      </c>
      <c r="K93">
        <f t="shared" si="25"/>
        <v>360.16511373068664</v>
      </c>
    </row>
    <row r="94" spans="1:11" x14ac:dyDescent="0.45">
      <c r="E94">
        <f t="shared" si="26"/>
        <v>180.30913525574582</v>
      </c>
      <c r="F94">
        <f t="shared" si="9"/>
        <v>-2.7145594396555173E-2</v>
      </c>
      <c r="G94">
        <f t="shared" si="27"/>
        <v>180.3197797530276</v>
      </c>
      <c r="I94">
        <f t="shared" si="24"/>
        <v>360.15952899735589</v>
      </c>
      <c r="J94">
        <f t="shared" si="12"/>
        <v>2.797021190615645E-3</v>
      </c>
      <c r="K94">
        <f t="shared" si="25"/>
        <v>360.16510541204224</v>
      </c>
    </row>
    <row r="95" spans="1:11" x14ac:dyDescent="0.45">
      <c r="E95">
        <f t="shared" si="26"/>
        <v>180.30928579715859</v>
      </c>
      <c r="F95">
        <f t="shared" si="9"/>
        <v>-2.6671015927744679E-2</v>
      </c>
      <c r="G95">
        <f t="shared" si="27"/>
        <v>180.31993803998023</v>
      </c>
      <c r="I95">
        <f t="shared" si="24"/>
        <v>360.15952123141426</v>
      </c>
      <c r="J95">
        <f t="shared" si="12"/>
        <v>2.7481827172659568E-3</v>
      </c>
      <c r="K95">
        <f t="shared" si="25"/>
        <v>360.16509723866182</v>
      </c>
    </row>
    <row r="96" spans="1:11" x14ac:dyDescent="0.45">
      <c r="E96">
        <f t="shared" si="26"/>
        <v>180.30943370657016</v>
      </c>
      <c r="F96">
        <f t="shared" si="9"/>
        <v>-2.6204734000875973E-2</v>
      </c>
      <c r="G96">
        <f t="shared" si="27"/>
        <v>180.32009356194527</v>
      </c>
      <c r="I96">
        <f t="shared" si="24"/>
        <v>360.15951360107266</v>
      </c>
      <c r="J96">
        <f t="shared" si="12"/>
        <v>2.7001970077671356E-3</v>
      </c>
      <c r="K96">
        <f t="shared" si="25"/>
        <v>360.16508920800862</v>
      </c>
    </row>
    <row r="97" spans="1:11" x14ac:dyDescent="0.45">
      <c r="E97">
        <f t="shared" si="26"/>
        <v>180.30957902999742</v>
      </c>
      <c r="F97">
        <f t="shared" si="9"/>
        <v>-2.5746603589540951E-2</v>
      </c>
      <c r="G97">
        <f t="shared" si="27"/>
        <v>180.32024636718032</v>
      </c>
      <c r="I97">
        <f>I96-(J96/K96)</f>
        <v>360.15950610396345</v>
      </c>
      <c r="J97">
        <f>I97*TAN(RADIANS(I97))-1</f>
        <v>2.6530491726111105E-3</v>
      </c>
      <c r="K97">
        <f>TAN(RADIANS(I97))+I97*(_xlfn.SEC(RADIANS(I97))^2)</f>
        <v>360.16508131759002</v>
      </c>
    </row>
    <row r="98" spans="1:11" x14ac:dyDescent="0.45">
      <c r="E98">
        <f t="shared" si="26"/>
        <v>180.30972181265278</v>
      </c>
      <c r="F98">
        <f t="shared" si="9"/>
        <v>-2.5296482201850323E-2</v>
      </c>
      <c r="G98">
        <f t="shared" si="27"/>
        <v>180.32039650310236</v>
      </c>
      <c r="I98">
        <f t="shared" ref="I98:I101" si="28">I97-(J97/K97)</f>
        <v>360.15949873776026</v>
      </c>
      <c r="J98">
        <f t="shared" si="12"/>
        <v>2.6067245815182272E-3</v>
      </c>
      <c r="K98">
        <f t="shared" ref="K98:K101" si="29">TAN(RADIANS(I98))+I98*(_xlfn.SEC(RADIANS(I98))^2)</f>
        <v>360.16507356495714</v>
      </c>
    </row>
    <row r="99" spans="1:11" x14ac:dyDescent="0.45">
      <c r="A99" s="2"/>
      <c r="E99">
        <f t="shared" si="26"/>
        <v>180.30986209895812</v>
      </c>
      <c r="F99">
        <f t="shared" si="9"/>
        <v>-2.4854229836380637E-2</v>
      </c>
      <c r="G99">
        <f t="shared" si="27"/>
        <v>180.32054401630199</v>
      </c>
      <c r="I99">
        <f t="shared" si="28"/>
        <v>360.15949150017735</v>
      </c>
      <c r="J99">
        <f t="shared" si="12"/>
        <v>2.5612088595969862E-3</v>
      </c>
      <c r="K99">
        <f t="shared" si="29"/>
        <v>360.16506594770334</v>
      </c>
    </row>
    <row r="100" spans="1:11" x14ac:dyDescent="0.45">
      <c r="E100">
        <f t="shared" si="26"/>
        <v>180.30999993255867</v>
      </c>
      <c r="F100">
        <f t="shared" si="9"/>
        <v>-2.441970893859613E-2</v>
      </c>
      <c r="G100">
        <f t="shared" si="27"/>
        <v>180.32068895255807</v>
      </c>
      <c r="I100">
        <f t="shared" si="28"/>
        <v>360.15948438896891</v>
      </c>
      <c r="J100">
        <f t="shared" si="12"/>
        <v>2.5164878831838156E-3</v>
      </c>
      <c r="K100">
        <f t="shared" si="29"/>
        <v>360.16505846346479</v>
      </c>
    </row>
    <row r="101" spans="1:11" x14ac:dyDescent="0.45">
      <c r="E101">
        <f t="shared" si="26"/>
        <v>180.31013535633662</v>
      </c>
      <c r="F101">
        <f t="shared" si="9"/>
        <v>-2.3992784357832031E-2</v>
      </c>
      <c r="G101">
        <f t="shared" si="27"/>
        <v>180.32083135685156</v>
      </c>
      <c r="I101" s="1">
        <f t="shared" si="28"/>
        <v>360.15947740192831</v>
      </c>
      <c r="J101">
        <f t="shared" si="12"/>
        <v>2.4725477756826209E-3</v>
      </c>
      <c r="K101">
        <f t="shared" si="29"/>
        <v>360.16505110991824</v>
      </c>
    </row>
    <row r="102" spans="1:11" x14ac:dyDescent="0.45">
      <c r="E102" s="1">
        <f t="shared" si="26"/>
        <v>180.31026841242436</v>
      </c>
      <c r="F102">
        <f t="shared" si="9"/>
        <v>-2.3573323305959626E-2</v>
      </c>
      <c r="G102">
        <f t="shared" si="27"/>
        <v>180.3209712733798</v>
      </c>
    </row>
    <row r="105" spans="1:11" x14ac:dyDescent="0.45">
      <c r="A105" t="s">
        <v>33</v>
      </c>
      <c r="B105" t="s">
        <v>35</v>
      </c>
      <c r="C105" s="3" t="s">
        <v>55</v>
      </c>
    </row>
    <row r="106" spans="1:11" x14ac:dyDescent="0.45">
      <c r="A106">
        <v>-2</v>
      </c>
      <c r="B106">
        <f>A106^4-EXP(A106)+1</f>
        <v>16.864664716763386</v>
      </c>
    </row>
    <row r="107" spans="1:11" x14ac:dyDescent="0.45">
      <c r="A107">
        <v>-1</v>
      </c>
      <c r="B107">
        <f t="shared" ref="B107:B118" si="30">A107^4-EXP(A107)+1</f>
        <v>1.6321205588285577</v>
      </c>
    </row>
    <row r="108" spans="1:11" x14ac:dyDescent="0.45">
      <c r="A108" s="1">
        <v>0</v>
      </c>
      <c r="B108">
        <f t="shared" si="30"/>
        <v>0</v>
      </c>
    </row>
    <row r="109" spans="1:11" x14ac:dyDescent="0.45">
      <c r="A109">
        <v>1</v>
      </c>
      <c r="B109">
        <f t="shared" si="30"/>
        <v>-0.71828182845904509</v>
      </c>
    </row>
    <row r="110" spans="1:11" x14ac:dyDescent="0.45">
      <c r="A110">
        <v>2</v>
      </c>
      <c r="B110">
        <f t="shared" si="30"/>
        <v>9.6109439010693496</v>
      </c>
    </row>
    <row r="111" spans="1:11" x14ac:dyDescent="0.45">
      <c r="A111">
        <v>3</v>
      </c>
      <c r="B111">
        <f t="shared" si="30"/>
        <v>61.914463076812332</v>
      </c>
    </row>
    <row r="112" spans="1:11" x14ac:dyDescent="0.45">
      <c r="A112">
        <v>4</v>
      </c>
      <c r="B112">
        <f t="shared" si="30"/>
        <v>202.40184996685576</v>
      </c>
    </row>
    <row r="113" spans="1:3" x14ac:dyDescent="0.45">
      <c r="A113">
        <v>5</v>
      </c>
      <c r="B113">
        <f t="shared" si="30"/>
        <v>477.58684089742337</v>
      </c>
    </row>
    <row r="114" spans="1:3" x14ac:dyDescent="0.45">
      <c r="A114">
        <v>6</v>
      </c>
      <c r="B114">
        <f t="shared" si="30"/>
        <v>893.57120650726483</v>
      </c>
    </row>
    <row r="115" spans="1:3" x14ac:dyDescent="0.45">
      <c r="A115">
        <v>7</v>
      </c>
      <c r="B115">
        <f t="shared" si="30"/>
        <v>1305.3668415715415</v>
      </c>
    </row>
    <row r="116" spans="1:3" x14ac:dyDescent="0.45">
      <c r="A116">
        <v>8</v>
      </c>
      <c r="B116">
        <f t="shared" si="30"/>
        <v>1116.0420129582717</v>
      </c>
    </row>
    <row r="117" spans="1:3" x14ac:dyDescent="0.45">
      <c r="A117">
        <v>9</v>
      </c>
      <c r="B117">
        <f t="shared" si="30"/>
        <v>-1541.0839275753842</v>
      </c>
    </row>
    <row r="118" spans="1:3" x14ac:dyDescent="0.45">
      <c r="A118">
        <v>10</v>
      </c>
      <c r="B118">
        <f t="shared" si="30"/>
        <v>-12025.465794806718</v>
      </c>
    </row>
    <row r="121" spans="1:3" x14ac:dyDescent="0.45">
      <c r="A121" t="s">
        <v>41</v>
      </c>
      <c r="B121" t="s">
        <v>21</v>
      </c>
      <c r="C121" t="s">
        <v>42</v>
      </c>
    </row>
    <row r="122" spans="1:3" x14ac:dyDescent="0.45">
      <c r="A122">
        <v>1</v>
      </c>
      <c r="B122">
        <f>A122^4-EXP(A122)+1</f>
        <v>-0.71828182845904509</v>
      </c>
      <c r="C122">
        <f>4*A122^3-EXP(A122)</f>
        <v>1.2817181715409549</v>
      </c>
    </row>
    <row r="123" spans="1:3" x14ac:dyDescent="0.45">
      <c r="A123">
        <f>A122-(B122/C122)</f>
        <v>1.5604054342113958</v>
      </c>
      <c r="B123">
        <f>A123^4-EXP(A123)+1</f>
        <v>2.1678171230404333</v>
      </c>
      <c r="C123">
        <f>4*A123^3-EXP(A123)</f>
        <v>10.43675602851482</v>
      </c>
    </row>
    <row r="124" spans="1:3" x14ac:dyDescent="0.45">
      <c r="A124">
        <f t="shared" ref="A124:A127" si="31">A123-(B123/C123)</f>
        <v>1.3526955752171237</v>
      </c>
      <c r="B124">
        <f t="shared" ref="B124:B127" si="32">A124^4-EXP(A124)+1</f>
        <v>0.48027677617413111</v>
      </c>
      <c r="C124">
        <f t="shared" ref="C124:C127" si="33">4*A124^3-EXP(A124)</f>
        <v>6.0327324813516441</v>
      </c>
    </row>
    <row r="125" spans="1:3" x14ac:dyDescent="0.45">
      <c r="A125">
        <f t="shared" si="31"/>
        <v>1.2730837612242505</v>
      </c>
      <c r="B125">
        <f t="shared" si="32"/>
        <v>5.4955153433588588E-2</v>
      </c>
      <c r="C125">
        <f t="shared" si="33"/>
        <v>4.6815122951517161</v>
      </c>
    </row>
    <row r="126" spans="1:3" x14ac:dyDescent="0.45">
      <c r="A126">
        <f t="shared" si="31"/>
        <v>1.261345000334847</v>
      </c>
      <c r="B126">
        <f t="shared" si="32"/>
        <v>1.0866592168223832E-3</v>
      </c>
      <c r="C126">
        <f t="shared" si="33"/>
        <v>4.49698886191754</v>
      </c>
    </row>
    <row r="127" spans="1:3" x14ac:dyDescent="0.45">
      <c r="A127">
        <f t="shared" si="31"/>
        <v>1.2611033588164469</v>
      </c>
      <c r="B127">
        <f t="shared" si="32"/>
        <v>4.5426662031999854E-7</v>
      </c>
      <c r="C127">
        <f t="shared" si="33"/>
        <v>4.4932292829951894</v>
      </c>
    </row>
    <row r="128" spans="1:3" x14ac:dyDescent="0.45">
      <c r="A128">
        <f>A127-(B127/C127)</f>
        <v>1.2611032577161931</v>
      </c>
      <c r="B128">
        <f>A128^4-EXP(A128)+1</f>
        <v>7.8603790143461083E-14</v>
      </c>
      <c r="C128">
        <f>4*A128^3-EXP(A128)</f>
        <v>4.4932277103539118</v>
      </c>
    </row>
    <row r="129" spans="1:3" x14ac:dyDescent="0.45">
      <c r="A129" s="1">
        <f>A128-(B128/C128)</f>
        <v>1.2611032577161756</v>
      </c>
      <c r="B129">
        <f>A129^4-EXP(A129)+1</f>
        <v>0</v>
      </c>
      <c r="C129">
        <f>4*A129^3-EXP(A129)</f>
        <v>4.4932277103536382</v>
      </c>
    </row>
    <row r="130" spans="1:3" x14ac:dyDescent="0.45">
      <c r="A130">
        <f t="shared" ref="A130" si="34">A129-(B129/C129)</f>
        <v>1.2611032577161756</v>
      </c>
      <c r="B130">
        <f t="shared" ref="B130:B145" si="35">A130^4-EXP(A130)+1</f>
        <v>0</v>
      </c>
      <c r="C130">
        <f t="shared" ref="C130" si="36">4*A130^3-EXP(A130)</f>
        <v>4.4932277103536382</v>
      </c>
    </row>
    <row r="131" spans="1:3" x14ac:dyDescent="0.45">
      <c r="B131">
        <f t="shared" si="35"/>
        <v>0</v>
      </c>
      <c r="C131">
        <f t="shared" ref="C131:C132" si="37">4*A131^3-EXP(A131)</f>
        <v>-1</v>
      </c>
    </row>
    <row r="132" spans="1:3" x14ac:dyDescent="0.45">
      <c r="A132">
        <v>8</v>
      </c>
      <c r="B132">
        <f t="shared" si="35"/>
        <v>1116.0420129582717</v>
      </c>
      <c r="C132">
        <f t="shared" si="37"/>
        <v>-932.9579870417283</v>
      </c>
    </row>
    <row r="133" spans="1:3" x14ac:dyDescent="0.45">
      <c r="A133">
        <f>A132-(B132/C132)</f>
        <v>9.1962403757291113</v>
      </c>
      <c r="B133">
        <f t="shared" si="35"/>
        <v>-2706.7629523598671</v>
      </c>
      <c r="C133">
        <f t="shared" ref="C133" si="38">4*A133^3-EXP(A133)</f>
        <v>-6749.0544463043261</v>
      </c>
    </row>
    <row r="134" spans="1:3" x14ac:dyDescent="0.45">
      <c r="A134">
        <f t="shared" ref="A134:A137" si="39">A133-(B133/C133)</f>
        <v>8.7951822758286067</v>
      </c>
      <c r="B134">
        <f t="shared" si="35"/>
        <v>-617.52711295549398</v>
      </c>
      <c r="C134">
        <f t="shared" ref="C134:C138" si="40">4*A134^3-EXP(A134)</f>
        <v>-3880.9454811648607</v>
      </c>
    </row>
    <row r="135" spans="1:3" x14ac:dyDescent="0.45">
      <c r="A135">
        <f t="shared" si="39"/>
        <v>8.6360645773315525</v>
      </c>
      <c r="B135">
        <f t="shared" si="35"/>
        <v>-67.708546229081549</v>
      </c>
      <c r="C135">
        <f t="shared" si="40"/>
        <v>-3054.7588540701536</v>
      </c>
    </row>
    <row r="136" spans="1:3" x14ac:dyDescent="0.45">
      <c r="A136">
        <f t="shared" si="39"/>
        <v>8.6138996374906007</v>
      </c>
      <c r="B136">
        <f t="shared" si="35"/>
        <v>-1.1536101621331909</v>
      </c>
      <c r="C136">
        <f t="shared" si="40"/>
        <v>-2951.1046730306794</v>
      </c>
    </row>
    <row r="137" spans="1:3" x14ac:dyDescent="0.45">
      <c r="A137">
        <f t="shared" si="39"/>
        <v>8.613508729579852</v>
      </c>
      <c r="B137">
        <f t="shared" si="35"/>
        <v>-3.5272922650619876E-4</v>
      </c>
      <c r="C137">
        <f t="shared" si="40"/>
        <v>-2949.3001413884631</v>
      </c>
    </row>
    <row r="138" spans="1:3" x14ac:dyDescent="0.45">
      <c r="A138" s="1">
        <f>A137-(B137/C137)</f>
        <v>8.6135086099822491</v>
      </c>
      <c r="B138">
        <f t="shared" si="35"/>
        <v>-3.1832314562052488E-11</v>
      </c>
      <c r="C138">
        <f t="shared" si="40"/>
        <v>-2949.2995894190294</v>
      </c>
    </row>
    <row r="139" spans="1:3" x14ac:dyDescent="0.45">
      <c r="A139">
        <f t="shared" ref="A139:A141" si="41">A138-(B138/C138)</f>
        <v>8.6135086099822384</v>
      </c>
      <c r="B139">
        <f t="shared" si="35"/>
        <v>-1.8189894035458565E-12</v>
      </c>
      <c r="C139">
        <f t="shared" ref="C139:C145" si="42">4*A139^3-EXP(A139)</f>
        <v>-2949.2995894189808</v>
      </c>
    </row>
    <row r="140" spans="1:3" x14ac:dyDescent="0.45">
      <c r="A140">
        <f t="shared" si="41"/>
        <v>8.6135086099822384</v>
      </c>
      <c r="B140">
        <f t="shared" si="35"/>
        <v>-1.8189894035458565E-12</v>
      </c>
      <c r="C140">
        <f t="shared" si="42"/>
        <v>-2949.2995894189808</v>
      </c>
    </row>
    <row r="143" spans="1:3" x14ac:dyDescent="0.45">
      <c r="A143" t="s">
        <v>33</v>
      </c>
      <c r="B143" t="s">
        <v>35</v>
      </c>
      <c r="C143" s="3" t="s">
        <v>57</v>
      </c>
    </row>
    <row r="144" spans="1:3" x14ac:dyDescent="0.45">
      <c r="A144">
        <v>-4</v>
      </c>
      <c r="B144">
        <f>A144^2*EXP(A144)-1</f>
        <v>-0.70694977778025314</v>
      </c>
    </row>
    <row r="145" spans="1:3" x14ac:dyDescent="0.45">
      <c r="A145">
        <v>-3</v>
      </c>
      <c r="B145">
        <f t="shared" ref="B145:B156" si="43">A145^2*EXP(A145)-1</f>
        <v>-0.55191638468922455</v>
      </c>
    </row>
    <row r="146" spans="1:3" x14ac:dyDescent="0.45">
      <c r="A146">
        <v>-2</v>
      </c>
      <c r="B146">
        <f t="shared" si="43"/>
        <v>-0.45865886705354919</v>
      </c>
    </row>
    <row r="147" spans="1:3" x14ac:dyDescent="0.45">
      <c r="A147">
        <v>-1</v>
      </c>
      <c r="B147">
        <f t="shared" si="43"/>
        <v>-0.63212055882855767</v>
      </c>
    </row>
    <row r="148" spans="1:3" x14ac:dyDescent="0.45">
      <c r="A148">
        <v>0</v>
      </c>
      <c r="B148">
        <f t="shared" si="43"/>
        <v>-1</v>
      </c>
    </row>
    <row r="149" spans="1:3" x14ac:dyDescent="0.45">
      <c r="A149">
        <v>1</v>
      </c>
      <c r="B149">
        <f t="shared" si="43"/>
        <v>1.7182818284590451</v>
      </c>
    </row>
    <row r="150" spans="1:3" x14ac:dyDescent="0.45">
      <c r="A150">
        <v>2</v>
      </c>
      <c r="B150">
        <f t="shared" si="43"/>
        <v>28.556224395722602</v>
      </c>
    </row>
    <row r="151" spans="1:3" x14ac:dyDescent="0.45">
      <c r="A151">
        <v>3</v>
      </c>
      <c r="B151">
        <f t="shared" si="43"/>
        <v>179.76983230868902</v>
      </c>
    </row>
    <row r="152" spans="1:3" x14ac:dyDescent="0.45">
      <c r="A152">
        <v>4</v>
      </c>
      <c r="B152">
        <f t="shared" si="43"/>
        <v>872.57040053030778</v>
      </c>
    </row>
    <row r="153" spans="1:3" x14ac:dyDescent="0.45">
      <c r="A153">
        <v>5</v>
      </c>
      <c r="B153">
        <f t="shared" si="43"/>
        <v>3709.3289775644148</v>
      </c>
    </row>
    <row r="154" spans="1:3" x14ac:dyDescent="0.45">
      <c r="A154">
        <v>6</v>
      </c>
      <c r="B154">
        <f t="shared" si="43"/>
        <v>14522.436565738464</v>
      </c>
    </row>
    <row r="155" spans="1:3" x14ac:dyDescent="0.45">
      <c r="A155">
        <v>7</v>
      </c>
      <c r="B155">
        <f t="shared" si="43"/>
        <v>53734.024762994464</v>
      </c>
    </row>
    <row r="156" spans="1:3" x14ac:dyDescent="0.45">
      <c r="A156">
        <v>8</v>
      </c>
      <c r="B156">
        <f t="shared" si="43"/>
        <v>190780.31117067061</v>
      </c>
    </row>
    <row r="158" spans="1:3" x14ac:dyDescent="0.45">
      <c r="A158" t="s">
        <v>41</v>
      </c>
      <c r="B158" t="s">
        <v>21</v>
      </c>
      <c r="C158" t="s">
        <v>42</v>
      </c>
    </row>
    <row r="159" spans="1:3" x14ac:dyDescent="0.45">
      <c r="A159">
        <v>1</v>
      </c>
      <c r="B159">
        <f>A159^2*EXP(A159)-1</f>
        <v>1.7182818284590451</v>
      </c>
      <c r="C159">
        <f>A159^2*EXP(A159)+EXP(A159)*2*A159</f>
        <v>8.1548454853771357</v>
      </c>
    </row>
    <row r="160" spans="1:3" x14ac:dyDescent="0.45">
      <c r="A160">
        <f>A159-(B159/C159)</f>
        <v>0.78929314705714748</v>
      </c>
      <c r="B160">
        <f>A160^2*EXP(A160)-1</f>
        <v>0.37171005642936561</v>
      </c>
      <c r="C160">
        <f>A160^2*EXP(A160)+EXP(A160)*2*A160</f>
        <v>4.8475037119139968</v>
      </c>
    </row>
    <row r="161" spans="1:3" x14ac:dyDescent="0.45">
      <c r="A161">
        <f t="shared" ref="A161:A165" si="44">A160-(B160/C160)</f>
        <v>0.71261243085350812</v>
      </c>
      <c r="B161">
        <f t="shared" ref="B161:B165" si="45">A161^2*EXP(A161)-1</f>
        <v>3.5596167003339341E-2</v>
      </c>
      <c r="C161">
        <f t="shared" ref="C161:C165" si="46">A161^2*EXP(A161)+EXP(A161)*2*A161</f>
        <v>3.9420741406277626</v>
      </c>
    </row>
    <row r="162" spans="1:3" x14ac:dyDescent="0.45">
      <c r="A162">
        <f t="shared" si="44"/>
        <v>0.70358262427618412</v>
      </c>
      <c r="B162">
        <f t="shared" si="45"/>
        <v>4.427985204056295E-4</v>
      </c>
      <c r="C162">
        <f t="shared" si="46"/>
        <v>3.8442958557206701</v>
      </c>
    </row>
    <row r="163" spans="1:3" x14ac:dyDescent="0.45">
      <c r="A163">
        <f t="shared" si="44"/>
        <v>0.70346744101843706</v>
      </c>
      <c r="B163">
        <f t="shared" si="45"/>
        <v>7.1173645199706925E-8</v>
      </c>
      <c r="C163">
        <f t="shared" si="46"/>
        <v>3.843060070442144</v>
      </c>
    </row>
    <row r="164" spans="1:3" x14ac:dyDescent="0.45">
      <c r="A164">
        <f t="shared" si="44"/>
        <v>0.70346742249839211</v>
      </c>
      <c r="B164">
        <f t="shared" si="45"/>
        <v>1.7763568394002505E-15</v>
      </c>
      <c r="C164">
        <f t="shared" si="46"/>
        <v>3.8430598717662381</v>
      </c>
    </row>
    <row r="165" spans="1:3" x14ac:dyDescent="0.45">
      <c r="A165" s="1">
        <f t="shared" si="44"/>
        <v>0.70346742249839167</v>
      </c>
      <c r="B165">
        <f t="shared" si="45"/>
        <v>0</v>
      </c>
      <c r="C165">
        <f t="shared" si="46"/>
        <v>3.8430598717662332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BF39-F30D-4EB9-BAA3-5F1964D98A86}">
  <dimension ref="A1:F78"/>
  <sheetViews>
    <sheetView tabSelected="1" zoomScale="87" workbookViewId="0">
      <selection activeCell="E57" sqref="E57"/>
    </sheetView>
  </sheetViews>
  <sheetFormatPr defaultRowHeight="14.25" x14ac:dyDescent="0.45"/>
  <cols>
    <col min="2" max="3" width="11.59765625" bestFit="1" customWidth="1"/>
  </cols>
  <sheetData>
    <row r="1" spans="1:3" x14ac:dyDescent="0.45">
      <c r="A1" t="s">
        <v>33</v>
      </c>
      <c r="B1" t="s">
        <v>35</v>
      </c>
      <c r="C1" s="3" t="s">
        <v>58</v>
      </c>
    </row>
    <row r="2" spans="1:3" x14ac:dyDescent="0.45">
      <c r="A2">
        <v>-5</v>
      </c>
      <c r="B2">
        <f>A2^3-17*A2+12</f>
        <v>-28</v>
      </c>
    </row>
    <row r="3" spans="1:3" x14ac:dyDescent="0.45">
      <c r="A3">
        <v>-4</v>
      </c>
      <c r="B3">
        <f t="shared" ref="B3:B17" si="0">A3^3-17*A3+12</f>
        <v>16</v>
      </c>
    </row>
    <row r="4" spans="1:3" x14ac:dyDescent="0.45">
      <c r="A4">
        <v>-3</v>
      </c>
      <c r="B4">
        <f t="shared" si="0"/>
        <v>36</v>
      </c>
    </row>
    <row r="5" spans="1:3" x14ac:dyDescent="0.45">
      <c r="A5">
        <v>-2</v>
      </c>
      <c r="B5">
        <f t="shared" si="0"/>
        <v>38</v>
      </c>
    </row>
    <row r="6" spans="1:3" x14ac:dyDescent="0.45">
      <c r="A6">
        <v>-1</v>
      </c>
      <c r="B6">
        <f t="shared" si="0"/>
        <v>28</v>
      </c>
    </row>
    <row r="7" spans="1:3" x14ac:dyDescent="0.45">
      <c r="A7">
        <v>0</v>
      </c>
      <c r="B7">
        <f t="shared" si="0"/>
        <v>12</v>
      </c>
    </row>
    <row r="8" spans="1:3" x14ac:dyDescent="0.45">
      <c r="A8">
        <v>1</v>
      </c>
      <c r="B8">
        <f t="shared" si="0"/>
        <v>-4</v>
      </c>
    </row>
    <row r="9" spans="1:3" x14ac:dyDescent="0.45">
      <c r="A9">
        <v>2</v>
      </c>
      <c r="B9">
        <f t="shared" si="0"/>
        <v>-14</v>
      </c>
    </row>
    <row r="10" spans="1:3" x14ac:dyDescent="0.45">
      <c r="A10">
        <v>3</v>
      </c>
      <c r="B10">
        <f t="shared" si="0"/>
        <v>-12</v>
      </c>
    </row>
    <row r="11" spans="1:3" x14ac:dyDescent="0.45">
      <c r="A11">
        <v>4</v>
      </c>
      <c r="B11">
        <f t="shared" si="0"/>
        <v>8</v>
      </c>
    </row>
    <row r="12" spans="1:3" x14ac:dyDescent="0.45">
      <c r="A12">
        <v>5</v>
      </c>
      <c r="B12">
        <f t="shared" si="0"/>
        <v>52</v>
      </c>
    </row>
    <row r="13" spans="1:3" x14ac:dyDescent="0.45">
      <c r="A13">
        <v>6</v>
      </c>
      <c r="B13">
        <f t="shared" si="0"/>
        <v>126</v>
      </c>
    </row>
    <row r="20" spans="1:4" x14ac:dyDescent="0.45">
      <c r="A20" t="s">
        <v>59</v>
      </c>
    </row>
    <row r="21" spans="1:4" x14ac:dyDescent="0.45">
      <c r="A21" t="s">
        <v>33</v>
      </c>
      <c r="B21">
        <v>-4.4388521665939269</v>
      </c>
      <c r="C21">
        <v>0.72863564232316103</v>
      </c>
      <c r="D21">
        <v>3.7102135132893834</v>
      </c>
    </row>
    <row r="22" spans="1:4" x14ac:dyDescent="0.45">
      <c r="A22" t="s">
        <v>35</v>
      </c>
      <c r="B22">
        <f>B21^3-17*B21+12</f>
        <v>-3.0929875805441043E-5</v>
      </c>
      <c r="C22">
        <f t="shared" ref="C22:D22" si="1">C21^3-17*C21+12</f>
        <v>3.3955971982635447E-5</v>
      </c>
      <c r="D22">
        <f t="shared" si="1"/>
        <v>-1.763716973357532E-6</v>
      </c>
    </row>
    <row r="25" spans="1:4" x14ac:dyDescent="0.45">
      <c r="A25" t="s">
        <v>60</v>
      </c>
    </row>
    <row r="26" spans="1:4" x14ac:dyDescent="0.45">
      <c r="A26" t="s">
        <v>33</v>
      </c>
      <c r="B26" t="s">
        <v>35</v>
      </c>
    </row>
    <row r="27" spans="1:4" x14ac:dyDescent="0.45">
      <c r="A27">
        <v>2</v>
      </c>
      <c r="B27">
        <f>BESSELJ(2,1)</f>
        <v>0.57672480789629377</v>
      </c>
    </row>
    <row r="28" spans="1:4" x14ac:dyDescent="0.45">
      <c r="A28">
        <v>3</v>
      </c>
      <c r="B28">
        <f>BESSELJ(3,1)</f>
        <v>0.33905895827253579</v>
      </c>
    </row>
    <row r="29" spans="1:4" x14ac:dyDescent="0.45">
      <c r="A29">
        <v>4</v>
      </c>
      <c r="B29">
        <f>BESSELJ(4,1)</f>
        <v>-6.6043327959084727E-2</v>
      </c>
    </row>
    <row r="30" spans="1:4" x14ac:dyDescent="0.45">
      <c r="A30">
        <v>5</v>
      </c>
      <c r="B30">
        <f>BESSELJ(5,1)</f>
        <v>-0.32757913856636323</v>
      </c>
    </row>
    <row r="32" spans="1:4" x14ac:dyDescent="0.45">
      <c r="A32" t="s">
        <v>61</v>
      </c>
    </row>
    <row r="33" spans="1:6" x14ac:dyDescent="0.45">
      <c r="A33" t="s">
        <v>33</v>
      </c>
      <c r="B33" t="s">
        <v>35</v>
      </c>
    </row>
    <row r="34" spans="1:6" x14ac:dyDescent="0.45">
      <c r="A34">
        <v>3.8323723823744849</v>
      </c>
      <c r="B34">
        <f>BESSELJ(A34,1)</f>
        <v>-2.6838038524441561E-4</v>
      </c>
    </row>
    <row r="37" spans="1:6" x14ac:dyDescent="0.45">
      <c r="A37" t="s">
        <v>36</v>
      </c>
      <c r="B37">
        <v>8.2000000000000003E-2</v>
      </c>
    </row>
    <row r="38" spans="1:6" x14ac:dyDescent="0.45">
      <c r="A38" t="s">
        <v>37</v>
      </c>
      <c r="B38">
        <v>11.8</v>
      </c>
    </row>
    <row r="39" spans="1:6" x14ac:dyDescent="0.45">
      <c r="A39" t="s">
        <v>38</v>
      </c>
      <c r="B39">
        <v>400</v>
      </c>
    </row>
    <row r="40" spans="1:6" x14ac:dyDescent="0.45">
      <c r="A40" t="s">
        <v>39</v>
      </c>
      <c r="B40">
        <v>8.8699999999999992</v>
      </c>
    </row>
    <row r="41" spans="1:6" x14ac:dyDescent="0.45">
      <c r="A41" t="s">
        <v>40</v>
      </c>
      <c r="B41">
        <v>6.4000000000000001E-2</v>
      </c>
    </row>
    <row r="43" spans="1:6" x14ac:dyDescent="0.45">
      <c r="A43" t="s">
        <v>0</v>
      </c>
      <c r="C43" t="s">
        <v>44</v>
      </c>
    </row>
    <row r="45" spans="1:6" x14ac:dyDescent="0.45">
      <c r="A45" t="s">
        <v>41</v>
      </c>
      <c r="B45" t="s">
        <v>35</v>
      </c>
      <c r="C45" t="s">
        <v>65</v>
      </c>
    </row>
    <row r="46" spans="1:6" x14ac:dyDescent="0.45">
      <c r="A46" t="s">
        <v>43</v>
      </c>
    </row>
    <row r="47" spans="1:6" x14ac:dyDescent="0.45">
      <c r="A47">
        <v>2.8</v>
      </c>
      <c r="B47">
        <f>($B$38+($B$40/A47^2))*(A47-$B$41)-$B$37*$B$39</f>
        <v>2.5802489795918291</v>
      </c>
      <c r="C47">
        <f>($B$38+($B$40/A47^B47))+(A47-$B$41)*-2*($B$40/A47^3)</f>
        <v>10.211472482390482</v>
      </c>
    </row>
    <row r="48" spans="1:6" x14ac:dyDescent="0.45">
      <c r="A48">
        <f>A47-(B47/C47)</f>
        <v>2.5473186179523641</v>
      </c>
      <c r="B48">
        <f>($B$38+($B$40/A48^2))*(A48-$B$41)-$B$37*$B$39</f>
        <v>-0.10223313365783326</v>
      </c>
      <c r="C48">
        <f>($B$38+($B$40/A48^B48))+(A48-$B$41)*-2*($B$40/A48^3)</f>
        <v>18.894512505520876</v>
      </c>
      <c r="E48" t="s">
        <v>33</v>
      </c>
      <c r="F48" t="s">
        <v>35</v>
      </c>
    </row>
    <row r="49" spans="1:6" x14ac:dyDescent="0.45">
      <c r="A49">
        <f t="shared" ref="A49:A60" si="2">A48-(B48/C48)</f>
        <v>2.5527293494347436</v>
      </c>
      <c r="B49">
        <f t="shared" ref="B49:B64" si="3">($B$38+($B$40/A49^2))*(A49-$B$41)-$B$37*$B$39</f>
        <v>-4.539662630271124E-2</v>
      </c>
      <c r="C49">
        <f t="shared" ref="C49:C60" si="4">($B$38+($B$40/A49^B49))+(A49-$B$41)*-2*($B$40/A49^3)</f>
        <v>18.401409966119452</v>
      </c>
      <c r="E49">
        <v>2.5570489104045415</v>
      </c>
      <c r="F49">
        <f>($B$38+($B$40/E49^2))*(E49-$B$41)-$B$37*$B$39</f>
        <v>-1.4796983975884359E-6</v>
      </c>
    </row>
    <row r="50" spans="1:6" x14ac:dyDescent="0.45">
      <c r="A50">
        <f t="shared" si="2"/>
        <v>2.5551963683417891</v>
      </c>
      <c r="B50">
        <f t="shared" si="3"/>
        <v>-1.9472469661216962E-2</v>
      </c>
      <c r="C50">
        <f t="shared" si="4"/>
        <v>18.184482137905224</v>
      </c>
    </row>
    <row r="51" spans="1:6" x14ac:dyDescent="0.45">
      <c r="A51">
        <f t="shared" si="2"/>
        <v>2.5562671972778865</v>
      </c>
      <c r="B51">
        <f t="shared" si="3"/>
        <v>-8.2180219511087671E-3</v>
      </c>
      <c r="C51">
        <f t="shared" si="4"/>
        <v>18.091828018838473</v>
      </c>
    </row>
    <row r="52" spans="1:6" x14ac:dyDescent="0.45">
      <c r="A52">
        <f t="shared" si="2"/>
        <v>2.5567214367246991</v>
      </c>
      <c r="B52">
        <f t="shared" si="3"/>
        <v>-3.4436099599730596E-3</v>
      </c>
      <c r="C52">
        <f t="shared" si="4"/>
        <v>18.052797065698503</v>
      </c>
    </row>
    <row r="53" spans="1:6" x14ac:dyDescent="0.45">
      <c r="A53">
        <f t="shared" si="2"/>
        <v>2.5569121888805806</v>
      </c>
      <c r="B53">
        <f t="shared" si="3"/>
        <v>-1.4385951537150277E-3</v>
      </c>
      <c r="C53">
        <f t="shared" si="4"/>
        <v>18.036454668763341</v>
      </c>
    </row>
    <row r="54" spans="1:6" x14ac:dyDescent="0.45">
      <c r="A54">
        <f t="shared" si="2"/>
        <v>2.5569919492980313</v>
      </c>
      <c r="B54">
        <f t="shared" si="3"/>
        <v>-6.0021491554351769E-4</v>
      </c>
      <c r="C54">
        <f t="shared" si="4"/>
        <v>18.02962974817158</v>
      </c>
    </row>
    <row r="55" spans="1:6" x14ac:dyDescent="0.45">
      <c r="A55">
        <f t="shared" si="2"/>
        <v>2.5570252397717641</v>
      </c>
      <c r="B55">
        <f t="shared" si="3"/>
        <v>-2.5028918174285764E-4</v>
      </c>
      <c r="C55">
        <f t="shared" si="4"/>
        <v>18.026782626084724</v>
      </c>
    </row>
    <row r="56" spans="1:6" x14ac:dyDescent="0.45">
      <c r="A56">
        <f t="shared" si="2"/>
        <v>2.5570391240675332</v>
      </c>
      <c r="B56">
        <f t="shared" si="3"/>
        <v>-1.0434703853690053E-4</v>
      </c>
      <c r="C56">
        <f t="shared" si="4"/>
        <v>18.025595446370815</v>
      </c>
    </row>
    <row r="57" spans="1:6" x14ac:dyDescent="0.45">
      <c r="A57">
        <f t="shared" si="2"/>
        <v>2.557044912893697</v>
      </c>
      <c r="B57">
        <f t="shared" si="3"/>
        <v>-4.3498833704802564E-5</v>
      </c>
      <c r="C57">
        <f t="shared" si="4"/>
        <v>18.025100515978057</v>
      </c>
    </row>
    <row r="58" spans="1:6" x14ac:dyDescent="0.45">
      <c r="A58">
        <f t="shared" si="2"/>
        <v>2.5570473261303759</v>
      </c>
      <c r="B58">
        <f t="shared" si="3"/>
        <v>-1.8132520771985128E-5</v>
      </c>
      <c r="C58">
        <f t="shared" si="4"/>
        <v>18.024894197903667</v>
      </c>
    </row>
    <row r="59" spans="1:6" x14ac:dyDescent="0.45">
      <c r="A59">
        <f t="shared" si="2"/>
        <v>2.5570483321013722</v>
      </c>
      <c r="B59">
        <f t="shared" si="3"/>
        <v>-7.5584318821597662E-6</v>
      </c>
      <c r="C59">
        <f t="shared" si="4"/>
        <v>18.02480819442059</v>
      </c>
    </row>
    <row r="60" spans="1:6" x14ac:dyDescent="0.45">
      <c r="A60">
        <f t="shared" si="2"/>
        <v>2.5570487514363132</v>
      </c>
      <c r="B60">
        <f t="shared" si="3"/>
        <v>-3.1506653996871137E-6</v>
      </c>
      <c r="C60">
        <f t="shared" si="4"/>
        <v>18.024772344449701</v>
      </c>
    </row>
    <row r="61" spans="1:6" x14ac:dyDescent="0.45">
      <c r="A61" s="1">
        <f>A60-(B60/C60)</f>
        <v>2.5570489262327176</v>
      </c>
      <c r="B61">
        <f>($B$38+($B$40/A61^2))*(A61-$B$41)-$B$37*$B$39</f>
        <v>-1.3133232670270445E-6</v>
      </c>
      <c r="C61">
        <f>($B$38+($B$40/A61^B61))+(A61-$B$41)*-2*($B$40/A61^3)</f>
        <v>18.024757400717593</v>
      </c>
    </row>
    <row r="62" spans="1:6" x14ac:dyDescent="0.45">
      <c r="A62">
        <f t="shared" ref="A62:A64" si="5">A61-(B61/C61)</f>
        <v>2.5570489990949059</v>
      </c>
      <c r="B62">
        <f t="shared" si="3"/>
        <v>-5.4744498356740223E-7</v>
      </c>
      <c r="C62">
        <f t="shared" ref="C62:C64" si="6">($B$38+($B$40/A62^B62))+(A62-$B$41)*-2*($B$40/A62^3)</f>
        <v>18.024751171574618</v>
      </c>
    </row>
    <row r="63" spans="1:6" x14ac:dyDescent="0.45">
      <c r="A63">
        <f t="shared" si="5"/>
        <v>2.5570490294667527</v>
      </c>
      <c r="B63">
        <f t="shared" si="3"/>
        <v>-2.281965763017979E-7</v>
      </c>
      <c r="C63">
        <f t="shared" si="6"/>
        <v>18.024748575022311</v>
      </c>
    </row>
    <row r="64" spans="1:6" x14ac:dyDescent="0.45">
      <c r="A64">
        <f t="shared" si="5"/>
        <v>2.5570490421269336</v>
      </c>
      <c r="B64">
        <f t="shared" si="3"/>
        <v>-9.5121272636333742E-8</v>
      </c>
      <c r="C64">
        <f t="shared" si="6"/>
        <v>18.024747492677307</v>
      </c>
    </row>
    <row r="67" spans="1:3" x14ac:dyDescent="0.45">
      <c r="A67" t="s">
        <v>62</v>
      </c>
    </row>
    <row r="68" spans="1:3" x14ac:dyDescent="0.45">
      <c r="A68" t="s">
        <v>63</v>
      </c>
      <c r="B68" t="s">
        <v>35</v>
      </c>
    </row>
    <row r="69" spans="1:3" x14ac:dyDescent="0.45">
      <c r="A69">
        <v>1.8850233631062266E-2</v>
      </c>
      <c r="B69">
        <f>SQRT(1/f)+0.86*LN((0.0001/3.7)+(2.51/(100000*SQRT(f))))</f>
        <v>5.7569886902086864E-5</v>
      </c>
    </row>
    <row r="72" spans="1:3" ht="15.75" x14ac:dyDescent="0.55000000000000004">
      <c r="A72" t="s">
        <v>34</v>
      </c>
      <c r="B72" t="s">
        <v>64</v>
      </c>
      <c r="C72" t="s">
        <v>35</v>
      </c>
    </row>
    <row r="73" spans="1:3" x14ac:dyDescent="0.45">
      <c r="A73">
        <v>3.8143115836963212E-2</v>
      </c>
      <c r="B73">
        <v>5000</v>
      </c>
      <c r="C73">
        <f>SQRT(1/A73)+0.86*LN((0.0001/3.7)+(2.51/(B73*SQRT(A73))))</f>
        <v>4.6771497591002742E-4</v>
      </c>
    </row>
    <row r="74" spans="1:3" x14ac:dyDescent="0.45">
      <c r="A74">
        <v>3.1580858499758585E-2</v>
      </c>
      <c r="B74">
        <v>10000</v>
      </c>
      <c r="C74">
        <f t="shared" ref="C74:C78" si="7">SQRT(1/A74)+0.86*LN((0.0001/3.7)+(2.51/(B74*SQRT(A74))))</f>
        <v>-2.6679333755019741E-4</v>
      </c>
    </row>
    <row r="75" spans="1:3" x14ac:dyDescent="0.45">
      <c r="A75">
        <v>2.8486355113238427E-2</v>
      </c>
      <c r="B75">
        <v>15000</v>
      </c>
      <c r="C75">
        <f t="shared" si="7"/>
        <v>-3.0141749411960461E-5</v>
      </c>
    </row>
    <row r="76" spans="1:3" x14ac:dyDescent="0.45">
      <c r="A76">
        <v>2.6559102399515994E-2</v>
      </c>
      <c r="B76">
        <v>20000</v>
      </c>
      <c r="C76">
        <f t="shared" si="7"/>
        <v>4.2604726216666222E-4</v>
      </c>
    </row>
    <row r="77" spans="1:3" x14ac:dyDescent="0.45">
      <c r="A77">
        <v>2.5205453251693606E-2</v>
      </c>
      <c r="B77">
        <v>25000</v>
      </c>
      <c r="C77">
        <f t="shared" si="7"/>
        <v>-4.3608317387366924E-5</v>
      </c>
    </row>
    <row r="78" spans="1:3" x14ac:dyDescent="0.45">
      <c r="A78">
        <v>2.4176290425661186E-2</v>
      </c>
      <c r="B78">
        <v>30000</v>
      </c>
      <c r="C78">
        <f t="shared" si="7"/>
        <v>-9.0956335178304926E-5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Sheet1</vt:lpstr>
      <vt:lpstr>205 HW2 1.2</vt:lpstr>
      <vt:lpstr>205 HW2 1.3</vt:lpstr>
      <vt:lpstr>205 HW2 1.6</vt:lpstr>
      <vt:lpstr>205 HW2 1.4</vt:lpstr>
      <vt:lpstr>a</vt:lpstr>
      <vt:lpstr>ar</vt:lpstr>
      <vt:lpstr>b</vt:lpstr>
      <vt:lpstr>f</vt:lpstr>
      <vt:lpstr>h</vt:lpstr>
      <vt:lpstr>m</vt:lpstr>
      <vt:lpstr>P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Pabilic</dc:creator>
  <cp:lastModifiedBy>Sarah Pabilic</cp:lastModifiedBy>
  <dcterms:created xsi:type="dcterms:W3CDTF">2020-01-27T15:57:10Z</dcterms:created>
  <dcterms:modified xsi:type="dcterms:W3CDTF">2020-02-02T22:08:04Z</dcterms:modified>
</cp:coreProperties>
</file>