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a\Desktop\Che205\"/>
    </mc:Choice>
  </mc:AlternateContent>
  <xr:revisionPtr revIDLastSave="0" documentId="13_ncr:1_{19F14ED9-3D3A-41A1-9D20-4E20BACEB5B0}" xr6:coauthVersionLast="45" xr6:coauthVersionMax="45" xr10:uidLastSave="{00000000-0000-0000-0000-000000000000}"/>
  <bookViews>
    <workbookView xWindow="-120" yWindow="-120" windowWidth="20730" windowHeight="11160" activeTab="3" xr2:uid="{BF3F89FC-5685-443D-9490-84703909E4A4}"/>
  </bookViews>
  <sheets>
    <sheet name="3.1" sheetId="1" r:id="rId1"/>
    <sheet name="3.2" sheetId="2" r:id="rId2"/>
    <sheet name="3.3" sheetId="3" r:id="rId3"/>
    <sheet name="3.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0" i="4" l="1" a="1"/>
  <c r="E12" i="2" a="1"/>
  <c r="J6" i="4" a="1"/>
  <c r="J6" i="4" l="1"/>
  <c r="E12" i="2"/>
  <c r="B40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<sst xmlns="http://schemas.openxmlformats.org/spreadsheetml/2006/main" count="111" uniqueCount="48">
  <si>
    <t>Part A</t>
  </si>
  <si>
    <t>b</t>
  </si>
  <si>
    <t>x</t>
  </si>
  <si>
    <t>A</t>
  </si>
  <si>
    <t>P1</t>
  </si>
  <si>
    <t>P2</t>
  </si>
  <si>
    <t>SO2</t>
  </si>
  <si>
    <t>N2</t>
  </si>
  <si>
    <t>Part B</t>
  </si>
  <si>
    <t>x (Flow Rate)</t>
  </si>
  <si>
    <t>P1-P2+F2=100</t>
  </si>
  <si>
    <t>F2</t>
  </si>
  <si>
    <t>A-1</t>
  </si>
  <si>
    <t>x=A-1*b</t>
  </si>
  <si>
    <t>A*x=b</t>
  </si>
  <si>
    <t>Part C</t>
  </si>
  <si>
    <t>Pseudo</t>
  </si>
  <si>
    <t>A+</t>
  </si>
  <si>
    <t>S2</t>
  </si>
  <si>
    <t>S3</t>
  </si>
  <si>
    <t>S4</t>
  </si>
  <si>
    <t>S1</t>
  </si>
  <si>
    <t>V1</t>
  </si>
  <si>
    <t>V2</t>
  </si>
  <si>
    <t>L</t>
  </si>
  <si>
    <t>Methanol</t>
  </si>
  <si>
    <t>Ethanol</t>
  </si>
  <si>
    <t>Butanol</t>
  </si>
  <si>
    <t>F (1000kg/min)</t>
  </si>
  <si>
    <t>F (Feed Rate)</t>
  </si>
  <si>
    <t>L2</t>
  </si>
  <si>
    <r>
      <t>A</t>
    </r>
    <r>
      <rPr>
        <b/>
        <vertAlign val="superscript"/>
        <sz val="12"/>
        <color theme="3"/>
        <rFont val="Calibri Light"/>
        <family val="2"/>
        <scheme val="major"/>
      </rPr>
      <t>-1</t>
    </r>
  </si>
  <si>
    <t>1)</t>
  </si>
  <si>
    <t>2)</t>
  </si>
  <si>
    <t>3)</t>
  </si>
  <si>
    <t>x=A+*b</t>
  </si>
  <si>
    <t>S2+S3-S4=0</t>
  </si>
  <si>
    <t>S2-S3-S4=0</t>
  </si>
  <si>
    <t>S2+S3+S4=1.1</t>
  </si>
  <si>
    <r>
      <t>A</t>
    </r>
    <r>
      <rPr>
        <b/>
        <vertAlign val="superscript"/>
        <sz val="12"/>
        <color theme="3"/>
        <rFont val="Calibri Light"/>
        <family val="2"/>
        <scheme val="major"/>
      </rPr>
      <t>+</t>
    </r>
  </si>
  <si>
    <t>Part D</t>
  </si>
  <si>
    <t>Part E</t>
  </si>
  <si>
    <t>I</t>
  </si>
  <si>
    <t>z</t>
  </si>
  <si>
    <r>
      <t>A</t>
    </r>
    <r>
      <rPr>
        <b/>
        <vertAlign val="superscript"/>
        <sz val="12"/>
        <color theme="3"/>
        <rFont val="Calibri Light"/>
        <family val="2"/>
        <scheme val="major"/>
      </rPr>
      <t>+</t>
    </r>
    <r>
      <rPr>
        <b/>
        <sz val="12"/>
        <color theme="3"/>
        <rFont val="Calibri Light"/>
        <family val="2"/>
        <scheme val="major"/>
      </rPr>
      <t>*A</t>
    </r>
  </si>
  <si>
    <r>
      <t>I-(A</t>
    </r>
    <r>
      <rPr>
        <b/>
        <vertAlign val="superscript"/>
        <sz val="12"/>
        <color theme="3"/>
        <rFont val="Calibri Light"/>
        <family val="2"/>
        <scheme val="major"/>
      </rPr>
      <t>+</t>
    </r>
    <r>
      <rPr>
        <b/>
        <sz val="12"/>
        <color theme="3"/>
        <rFont val="Calibri Light"/>
        <family val="2"/>
        <scheme val="major"/>
      </rPr>
      <t>*A)</t>
    </r>
  </si>
  <si>
    <t>Arbitrary Part  v=  (I-A+*A)*z</t>
  </si>
  <si>
    <r>
      <t>New Solution              x= A</t>
    </r>
    <r>
      <rPr>
        <b/>
        <vertAlign val="superscript"/>
        <sz val="12"/>
        <color theme="3"/>
        <rFont val="Calibri Light"/>
        <family val="2"/>
        <scheme val="major"/>
      </rPr>
      <t>+</t>
    </r>
    <r>
      <rPr>
        <b/>
        <sz val="12"/>
        <color theme="3"/>
        <rFont val="Calibri Light"/>
        <family val="2"/>
        <scheme val="major"/>
      </rPr>
      <t>*b+(I-A+*A)*z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</si>
</sst>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i/>
      <sz val="18"/>
      <color theme="3"/>
      <name val="Calibri Light"/>
      <family val="2"/>
      <scheme val="major"/>
    </font>
    <font>
      <sz val="12"/>
      <color theme="3"/>
      <name val="Calibri Light"/>
      <family val="2"/>
      <scheme val="major"/>
    </font>
    <font>
      <b/>
      <sz val="12"/>
      <color theme="3"/>
      <name val="Calibri Light"/>
      <family val="2"/>
      <scheme val="major"/>
    </font>
    <font>
      <b/>
      <vertAlign val="superscript"/>
      <sz val="12"/>
      <color theme="3"/>
      <name val="Calibri Light"/>
      <family val="2"/>
      <scheme val="major"/>
    </font>
    <font>
      <b/>
      <sz val="18"/>
      <color theme="3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0" xfId="1"/>
    <xf numFmtId="0" fontId="3" fillId="0" borderId="2" xfId="1" applyFont="1" applyBorder="1"/>
    <xf numFmtId="0" fontId="4" fillId="0" borderId="2" xfId="1" applyFont="1" applyBorder="1" applyAlignment="1">
      <alignment horizontal="center"/>
    </xf>
    <xf numFmtId="0" fontId="3" fillId="4" borderId="2" xfId="1" applyFont="1" applyFill="1" applyBorder="1"/>
    <xf numFmtId="164" fontId="3" fillId="0" borderId="2" xfId="1" applyNumberFormat="1" applyFont="1" applyBorder="1"/>
    <xf numFmtId="2" fontId="3" fillId="2" borderId="2" xfId="1" applyNumberFormat="1" applyFont="1" applyFill="1" applyBorder="1"/>
    <xf numFmtId="2" fontId="3" fillId="0" borderId="2" xfId="1" applyNumberFormat="1" applyFont="1" applyBorder="1"/>
    <xf numFmtId="2" fontId="0" fillId="0" borderId="0" xfId="0" applyNumberFormat="1"/>
    <xf numFmtId="0" fontId="3" fillId="0" borderId="0" xfId="1" applyFont="1"/>
    <xf numFmtId="0" fontId="3" fillId="5" borderId="1" xfId="1" applyFont="1" applyFill="1" applyBorder="1"/>
    <xf numFmtId="0" fontId="3" fillId="0" borderId="0" xfId="1" applyFont="1" applyProtection="1">
      <protection locked="0"/>
    </xf>
    <xf numFmtId="164" fontId="3" fillId="2" borderId="2" xfId="1" applyNumberFormat="1" applyFont="1" applyFill="1" applyBorder="1"/>
    <xf numFmtId="0" fontId="3" fillId="6" borderId="2" xfId="1" applyFont="1" applyFill="1" applyBorder="1"/>
    <xf numFmtId="0" fontId="3" fillId="0" borderId="0" xfId="1" applyFont="1" applyBorder="1"/>
    <xf numFmtId="0" fontId="3" fillId="0" borderId="0" xfId="1" applyFont="1" applyAlignment="1">
      <alignment horizontal="center"/>
    </xf>
    <xf numFmtId="0" fontId="4" fillId="0" borderId="2" xfId="1" applyFont="1" applyBorder="1" applyAlignment="1">
      <alignment horizontal="center"/>
    </xf>
    <xf numFmtId="0" fontId="4" fillId="4" borderId="2" xfId="1" applyFont="1" applyFill="1" applyBorder="1" applyAlignment="1">
      <alignment horizontal="center"/>
    </xf>
    <xf numFmtId="0" fontId="4" fillId="0" borderId="0" xfId="1" applyFont="1"/>
    <xf numFmtId="0" fontId="4" fillId="0" borderId="2" xfId="1" applyFont="1" applyFill="1" applyBorder="1" applyAlignment="1">
      <alignment horizontal="center"/>
    </xf>
    <xf numFmtId="0" fontId="4" fillId="5" borderId="1" xfId="1" applyFont="1" applyFill="1" applyBorder="1"/>
    <xf numFmtId="0" fontId="4" fillId="5" borderId="1" xfId="1" applyFont="1" applyFill="1" applyBorder="1" applyAlignment="1">
      <alignment horizontal="center"/>
    </xf>
    <xf numFmtId="0" fontId="4" fillId="0" borderId="2" xfId="1" applyFont="1" applyBorder="1"/>
    <xf numFmtId="0" fontId="3" fillId="0" borderId="2" xfId="1" applyFont="1" applyBorder="1" applyAlignment="1">
      <alignment wrapText="1"/>
    </xf>
    <xf numFmtId="0" fontId="4" fillId="0" borderId="2" xfId="1" applyFont="1" applyBorder="1" applyAlignment="1">
      <alignment horizontal="center" wrapText="1"/>
    </xf>
    <xf numFmtId="0" fontId="6" fillId="0" borderId="0" xfId="1" applyFont="1"/>
    <xf numFmtId="0" fontId="2" fillId="3" borderId="0" xfId="1" applyFont="1" applyFill="1" applyAlignment="1">
      <alignment horizontal="center"/>
    </xf>
    <xf numFmtId="0" fontId="4" fillId="0" borderId="4" xfId="1" applyFont="1" applyBorder="1" applyAlignment="1" applyProtection="1">
      <alignment horizontal="center"/>
      <protection locked="0"/>
    </xf>
    <xf numFmtId="0" fontId="4" fillId="0" borderId="5" xfId="1" applyFont="1" applyBorder="1" applyAlignment="1" applyProtection="1">
      <alignment horizontal="center"/>
      <protection locked="0"/>
    </xf>
    <xf numFmtId="0" fontId="4" fillId="0" borderId="3" xfId="1" applyFont="1" applyBorder="1" applyAlignment="1" applyProtection="1">
      <alignment horizontal="center"/>
      <protection locked="0"/>
    </xf>
    <xf numFmtId="0" fontId="4" fillId="0" borderId="4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4" xfId="1" applyFont="1" applyBorder="1" applyAlignment="1" applyProtection="1">
      <alignment horizontal="center"/>
    </xf>
    <xf numFmtId="0" fontId="4" fillId="0" borderId="5" xfId="1" applyFont="1" applyBorder="1" applyAlignment="1" applyProtection="1">
      <alignment horizontal="center"/>
    </xf>
    <xf numFmtId="0" fontId="4" fillId="0" borderId="3" xfId="1" applyFont="1" applyBorder="1" applyAlignment="1" applyProtection="1">
      <alignment horizontal="center"/>
    </xf>
    <xf numFmtId="0" fontId="4" fillId="5" borderId="4" xfId="1" applyFont="1" applyFill="1" applyBorder="1" applyAlignment="1" applyProtection="1">
      <alignment horizontal="center"/>
      <protection locked="0"/>
    </xf>
    <xf numFmtId="0" fontId="4" fillId="5" borderId="5" xfId="1" applyFont="1" applyFill="1" applyBorder="1" applyAlignment="1" applyProtection="1">
      <alignment horizontal="center"/>
      <protection locked="0"/>
    </xf>
    <xf numFmtId="0" fontId="4" fillId="5" borderId="3" xfId="1" applyFont="1" applyFill="1" applyBorder="1" applyAlignment="1" applyProtection="1">
      <alignment horizontal="center"/>
      <protection locked="0"/>
    </xf>
    <xf numFmtId="0" fontId="4" fillId="0" borderId="5" xfId="1" applyFont="1" applyBorder="1" applyAlignment="1">
      <alignment horizontal="center"/>
    </xf>
    <xf numFmtId="2" fontId="3" fillId="4" borderId="2" xfId="1" applyNumberFormat="1" applyFont="1" applyFill="1" applyBorder="1"/>
    <xf numFmtId="2" fontId="3" fillId="5" borderId="2" xfId="1" applyNumberFormat="1" applyFont="1" applyFill="1" applyBorder="1"/>
    <xf numFmtId="2" fontId="3" fillId="0" borderId="6" xfId="1" applyNumberFormat="1" applyFont="1" applyBorder="1"/>
    <xf numFmtId="2" fontId="3" fillId="5" borderId="6" xfId="1" applyNumberFormat="1" applyFont="1" applyFill="1" applyBorder="1"/>
    <xf numFmtId="2" fontId="3" fillId="4" borderId="4" xfId="1" applyNumberFormat="1" applyFont="1" applyFill="1" applyBorder="1"/>
    <xf numFmtId="2" fontId="3" fillId="2" borderId="3" xfId="1" applyNumberFormat="1" applyFont="1" applyFill="1" applyBorder="1"/>
    <xf numFmtId="2" fontId="3" fillId="5" borderId="4" xfId="1" applyNumberFormat="1" applyFont="1" applyFill="1" applyBorder="1"/>
    <xf numFmtId="2" fontId="3" fillId="5" borderId="5" xfId="1" applyNumberFormat="1" applyFont="1" applyFill="1" applyBorder="1"/>
    <xf numFmtId="2" fontId="3" fillId="5" borderId="3" xfId="1" applyNumberFormat="1" applyFont="1" applyFill="1" applyBorder="1"/>
    <xf numFmtId="1" fontId="3" fillId="0" borderId="2" xfId="1" applyNumberFormat="1" applyFont="1" applyBorder="1"/>
    <xf numFmtId="0" fontId="0" fillId="0" borderId="0" xfId="0" applyAlignment="1">
      <alignment wrapText="1"/>
    </xf>
    <xf numFmtId="0" fontId="4" fillId="0" borderId="2" xfId="1" applyFont="1" applyBorder="1" applyAlignment="1">
      <alignment wrapText="1"/>
    </xf>
    <xf numFmtId="164" fontId="3" fillId="2" borderId="3" xfId="1" applyNumberFormat="1" applyFont="1" applyFill="1" applyBorder="1"/>
    <xf numFmtId="164" fontId="3" fillId="4" borderId="2" xfId="1" applyNumberFormat="1" applyFont="1" applyFill="1" applyBorder="1"/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D7C9-0E7F-4F28-BD6A-5E9694C686EF}">
  <dimension ref="A2:R13"/>
  <sheetViews>
    <sheetView workbookViewId="0">
      <selection activeCell="R11" sqref="R11:R13"/>
    </sheetView>
  </sheetViews>
  <sheetFormatPr defaultRowHeight="15" x14ac:dyDescent="0.25"/>
  <cols>
    <col min="1" max="4" width="9.28515625" bestFit="1" customWidth="1"/>
    <col min="5" max="5" width="12.85546875" customWidth="1"/>
    <col min="6" max="8" width="9.28515625" bestFit="1" customWidth="1"/>
    <col min="9" max="9" width="11.7109375" bestFit="1" customWidth="1"/>
    <col min="10" max="10" width="10" bestFit="1" customWidth="1"/>
    <col min="11" max="11" width="12.42578125" bestFit="1" customWidth="1"/>
    <col min="14" max="14" width="9.28515625" bestFit="1" customWidth="1"/>
    <col min="15" max="15" width="11.7109375" bestFit="1" customWidth="1"/>
    <col min="16" max="16" width="10" bestFit="1" customWidth="1"/>
    <col min="17" max="17" width="12.42578125" bestFit="1" customWidth="1"/>
  </cols>
  <sheetData>
    <row r="2" spans="1:18" ht="15.75" x14ac:dyDescent="0.25">
      <c r="A2" s="9"/>
      <c r="B2" s="9"/>
      <c r="C2" s="9"/>
      <c r="D2" s="9"/>
      <c r="E2" s="20"/>
      <c r="F2" s="21" t="s">
        <v>4</v>
      </c>
      <c r="G2" s="21" t="s">
        <v>11</v>
      </c>
      <c r="H2" s="21" t="s">
        <v>5</v>
      </c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15.75" x14ac:dyDescent="0.25">
      <c r="A3" s="9"/>
      <c r="B3" s="9"/>
      <c r="C3" s="9"/>
      <c r="D3" s="9"/>
      <c r="E3" s="20" t="s">
        <v>6</v>
      </c>
      <c r="F3" s="10">
        <v>1.7000000000000001E-2</v>
      </c>
      <c r="G3" s="10">
        <v>0.02</v>
      </c>
      <c r="H3" s="10">
        <v>2.2000000000000001E-3</v>
      </c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15.75" x14ac:dyDescent="0.25">
      <c r="A4" s="9"/>
      <c r="B4" s="9"/>
      <c r="C4" s="9"/>
      <c r="D4" s="9"/>
      <c r="E4" s="20" t="s">
        <v>7</v>
      </c>
      <c r="F4" s="10">
        <v>0</v>
      </c>
      <c r="G4" s="10">
        <v>0.9</v>
      </c>
      <c r="H4" s="10">
        <v>0.98899999999999999</v>
      </c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15.75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15.7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ht="15.75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23.25" x14ac:dyDescent="0.35">
      <c r="A8" s="26" t="s">
        <v>0</v>
      </c>
      <c r="B8" s="26"/>
      <c r="C8" s="9"/>
      <c r="D8" s="9" t="s">
        <v>14</v>
      </c>
      <c r="E8" s="9" t="s">
        <v>10</v>
      </c>
      <c r="F8" s="9"/>
      <c r="G8" s="9"/>
      <c r="H8" s="26" t="s">
        <v>8</v>
      </c>
      <c r="I8" s="26"/>
      <c r="J8" s="9"/>
      <c r="K8" s="11" t="s">
        <v>13</v>
      </c>
      <c r="L8" s="9"/>
      <c r="M8" s="9"/>
      <c r="N8" s="26" t="s">
        <v>15</v>
      </c>
      <c r="O8" s="26"/>
      <c r="P8" s="9"/>
      <c r="Q8" s="9" t="s">
        <v>16</v>
      </c>
      <c r="R8" s="9" t="s">
        <v>35</v>
      </c>
    </row>
    <row r="9" spans="1:18" ht="15.75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ht="15.75" x14ac:dyDescent="0.25">
      <c r="A10" s="32" t="s">
        <v>3</v>
      </c>
      <c r="B10" s="32"/>
      <c r="C10" s="32"/>
      <c r="D10" s="17" t="s">
        <v>1</v>
      </c>
      <c r="E10" s="30" t="s">
        <v>9</v>
      </c>
      <c r="F10" s="31"/>
      <c r="G10" s="18"/>
      <c r="H10" s="27" t="s">
        <v>12</v>
      </c>
      <c r="I10" s="28"/>
      <c r="J10" s="29"/>
      <c r="K10" s="30" t="s">
        <v>9</v>
      </c>
      <c r="L10" s="31"/>
      <c r="M10" s="18"/>
      <c r="N10" s="27" t="s">
        <v>17</v>
      </c>
      <c r="O10" s="28"/>
      <c r="P10" s="29"/>
      <c r="Q10" s="30" t="s">
        <v>9</v>
      </c>
      <c r="R10" s="31"/>
    </row>
    <row r="11" spans="1:18" ht="15.75" x14ac:dyDescent="0.25">
      <c r="A11" s="2">
        <v>1</v>
      </c>
      <c r="B11" s="2">
        <v>-1</v>
      </c>
      <c r="C11" s="2">
        <v>1</v>
      </c>
      <c r="D11" s="4">
        <v>100</v>
      </c>
      <c r="E11" s="12">
        <v>109.2896174863389</v>
      </c>
      <c r="F11" s="22" t="s">
        <v>4</v>
      </c>
      <c r="G11" s="9"/>
      <c r="H11" s="5">
        <v>1.0928961748633874</v>
      </c>
      <c r="I11" s="5">
        <v>-5.4644808743169619</v>
      </c>
      <c r="J11" s="5">
        <v>-1.0928961748633881</v>
      </c>
      <c r="K11" s="12">
        <v>109.28961748633874</v>
      </c>
      <c r="L11" s="22" t="s">
        <v>4</v>
      </c>
      <c r="M11" s="9"/>
      <c r="N11" s="5">
        <v>1.0928961748633876</v>
      </c>
      <c r="O11" s="5">
        <v>-5.4644808743169566</v>
      </c>
      <c r="P11" s="5">
        <v>-1.0928961748633876</v>
      </c>
      <c r="Q11" s="12">
        <v>109.28961748633877</v>
      </c>
      <c r="R11" s="22" t="s">
        <v>4</v>
      </c>
    </row>
    <row r="12" spans="1:18" ht="15.75" x14ac:dyDescent="0.25">
      <c r="A12" s="2">
        <v>1.7000000000000001E-2</v>
      </c>
      <c r="B12" s="2">
        <v>-0.02</v>
      </c>
      <c r="C12" s="2">
        <v>2.2000000000000001E-3</v>
      </c>
      <c r="D12" s="4">
        <v>0</v>
      </c>
      <c r="E12" s="12">
        <v>103.22956959538288</v>
      </c>
      <c r="F12" s="22" t="s">
        <v>11</v>
      </c>
      <c r="G12" s="9"/>
      <c r="H12" s="5">
        <v>1.0322956959538283</v>
      </c>
      <c r="I12" s="5">
        <v>-60.723276232578144</v>
      </c>
      <c r="J12" s="5">
        <v>-0.9087001903358507</v>
      </c>
      <c r="K12" s="12">
        <v>103.22956959538283</v>
      </c>
      <c r="L12" s="22" t="s">
        <v>11</v>
      </c>
      <c r="M12" s="9"/>
      <c r="N12" s="5">
        <v>1.0322956959538294</v>
      </c>
      <c r="O12" s="5">
        <v>-60.723276232578201</v>
      </c>
      <c r="P12" s="5">
        <v>-0.90870019033584382</v>
      </c>
      <c r="Q12" s="12">
        <v>103.22956959538294</v>
      </c>
      <c r="R12" s="22" t="s">
        <v>11</v>
      </c>
    </row>
    <row r="13" spans="1:18" ht="15.75" x14ac:dyDescent="0.25">
      <c r="A13" s="2">
        <v>0</v>
      </c>
      <c r="B13" s="2">
        <v>-0.9</v>
      </c>
      <c r="C13" s="2">
        <v>0.98899999999999999</v>
      </c>
      <c r="D13" s="4">
        <v>0</v>
      </c>
      <c r="E13" s="12">
        <v>93.939952109044029</v>
      </c>
      <c r="F13" s="22" t="s">
        <v>5</v>
      </c>
      <c r="G13" s="9"/>
      <c r="H13" s="5">
        <v>0.93939952109044045</v>
      </c>
      <c r="I13" s="5">
        <v>-55.258795358261196</v>
      </c>
      <c r="J13" s="5">
        <v>0.18419598452753727</v>
      </c>
      <c r="K13" s="12">
        <v>93.939952109044043</v>
      </c>
      <c r="L13" s="22" t="s">
        <v>5</v>
      </c>
      <c r="M13" s="9"/>
      <c r="N13" s="5">
        <v>0.93939952109044045</v>
      </c>
      <c r="O13" s="5">
        <v>-55.258795358261224</v>
      </c>
      <c r="P13" s="5">
        <v>0.18419598452754393</v>
      </c>
      <c r="Q13" s="12">
        <v>93.939952109044043</v>
      </c>
      <c r="R13" s="22" t="s">
        <v>5</v>
      </c>
    </row>
  </sheetData>
  <mergeCells count="9">
    <mergeCell ref="A8:B8"/>
    <mergeCell ref="H8:I8"/>
    <mergeCell ref="N8:O8"/>
    <mergeCell ref="N10:P10"/>
    <mergeCell ref="Q10:R10"/>
    <mergeCell ref="A10:C10"/>
    <mergeCell ref="H10:J10"/>
    <mergeCell ref="E10:F10"/>
    <mergeCell ref="K10:L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B477-B5B3-498D-B42D-5AFF529AA960}">
  <dimension ref="A2:R14"/>
  <sheetViews>
    <sheetView workbookViewId="0">
      <selection activeCell="R12" sqref="R12:R14"/>
    </sheetView>
  </sheetViews>
  <sheetFormatPr defaultRowHeight="15" x14ac:dyDescent="0.25"/>
  <cols>
    <col min="1" max="2" width="9.28515625" bestFit="1" customWidth="1"/>
    <col min="3" max="3" width="12.5703125" customWidth="1"/>
    <col min="4" max="4" width="11.42578125" customWidth="1"/>
    <col min="5" max="5" width="13.7109375" customWidth="1"/>
    <col min="6" max="7" width="9.28515625" bestFit="1" customWidth="1"/>
    <col min="8" max="8" width="11.5703125" customWidth="1"/>
    <col min="9" max="9" width="11.7109375" bestFit="1" customWidth="1"/>
    <col min="10" max="11" width="9.28515625" bestFit="1" customWidth="1"/>
    <col min="14" max="14" width="10" bestFit="1" customWidth="1"/>
    <col min="15" max="15" width="11.7109375" bestFit="1" customWidth="1"/>
    <col min="16" max="17" width="9.28515625" bestFit="1" customWidth="1"/>
  </cols>
  <sheetData>
    <row r="2" spans="1:18" ht="15.75" x14ac:dyDescent="0.25">
      <c r="A2" s="9"/>
      <c r="B2" s="9"/>
      <c r="C2" s="9"/>
      <c r="D2" s="9"/>
      <c r="E2" s="3" t="s">
        <v>21</v>
      </c>
      <c r="F2" s="19" t="s">
        <v>18</v>
      </c>
      <c r="G2" s="19" t="s">
        <v>19</v>
      </c>
      <c r="H2" s="19" t="s">
        <v>20</v>
      </c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15.75" x14ac:dyDescent="0.25">
      <c r="A3" s="9"/>
      <c r="B3" s="9"/>
      <c r="C3" s="9"/>
      <c r="D3" s="9"/>
      <c r="E3" s="2">
        <v>1.1000000000000001</v>
      </c>
      <c r="F3" s="13">
        <v>0.98</v>
      </c>
      <c r="G3" s="13">
        <v>0</v>
      </c>
      <c r="H3" s="13">
        <v>0.81</v>
      </c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15.75" x14ac:dyDescent="0.25">
      <c r="A4" s="9"/>
      <c r="B4" s="9"/>
      <c r="C4" s="9"/>
      <c r="D4" s="9"/>
      <c r="E4" s="2">
        <v>0</v>
      </c>
      <c r="F4" s="13">
        <v>0.02</v>
      </c>
      <c r="G4" s="13">
        <v>8.0000000000000002E-3</v>
      </c>
      <c r="H4" s="13">
        <v>5.0000000000000001E-3</v>
      </c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15.75" x14ac:dyDescent="0.25">
      <c r="A5" s="9"/>
      <c r="B5" s="9"/>
      <c r="C5" s="9"/>
      <c r="D5" s="9"/>
      <c r="E5" s="2">
        <v>0</v>
      </c>
      <c r="F5" s="13">
        <v>0</v>
      </c>
      <c r="G5" s="13">
        <v>0.99199999999999999</v>
      </c>
      <c r="H5" s="13">
        <v>0.185</v>
      </c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15.75" x14ac:dyDescent="0.25">
      <c r="A6" s="9"/>
      <c r="B6" s="9"/>
      <c r="C6" s="9"/>
      <c r="D6" s="9"/>
      <c r="E6" s="14"/>
      <c r="F6" s="14"/>
      <c r="G6" s="14"/>
      <c r="H6" s="14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ht="15.75" x14ac:dyDescent="0.25">
      <c r="A7" s="9"/>
      <c r="B7" s="9"/>
      <c r="C7" s="9"/>
      <c r="D7" s="9"/>
      <c r="E7" s="14"/>
      <c r="F7" s="14"/>
      <c r="G7" s="14"/>
      <c r="H7" s="14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15.75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23.25" x14ac:dyDescent="0.35">
      <c r="A9" s="26" t="s">
        <v>0</v>
      </c>
      <c r="B9" s="26"/>
      <c r="C9" s="15" t="s">
        <v>36</v>
      </c>
      <c r="D9" s="15" t="s">
        <v>37</v>
      </c>
      <c r="E9" s="15" t="s">
        <v>38</v>
      </c>
      <c r="F9" s="9"/>
      <c r="G9" s="9"/>
      <c r="H9" s="26" t="s">
        <v>8</v>
      </c>
      <c r="I9" s="26"/>
      <c r="J9" s="9"/>
      <c r="K9" s="11" t="s">
        <v>13</v>
      </c>
      <c r="L9" s="9"/>
      <c r="M9" s="9"/>
      <c r="N9" s="26" t="s">
        <v>15</v>
      </c>
      <c r="O9" s="26"/>
      <c r="P9" s="9"/>
      <c r="Q9" s="9" t="s">
        <v>16</v>
      </c>
      <c r="R9" s="9" t="s">
        <v>35</v>
      </c>
    </row>
    <row r="10" spans="1:18" ht="15.75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ht="15.75" x14ac:dyDescent="0.25">
      <c r="A11" s="32" t="s">
        <v>3</v>
      </c>
      <c r="B11" s="32"/>
      <c r="C11" s="32"/>
      <c r="D11" s="17" t="s">
        <v>1</v>
      </c>
      <c r="E11" s="30" t="s">
        <v>9</v>
      </c>
      <c r="F11" s="31"/>
      <c r="G11" s="18"/>
      <c r="H11" s="27" t="s">
        <v>12</v>
      </c>
      <c r="I11" s="28"/>
      <c r="J11" s="29"/>
      <c r="K11" s="30" t="s">
        <v>9</v>
      </c>
      <c r="L11" s="31"/>
      <c r="M11" s="18"/>
      <c r="N11" s="27" t="s">
        <v>17</v>
      </c>
      <c r="O11" s="28"/>
      <c r="P11" s="29"/>
      <c r="Q11" s="30" t="s">
        <v>9</v>
      </c>
      <c r="R11" s="31"/>
    </row>
    <row r="12" spans="1:18" ht="15.75" x14ac:dyDescent="0.25">
      <c r="A12" s="2">
        <v>0.98</v>
      </c>
      <c r="B12" s="2">
        <v>0</v>
      </c>
      <c r="C12" s="2">
        <v>-0.81</v>
      </c>
      <c r="D12" s="4">
        <v>0</v>
      </c>
      <c r="E12" s="12" cm="1">
        <f t="array" ref="E12:E14">_xll.SysLin(A12:C14,D12:D14)</f>
        <v>0.56303317535545028</v>
      </c>
      <c r="F12" s="22" t="s">
        <v>18</v>
      </c>
      <c r="G12" s="9"/>
      <c r="H12" s="5">
        <v>-0.27488151658767768</v>
      </c>
      <c r="I12" s="5">
        <v>63.469194312796205</v>
      </c>
      <c r="J12" s="5">
        <v>0.51184834123222744</v>
      </c>
      <c r="K12" s="12">
        <v>0.56303317535545028</v>
      </c>
      <c r="L12" s="22" t="s">
        <v>18</v>
      </c>
      <c r="M12" s="9"/>
      <c r="N12" s="5">
        <v>-0.27488151658767734</v>
      </c>
      <c r="O12" s="5">
        <v>63.469194312796148</v>
      </c>
      <c r="P12" s="5">
        <v>0.51184834123222833</v>
      </c>
      <c r="Q12" s="12">
        <v>0.56303317535545117</v>
      </c>
      <c r="R12" s="22" t="s">
        <v>18</v>
      </c>
    </row>
    <row r="13" spans="1:18" ht="15.75" x14ac:dyDescent="0.25">
      <c r="A13" s="2">
        <v>0.02</v>
      </c>
      <c r="B13" s="2">
        <v>-8.0000000000000002E-3</v>
      </c>
      <c r="C13" s="2">
        <v>-5.0000000000000001E-3</v>
      </c>
      <c r="D13" s="4">
        <v>0</v>
      </c>
      <c r="E13" s="12">
        <v>0.9818325434439179</v>
      </c>
      <c r="F13" s="22" t="s">
        <v>19</v>
      </c>
      <c r="G13" s="9"/>
      <c r="H13" s="5">
        <v>0.29225908372827802</v>
      </c>
      <c r="I13" s="5">
        <v>-14.320695102685622</v>
      </c>
      <c r="J13" s="5">
        <v>0.89257503949447081</v>
      </c>
      <c r="K13" s="12">
        <v>0.98183254344391802</v>
      </c>
      <c r="L13" s="22" t="s">
        <v>19</v>
      </c>
      <c r="M13" s="9"/>
      <c r="N13" s="5">
        <v>0.29225908372827825</v>
      </c>
      <c r="O13" s="5">
        <v>-14.320695102685617</v>
      </c>
      <c r="P13" s="5">
        <v>0.89257503949447092</v>
      </c>
      <c r="Q13" s="12">
        <v>0.98183254344391813</v>
      </c>
      <c r="R13" s="22" t="s">
        <v>19</v>
      </c>
    </row>
    <row r="14" spans="1:18" ht="15.75" x14ac:dyDescent="0.25">
      <c r="A14" s="2">
        <v>0</v>
      </c>
      <c r="B14" s="2">
        <v>0.99199999999999999</v>
      </c>
      <c r="C14" s="2">
        <v>0.185</v>
      </c>
      <c r="D14" s="4">
        <v>1.1000000000000001</v>
      </c>
      <c r="E14" s="12">
        <v>0.68120063191153235</v>
      </c>
      <c r="F14" s="22" t="s">
        <v>20</v>
      </c>
      <c r="G14" s="9"/>
      <c r="H14" s="5">
        <v>-1.5671406003159558</v>
      </c>
      <c r="I14" s="5">
        <v>76.789889415481824</v>
      </c>
      <c r="J14" s="5">
        <v>0.61927330173775663</v>
      </c>
      <c r="K14" s="12">
        <v>0.68120063191153235</v>
      </c>
      <c r="L14" s="22" t="s">
        <v>20</v>
      </c>
      <c r="M14" s="9"/>
      <c r="N14" s="5">
        <v>-1.5671406003159554</v>
      </c>
      <c r="O14" s="5">
        <v>76.789889415481753</v>
      </c>
      <c r="P14" s="5">
        <v>0.61927330173775741</v>
      </c>
      <c r="Q14" s="12">
        <v>0.68120063191153324</v>
      </c>
      <c r="R14" s="22" t="s">
        <v>20</v>
      </c>
    </row>
  </sheetData>
  <mergeCells count="9">
    <mergeCell ref="Q11:R11"/>
    <mergeCell ref="A9:B9"/>
    <mergeCell ref="H9:I9"/>
    <mergeCell ref="N9:O9"/>
    <mergeCell ref="A11:C11"/>
    <mergeCell ref="E11:F11"/>
    <mergeCell ref="H11:J11"/>
    <mergeCell ref="K11:L11"/>
    <mergeCell ref="N11:P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BBD4-DE49-486A-8352-F28AFC0AB455}">
  <dimension ref="A2:I11"/>
  <sheetViews>
    <sheetView workbookViewId="0">
      <selection activeCell="D16" sqref="D16"/>
    </sheetView>
  </sheetViews>
  <sheetFormatPr defaultRowHeight="15" x14ac:dyDescent="0.25"/>
  <cols>
    <col min="1" max="1" width="9.28515625" bestFit="1" customWidth="1"/>
    <col min="2" max="2" width="10.5703125" customWidth="1"/>
    <col min="3" max="3" width="13.28515625" customWidth="1"/>
    <col min="4" max="4" width="9.28515625" bestFit="1" customWidth="1"/>
    <col min="5" max="7" width="10" bestFit="1" customWidth="1"/>
    <col min="8" max="8" width="10.7109375" bestFit="1" customWidth="1"/>
  </cols>
  <sheetData>
    <row r="2" spans="1:9" ht="30" customHeight="1" x14ac:dyDescent="0.25">
      <c r="A2" s="9"/>
      <c r="B2" s="18"/>
      <c r="C2" s="24" t="s">
        <v>28</v>
      </c>
      <c r="D2" s="19" t="s">
        <v>22</v>
      </c>
      <c r="E2" s="19" t="s">
        <v>23</v>
      </c>
      <c r="F2" s="19" t="s">
        <v>24</v>
      </c>
      <c r="G2" s="9"/>
      <c r="H2" s="9"/>
      <c r="I2" s="9"/>
    </row>
    <row r="3" spans="1:9" ht="15.75" x14ac:dyDescent="0.25">
      <c r="A3" s="9"/>
      <c r="B3" s="22" t="s">
        <v>25</v>
      </c>
      <c r="C3" s="23">
        <v>300</v>
      </c>
      <c r="D3" s="13">
        <v>0.71</v>
      </c>
      <c r="E3" s="13">
        <v>0.44</v>
      </c>
      <c r="F3" s="13">
        <v>0.08</v>
      </c>
      <c r="G3" s="9"/>
      <c r="H3" s="9"/>
      <c r="I3" s="9"/>
    </row>
    <row r="4" spans="1:9" ht="15.75" x14ac:dyDescent="0.25">
      <c r="A4" s="9"/>
      <c r="B4" s="22" t="s">
        <v>26</v>
      </c>
      <c r="C4" s="2">
        <v>400</v>
      </c>
      <c r="D4" s="13">
        <v>0.27</v>
      </c>
      <c r="E4" s="13">
        <v>0.55000000000000004</v>
      </c>
      <c r="F4" s="13">
        <v>0.39</v>
      </c>
      <c r="G4" s="9"/>
      <c r="H4" s="9"/>
      <c r="I4" s="9"/>
    </row>
    <row r="5" spans="1:9" ht="15.75" x14ac:dyDescent="0.25">
      <c r="A5" s="9"/>
      <c r="B5" s="22" t="s">
        <v>27</v>
      </c>
      <c r="C5" s="2">
        <v>300</v>
      </c>
      <c r="D5" s="13">
        <v>0.02</v>
      </c>
      <c r="E5" s="13">
        <v>0.01</v>
      </c>
      <c r="F5" s="13">
        <v>0.53</v>
      </c>
      <c r="G5" s="9"/>
      <c r="H5" s="9"/>
      <c r="I5" s="9"/>
    </row>
    <row r="6" spans="1:9" ht="15.75" x14ac:dyDescent="0.25">
      <c r="A6" s="9"/>
      <c r="B6" s="9"/>
      <c r="C6" s="9"/>
      <c r="D6" s="9"/>
      <c r="E6" s="9"/>
      <c r="F6" s="9"/>
      <c r="G6" s="9"/>
      <c r="H6" s="9"/>
      <c r="I6" s="9"/>
    </row>
    <row r="7" spans="1:9" ht="15.75" x14ac:dyDescent="0.25">
      <c r="A7" s="9"/>
      <c r="B7" s="9"/>
      <c r="C7" s="9"/>
      <c r="D7" s="9"/>
      <c r="E7" s="9"/>
      <c r="F7" s="9"/>
      <c r="G7" s="9"/>
      <c r="H7" s="9"/>
      <c r="I7" s="9"/>
    </row>
    <row r="8" spans="1:9" ht="15.75" x14ac:dyDescent="0.25">
      <c r="A8" s="32" t="s">
        <v>3</v>
      </c>
      <c r="B8" s="32"/>
      <c r="C8" s="32"/>
      <c r="D8" s="17" t="s">
        <v>1</v>
      </c>
      <c r="E8" s="33" t="s">
        <v>17</v>
      </c>
      <c r="F8" s="34"/>
      <c r="G8" s="35"/>
      <c r="H8" s="30" t="s">
        <v>29</v>
      </c>
      <c r="I8" s="31"/>
    </row>
    <row r="9" spans="1:9" ht="15.75" x14ac:dyDescent="0.25">
      <c r="A9" s="2">
        <v>0.71</v>
      </c>
      <c r="B9" s="2">
        <v>0.44</v>
      </c>
      <c r="C9" s="2">
        <v>0.08</v>
      </c>
      <c r="D9" s="4">
        <v>300</v>
      </c>
      <c r="E9" s="5">
        <v>1.9972222222222227</v>
      </c>
      <c r="F9" s="5">
        <v>-1.6138888888888907</v>
      </c>
      <c r="G9" s="5">
        <v>0.88611111111111351</v>
      </c>
      <c r="H9" s="6">
        <v>219.44444444444457</v>
      </c>
      <c r="I9" s="22" t="s">
        <v>22</v>
      </c>
    </row>
    <row r="10" spans="1:9" ht="15.75" x14ac:dyDescent="0.25">
      <c r="A10" s="2">
        <v>0.27</v>
      </c>
      <c r="B10" s="2">
        <v>0.55000000000000004</v>
      </c>
      <c r="C10" s="2">
        <v>0.39</v>
      </c>
      <c r="D10" s="4">
        <v>400</v>
      </c>
      <c r="E10" s="5">
        <v>-0.93958333333333499</v>
      </c>
      <c r="F10" s="5">
        <v>2.6020833333333346</v>
      </c>
      <c r="G10" s="5">
        <v>-1.7729166666666694</v>
      </c>
      <c r="H10" s="6">
        <v>227.08333333333269</v>
      </c>
      <c r="I10" s="22" t="s">
        <v>23</v>
      </c>
    </row>
    <row r="11" spans="1:9" ht="15.75" x14ac:dyDescent="0.25">
      <c r="A11" s="2">
        <v>0.02</v>
      </c>
      <c r="B11" s="2">
        <v>0.01</v>
      </c>
      <c r="C11" s="2">
        <v>0.53</v>
      </c>
      <c r="D11" s="4">
        <v>300</v>
      </c>
      <c r="E11" s="5">
        <v>-5.7638888888888407E-2</v>
      </c>
      <c r="F11" s="5">
        <v>1.1805555555554514E-2</v>
      </c>
      <c r="G11" s="5">
        <v>1.8868055555555556</v>
      </c>
      <c r="H11" s="6">
        <v>553.47222222222206</v>
      </c>
      <c r="I11" s="22" t="s">
        <v>30</v>
      </c>
    </row>
  </sheetData>
  <mergeCells count="3">
    <mergeCell ref="A8:C8"/>
    <mergeCell ref="H8:I8"/>
    <mergeCell ref="E8:G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101F-5E34-4215-AE33-05A95C5D3FA8}">
  <dimension ref="B2:R75"/>
  <sheetViews>
    <sheetView tabSelected="1" topLeftCell="A59" workbookViewId="0">
      <selection activeCell="O77" sqref="O77"/>
    </sheetView>
  </sheetViews>
  <sheetFormatPr defaultRowHeight="15" x14ac:dyDescent="0.25"/>
  <cols>
    <col min="7" max="10" width="10" bestFit="1" customWidth="1"/>
    <col min="12" max="14" width="10.28515625" bestFit="1" customWidth="1"/>
    <col min="15" max="15" width="17.5703125" customWidth="1"/>
    <col min="16" max="16" width="23.140625" customWidth="1"/>
    <col min="17" max="18" width="11.28515625" bestFit="1" customWidth="1"/>
  </cols>
  <sheetData>
    <row r="2" spans="2:15" ht="23.25" x14ac:dyDescent="0.35">
      <c r="B2" s="26" t="s">
        <v>0</v>
      </c>
      <c r="C2" s="26"/>
    </row>
    <row r="3" spans="2:15" ht="23.25" x14ac:dyDescent="0.35">
      <c r="B3" s="25" t="s">
        <v>32</v>
      </c>
      <c r="J3" s="25" t="s">
        <v>33</v>
      </c>
      <c r="L3" s="25" t="s">
        <v>34</v>
      </c>
    </row>
    <row r="4" spans="2:15" ht="18" customHeight="1" x14ac:dyDescent="0.35">
      <c r="B4" s="1"/>
      <c r="J4" s="1"/>
    </row>
    <row r="5" spans="2:15" ht="18" x14ac:dyDescent="0.25">
      <c r="B5" s="30" t="s">
        <v>3</v>
      </c>
      <c r="C5" s="39"/>
      <c r="D5" s="31"/>
      <c r="E5" s="3" t="s">
        <v>1</v>
      </c>
      <c r="F5" s="36" t="s">
        <v>31</v>
      </c>
      <c r="G5" s="37"/>
      <c r="H5" s="38"/>
      <c r="I5" s="3" t="s">
        <v>2</v>
      </c>
      <c r="J5" s="3" t="s">
        <v>2</v>
      </c>
      <c r="L5" s="30" t="s">
        <v>39</v>
      </c>
      <c r="M5" s="39"/>
      <c r="N5" s="31"/>
      <c r="O5" s="3" t="s">
        <v>2</v>
      </c>
    </row>
    <row r="6" spans="2:15" ht="15.75" x14ac:dyDescent="0.25">
      <c r="B6" s="2">
        <v>5.54</v>
      </c>
      <c r="C6" s="2">
        <v>5.64</v>
      </c>
      <c r="D6" s="2">
        <v>7.04</v>
      </c>
      <c r="E6" s="4">
        <v>0.56000000000000005</v>
      </c>
      <c r="F6" s="7">
        <v>2.274611352941482</v>
      </c>
      <c r="G6" s="7">
        <v>-1.3213572847515971</v>
      </c>
      <c r="H6" s="7">
        <v>-1.1190672708211036</v>
      </c>
      <c r="I6" s="6">
        <v>-13.721023649929439</v>
      </c>
      <c r="J6" s="6" cm="1">
        <f t="array" ref="J6:J8">_xll.SysLin(B6:D8,E6:E8)</f>
        <v>-13.721023649929441</v>
      </c>
      <c r="L6" s="7">
        <v>2.2746113529414744</v>
      </c>
      <c r="M6" s="7">
        <v>-1.3213572847515924</v>
      </c>
      <c r="N6" s="7">
        <v>-1.1190672708211005</v>
      </c>
      <c r="O6" s="6">
        <v>-13.7210236499294</v>
      </c>
    </row>
    <row r="7" spans="2:15" ht="15.75" x14ac:dyDescent="0.25">
      <c r="B7" s="2">
        <v>8.06</v>
      </c>
      <c r="C7" s="2">
        <v>2.4</v>
      </c>
      <c r="D7" s="2">
        <v>10.01</v>
      </c>
      <c r="E7" s="4">
        <v>2.3199999999999998</v>
      </c>
      <c r="F7" s="7">
        <v>0.32702967642480102</v>
      </c>
      <c r="G7" s="7">
        <v>-0.22094283236456944</v>
      </c>
      <c r="H7" s="7">
        <v>-3.6406092394080075E-2</v>
      </c>
      <c r="I7" s="6">
        <v>-0.71753969720880617</v>
      </c>
      <c r="J7" s="6">
        <v>-0.71753969720880617</v>
      </c>
      <c r="L7" s="7">
        <v>0.32702967642480057</v>
      </c>
      <c r="M7" s="7">
        <v>-0.22094283236456913</v>
      </c>
      <c r="N7" s="7">
        <v>-3.6406092394079895E-2</v>
      </c>
      <c r="O7" s="6">
        <v>-0.71753969720880373</v>
      </c>
    </row>
    <row r="8" spans="2:15" ht="15.75" x14ac:dyDescent="0.25">
      <c r="B8" s="2">
        <v>0.85</v>
      </c>
      <c r="C8" s="2">
        <v>8.6300000000000008</v>
      </c>
      <c r="D8" s="2">
        <v>2.4900000000000002</v>
      </c>
      <c r="E8" s="4">
        <v>10.66</v>
      </c>
      <c r="F8" s="7">
        <v>-1.9099139588539329</v>
      </c>
      <c r="G8" s="7">
        <v>1.2168234278494345</v>
      </c>
      <c r="H8" s="7">
        <v>0.90979588656981891</v>
      </c>
      <c r="I8" s="6">
        <v>11.451902686486756</v>
      </c>
      <c r="J8" s="6">
        <v>11.451902686486758</v>
      </c>
      <c r="L8" s="7">
        <v>-1.9099139588539273</v>
      </c>
      <c r="M8" s="7">
        <v>1.216823427849431</v>
      </c>
      <c r="N8" s="7">
        <v>0.90979588656981669</v>
      </c>
      <c r="O8" s="6">
        <v>11.451902686486726</v>
      </c>
    </row>
    <row r="11" spans="2:15" ht="23.25" x14ac:dyDescent="0.35">
      <c r="B11" s="26" t="s">
        <v>8</v>
      </c>
      <c r="C11" s="26"/>
    </row>
    <row r="12" spans="2:15" ht="23.25" x14ac:dyDescent="0.35">
      <c r="B12" s="25" t="s">
        <v>32</v>
      </c>
    </row>
    <row r="13" spans="2:15" ht="23.25" x14ac:dyDescent="0.35">
      <c r="B13" s="1"/>
      <c r="J13" s="1"/>
    </row>
    <row r="14" spans="2:15" ht="15.75" x14ac:dyDescent="0.25">
      <c r="B14" s="32" t="s">
        <v>3</v>
      </c>
      <c r="C14" s="32"/>
      <c r="D14" s="32"/>
      <c r="E14" s="32"/>
      <c r="F14" s="32"/>
      <c r="G14" s="32"/>
      <c r="H14" s="32"/>
      <c r="I14" s="32"/>
      <c r="J14" s="32"/>
      <c r="K14" s="3" t="s">
        <v>1</v>
      </c>
    </row>
    <row r="15" spans="2:15" ht="15.75" x14ac:dyDescent="0.25">
      <c r="B15" s="2">
        <v>3.15</v>
      </c>
      <c r="C15" s="2">
        <v>5.03</v>
      </c>
      <c r="D15" s="2">
        <v>10.26</v>
      </c>
      <c r="E15" s="2">
        <v>5.34</v>
      </c>
      <c r="F15" s="2">
        <v>0.86</v>
      </c>
      <c r="G15" s="2">
        <v>10.82</v>
      </c>
      <c r="H15" s="2">
        <v>9.94</v>
      </c>
      <c r="I15" s="2">
        <v>1.84</v>
      </c>
      <c r="J15" s="2">
        <v>6.78</v>
      </c>
      <c r="K15" s="4">
        <v>5.52</v>
      </c>
    </row>
    <row r="16" spans="2:15" ht="15.75" x14ac:dyDescent="0.25">
      <c r="B16" s="2">
        <v>7.04</v>
      </c>
      <c r="C16" s="2">
        <v>3.42</v>
      </c>
      <c r="D16" s="2">
        <v>2.84</v>
      </c>
      <c r="E16" s="2">
        <v>10.7</v>
      </c>
      <c r="F16" s="2">
        <v>9.31</v>
      </c>
      <c r="G16" s="2">
        <v>1.2</v>
      </c>
      <c r="H16" s="2">
        <v>9.4600000000000009</v>
      </c>
      <c r="I16" s="2">
        <v>4.63</v>
      </c>
      <c r="J16" s="2">
        <v>5.28</v>
      </c>
      <c r="K16" s="4">
        <v>10.48</v>
      </c>
    </row>
    <row r="17" spans="2:11" ht="15.75" x14ac:dyDescent="0.25">
      <c r="B17" s="2">
        <v>6.71</v>
      </c>
      <c r="C17" s="2">
        <v>9.2100000000000009</v>
      </c>
      <c r="D17" s="2">
        <v>10.91</v>
      </c>
      <c r="E17" s="2">
        <v>10.5</v>
      </c>
      <c r="F17" s="2">
        <v>10.73</v>
      </c>
      <c r="G17" s="2">
        <v>6.92</v>
      </c>
      <c r="H17" s="2">
        <v>2.2200000000000002</v>
      </c>
      <c r="I17" s="2">
        <v>9</v>
      </c>
      <c r="J17" s="2">
        <v>10.98</v>
      </c>
      <c r="K17" s="4">
        <v>5.7</v>
      </c>
    </row>
    <row r="18" spans="2:11" ht="15.75" x14ac:dyDescent="0.25">
      <c r="B18" s="2">
        <v>6.33</v>
      </c>
      <c r="C18" s="2">
        <v>5.53</v>
      </c>
      <c r="D18" s="2">
        <v>10.25</v>
      </c>
      <c r="E18" s="2">
        <v>4.99</v>
      </c>
      <c r="F18" s="2">
        <v>1.61</v>
      </c>
      <c r="G18" s="2">
        <v>2.4900000000000002</v>
      </c>
      <c r="H18" s="2">
        <v>7.69</v>
      </c>
      <c r="I18" s="2">
        <v>6.4</v>
      </c>
      <c r="J18" s="2">
        <v>9.73</v>
      </c>
      <c r="K18" s="4">
        <v>0.08</v>
      </c>
    </row>
    <row r="19" spans="2:11" ht="15.75" x14ac:dyDescent="0.25">
      <c r="B19" s="2">
        <v>9.26</v>
      </c>
      <c r="C19" s="2">
        <v>0.64</v>
      </c>
      <c r="D19" s="2">
        <v>9.1300000000000008</v>
      </c>
      <c r="E19" s="2">
        <v>2.0699999999999998</v>
      </c>
      <c r="F19" s="2">
        <v>3.14</v>
      </c>
      <c r="G19" s="2">
        <v>10.08</v>
      </c>
      <c r="H19" s="2">
        <v>10.34</v>
      </c>
      <c r="I19" s="2">
        <v>0.63</v>
      </c>
      <c r="J19" s="2">
        <v>0.67</v>
      </c>
      <c r="K19" s="4">
        <v>1.94</v>
      </c>
    </row>
    <row r="20" spans="2:11" ht="15.75" x14ac:dyDescent="0.25">
      <c r="B20" s="2">
        <v>9.8699999999999992</v>
      </c>
      <c r="C20" s="2">
        <v>2.86</v>
      </c>
      <c r="D20" s="2">
        <v>8.14</v>
      </c>
      <c r="E20" s="2">
        <v>0.37</v>
      </c>
      <c r="F20" s="2">
        <v>7.03</v>
      </c>
      <c r="G20" s="2">
        <v>3.36</v>
      </c>
      <c r="H20" s="2">
        <v>0.52</v>
      </c>
      <c r="I20" s="2">
        <v>0.35</v>
      </c>
      <c r="J20" s="2">
        <v>6.39</v>
      </c>
      <c r="K20" s="4">
        <v>2.1800000000000002</v>
      </c>
    </row>
    <row r="21" spans="2:11" ht="15.75" x14ac:dyDescent="0.25">
      <c r="B21" s="2">
        <v>1.69</v>
      </c>
      <c r="C21" s="2">
        <v>1.86</v>
      </c>
      <c r="D21" s="2">
        <v>6.74</v>
      </c>
      <c r="E21" s="2">
        <v>8.19</v>
      </c>
      <c r="F21" s="2">
        <v>1.6</v>
      </c>
      <c r="G21" s="2">
        <v>10.94</v>
      </c>
      <c r="H21" s="2">
        <v>10.77</v>
      </c>
      <c r="I21" s="2">
        <v>4.0199999999999996</v>
      </c>
      <c r="J21" s="2">
        <v>2.85</v>
      </c>
      <c r="K21" s="4">
        <v>2.5499999999999998</v>
      </c>
    </row>
    <row r="22" spans="2:11" ht="15.75" x14ac:dyDescent="0.25">
      <c r="B22" s="2">
        <v>6.03</v>
      </c>
      <c r="C22" s="2">
        <v>8.9700000000000006</v>
      </c>
      <c r="D22" s="2">
        <v>8.8000000000000007</v>
      </c>
      <c r="E22" s="2">
        <v>10.210000000000001</v>
      </c>
      <c r="F22" s="2">
        <v>10.88</v>
      </c>
      <c r="G22" s="2">
        <v>4.49</v>
      </c>
      <c r="H22" s="2">
        <v>5.87</v>
      </c>
      <c r="I22" s="2">
        <v>4.92</v>
      </c>
      <c r="J22" s="2">
        <v>8.68</v>
      </c>
      <c r="K22" s="4">
        <v>8.44</v>
      </c>
    </row>
    <row r="23" spans="2:11" ht="15.75" x14ac:dyDescent="0.25">
      <c r="B23" s="2">
        <v>7.72</v>
      </c>
      <c r="C23" s="2">
        <v>2.87</v>
      </c>
      <c r="D23" s="2">
        <v>4.16</v>
      </c>
      <c r="E23" s="2">
        <v>6.36</v>
      </c>
      <c r="F23" s="2">
        <v>5.56</v>
      </c>
      <c r="G23" s="2">
        <v>6.33</v>
      </c>
      <c r="H23" s="2">
        <v>5.5</v>
      </c>
      <c r="I23" s="2">
        <v>2.88</v>
      </c>
      <c r="J23" s="2">
        <v>4.1399999999999997</v>
      </c>
      <c r="K23" s="4">
        <v>4.84</v>
      </c>
    </row>
    <row r="24" spans="2:11" ht="15.75" x14ac:dyDescent="0.25">
      <c r="B24" s="2">
        <v>5.46</v>
      </c>
      <c r="C24" s="2">
        <v>3.61</v>
      </c>
      <c r="D24" s="2">
        <v>4.9000000000000004</v>
      </c>
      <c r="E24" s="2">
        <v>7.61</v>
      </c>
      <c r="F24" s="2">
        <v>9.26</v>
      </c>
      <c r="G24" s="2">
        <v>7.28</v>
      </c>
      <c r="H24" s="2">
        <v>6.42</v>
      </c>
      <c r="I24" s="2">
        <v>1.23</v>
      </c>
      <c r="J24" s="2">
        <v>2.02</v>
      </c>
      <c r="K24" s="4">
        <v>0.22</v>
      </c>
    </row>
    <row r="26" spans="2:11" ht="18" x14ac:dyDescent="0.25">
      <c r="B26" s="36" t="s">
        <v>31</v>
      </c>
      <c r="C26" s="37"/>
      <c r="D26" s="37"/>
      <c r="E26" s="37"/>
      <c r="F26" s="37"/>
      <c r="G26" s="37"/>
      <c r="H26" s="37"/>
      <c r="I26" s="37"/>
      <c r="J26" s="38"/>
      <c r="K26" s="3" t="s">
        <v>2</v>
      </c>
    </row>
    <row r="27" spans="2:11" ht="15.75" x14ac:dyDescent="0.25">
      <c r="B27" s="7">
        <v>-0.26601797403800287</v>
      </c>
      <c r="C27" s="7">
        <v>-4.7879031624084911E-2</v>
      </c>
      <c r="D27" s="7">
        <v>-0.23221228692782775</v>
      </c>
      <c r="E27" s="7">
        <v>-0.42876723233304237</v>
      </c>
      <c r="F27" s="7">
        <v>0.24561450038799315</v>
      </c>
      <c r="G27" s="7">
        <v>0.15816178123447336</v>
      </c>
      <c r="H27" s="7">
        <v>0.38912056754187679</v>
      </c>
      <c r="I27" s="7">
        <v>0.82862310714885778</v>
      </c>
      <c r="J27" s="7">
        <v>-1.0273694910560327</v>
      </c>
      <c r="K27" s="6">
        <v>6.86238820897381</v>
      </c>
    </row>
    <row r="28" spans="2:11" ht="15.75" x14ac:dyDescent="0.25">
      <c r="B28" s="7">
        <v>0.31909150270819497</v>
      </c>
      <c r="C28" s="7">
        <v>0.17775103152394744</v>
      </c>
      <c r="D28" s="7">
        <v>0.2116893061506131</v>
      </c>
      <c r="E28" s="7">
        <v>-0.3679561279870639</v>
      </c>
      <c r="F28" s="7">
        <v>0.36594425509085549</v>
      </c>
      <c r="G28" s="7">
        <v>-0.31146776210423344</v>
      </c>
      <c r="H28" s="7">
        <v>-0.42125358479454333</v>
      </c>
      <c r="I28" s="7">
        <v>0.21386924731507434</v>
      </c>
      <c r="J28" s="7">
        <v>-0.48940899540702998</v>
      </c>
      <c r="K28" s="6">
        <v>5.726510655636659</v>
      </c>
    </row>
    <row r="29" spans="2:11" ht="15.75" x14ac:dyDescent="0.25">
      <c r="B29" s="7">
        <v>-0.87363988746012855</v>
      </c>
      <c r="C29" s="7">
        <v>-0.88165537196907351</v>
      </c>
      <c r="D29" s="7">
        <v>-0.7061411778462241</v>
      </c>
      <c r="E29" s="7">
        <v>0.96078049574857205</v>
      </c>
      <c r="F29" s="7">
        <v>-0.58778330254596178</v>
      </c>
      <c r="G29" s="7">
        <v>0.30761882438256866</v>
      </c>
      <c r="H29" s="7">
        <v>0.73205010466039067</v>
      </c>
      <c r="I29" s="7">
        <v>0.28001427365157916</v>
      </c>
      <c r="J29" s="7">
        <v>1.0030671439469054</v>
      </c>
      <c r="K29" s="6">
        <v>-13.013975702180492</v>
      </c>
    </row>
    <row r="30" spans="2:11" ht="15.75" x14ac:dyDescent="0.25">
      <c r="B30" s="7">
        <v>-1.1604017479245181</v>
      </c>
      <c r="C30" s="7">
        <v>-0.81123127159630171</v>
      </c>
      <c r="D30" s="7">
        <v>-1.0435783723255772</v>
      </c>
      <c r="E30" s="7">
        <v>8.7719843799380359E-2</v>
      </c>
      <c r="F30" s="7">
        <v>-0.33303443004687261</v>
      </c>
      <c r="G30" s="7">
        <v>0.5766454186420561</v>
      </c>
      <c r="H30" s="7">
        <v>1.4565335509658592</v>
      </c>
      <c r="I30" s="7">
        <v>1.5996070778766878</v>
      </c>
      <c r="J30" s="7">
        <v>-0.73703800737086145</v>
      </c>
      <c r="K30" s="6">
        <v>2.6988044431717428E-2</v>
      </c>
    </row>
    <row r="31" spans="2:11" ht="15.75" x14ac:dyDescent="0.25">
      <c r="B31" s="7">
        <v>0.54636093777214201</v>
      </c>
      <c r="C31" s="7">
        <v>0.40543790167311688</v>
      </c>
      <c r="D31" s="7">
        <v>0.53866277577687016</v>
      </c>
      <c r="E31" s="7">
        <v>0.10739418494370745</v>
      </c>
      <c r="F31" s="7">
        <v>2.1295967640224733E-2</v>
      </c>
      <c r="G31" s="7">
        <v>-0.23641477774071451</v>
      </c>
      <c r="H31" s="7">
        <v>-0.72933304433868118</v>
      </c>
      <c r="I31" s="7">
        <v>-1.0214462186880675</v>
      </c>
      <c r="J31" s="7">
        <v>0.78905906257503455</v>
      </c>
      <c r="K31" s="6">
        <v>-2.7255703144569265</v>
      </c>
    </row>
    <row r="32" spans="2:11" ht="15.75" x14ac:dyDescent="0.25">
      <c r="B32" s="7">
        <v>0.39197991286150163</v>
      </c>
      <c r="C32" s="7">
        <v>0.1490528464873955</v>
      </c>
      <c r="D32" s="7">
        <v>0.34031615187497788</v>
      </c>
      <c r="E32" s="7">
        <v>7.3025477068117017E-2</v>
      </c>
      <c r="F32" s="7">
        <v>-2.6026252615204526E-2</v>
      </c>
      <c r="G32" s="7">
        <v>-0.20038923876966808</v>
      </c>
      <c r="H32" s="7">
        <v>-0.46411932465745342</v>
      </c>
      <c r="I32" s="7">
        <v>-0.68460875916949115</v>
      </c>
      <c r="J32" s="7">
        <v>0.50192484049729036</v>
      </c>
      <c r="K32" s="6">
        <v>-2.0676586975282989</v>
      </c>
    </row>
    <row r="33" spans="2:14" ht="15.75" x14ac:dyDescent="0.25">
      <c r="B33" s="7">
        <v>0.65106783861060924</v>
      </c>
      <c r="C33" s="7">
        <v>0.79151207798169243</v>
      </c>
      <c r="D33" s="7">
        <v>0.50711803020365864</v>
      </c>
      <c r="E33" s="7">
        <v>-0.8839161341499796</v>
      </c>
      <c r="F33" s="7">
        <v>0.62755448925260238</v>
      </c>
      <c r="G33" s="7">
        <v>-0.1757163829516509</v>
      </c>
      <c r="H33" s="7">
        <v>-0.43813352441655429</v>
      </c>
      <c r="I33" s="7">
        <v>1.9140237589186593E-2</v>
      </c>
      <c r="J33" s="7">
        <v>-1.0872305639666833</v>
      </c>
      <c r="K33" s="6">
        <v>12.501203332715219</v>
      </c>
    </row>
    <row r="34" spans="2:14" ht="15.75" x14ac:dyDescent="0.25">
      <c r="B34" s="7">
        <v>0.47378851484614654</v>
      </c>
      <c r="C34" s="7">
        <v>0.35680813750414636</v>
      </c>
      <c r="D34" s="7">
        <v>0.64280477442926132</v>
      </c>
      <c r="E34" s="7">
        <v>0.16359362745589481</v>
      </c>
      <c r="F34" s="7">
        <v>0.14005599821623654</v>
      </c>
      <c r="G34" s="7">
        <v>-0.41269008598899043</v>
      </c>
      <c r="H34" s="7">
        <v>-0.7614182160645887</v>
      </c>
      <c r="I34" s="7">
        <v>-1.0327607431081993</v>
      </c>
      <c r="J34" s="7">
        <v>0.62896018835687251</v>
      </c>
      <c r="K34" s="6">
        <v>-2.6811763846278631</v>
      </c>
    </row>
    <row r="35" spans="2:14" ht="15.75" x14ac:dyDescent="0.25">
      <c r="B35" s="7">
        <v>-0.12464992761287789</v>
      </c>
      <c r="C35" s="7">
        <v>-0.42814652758003935</v>
      </c>
      <c r="D35" s="7">
        <v>-0.11429187553469287</v>
      </c>
      <c r="E35" s="7">
        <v>1.0134580197749323</v>
      </c>
      <c r="F35" s="7">
        <v>-0.55396053795129019</v>
      </c>
      <c r="G35" s="7">
        <v>-0.12784140362471186</v>
      </c>
      <c r="H35" s="7">
        <v>-0.24256638577133599</v>
      </c>
      <c r="I35" s="7">
        <v>-0.83555526998257024</v>
      </c>
      <c r="J35" s="7">
        <v>1.6690719293884606</v>
      </c>
      <c r="K35" s="6">
        <v>-14.098062682261659</v>
      </c>
    </row>
    <row r="36" spans="2:14" ht="15.75" x14ac:dyDescent="0.25">
      <c r="B36" s="7">
        <v>0.59168854000192017</v>
      </c>
      <c r="C36" s="7">
        <v>0.65794929116982548</v>
      </c>
      <c r="D36" s="7">
        <v>0.40303537744302026</v>
      </c>
      <c r="E36" s="7">
        <v>-0.73667398457615385</v>
      </c>
      <c r="F36" s="7">
        <v>0.2881647533063168</v>
      </c>
      <c r="G36" s="7">
        <v>5.9123896085455527E-2</v>
      </c>
      <c r="H36" s="7">
        <v>-0.24788123124839762</v>
      </c>
      <c r="I36" s="7">
        <v>-8.7439315511261773E-2</v>
      </c>
      <c r="J36" s="7">
        <v>-0.90418373469789071</v>
      </c>
      <c r="K36" s="6">
        <v>10.323805689294193</v>
      </c>
    </row>
    <row r="37" spans="2:14" x14ac:dyDescent="0.25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2:14" ht="23.25" x14ac:dyDescent="0.35">
      <c r="B38" s="25" t="s">
        <v>33</v>
      </c>
      <c r="E38" s="25" t="s">
        <v>34</v>
      </c>
    </row>
    <row r="39" spans="2:14" ht="18" x14ac:dyDescent="0.25">
      <c r="B39" s="3" t="s">
        <v>2</v>
      </c>
      <c r="E39" s="32" t="s">
        <v>39</v>
      </c>
      <c r="F39" s="32"/>
      <c r="G39" s="32"/>
      <c r="H39" s="32"/>
      <c r="I39" s="32"/>
      <c r="J39" s="32"/>
      <c r="K39" s="32"/>
      <c r="L39" s="32"/>
      <c r="M39" s="32"/>
      <c r="N39" s="3" t="s">
        <v>2</v>
      </c>
    </row>
    <row r="40" spans="2:14" ht="15.75" x14ac:dyDescent="0.25">
      <c r="B40" s="6" t="str" cm="1">
        <f t="array" ref="B40">_xll.SysLin(B15:J24,K15:K24)</f>
        <v>?</v>
      </c>
      <c r="E40" s="7">
        <v>-0.2660179740380052</v>
      </c>
      <c r="F40" s="7">
        <v>-4.7879031624086632E-2</v>
      </c>
      <c r="G40" s="7">
        <v>-0.23221228692783005</v>
      </c>
      <c r="H40" s="7">
        <v>-0.4287672323330412</v>
      </c>
      <c r="I40" s="7">
        <v>0.24561450038799085</v>
      </c>
      <c r="J40" s="7">
        <v>0.38912056754188012</v>
      </c>
      <c r="K40" s="7">
        <v>0.82862310714885901</v>
      </c>
      <c r="L40" s="7">
        <v>0.33251882102883989</v>
      </c>
      <c r="M40" s="7">
        <v>-1.027369491056032</v>
      </c>
      <c r="N40" s="6">
        <v>6.8623882089737895</v>
      </c>
    </row>
    <row r="41" spans="2:14" ht="15.75" x14ac:dyDescent="0.25">
      <c r="B41" s="6"/>
      <c r="E41" s="7">
        <v>0.31909150270819753</v>
      </c>
      <c r="F41" s="7">
        <v>0.17775103152395039</v>
      </c>
      <c r="G41" s="7">
        <v>0.21168930615061488</v>
      </c>
      <c r="H41" s="7">
        <v>-0.36795612798706789</v>
      </c>
      <c r="I41" s="7">
        <v>0.36594425509085793</v>
      </c>
      <c r="J41" s="7">
        <v>-0.42125358479454522</v>
      </c>
      <c r="K41" s="7">
        <v>0.21386924731507501</v>
      </c>
      <c r="L41" s="7">
        <v>5.5987651835598271E-2</v>
      </c>
      <c r="M41" s="7">
        <v>-0.48940899540703497</v>
      </c>
      <c r="N41" s="6">
        <v>5.7265106556367149</v>
      </c>
    </row>
    <row r="42" spans="2:14" ht="15.75" x14ac:dyDescent="0.25">
      <c r="B42" s="6"/>
      <c r="E42" s="7">
        <v>-0.8736398874601321</v>
      </c>
      <c r="F42" s="7">
        <v>-0.88165537196907851</v>
      </c>
      <c r="G42" s="7">
        <v>-0.7061411778462261</v>
      </c>
      <c r="H42" s="7">
        <v>0.96078049574858071</v>
      </c>
      <c r="I42" s="7">
        <v>-0.58778330254596711</v>
      </c>
      <c r="J42" s="7">
        <v>0.732050104660392</v>
      </c>
      <c r="K42" s="7">
        <v>0.28001427365157411</v>
      </c>
      <c r="L42" s="7">
        <v>0.20978814266785628</v>
      </c>
      <c r="M42" s="7">
        <v>1.0030671439469185</v>
      </c>
      <c r="N42" s="6">
        <v>-13.013975702180618</v>
      </c>
    </row>
    <row r="43" spans="2:14" ht="15.75" x14ac:dyDescent="0.25">
      <c r="B43" s="6"/>
      <c r="E43" s="7">
        <v>-1.1604017479245259</v>
      </c>
      <c r="F43" s="7">
        <v>-0.81123127159630981</v>
      </c>
      <c r="G43" s="7">
        <v>-1.0435783723255831</v>
      </c>
      <c r="H43" s="7">
        <v>8.7719843799391156E-2</v>
      </c>
      <c r="I43" s="7">
        <v>-0.33303443004688171</v>
      </c>
      <c r="J43" s="7">
        <v>1.4565335509658661</v>
      </c>
      <c r="K43" s="7">
        <v>1.5996070778766849</v>
      </c>
      <c r="L43" s="7">
        <v>0.66359347212537245</v>
      </c>
      <c r="M43" s="7">
        <v>-0.73703800737084757</v>
      </c>
      <c r="N43" s="6">
        <v>2.6988044431558389E-2</v>
      </c>
    </row>
    <row r="44" spans="2:14" ht="15.75" x14ac:dyDescent="0.25">
      <c r="B44" s="6"/>
      <c r="E44" s="7">
        <v>0.54636093777214534</v>
      </c>
      <c r="F44" s="7">
        <v>0.4054379016731201</v>
      </c>
      <c r="G44" s="7">
        <v>0.53866277577687294</v>
      </c>
      <c r="H44" s="7">
        <v>0.10739418494370342</v>
      </c>
      <c r="I44" s="7">
        <v>2.1295967640228786E-2</v>
      </c>
      <c r="J44" s="7">
        <v>-0.72933304433868462</v>
      </c>
      <c r="K44" s="7">
        <v>-1.0214462186880664</v>
      </c>
      <c r="L44" s="7">
        <v>-0.47276009585535778</v>
      </c>
      <c r="M44" s="7">
        <v>0.78905906257502945</v>
      </c>
      <c r="N44" s="6">
        <v>-2.7255703144568595</v>
      </c>
    </row>
    <row r="45" spans="2:14" ht="15.75" x14ac:dyDescent="0.25">
      <c r="B45" s="6"/>
      <c r="E45" s="7">
        <v>0.39197991286150463</v>
      </c>
      <c r="F45" s="7">
        <v>0.14905284648739864</v>
      </c>
      <c r="G45" s="7">
        <v>0.34031615187498043</v>
      </c>
      <c r="H45" s="7">
        <v>7.3025477068113201E-2</v>
      </c>
      <c r="I45" s="7">
        <v>-2.602625261520114E-2</v>
      </c>
      <c r="J45" s="7">
        <v>-0.4641193246574562</v>
      </c>
      <c r="K45" s="7">
        <v>-0.68460875916949049</v>
      </c>
      <c r="L45" s="7">
        <v>-8.2766020788334838E-2</v>
      </c>
      <c r="M45" s="7">
        <v>0.5019248404972857</v>
      </c>
      <c r="N45" s="6">
        <v>-2.0676586975282398</v>
      </c>
    </row>
    <row r="46" spans="2:14" ht="15.75" x14ac:dyDescent="0.25">
      <c r="B46" s="6"/>
      <c r="E46" s="7">
        <v>0.65106783861061146</v>
      </c>
      <c r="F46" s="7">
        <v>0.79151207798169587</v>
      </c>
      <c r="G46" s="7">
        <v>0.50711803020365975</v>
      </c>
      <c r="H46" s="7">
        <v>-0.88391613414998638</v>
      </c>
      <c r="I46" s="7">
        <v>0.62755448925260626</v>
      </c>
      <c r="J46" s="7">
        <v>-0.43813352441655451</v>
      </c>
      <c r="K46" s="7">
        <v>1.9140237589190978E-2</v>
      </c>
      <c r="L46" s="7">
        <v>-0.38163297176149458</v>
      </c>
      <c r="M46" s="7">
        <v>-1.0872305639666937</v>
      </c>
      <c r="N46" s="6">
        <v>12.501203332715319</v>
      </c>
    </row>
    <row r="47" spans="2:14" ht="15.75" x14ac:dyDescent="0.25">
      <c r="B47" s="6"/>
      <c r="E47" s="7">
        <v>0.47378851484615064</v>
      </c>
      <c r="F47" s="7">
        <v>0.3568081375041503</v>
      </c>
      <c r="G47" s="7">
        <v>0.64280477442926476</v>
      </c>
      <c r="H47" s="7">
        <v>0.16359362745589037</v>
      </c>
      <c r="I47" s="7">
        <v>0.14005599821624087</v>
      </c>
      <c r="J47" s="7">
        <v>-0.76141821606459303</v>
      </c>
      <c r="K47" s="7">
        <v>-1.0327607431081991</v>
      </c>
      <c r="L47" s="7">
        <v>-0.32339077268376448</v>
      </c>
      <c r="M47" s="7">
        <v>0.6289601883568674</v>
      </c>
      <c r="N47" s="6">
        <v>-2.681176384627793</v>
      </c>
    </row>
    <row r="48" spans="2:14" ht="15.75" x14ac:dyDescent="0.25">
      <c r="B48" s="6"/>
      <c r="E48" s="7">
        <v>-0.12464992761287638</v>
      </c>
      <c r="F48" s="7">
        <v>-0.42814652758003879</v>
      </c>
      <c r="G48" s="7">
        <v>-0.11429187553469075</v>
      </c>
      <c r="H48" s="7">
        <v>1.0134580197749339</v>
      </c>
      <c r="I48" s="7">
        <v>-0.55396053795128941</v>
      </c>
      <c r="J48" s="7">
        <v>-0.2425663857713394</v>
      </c>
      <c r="K48" s="7">
        <v>-0.83555526998257346</v>
      </c>
      <c r="L48" s="7">
        <v>6.2847152396218978E-2</v>
      </c>
      <c r="M48" s="7">
        <v>1.6690719293884644</v>
      </c>
      <c r="N48" s="6">
        <v>-14.098062682261679</v>
      </c>
    </row>
    <row r="49" spans="2:14" ht="15.75" x14ac:dyDescent="0.25">
      <c r="B49" s="6"/>
      <c r="E49" s="7">
        <v>0.59168854000192161</v>
      </c>
      <c r="F49" s="7">
        <v>0.65794929116982814</v>
      </c>
      <c r="G49" s="7">
        <v>0.4030353774430207</v>
      </c>
      <c r="H49" s="7">
        <v>-0.73667398457615951</v>
      </c>
      <c r="I49" s="7">
        <v>0.28816475330631997</v>
      </c>
      <c r="J49" s="7">
        <v>-0.24788123124839687</v>
      </c>
      <c r="K49" s="7">
        <v>-8.7439315511257054E-2</v>
      </c>
      <c r="L49" s="7">
        <v>-0.24688340625699262</v>
      </c>
      <c r="M49" s="7">
        <v>-0.90418373469790037</v>
      </c>
      <c r="N49" s="6">
        <v>10.323805689294286</v>
      </c>
    </row>
    <row r="52" spans="2:14" ht="23.25" x14ac:dyDescent="0.35">
      <c r="B52" s="26" t="s">
        <v>15</v>
      </c>
      <c r="C52" s="26"/>
    </row>
    <row r="54" spans="2:14" ht="18" x14ac:dyDescent="0.25">
      <c r="B54" s="30" t="s">
        <v>3</v>
      </c>
      <c r="C54" s="39"/>
      <c r="D54" s="31"/>
      <c r="E54" s="16" t="s">
        <v>1</v>
      </c>
      <c r="F54" s="30" t="s">
        <v>39</v>
      </c>
      <c r="G54" s="39"/>
      <c r="H54" s="39"/>
      <c r="I54" s="31"/>
      <c r="J54" s="16" t="s">
        <v>2</v>
      </c>
    </row>
    <row r="55" spans="2:14" ht="15.75" x14ac:dyDescent="0.25">
      <c r="B55" s="7">
        <v>8.44</v>
      </c>
      <c r="C55" s="7">
        <v>8.1999999999999993</v>
      </c>
      <c r="D55" s="7">
        <v>2.73</v>
      </c>
      <c r="E55" s="40">
        <v>0.92</v>
      </c>
      <c r="F55" s="7">
        <v>6.2282864076868699E-2</v>
      </c>
      <c r="G55" s="7">
        <v>9.6972923041749884E-2</v>
      </c>
      <c r="H55" s="7">
        <v>-9.9635589143083375E-2</v>
      </c>
      <c r="I55" s="41">
        <v>-1.2915522585199724E-2</v>
      </c>
      <c r="J55" s="6">
        <v>-0.49277472736282907</v>
      </c>
    </row>
    <row r="56" spans="2:14" ht="15.75" x14ac:dyDescent="0.25">
      <c r="B56" s="7">
        <v>9.51</v>
      </c>
      <c r="C56" s="7">
        <v>3.65</v>
      </c>
      <c r="D56" s="7">
        <v>10.119999999999999</v>
      </c>
      <c r="E56" s="40">
        <v>3.47</v>
      </c>
      <c r="F56" s="42">
        <v>5.8314239083267688E-2</v>
      </c>
      <c r="G56" s="42">
        <v>-8.3420938129923031E-2</v>
      </c>
      <c r="H56" s="42">
        <v>0.10171246167293943</v>
      </c>
      <c r="I56" s="43">
        <v>-4.3769579406270326E-2</v>
      </c>
      <c r="J56" s="6">
        <v>0.32294746602318841</v>
      </c>
    </row>
    <row r="57" spans="2:14" ht="15.75" x14ac:dyDescent="0.25">
      <c r="B57" s="7">
        <v>4.1399999999999997</v>
      </c>
      <c r="C57" s="7">
        <v>8.5500000000000007</v>
      </c>
      <c r="D57" s="7">
        <v>10.44</v>
      </c>
      <c r="E57" s="44">
        <v>8.11</v>
      </c>
      <c r="F57" s="7">
        <v>-6.1511021677919921E-2</v>
      </c>
      <c r="G57" s="7">
        <v>1.7679740966080194E-2</v>
      </c>
      <c r="H57" s="7">
        <v>4.4375429220590276E-2</v>
      </c>
      <c r="I57" s="41">
        <v>6.1060003431013601E-2</v>
      </c>
      <c r="J57" s="45">
        <v>0.73588811304816182</v>
      </c>
    </row>
    <row r="58" spans="2:14" ht="15.75" x14ac:dyDescent="0.25">
      <c r="B58" s="7">
        <v>2.74</v>
      </c>
      <c r="C58" s="7">
        <v>0.99</v>
      </c>
      <c r="D58" s="7">
        <v>8.61</v>
      </c>
      <c r="E58" s="40">
        <v>6.08</v>
      </c>
      <c r="F58" s="46"/>
      <c r="G58" s="47"/>
      <c r="H58" s="47"/>
      <c r="I58" s="47"/>
      <c r="J58" s="48"/>
    </row>
    <row r="60" spans="2:14" ht="23.25" x14ac:dyDescent="0.35">
      <c r="B60" s="26" t="s">
        <v>40</v>
      </c>
      <c r="C60" s="26"/>
    </row>
    <row r="62" spans="2:14" ht="18" x14ac:dyDescent="0.25">
      <c r="B62" s="30" t="s">
        <v>3</v>
      </c>
      <c r="C62" s="39"/>
      <c r="D62" s="39"/>
      <c r="E62" s="31"/>
      <c r="F62" s="16" t="s">
        <v>1</v>
      </c>
      <c r="G62" s="30" t="s">
        <v>39</v>
      </c>
      <c r="H62" s="39"/>
      <c r="I62" s="31"/>
      <c r="J62" s="16" t="s">
        <v>2</v>
      </c>
    </row>
    <row r="63" spans="2:14" ht="15.75" x14ac:dyDescent="0.25">
      <c r="B63" s="5">
        <v>10.28</v>
      </c>
      <c r="C63" s="5">
        <v>4.29</v>
      </c>
      <c r="D63" s="5">
        <v>9.66</v>
      </c>
      <c r="E63" s="5">
        <v>3.13</v>
      </c>
      <c r="F63" s="53">
        <v>7.39</v>
      </c>
      <c r="G63" s="5">
        <v>0.1476940195827236</v>
      </c>
      <c r="H63" s="5">
        <v>-0.1026490569678611</v>
      </c>
      <c r="I63" s="5">
        <v>-4.3313843836379304E-2</v>
      </c>
      <c r="J63" s="52">
        <v>0.6419807373470805</v>
      </c>
    </row>
    <row r="64" spans="2:14" ht="15.75" x14ac:dyDescent="0.25">
      <c r="B64" s="5">
        <v>1.58</v>
      </c>
      <c r="C64" s="5">
        <v>2.97</v>
      </c>
      <c r="D64" s="5">
        <v>10.64</v>
      </c>
      <c r="E64" s="5">
        <v>0.9</v>
      </c>
      <c r="F64" s="53">
        <v>4.21</v>
      </c>
      <c r="G64" s="5">
        <v>2.4937842971910425E-2</v>
      </c>
      <c r="H64" s="5">
        <v>8.3964486155482364E-3</v>
      </c>
      <c r="I64" s="5">
        <v>-1.1472386031149362E-2</v>
      </c>
      <c r="J64" s="52">
        <v>0.21505075382141636</v>
      </c>
    </row>
    <row r="65" spans="2:18" ht="15.75" x14ac:dyDescent="0.25">
      <c r="B65" s="5">
        <v>8.93</v>
      </c>
      <c r="C65" s="5">
        <v>3.73</v>
      </c>
      <c r="D65" s="5">
        <v>8.6999999999999993</v>
      </c>
      <c r="E65" s="5">
        <v>8.49</v>
      </c>
      <c r="F65" s="53">
        <v>0.4</v>
      </c>
      <c r="G65" s="5">
        <v>-1.6232978138325319E-2</v>
      </c>
      <c r="H65" s="5">
        <v>0.10737025313264333</v>
      </c>
      <c r="I65" s="5">
        <v>-5.0461548749187249E-3</v>
      </c>
      <c r="J65" s="52">
        <v>0.33004859529623687</v>
      </c>
    </row>
    <row r="66" spans="2:18" ht="15.75" x14ac:dyDescent="0.25">
      <c r="B66" s="46"/>
      <c r="C66" s="47"/>
      <c r="D66" s="47"/>
      <c r="E66" s="47"/>
      <c r="F66" s="48"/>
      <c r="G66" s="5">
        <v>-0.14967006352832946</v>
      </c>
      <c r="H66" s="5">
        <v>-5.746039678090939E-3</v>
      </c>
      <c r="I66" s="5">
        <v>0.17355549738125414</v>
      </c>
      <c r="J66" s="52">
        <v>-1.0608303975666158</v>
      </c>
    </row>
    <row r="69" spans="2:18" ht="23.25" x14ac:dyDescent="0.35">
      <c r="B69" s="26" t="s">
        <v>41</v>
      </c>
      <c r="C69" s="26"/>
    </row>
    <row r="71" spans="2:18" ht="34.5" customHeight="1" x14ac:dyDescent="0.25">
      <c r="B71" s="30" t="s">
        <v>42</v>
      </c>
      <c r="C71" s="39"/>
      <c r="D71" s="39"/>
      <c r="E71" s="31"/>
      <c r="F71" s="30" t="s">
        <v>44</v>
      </c>
      <c r="G71" s="39"/>
      <c r="H71" s="39"/>
      <c r="I71" s="31"/>
      <c r="J71" s="27" t="s">
        <v>45</v>
      </c>
      <c r="K71" s="28"/>
      <c r="L71" s="28"/>
      <c r="M71" s="29"/>
      <c r="N71" s="16" t="s">
        <v>43</v>
      </c>
      <c r="O71" s="51" t="s">
        <v>46</v>
      </c>
      <c r="P71" s="24" t="s">
        <v>47</v>
      </c>
      <c r="Q71" s="50"/>
    </row>
    <row r="72" spans="2:18" ht="15.75" x14ac:dyDescent="0.25">
      <c r="B72" s="49">
        <v>1</v>
      </c>
      <c r="C72" s="49">
        <v>0</v>
      </c>
      <c r="D72" s="49">
        <v>0</v>
      </c>
      <c r="E72" s="49">
        <v>0</v>
      </c>
      <c r="F72" s="5">
        <v>0.96931638584231061</v>
      </c>
      <c r="G72" s="5">
        <v>0.167179007305642</v>
      </c>
      <c r="H72" s="5">
        <v>-4.2292178345432085E-2</v>
      </c>
      <c r="I72" s="5">
        <v>2.1635958519896081E-3</v>
      </c>
      <c r="J72" s="5">
        <v>3.0683614157689387E-2</v>
      </c>
      <c r="K72" s="5">
        <v>-0.167179007305642</v>
      </c>
      <c r="L72" s="5">
        <v>4.2292178345432085E-2</v>
      </c>
      <c r="M72" s="5">
        <v>-2.1635958519896081E-3</v>
      </c>
      <c r="N72" s="49">
        <v>1</v>
      </c>
      <c r="O72" s="5">
        <v>-9.6366810654510138E-2</v>
      </c>
      <c r="P72" s="12">
        <v>0.54561392669257036</v>
      </c>
      <c r="Q72" s="8"/>
      <c r="R72" s="8"/>
    </row>
    <row r="73" spans="2:18" ht="15.75" x14ac:dyDescent="0.25">
      <c r="B73" s="49">
        <v>0</v>
      </c>
      <c r="C73" s="49">
        <v>1</v>
      </c>
      <c r="D73" s="49">
        <v>0</v>
      </c>
      <c r="E73" s="49">
        <v>0</v>
      </c>
      <c r="F73" s="5">
        <v>0.16717900730564156</v>
      </c>
      <c r="G73" s="5">
        <v>8.9128798841486861E-2</v>
      </c>
      <c r="H73" s="5">
        <v>0.2304280179070885</v>
      </c>
      <c r="I73" s="5">
        <v>-1.1788305148385053E-2</v>
      </c>
      <c r="J73" s="5">
        <v>-0.16717900730564156</v>
      </c>
      <c r="K73" s="5">
        <v>0.91087120115851317</v>
      </c>
      <c r="L73" s="5">
        <v>-0.2304280179070885</v>
      </c>
      <c r="M73" s="5">
        <v>1.1788305148385053E-2</v>
      </c>
      <c r="N73" s="49">
        <v>1</v>
      </c>
      <c r="O73" s="5">
        <v>0.52505248109416802</v>
      </c>
      <c r="P73" s="12">
        <v>0.74010323491558438</v>
      </c>
      <c r="Q73" s="8"/>
      <c r="R73" s="8"/>
    </row>
    <row r="74" spans="2:18" ht="15.75" x14ac:dyDescent="0.25">
      <c r="B74" s="49">
        <v>0</v>
      </c>
      <c r="C74" s="49">
        <v>0</v>
      </c>
      <c r="D74" s="49">
        <v>1</v>
      </c>
      <c r="E74" s="49">
        <v>0</v>
      </c>
      <c r="F74" s="5">
        <v>-4.2292178345432002E-2</v>
      </c>
      <c r="G74" s="5">
        <v>0.23042801790708825</v>
      </c>
      <c r="H74" s="5">
        <v>0.94170737710330954</v>
      </c>
      <c r="I74" s="5">
        <v>2.9821513583607739E-3</v>
      </c>
      <c r="J74" s="5">
        <v>4.2292178345432002E-2</v>
      </c>
      <c r="K74" s="5">
        <v>-0.23042801790708825</v>
      </c>
      <c r="L74" s="5">
        <v>5.829262289669046E-2</v>
      </c>
      <c r="M74" s="5">
        <v>-2.9821513583607739E-3</v>
      </c>
      <c r="N74" s="49">
        <v>1</v>
      </c>
      <c r="O74" s="5">
        <v>-0.13282536802332656</v>
      </c>
      <c r="P74" s="12">
        <v>0.19722322727291031</v>
      </c>
      <c r="Q74" s="8"/>
      <c r="R74" s="8"/>
    </row>
    <row r="75" spans="2:18" ht="15.75" x14ac:dyDescent="0.25">
      <c r="B75" s="49">
        <v>0</v>
      </c>
      <c r="C75" s="49">
        <v>0</v>
      </c>
      <c r="D75" s="49">
        <v>0</v>
      </c>
      <c r="E75" s="49">
        <v>1</v>
      </c>
      <c r="F75" s="5">
        <v>2.1635958519892196E-3</v>
      </c>
      <c r="G75" s="5">
        <v>-1.178830514838547E-2</v>
      </c>
      <c r="H75" s="5">
        <v>2.9821513583607739E-3</v>
      </c>
      <c r="I75" s="5">
        <v>0.99984743821289479</v>
      </c>
      <c r="J75" s="5">
        <v>-2.1635958519892196E-3</v>
      </c>
      <c r="K75" s="5">
        <v>1.178830514838547E-2</v>
      </c>
      <c r="L75" s="5">
        <v>-2.9821513583607739E-3</v>
      </c>
      <c r="M75" s="5">
        <v>1.5256178710520985E-4</v>
      </c>
      <c r="N75" s="49">
        <v>1</v>
      </c>
      <c r="O75" s="5">
        <v>6.7951197251406859E-3</v>
      </c>
      <c r="P75" s="12">
        <v>-1.054035277841475</v>
      </c>
      <c r="Q75" s="8"/>
      <c r="R75" s="8"/>
    </row>
  </sheetData>
  <mergeCells count="18">
    <mergeCell ref="B69:C69"/>
    <mergeCell ref="B71:E71"/>
    <mergeCell ref="F71:I71"/>
    <mergeCell ref="J71:M71"/>
    <mergeCell ref="B62:E62"/>
    <mergeCell ref="F54:I54"/>
    <mergeCell ref="B54:D54"/>
    <mergeCell ref="B60:C60"/>
    <mergeCell ref="G62:I62"/>
    <mergeCell ref="B2:C2"/>
    <mergeCell ref="B11:C11"/>
    <mergeCell ref="F5:H5"/>
    <mergeCell ref="B26:J26"/>
    <mergeCell ref="E39:M39"/>
    <mergeCell ref="B52:C52"/>
    <mergeCell ref="L5:N5"/>
    <mergeCell ref="B14:J14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3.1</vt:lpstr>
      <vt:lpstr>3.2</vt:lpstr>
      <vt:lpstr>3.3</vt:lpstr>
      <vt:lpstr>3.4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</dc:creator>
  <cp:lastModifiedBy>Renata</cp:lastModifiedBy>
  <dcterms:created xsi:type="dcterms:W3CDTF">2020-02-24T18:27:26Z</dcterms:created>
  <dcterms:modified xsi:type="dcterms:W3CDTF">2020-02-25T05:23:45Z</dcterms:modified>
</cp:coreProperties>
</file>