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bi\Downloads\"/>
    </mc:Choice>
  </mc:AlternateContent>
  <xr:revisionPtr revIDLastSave="0" documentId="13_ncr:1_{D7AE2B06-C03B-488D-B250-99264A3608EA}" xr6:coauthVersionLast="45" xr6:coauthVersionMax="45" xr10:uidLastSave="{00000000-0000-0000-0000-000000000000}"/>
  <bookViews>
    <workbookView xWindow="-98" yWindow="-98" windowWidth="22695" windowHeight="14595" activeTab="1" xr2:uid="{6F8D4447-4F84-476F-9D4E-C82862AD2C08}"/>
  </bookViews>
  <sheets>
    <sheet name="6.2" sheetId="1" r:id="rId1"/>
    <sheet name="6.3" sheetId="2" r:id="rId2"/>
    <sheet name="6.4" sheetId="3" r:id="rId3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'6.4'!$G$16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B24" i="3"/>
  <c r="C24" i="3"/>
  <c r="C25" i="3" s="1"/>
  <c r="C10" i="3"/>
  <c r="B10" i="3"/>
  <c r="A11" i="3"/>
  <c r="A12" i="3" s="1"/>
  <c r="A13" i="3" s="1"/>
  <c r="A14" i="3" s="1"/>
  <c r="A15" i="3" s="1"/>
  <c r="A16" i="3" s="1"/>
  <c r="A17" i="3" s="1"/>
  <c r="A18" i="3" s="1"/>
  <c r="A19" i="3" s="1"/>
  <c r="A10" i="3"/>
  <c r="J15" i="2" a="1"/>
  <c r="J15" i="2" s="1"/>
  <c r="D15" i="2" a="1"/>
  <c r="D15" i="2" s="1"/>
  <c r="G11" i="2"/>
  <c r="F10" i="2"/>
  <c r="E9" i="2"/>
  <c r="D8" i="2"/>
  <c r="B25" i="3" l="1"/>
  <c r="B26" i="3" s="1"/>
  <c r="C11" i="3"/>
  <c r="B11" i="3"/>
  <c r="F1" i="2"/>
  <c r="C9" i="1"/>
  <c r="B9" i="1"/>
  <c r="B18" i="1"/>
  <c r="C26" i="3" l="1"/>
  <c r="C27" i="3" s="1"/>
  <c r="C12" i="3"/>
  <c r="B12" i="3"/>
  <c r="C13" i="3" s="1"/>
  <c r="B10" i="1"/>
  <c r="A18" i="1"/>
  <c r="A10" i="1"/>
  <c r="A11" i="1" s="1"/>
  <c r="A12" i="1" s="1"/>
  <c r="A13" i="1" s="1"/>
  <c r="A14" i="1" s="1"/>
  <c r="A15" i="1" s="1"/>
  <c r="A16" i="1" s="1"/>
  <c r="A17" i="1" s="1"/>
  <c r="A9" i="1"/>
  <c r="F1" i="1"/>
  <c r="B27" i="3" l="1"/>
  <c r="B28" i="3" s="1"/>
  <c r="C28" i="3"/>
  <c r="C29" i="3" s="1"/>
  <c r="B13" i="3"/>
  <c r="C14" i="3" s="1"/>
  <c r="B11" i="1"/>
  <c r="C11" i="1"/>
  <c r="B29" i="3" l="1"/>
  <c r="B30" i="3" s="1"/>
  <c r="B14" i="3"/>
  <c r="C15" i="3" s="1"/>
  <c r="C12" i="1"/>
  <c r="B12" i="1"/>
  <c r="C30" i="3" l="1"/>
  <c r="C31" i="3" s="1"/>
  <c r="B15" i="3"/>
  <c r="C16" i="3" s="1"/>
  <c r="B13" i="1"/>
  <c r="C13" i="1"/>
  <c r="B31" i="3" l="1"/>
  <c r="B32" i="3" s="1"/>
  <c r="B16" i="3"/>
  <c r="C17" i="3" s="1"/>
  <c r="B14" i="1"/>
  <c r="C14" i="1"/>
  <c r="C32" i="3" l="1"/>
  <c r="C33" i="3" s="1"/>
  <c r="B17" i="3"/>
  <c r="C18" i="3" s="1"/>
  <c r="B18" i="3"/>
  <c r="C15" i="1"/>
  <c r="B15" i="1"/>
  <c r="B33" i="3" l="1"/>
  <c r="B34" i="3" s="1"/>
  <c r="C34" i="3"/>
  <c r="C35" i="3" s="1"/>
  <c r="B19" i="3"/>
  <c r="C19" i="3"/>
  <c r="B16" i="1"/>
  <c r="C16" i="1"/>
  <c r="B35" i="3" l="1"/>
  <c r="B36" i="3" s="1"/>
  <c r="B17" i="1"/>
  <c r="C17" i="1"/>
  <c r="C36" i="3" l="1"/>
  <c r="C37" i="3" s="1"/>
  <c r="C18" i="1"/>
  <c r="B37" i="3" l="1"/>
  <c r="B38" i="3" s="1"/>
  <c r="C38" i="3" l="1"/>
  <c r="C39" i="3" s="1"/>
  <c r="B39" i="3" l="1"/>
  <c r="B40" i="3" s="1"/>
  <c r="C40" i="3"/>
  <c r="C41" i="3" s="1"/>
  <c r="B41" i="3" l="1"/>
  <c r="B42" i="3" s="1"/>
  <c r="C42" i="3" l="1"/>
  <c r="C43" i="3" s="1"/>
  <c r="B43" i="3" l="1"/>
  <c r="B44" i="3" s="1"/>
  <c r="C44" i="3" l="1"/>
  <c r="C45" i="3" s="1"/>
  <c r="B45" i="3" l="1"/>
  <c r="B46" i="3" s="1"/>
  <c r="C46" i="3" l="1"/>
  <c r="C47" i="3" s="1"/>
  <c r="B47" i="3" l="1"/>
  <c r="B48" i="3" s="1"/>
  <c r="C48" i="3"/>
  <c r="C49" i="3" s="1"/>
  <c r="B49" i="3" l="1"/>
  <c r="B50" i="3" s="1"/>
  <c r="C50" i="3" l="1"/>
  <c r="C51" i="3" s="1"/>
  <c r="B51" i="3" l="1"/>
  <c r="B52" i="3" s="1"/>
  <c r="C52" i="3" l="1"/>
  <c r="C53" i="3" s="1"/>
  <c r="B53" i="3" l="1"/>
  <c r="B54" i="3" s="1"/>
  <c r="C54" i="3"/>
  <c r="C55" i="3" s="1"/>
  <c r="B55" i="3" l="1"/>
  <c r="B56" i="3" s="1"/>
  <c r="C56" i="3" l="1"/>
  <c r="C57" i="3" s="1"/>
  <c r="B57" i="3" l="1"/>
  <c r="B58" i="3" s="1"/>
  <c r="C58" i="3" l="1"/>
  <c r="C59" i="3" s="1"/>
  <c r="B59" i="3" l="1"/>
  <c r="B60" i="3" s="1"/>
  <c r="C60" i="3" l="1"/>
  <c r="C61" i="3" s="1"/>
  <c r="B61" i="3" l="1"/>
  <c r="B62" i="3" s="1"/>
  <c r="C62" i="3" l="1"/>
  <c r="C63" i="3" s="1"/>
  <c r="B63" i="3"/>
  <c r="B64" i="3" s="1"/>
  <c r="C64" i="3" l="1"/>
  <c r="C65" i="3" s="1"/>
  <c r="B65" i="3" l="1"/>
  <c r="B66" i="3" s="1"/>
  <c r="C66" i="3" l="1"/>
  <c r="C67" i="3" s="1"/>
  <c r="B67" i="3" l="1"/>
  <c r="B68" i="3" l="1"/>
  <c r="C68" i="3"/>
  <c r="C69" i="3" l="1"/>
  <c r="B69" i="3"/>
  <c r="B70" i="3" s="1"/>
  <c r="C70" i="3" l="1"/>
  <c r="C71" i="3" s="1"/>
  <c r="B71" i="3" l="1"/>
  <c r="B72" i="3" s="1"/>
  <c r="C72" i="3" l="1"/>
  <c r="C73" i="3" s="1"/>
  <c r="B73" i="3" l="1"/>
  <c r="B74" i="3" s="1"/>
  <c r="C74" i="3" l="1"/>
  <c r="C75" i="3" l="1"/>
  <c r="B75" i="3"/>
  <c r="B76" i="3" s="1"/>
  <c r="C76" i="3" l="1"/>
  <c r="C77" i="3" s="1"/>
  <c r="B77" i="3" l="1"/>
  <c r="B78" i="3" s="1"/>
  <c r="C78" i="3" l="1"/>
  <c r="C79" i="3" s="1"/>
  <c r="B79" i="3"/>
  <c r="B80" i="3" s="1"/>
  <c r="C80" i="3" l="1"/>
  <c r="C81" i="3" s="1"/>
  <c r="B81" i="3"/>
  <c r="B82" i="3" s="1"/>
  <c r="C82" i="3" l="1"/>
  <c r="C83" i="3" s="1"/>
  <c r="B83" i="3"/>
  <c r="B84" i="3" s="1"/>
  <c r="C84" i="3" l="1"/>
  <c r="C85" i="3" s="1"/>
  <c r="B85" i="3" l="1"/>
  <c r="B86" i="3" s="1"/>
  <c r="C86" i="3"/>
  <c r="C87" i="3" s="1"/>
  <c r="B87" i="3" l="1"/>
  <c r="B88" i="3" s="1"/>
  <c r="C88" i="3" l="1"/>
  <c r="C89" i="3" s="1"/>
  <c r="B89" i="3" l="1"/>
  <c r="B90" i="3" s="1"/>
  <c r="C90" i="3" l="1"/>
  <c r="C91" i="3" s="1"/>
  <c r="B91" i="3" l="1"/>
  <c r="B92" i="3" s="1"/>
  <c r="C92" i="3" l="1"/>
  <c r="C93" i="3" s="1"/>
  <c r="B93" i="3" l="1"/>
  <c r="B94" i="3" s="1"/>
  <c r="C94" i="3" l="1"/>
  <c r="C95" i="3" s="1"/>
  <c r="B95" i="3" l="1"/>
  <c r="B96" i="3" s="1"/>
  <c r="C96" i="3" l="1"/>
  <c r="C97" i="3" s="1"/>
  <c r="B97" i="3" l="1"/>
  <c r="B98" i="3" s="1"/>
  <c r="C98" i="3" l="1"/>
  <c r="C99" i="3" s="1"/>
  <c r="B99" i="3" l="1"/>
  <c r="B100" i="3" s="1"/>
  <c r="C100" i="3" l="1"/>
  <c r="C101" i="3" s="1"/>
  <c r="B101" i="3" l="1"/>
  <c r="B102" i="3" s="1"/>
  <c r="C102" i="3" l="1"/>
  <c r="C103" i="3" s="1"/>
  <c r="B103" i="3" l="1"/>
  <c r="B104" i="3" s="1"/>
  <c r="C104" i="3" l="1"/>
  <c r="C105" i="3" s="1"/>
  <c r="B105" i="3" l="1"/>
  <c r="B106" i="3" s="1"/>
  <c r="C106" i="3" l="1"/>
  <c r="C107" i="3" s="1"/>
  <c r="B107" i="3" l="1"/>
  <c r="B108" i="3" s="1"/>
  <c r="C108" i="3" l="1"/>
  <c r="C109" i="3" s="1"/>
  <c r="B109" i="3" l="1"/>
  <c r="B110" i="3" s="1"/>
  <c r="C110" i="3" l="1"/>
  <c r="C111" i="3" s="1"/>
  <c r="B111" i="3" l="1"/>
  <c r="B112" i="3" s="1"/>
  <c r="C112" i="3" l="1"/>
  <c r="C113" i="3" s="1"/>
  <c r="B113" i="3" l="1"/>
  <c r="B114" i="3" s="1"/>
  <c r="C114" i="3" l="1"/>
  <c r="C115" i="3" s="1"/>
  <c r="B115" i="3" l="1"/>
  <c r="B116" i="3" s="1"/>
  <c r="C116" i="3" l="1"/>
  <c r="C117" i="3" s="1"/>
  <c r="B117" i="3" l="1"/>
  <c r="B118" i="3" s="1"/>
  <c r="C118" i="3" l="1"/>
  <c r="C119" i="3" s="1"/>
  <c r="B119" i="3" l="1"/>
  <c r="B120" i="3" s="1"/>
  <c r="C120" i="3" l="1"/>
  <c r="C121" i="3" s="1"/>
  <c r="B121" i="3" l="1"/>
  <c r="B122" i="3" s="1"/>
  <c r="C122" i="3" l="1"/>
  <c r="C123" i="3" s="1"/>
  <c r="B12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<sst xmlns="http://schemas.openxmlformats.org/spreadsheetml/2006/main" count="41" uniqueCount="21">
  <si>
    <t>k</t>
  </si>
  <si>
    <t>Ca(0)</t>
  </si>
  <si>
    <t>Da</t>
  </si>
  <si>
    <t>L</t>
  </si>
  <si>
    <t>x</t>
  </si>
  <si>
    <t>Ca</t>
  </si>
  <si>
    <t>k/Da</t>
  </si>
  <si>
    <t>delta x</t>
  </si>
  <si>
    <t>F (dCa/dt)</t>
  </si>
  <si>
    <t>i</t>
  </si>
  <si>
    <t>Ca1</t>
  </si>
  <si>
    <t>Ca2</t>
  </si>
  <si>
    <t>Ca3</t>
  </si>
  <si>
    <t>Ca4</t>
  </si>
  <si>
    <t>A inverse</t>
  </si>
  <si>
    <t>T'(0)</t>
  </si>
  <si>
    <t>T(1)</t>
  </si>
  <si>
    <t>Ui*pi*Di/m'Cp'</t>
  </si>
  <si>
    <t>Ui*pi*Di/mCp</t>
  </si>
  <si>
    <t>T</t>
  </si>
  <si>
    <t>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</si>
</sst>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</a:t>
            </a:r>
            <a:r>
              <a:rPr lang="en-US" baseline="0"/>
              <a:t> = 0.1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'6.4'!$B$8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'6.4'!$A$9:$A$19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'6.4'!$B$9:$B$19</c:f>
              <c:numCache>
                <c:formatCode>General</c:formatCode>
                <c:ptCount val="11"/>
                <c:pt idx="0">
                  <c:v>33.629541901838564</c:v>
                </c:pt>
                <c:pt idx="1">
                  <c:v>40.948064806746636</c:v>
                </c:pt>
                <c:pt idx="2">
                  <c:v>47.022438817820337</c:v>
                </c:pt>
                <c:pt idx="3">
                  <c:v>52.064169247011506</c:v>
                </c:pt>
                <c:pt idx="4">
                  <c:v>56.248805503240177</c:v>
                </c:pt>
                <c:pt idx="5">
                  <c:v>59.722053595909976</c:v>
                </c:pt>
                <c:pt idx="6">
                  <c:v>62.604849512825908</c:v>
                </c:pt>
                <c:pt idx="7">
                  <c:v>64.997570123866126</c:v>
                </c:pt>
                <c:pt idx="8">
                  <c:v>66.98352823102951</c:v>
                </c:pt>
                <c:pt idx="9">
                  <c:v>68.631873459975125</c:v>
                </c:pt>
                <c:pt idx="10">
                  <c:v>69.999999999999986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B-4AF1-8579-D20C50CF0D5B}"/>
            </c:ext>
          </c:extLst>
        </c:ser>
        <c:ser>
          <c:idx val="1"/>
          <c:order val="1"/>
          <c:tx>
            <c:strRef>
              <c:f>'6.4'!$C$8</c:f>
              <c:strCache>
                <c:ptCount val="1"/>
                <c:pt idx="0">
                  <c:v>T'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'6.4'!$A$9:$A$19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'6.4'!$C$9:$C$19</c:f>
              <c:numCache>
                <c:formatCode>General</c:formatCode>
                <c:ptCount val="11"/>
                <c:pt idx="0">
                  <c:v>180</c:v>
                </c:pt>
                <c:pt idx="1">
                  <c:v>162.43554502822062</c:v>
                </c:pt>
                <c:pt idx="2">
                  <c:v>147.85704740164374</c:v>
                </c:pt>
                <c:pt idx="3">
                  <c:v>135.75689437158493</c:v>
                </c:pt>
                <c:pt idx="4">
                  <c:v>125.71376735663613</c:v>
                </c:pt>
                <c:pt idx="5">
                  <c:v>117.37797193422861</c:v>
                </c:pt>
                <c:pt idx="6">
                  <c:v>110.45926173363037</c:v>
                </c:pt>
                <c:pt idx="7">
                  <c:v>104.71673226713384</c:v>
                </c:pt>
                <c:pt idx="8">
                  <c:v>99.950432809941717</c:v>
                </c:pt>
                <c:pt idx="9">
                  <c:v>95.994404260472251</c:v>
                </c:pt>
                <c:pt idx="10">
                  <c:v>92.710900564412597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DB-4AF1-8579-D20C50CF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001624"/>
        <c:axId val="701002280"/>
      </c:scatterChart>
      <c:valAx>
        <c:axId val="7010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02280"/>
        <c:crosses val="autoZero"/>
        <c:crossBetween val="midCat"/>
      </c:valAx>
      <c:valAx>
        <c:axId val="70100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0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</a:t>
            </a:r>
            <a:r>
              <a:rPr lang="en-US" baseline="0"/>
              <a:t> = 0.01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'6.4'!$B$22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'6.4'!$A$23:$A$123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'6.4'!$B$23:$B$123</c:f>
              <c:numCache>
                <c:formatCode>General</c:formatCode>
                <c:ptCount val="101"/>
                <c:pt idx="0">
                  <c:v>35.040606013355188</c:v>
                </c:pt>
                <c:pt idx="1">
                  <c:v>35.765402983288411</c:v>
                </c:pt>
                <c:pt idx="2">
                  <c:v>36.47787840473277</c:v>
                </c:pt>
                <c:pt idx="3">
                  <c:v>37.178241744012574</c:v>
                </c:pt>
                <c:pt idx="4">
                  <c:v>37.866698906524626</c:v>
                </c:pt>
                <c:pt idx="5">
                  <c:v>38.543452297273973</c:v>
                </c:pt>
                <c:pt idx="6">
                  <c:v>39.208700880380576</c:v>
                </c:pt>
                <c:pt idx="7">
                  <c:v>39.862640237574368</c:v>
                </c:pt>
                <c:pt idx="8">
                  <c:v>40.505462625695863</c:v>
                </c:pt>
                <c:pt idx="9">
                  <c:v>41.137357033219295</c:v>
                </c:pt>
                <c:pt idx="10">
                  <c:v>41.758509235814827</c:v>
                </c:pt>
                <c:pt idx="11">
                  <c:v>42.369101850966238</c:v>
                </c:pt>
                <c:pt idx="12">
                  <c:v>42.969314391660077</c:v>
                </c:pt>
                <c:pt idx="13">
                  <c:v>43.559323319162118</c:v>
                </c:pt>
                <c:pt idx="14">
                  <c:v>44.139302094896621</c:v>
                </c:pt>
                <c:pt idx="15">
                  <c:v>44.709421231443642</c:v>
                </c:pt>
                <c:pt idx="16">
                  <c:v>45.269848342669363</c:v>
                </c:pt>
                <c:pt idx="17">
                  <c:v>45.820748193004249</c:v>
                </c:pt>
                <c:pt idx="18">
                  <c:v>46.362282745883441</c:v>
                </c:pt>
                <c:pt idx="19">
                  <c:v>46.894611211363681</c:v>
                </c:pt>
                <c:pt idx="20">
                  <c:v>47.417890092930762</c:v>
                </c:pt>
                <c:pt idx="21">
                  <c:v>47.932273233511204</c:v>
                </c:pt>
                <c:pt idx="22">
                  <c:v>48.437911860701774</c:v>
                </c:pt>
                <c:pt idx="23">
                  <c:v>48.934954631230106</c:v>
                </c:pt>
                <c:pt idx="24">
                  <c:v>49.423547674659453</c:v>
                </c:pt>
                <c:pt idx="25">
                  <c:v>49.903834636350503</c:v>
                </c:pt>
                <c:pt idx="26">
                  <c:v>50.375956719692809</c:v>
                </c:pt>
                <c:pt idx="27">
                  <c:v>50.840052727618293</c:v>
                </c:pt>
                <c:pt idx="28">
                  <c:v>51.296259103409042</c:v>
                </c:pt>
                <c:pt idx="29">
                  <c:v>51.74470997081135</c:v>
                </c:pt>
                <c:pt idx="30">
                  <c:v>52.185537173467822</c:v>
                </c:pt>
                <c:pt idx="31">
                  <c:v>52.618870313679132</c:v>
                </c:pt>
                <c:pt idx="32">
                  <c:v>53.044836790506849</c:v>
                </c:pt>
                <c:pt idx="33">
                  <c:v>53.463561837228497</c:v>
                </c:pt>
                <c:pt idx="34">
                  <c:v>53.875168558155877</c:v>
                </c:pt>
                <c:pt idx="35">
                  <c:v>54.279777964827488</c:v>
                </c:pt>
                <c:pt idx="36">
                  <c:v>54.677509011585684</c:v>
                </c:pt>
                <c:pt idx="37">
                  <c:v>55.068478630548988</c:v>
                </c:pt>
                <c:pt idx="38">
                  <c:v>55.452801765989918</c:v>
                </c:pt>
                <c:pt idx="39">
                  <c:v>55.830591408128349</c:v>
                </c:pt>
                <c:pt idx="40">
                  <c:v>56.201958626350432</c:v>
                </c:pt>
                <c:pt idx="41">
                  <c:v>56.567012601862736</c:v>
                </c:pt>
                <c:pt idx="42">
                  <c:v>56.925860659791333</c:v>
                </c:pt>
                <c:pt idx="43">
                  <c:v>57.278608300735144</c:v>
                </c:pt>
                <c:pt idx="44">
                  <c:v>57.625359231782909</c:v>
                </c:pt>
                <c:pt idx="45">
                  <c:v>57.966215397002863</c:v>
                </c:pt>
                <c:pt idx="46">
                  <c:v>58.301277007414079</c:v>
                </c:pt>
                <c:pt idx="47">
                  <c:v>58.630642570448302</c:v>
                </c:pt>
                <c:pt idx="48">
                  <c:v>58.954408918910943</c:v>
                </c:pt>
                <c:pt idx="49">
                  <c:v>59.272671239449721</c:v>
                </c:pt>
                <c:pt idx="50">
                  <c:v>59.585523100539341</c:v>
                </c:pt>
                <c:pt idx="51">
                  <c:v>59.893056479990435</c:v>
                </c:pt>
                <c:pt idx="52">
                  <c:v>60.195361791990862</c:v>
                </c:pt>
                <c:pt idx="53">
                  <c:v>60.492527913687283</c:v>
                </c:pt>
                <c:pt idx="54">
                  <c:v>60.784642211314861</c:v>
                </c:pt>
                <c:pt idx="55">
                  <c:v>61.071790565882772</c:v>
                </c:pt>
                <c:pt idx="56">
                  <c:v>61.354057398423031</c:v>
                </c:pt>
                <c:pt idx="57">
                  <c:v>61.631525694810101</c:v>
                </c:pt>
                <c:pt idx="58">
                  <c:v>61.904277030158589</c:v>
                </c:pt>
                <c:pt idx="59">
                  <c:v>62.172391592806157</c:v>
                </c:pt>
                <c:pt idx="60">
                  <c:v>62.435948207888714</c:v>
                </c:pt>
                <c:pt idx="61">
                  <c:v>62.695024360514871</c:v>
                </c:pt>
                <c:pt idx="62">
                  <c:v>62.949696218546379</c:v>
                </c:pt>
                <c:pt idx="63">
                  <c:v>63.200038654991353</c:v>
                </c:pt>
                <c:pt idx="64">
                  <c:v>63.446125270016765</c:v>
                </c:pt>
                <c:pt idx="65">
                  <c:v>63.688028412586739</c:v>
                </c:pt>
                <c:pt idx="66">
                  <c:v>63.925819201733027</c:v>
                </c:pt>
                <c:pt idx="67">
                  <c:v>64.159567547463823</c:v>
                </c:pt>
                <c:pt idx="68">
                  <c:v>64.389342171317196</c:v>
                </c:pt>
                <c:pt idx="69">
                  <c:v>64.615210626565073</c:v>
                </c:pt>
                <c:pt idx="70">
                  <c:v>64.837239318073728</c:v>
                </c:pt>
                <c:pt idx="71">
                  <c:v>65.055493521826733</c:v>
                </c:pt>
                <c:pt idx="72">
                  <c:v>65.270037404115939</c:v>
                </c:pt>
                <c:pt idx="73">
                  <c:v>65.480934040406225</c:v>
                </c:pt>
                <c:pt idx="74">
                  <c:v>65.688245433879587</c:v>
                </c:pt>
                <c:pt idx="75">
                  <c:v>65.892032533663894</c:v>
                </c:pt>
                <c:pt idx="76">
                  <c:v>66.092355252751872</c:v>
                </c:pt>
                <c:pt idx="77">
                  <c:v>66.289272485615356</c:v>
                </c:pt>
                <c:pt idx="78">
                  <c:v>66.482842125520165</c:v>
                </c:pt>
                <c:pt idx="79">
                  <c:v>66.673121081546583</c:v>
                </c:pt>
                <c:pt idx="80">
                  <c:v>66.860165295320556</c:v>
                </c:pt>
                <c:pt idx="81">
                  <c:v>67.044029757460365</c:v>
                </c:pt>
                <c:pt idx="82">
                  <c:v>67.224768523743805</c:v>
                </c:pt>
                <c:pt idx="83">
                  <c:v>67.402434731000426</c:v>
                </c:pt>
                <c:pt idx="84">
                  <c:v>67.577080612733681</c:v>
                </c:pt>
                <c:pt idx="85">
                  <c:v>67.748757514477475</c:v>
                </c:pt>
                <c:pt idx="86">
                  <c:v>67.917515908891616</c:v>
                </c:pt>
                <c:pt idx="87">
                  <c:v>68.083405410600719</c:v>
                </c:pt>
                <c:pt idx="88">
                  <c:v>68.246474790780766</c:v>
                </c:pt>
                <c:pt idx="89">
                  <c:v>68.406771991497749</c:v>
                </c:pt>
                <c:pt idx="90">
                  <c:v>68.564344139802543</c:v>
                </c:pt>
                <c:pt idx="91">
                  <c:v>68.719237561586155</c:v>
                </c:pt>
                <c:pt idx="92">
                  <c:v>68.871497795199446</c:v>
                </c:pt>
                <c:pt idx="93">
                  <c:v>69.021169604841319</c:v>
                </c:pt>
                <c:pt idx="94">
                  <c:v>69.168296993719281</c:v>
                </c:pt>
                <c:pt idx="95">
                  <c:v>69.31292321698632</c:v>
                </c:pt>
                <c:pt idx="96">
                  <c:v>69.455090794457817</c:v>
                </c:pt>
                <c:pt idx="97">
                  <c:v>69.594841523112294</c:v>
                </c:pt>
                <c:pt idx="98">
                  <c:v>69.732216489379653</c:v>
                </c:pt>
                <c:pt idx="99">
                  <c:v>69.867256081220461</c:v>
                </c:pt>
                <c:pt idx="100">
                  <c:v>69.999999999999972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6-449A-A140-9E5EF2CA1AF5}"/>
            </c:ext>
          </c:extLst>
        </c:ser>
        <c:ser>
          <c:idx val="1"/>
          <c:order val="1"/>
          <c:tx>
            <c:strRef>
              <c:f>'6.4'!$C$22</c:f>
              <c:strCache>
                <c:ptCount val="1"/>
                <c:pt idx="0">
                  <c:v>T'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'6.4'!$A$23:$A$123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'6.4'!$C$23:$C$123</c:f>
              <c:numCache>
                <c:formatCode>General</c:formatCode>
                <c:ptCount val="101"/>
                <c:pt idx="0">
                  <c:v>180</c:v>
                </c:pt>
                <c:pt idx="1">
                  <c:v>178.26048727216028</c:v>
                </c:pt>
                <c:pt idx="2">
                  <c:v>176.55054626069381</c:v>
                </c:pt>
                <c:pt idx="3">
                  <c:v>174.86967424642228</c:v>
                </c:pt>
                <c:pt idx="4">
                  <c:v>173.21737705639336</c:v>
                </c:pt>
                <c:pt idx="5">
                  <c:v>171.59316891859493</c:v>
                </c:pt>
                <c:pt idx="6">
                  <c:v>169.99657231913906</c:v>
                </c:pt>
                <c:pt idx="7">
                  <c:v>168.42711786187397</c:v>
                </c:pt>
                <c:pt idx="8">
                  <c:v>166.88434413038237</c:v>
                </c:pt>
                <c:pt idx="9">
                  <c:v>165.36779755232612</c:v>
                </c:pt>
                <c:pt idx="10">
                  <c:v>163.87703226609685</c:v>
                </c:pt>
                <c:pt idx="11">
                  <c:v>162.41160998973345</c:v>
                </c:pt>
                <c:pt idx="12">
                  <c:v>160.97109989206825</c:v>
                </c:pt>
                <c:pt idx="13">
                  <c:v>159.55507846606335</c:v>
                </c:pt>
                <c:pt idx="14">
                  <c:v>158.16312940430055</c:v>
                </c:pt>
                <c:pt idx="15">
                  <c:v>156.79484347658769</c:v>
                </c:pt>
                <c:pt idx="16">
                  <c:v>155.44981840964596</c:v>
                </c:pt>
                <c:pt idx="17">
                  <c:v>154.12765876884222</c:v>
                </c:pt>
                <c:pt idx="18">
                  <c:v>152.82797584193216</c:v>
                </c:pt>
                <c:pt idx="19">
                  <c:v>151.55038752477958</c:v>
                </c:pt>
                <c:pt idx="20">
                  <c:v>150.29451820901858</c:v>
                </c:pt>
                <c:pt idx="21">
                  <c:v>149.05999867162552</c:v>
                </c:pt>
                <c:pt idx="22">
                  <c:v>147.84646596636816</c:v>
                </c:pt>
                <c:pt idx="23">
                  <c:v>146.65356331710015</c:v>
                </c:pt>
                <c:pt idx="24">
                  <c:v>145.48094001286972</c:v>
                </c:pt>
                <c:pt idx="25">
                  <c:v>144.3282513048112</c:v>
                </c:pt>
                <c:pt idx="26">
                  <c:v>143.19515830478969</c:v>
                </c:pt>
                <c:pt idx="27">
                  <c:v>142.08132788576853</c:v>
                </c:pt>
                <c:pt idx="28">
                  <c:v>140.98643258387074</c:v>
                </c:pt>
                <c:pt idx="29">
                  <c:v>139.91015050210521</c:v>
                </c:pt>
                <c:pt idx="30">
                  <c:v>138.85216521572968</c:v>
                </c:pt>
                <c:pt idx="31">
                  <c:v>137.81216567922255</c:v>
                </c:pt>
                <c:pt idx="32">
                  <c:v>136.78984613483601</c:v>
                </c:pt>
                <c:pt idx="33">
                  <c:v>135.78490602270406</c:v>
                </c:pt>
                <c:pt idx="34">
                  <c:v>134.79704989247836</c:v>
                </c:pt>
                <c:pt idx="35">
                  <c:v>133.8259873164665</c:v>
                </c:pt>
                <c:pt idx="36">
                  <c:v>132.87143280424684</c:v>
                </c:pt>
                <c:pt idx="37">
                  <c:v>131.93310571873491</c:v>
                </c:pt>
                <c:pt idx="38">
                  <c:v>131.01073019367666</c:v>
                </c:pt>
                <c:pt idx="39">
                  <c:v>130.10403505254442</c:v>
                </c:pt>
                <c:pt idx="40">
                  <c:v>129.21275372881144</c:v>
                </c:pt>
                <c:pt idx="41">
                  <c:v>128.33662418758189</c:v>
                </c:pt>
                <c:pt idx="42">
                  <c:v>127.47538884855327</c:v>
                </c:pt>
                <c:pt idx="43">
                  <c:v>126.62879451028812</c:v>
                </c:pt>
                <c:pt idx="44">
                  <c:v>125.79659227577348</c:v>
                </c:pt>
                <c:pt idx="45">
                  <c:v>124.97853747924559</c:v>
                </c:pt>
                <c:pt idx="46">
                  <c:v>124.17438961425867</c:v>
                </c:pt>
                <c:pt idx="47">
                  <c:v>123.38391226297654</c:v>
                </c:pt>
                <c:pt idx="48">
                  <c:v>122.60687302666619</c:v>
                </c:pt>
                <c:pt idx="49">
                  <c:v>121.84304345737313</c:v>
                </c:pt>
                <c:pt idx="50">
                  <c:v>121.09219899075805</c:v>
                </c:pt>
                <c:pt idx="51">
                  <c:v>120.35411888007542</c:v>
                </c:pt>
                <c:pt idx="52">
                  <c:v>119.6285861312744</c:v>
                </c:pt>
                <c:pt idx="53">
                  <c:v>118.915387439203</c:v>
                </c:pt>
                <c:pt idx="54">
                  <c:v>118.21431312489682</c:v>
                </c:pt>
                <c:pt idx="55">
                  <c:v>117.52515707393384</c:v>
                </c:pt>
                <c:pt idx="56">
                  <c:v>116.84771667583723</c:v>
                </c:pt>
                <c:pt idx="57">
                  <c:v>116.18179276450826</c:v>
                </c:pt>
                <c:pt idx="58">
                  <c:v>115.52718955967188</c:v>
                </c:pt>
                <c:pt idx="59">
                  <c:v>114.88371460931772</c:v>
                </c:pt>
                <c:pt idx="60">
                  <c:v>114.25117873311959</c:v>
                </c:pt>
                <c:pt idx="61">
                  <c:v>113.62939596681682</c:v>
                </c:pt>
                <c:pt idx="62">
                  <c:v>113.0181835075412</c:v>
                </c:pt>
                <c:pt idx="63">
                  <c:v>112.41736166007325</c:v>
                </c:pt>
                <c:pt idx="64">
                  <c:v>111.82675378401227</c:v>
                </c:pt>
                <c:pt idx="65">
                  <c:v>111.24618624184433</c:v>
                </c:pt>
                <c:pt idx="66">
                  <c:v>110.67548834789324</c:v>
                </c:pt>
                <c:pt idx="67">
                  <c:v>110.11449231813931</c:v>
                </c:pt>
                <c:pt idx="68">
                  <c:v>109.56303322089121</c:v>
                </c:pt>
                <c:pt idx="69">
                  <c:v>109.02094892829632</c:v>
                </c:pt>
                <c:pt idx="70">
                  <c:v>108.48808006867554</c:v>
                </c:pt>
                <c:pt idx="71">
                  <c:v>107.96426997966832</c:v>
                </c:pt>
                <c:pt idx="72">
                  <c:v>107.44936466217422</c:v>
                </c:pt>
                <c:pt idx="73">
                  <c:v>106.94321273507752</c:v>
                </c:pt>
                <c:pt idx="74">
                  <c:v>106.44566539074147</c:v>
                </c:pt>
                <c:pt idx="75">
                  <c:v>105.95657635125913</c:v>
                </c:pt>
                <c:pt idx="76">
                  <c:v>105.47580182544799</c:v>
                </c:pt>
                <c:pt idx="77">
                  <c:v>105.00320046657563</c:v>
                </c:pt>
                <c:pt idx="78">
                  <c:v>104.53863333080412</c:v>
                </c:pt>
                <c:pt idx="79">
                  <c:v>104.08196383634071</c:v>
                </c:pt>
                <c:pt idx="80">
                  <c:v>103.63305772328317</c:v>
                </c:pt>
                <c:pt idx="81">
                  <c:v>103.19178301414762</c:v>
                </c:pt>
                <c:pt idx="82">
                  <c:v>102.75800997506737</c:v>
                </c:pt>
                <c:pt idx="83">
                  <c:v>102.33161107765149</c:v>
                </c:pt>
                <c:pt idx="84">
                  <c:v>101.91246096149167</c:v>
                </c:pt>
                <c:pt idx="85">
                  <c:v>101.50043639730657</c:v>
                </c:pt>
                <c:pt idx="86">
                  <c:v>101.09541625071262</c:v>
                </c:pt>
                <c:pt idx="87">
                  <c:v>100.69728144661076</c:v>
                </c:pt>
                <c:pt idx="88">
                  <c:v>100.30591493417865</c:v>
                </c:pt>
                <c:pt idx="89">
                  <c:v>99.921201652457867</c:v>
                </c:pt>
                <c:pt idx="90">
                  <c:v>99.543028496526347</c:v>
                </c:pt>
                <c:pt idx="91">
                  <c:v>99.171284284245658</c:v>
                </c:pt>
                <c:pt idx="92">
                  <c:v>98.805859723573747</c:v>
                </c:pt>
                <c:pt idx="93">
                  <c:v>98.446647380433248</c:v>
                </c:pt>
                <c:pt idx="94">
                  <c:v>98.093541647126145</c:v>
                </c:pt>
                <c:pt idx="95">
                  <c:v>97.746438711285265</c:v>
                </c:pt>
                <c:pt idx="96">
                  <c:v>97.405236525353672</c:v>
                </c:pt>
                <c:pt idx="97">
                  <c:v>97.069834776582923</c:v>
                </c:pt>
                <c:pt idx="98">
                  <c:v>96.740134857541278</c:v>
                </c:pt>
                <c:pt idx="99">
                  <c:v>96.416039837123336</c:v>
                </c:pt>
                <c:pt idx="100">
                  <c:v>96.097454432052501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D6-449A-A140-9E5EF2CA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76136"/>
        <c:axId val="708374168"/>
      </c:scatterChart>
      <c:valAx>
        <c:axId val="70837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74168"/>
        <c:crosses val="autoZero"/>
        <c:crossBetween val="midCat"/>
      </c:valAx>
      <c:valAx>
        <c:axId val="70837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76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369093</xdr:colOff>
      <xdr:row>6</xdr:row>
      <xdr:rowOff>54769</xdr:rowOff>
    </xdr:from>
    <xdr:to>
      <xdr:col>10</xdr:col>
      <xdr:colOff>407193</xdr:colOff>
      <xdr:row>21</xdr:row>
      <xdr:rowOff>83344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79E90-3AA5-469A-A0E2-D0CD93437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311943</xdr:colOff>
      <xdr:row>23</xdr:row>
      <xdr:rowOff>173831</xdr:rowOff>
    </xdr:from>
    <xdr:to>
      <xdr:col>10</xdr:col>
      <xdr:colOff>350043</xdr:colOff>
      <xdr:row>39</xdr:row>
      <xdr:rowOff>21431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EF03CF-E90E-44F7-A3B1-DD1F5DFC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2B35-6FD6-442C-A7C4-BFCAE21FEADC}">
  <dimension ref="A1:F18"/>
  <sheetViews>
    <sheetView workbookViewId="0">
      <selection activeCell="C18" sqref="C18"/>
    </sheetView>
  </sheetViews>
  <sheetFormatPr defaultRowHeight="14.25" x14ac:dyDescent="0.45"/>
  <sheetData>
    <row r="1" spans="1:6" x14ac:dyDescent="0.45">
      <c r="B1" t="s">
        <v>0</v>
      </c>
      <c r="C1">
        <v>0.01</v>
      </c>
      <c r="E1" t="s">
        <v>6</v>
      </c>
      <c r="F1" s="1">
        <f>C1/C3</f>
        <v>10</v>
      </c>
    </row>
    <row r="2" spans="1:6" x14ac:dyDescent="0.45">
      <c r="B2" t="s">
        <v>1</v>
      </c>
      <c r="C2">
        <v>1</v>
      </c>
    </row>
    <row r="3" spans="1:6" x14ac:dyDescent="0.45">
      <c r="B3" t="s">
        <v>2</v>
      </c>
      <c r="C3" s="1">
        <v>1E-3</v>
      </c>
    </row>
    <row r="4" spans="1:6" x14ac:dyDescent="0.45">
      <c r="B4" t="s">
        <v>3</v>
      </c>
      <c r="C4">
        <v>1</v>
      </c>
    </row>
    <row r="5" spans="1:6" x14ac:dyDescent="0.45">
      <c r="B5" t="s">
        <v>7</v>
      </c>
      <c r="C5">
        <v>0.1</v>
      </c>
    </row>
    <row r="7" spans="1:6" x14ac:dyDescent="0.45">
      <c r="A7" t="s">
        <v>4</v>
      </c>
      <c r="B7" t="s">
        <v>8</v>
      </c>
      <c r="C7" t="s">
        <v>5</v>
      </c>
    </row>
    <row r="8" spans="1:6" x14ac:dyDescent="0.45">
      <c r="A8">
        <v>0</v>
      </c>
      <c r="B8">
        <v>-2.6306408691031304</v>
      </c>
      <c r="C8">
        <v>1</v>
      </c>
    </row>
    <row r="9" spans="1:6" x14ac:dyDescent="0.45">
      <c r="A9">
        <f>A8+$C$5</f>
        <v>0.1</v>
      </c>
      <c r="B9" s="1">
        <f>B8+$C$5*$F$1*C8^2</f>
        <v>-1.6306408691031304</v>
      </c>
      <c r="C9">
        <f>C8+$C$5*B8</f>
        <v>0.73693591308968687</v>
      </c>
    </row>
    <row r="10" spans="1:6" x14ac:dyDescent="0.45">
      <c r="A10">
        <f t="shared" ref="A10:A17" si="0">A9+$C$5</f>
        <v>0.2</v>
      </c>
      <c r="B10" s="1">
        <f t="shared" ref="B10:B18" si="1">B9+$C$5*$F$1*C9^2</f>
        <v>-1.0875663291017998</v>
      </c>
      <c r="C10" s="1">
        <f>C9+$C$5*B9</f>
        <v>0.57387182617937382</v>
      </c>
    </row>
    <row r="11" spans="1:6" x14ac:dyDescent="0.45">
      <c r="A11">
        <f t="shared" si="0"/>
        <v>0.30000000000000004</v>
      </c>
      <c r="B11" s="1">
        <f t="shared" si="1"/>
        <v>-0.75823745621935035</v>
      </c>
      <c r="C11">
        <f t="shared" ref="C10:C18" si="2">C10+$C$5*B10</f>
        <v>0.46511519326919382</v>
      </c>
    </row>
    <row r="12" spans="1:6" x14ac:dyDescent="0.45">
      <c r="A12">
        <f t="shared" si="0"/>
        <v>0.4</v>
      </c>
      <c r="B12" s="1">
        <f t="shared" si="1"/>
        <v>-0.54190531320951085</v>
      </c>
      <c r="C12">
        <f t="shared" si="2"/>
        <v>0.38929144764725876</v>
      </c>
    </row>
    <row r="13" spans="1:6" x14ac:dyDescent="0.45">
      <c r="A13">
        <f t="shared" si="0"/>
        <v>0.5</v>
      </c>
      <c r="B13" s="1">
        <f t="shared" si="1"/>
        <v>-0.39035748199821241</v>
      </c>
      <c r="C13">
        <f t="shared" si="2"/>
        <v>0.33510091632630767</v>
      </c>
    </row>
    <row r="14" spans="1:6" x14ac:dyDescent="0.45">
      <c r="A14">
        <f t="shared" si="0"/>
        <v>0.6</v>
      </c>
      <c r="B14" s="1">
        <f t="shared" si="1"/>
        <v>-0.27806485787548135</v>
      </c>
      <c r="C14">
        <f t="shared" si="2"/>
        <v>0.29606516812648642</v>
      </c>
    </row>
    <row r="15" spans="1:6" x14ac:dyDescent="0.45">
      <c r="A15">
        <f t="shared" si="0"/>
        <v>0.7</v>
      </c>
      <c r="B15" s="1">
        <f t="shared" si="1"/>
        <v>-0.19041027409771669</v>
      </c>
      <c r="C15">
        <f t="shared" si="2"/>
        <v>0.26825868233893829</v>
      </c>
    </row>
    <row r="16" spans="1:6" x14ac:dyDescent="0.45">
      <c r="A16">
        <f t="shared" si="0"/>
        <v>0.79999999999999993</v>
      </c>
      <c r="B16" s="1">
        <f t="shared" si="1"/>
        <v>-0.11844755344749329</v>
      </c>
      <c r="C16">
        <f t="shared" si="2"/>
        <v>0.24921765492916662</v>
      </c>
    </row>
    <row r="17" spans="1:3" x14ac:dyDescent="0.45">
      <c r="A17">
        <f t="shared" si="0"/>
        <v>0.89999999999999991</v>
      </c>
      <c r="B17" s="1">
        <f t="shared" si="1"/>
        <v>-5.6338113919100125E-2</v>
      </c>
      <c r="C17">
        <f t="shared" si="2"/>
        <v>0.23737289958441729</v>
      </c>
    </row>
    <row r="18" spans="1:3" x14ac:dyDescent="0.45">
      <c r="A18">
        <f>A17+$C$5</f>
        <v>0.99999999999999989</v>
      </c>
      <c r="B18" s="1">
        <f>B17+$C$5*$F$1*C17^2</f>
        <v>7.7795380137302139E-6</v>
      </c>
      <c r="C18">
        <f t="shared" si="2"/>
        <v>0.23173908819250727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7617-A985-4475-AA8F-42BB0B242F60}">
  <dimension ref="A1:K18"/>
  <sheetViews>
    <sheetView tabSelected="1" workbookViewId="0">
      <selection activeCell="K12" sqref="K12"/>
    </sheetView>
  </sheetViews>
  <sheetFormatPr defaultRowHeight="14.25" x14ac:dyDescent="0.45"/>
  <sheetData>
    <row r="1" spans="1:11" x14ac:dyDescent="0.45">
      <c r="B1" t="s">
        <v>0</v>
      </c>
      <c r="C1">
        <v>0.01</v>
      </c>
      <c r="E1" t="s">
        <v>6</v>
      </c>
      <c r="F1" s="1">
        <f>C1/C3</f>
        <v>10</v>
      </c>
    </row>
    <row r="2" spans="1:11" x14ac:dyDescent="0.45">
      <c r="B2" t="s">
        <v>1</v>
      </c>
      <c r="C2">
        <v>1</v>
      </c>
    </row>
    <row r="3" spans="1:11" x14ac:dyDescent="0.45">
      <c r="B3" t="s">
        <v>2</v>
      </c>
      <c r="C3" s="1">
        <v>1E-3</v>
      </c>
    </row>
    <row r="4" spans="1:11" x14ac:dyDescent="0.45">
      <c r="B4" t="s">
        <v>3</v>
      </c>
      <c r="C4">
        <v>1</v>
      </c>
    </row>
    <row r="5" spans="1:11" x14ac:dyDescent="0.45">
      <c r="B5" t="s">
        <v>7</v>
      </c>
      <c r="C5">
        <v>0.2</v>
      </c>
    </row>
    <row r="7" spans="1:11" x14ac:dyDescent="0.45">
      <c r="A7" t="s">
        <v>9</v>
      </c>
      <c r="B7" t="s">
        <v>4</v>
      </c>
      <c r="D7" t="s">
        <v>10</v>
      </c>
      <c r="E7" t="s">
        <v>11</v>
      </c>
      <c r="F7" t="s">
        <v>12</v>
      </c>
      <c r="G7" t="s">
        <v>13</v>
      </c>
    </row>
    <row r="8" spans="1:11" x14ac:dyDescent="0.45">
      <c r="A8">
        <v>1</v>
      </c>
      <c r="B8">
        <v>0.2</v>
      </c>
      <c r="D8" s="1">
        <f>-2-F1*C5^2</f>
        <v>-2.4</v>
      </c>
      <c r="E8">
        <v>1</v>
      </c>
      <c r="F8">
        <v>0</v>
      </c>
      <c r="G8">
        <v>0</v>
      </c>
      <c r="I8" t="s">
        <v>10</v>
      </c>
      <c r="K8">
        <v>-1</v>
      </c>
    </row>
    <row r="9" spans="1:11" x14ac:dyDescent="0.45">
      <c r="A9">
        <v>2</v>
      </c>
      <c r="B9">
        <v>0.4</v>
      </c>
      <c r="D9">
        <v>1</v>
      </c>
      <c r="E9" s="1">
        <f>-2-F1*C5^2</f>
        <v>-2.4</v>
      </c>
      <c r="F9">
        <v>0</v>
      </c>
      <c r="G9">
        <v>0</v>
      </c>
      <c r="I9" t="s">
        <v>11</v>
      </c>
      <c r="K9">
        <v>0</v>
      </c>
    </row>
    <row r="10" spans="1:11" x14ac:dyDescent="0.45">
      <c r="A10">
        <v>3</v>
      </c>
      <c r="B10">
        <v>0.6</v>
      </c>
      <c r="D10">
        <v>0</v>
      </c>
      <c r="E10">
        <v>1</v>
      </c>
      <c r="F10" s="1">
        <f>-2-F1*C5^2</f>
        <v>-2.4</v>
      </c>
      <c r="G10">
        <v>1</v>
      </c>
      <c r="I10" t="s">
        <v>12</v>
      </c>
      <c r="K10">
        <v>0</v>
      </c>
    </row>
    <row r="11" spans="1:11" x14ac:dyDescent="0.45">
      <c r="A11">
        <v>4</v>
      </c>
      <c r="B11">
        <v>0.8</v>
      </c>
      <c r="D11">
        <v>0</v>
      </c>
      <c r="E11">
        <v>0</v>
      </c>
      <c r="F11">
        <v>1</v>
      </c>
      <c r="G11" s="1">
        <f>-2-F1*C5^2</f>
        <v>-2.4</v>
      </c>
      <c r="I11" t="s">
        <v>13</v>
      </c>
      <c r="K11">
        <v>-0.23173908819250699</v>
      </c>
    </row>
    <row r="14" spans="1:11" x14ac:dyDescent="0.45">
      <c r="D14" t="s">
        <v>14</v>
      </c>
    </row>
    <row r="15" spans="1:11" x14ac:dyDescent="0.45">
      <c r="D15" cm="1">
        <f t="array" ref="D15:G18">MINVERSE(D8:G11)</f>
        <v>-0.504201680672269</v>
      </c>
      <c r="E15">
        <v>-0.21008403361344544</v>
      </c>
      <c r="F15">
        <v>0</v>
      </c>
      <c r="G15">
        <v>0</v>
      </c>
      <c r="I15" t="s">
        <v>10</v>
      </c>
      <c r="J15" cm="1">
        <f t="array" ref="J15:J18">MMULT(_xlfn.ANCHORARRAY(D15),K8:K11)</f>
        <v>0.504201680672269</v>
      </c>
    </row>
    <row r="16" spans="1:11" x14ac:dyDescent="0.45">
      <c r="D16">
        <v>-0.21008403361344541</v>
      </c>
      <c r="E16">
        <v>-0.504201680672269</v>
      </c>
      <c r="F16">
        <v>0</v>
      </c>
      <c r="G16">
        <v>0</v>
      </c>
      <c r="I16" t="s">
        <v>11</v>
      </c>
      <c r="J16">
        <v>0.21008403361344541</v>
      </c>
    </row>
    <row r="17" spans="4:10" x14ac:dyDescent="0.45">
      <c r="D17">
        <v>-0.10592472283030864</v>
      </c>
      <c r="E17">
        <v>-0.25421933479274067</v>
      </c>
      <c r="F17">
        <v>-0.504201680672269</v>
      </c>
      <c r="G17">
        <v>-0.21008403361344544</v>
      </c>
      <c r="I17" t="s">
        <v>12</v>
      </c>
      <c r="J17">
        <v>0.15460940522369249</v>
      </c>
    </row>
    <row r="18" spans="4:10" x14ac:dyDescent="0.45">
      <c r="D18">
        <v>-4.4135301179295261E-2</v>
      </c>
      <c r="E18">
        <v>-0.10592472283030863</v>
      </c>
      <c r="F18">
        <v>-0.21008403361344541</v>
      </c>
      <c r="G18">
        <v>-0.504201680672269</v>
      </c>
      <c r="I18" t="s">
        <v>13</v>
      </c>
      <c r="J18">
        <v>0.16097853892341646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280C-9DAB-4FF2-97C1-66356A283CF4}">
  <dimension ref="A1:C123"/>
  <sheetViews>
    <sheetView workbookViewId="0">
      <selection activeCell="G42" sqref="G42"/>
    </sheetView>
  </sheetViews>
  <sheetFormatPr defaultRowHeight="14.25" x14ac:dyDescent="0.45"/>
  <cols>
    <col min="2" max="2" width="12.73046875" customWidth="1"/>
  </cols>
  <sheetData>
    <row r="1" spans="1:3" x14ac:dyDescent="0.45">
      <c r="B1" t="s">
        <v>15</v>
      </c>
      <c r="C1">
        <v>180</v>
      </c>
    </row>
    <row r="2" spans="1:3" x14ac:dyDescent="0.45">
      <c r="B2" t="s">
        <v>16</v>
      </c>
      <c r="C2">
        <v>70</v>
      </c>
    </row>
    <row r="3" spans="1:3" x14ac:dyDescent="0.45">
      <c r="B3" t="s">
        <v>17</v>
      </c>
      <c r="C3">
        <v>1.2</v>
      </c>
    </row>
    <row r="4" spans="1:3" x14ac:dyDescent="0.45">
      <c r="B4" t="s">
        <v>18</v>
      </c>
      <c r="C4">
        <v>0.5</v>
      </c>
    </row>
    <row r="5" spans="1:3" x14ac:dyDescent="0.45">
      <c r="B5" t="s">
        <v>7</v>
      </c>
      <c r="C5">
        <v>0.1</v>
      </c>
    </row>
    <row r="8" spans="1:3" x14ac:dyDescent="0.45">
      <c r="A8" t="s">
        <v>4</v>
      </c>
      <c r="B8" t="s">
        <v>19</v>
      </c>
      <c r="C8" t="s">
        <v>20</v>
      </c>
    </row>
    <row r="9" spans="1:3" x14ac:dyDescent="0.45">
      <c r="A9">
        <v>0</v>
      </c>
      <c r="B9">
        <v>33.629541901838564</v>
      </c>
      <c r="C9">
        <v>180</v>
      </c>
    </row>
    <row r="10" spans="1:3" x14ac:dyDescent="0.45">
      <c r="A10">
        <f>A9+$C$5</f>
        <v>0.1</v>
      </c>
      <c r="B10">
        <f>B9+$C$5*$C$4*(C9-B9)</f>
        <v>40.948064806746636</v>
      </c>
      <c r="C10">
        <f>C9+$C$5*-$C$3*(C9-B9)</f>
        <v>162.43554502822062</v>
      </c>
    </row>
    <row r="11" spans="1:3" x14ac:dyDescent="0.45">
      <c r="A11">
        <f t="shared" ref="A11:A22" si="0">A10+$C$5</f>
        <v>0.2</v>
      </c>
      <c r="B11">
        <f t="shared" ref="B11:B19" si="1">B10+$C$5*$C$4*(C10-B10)</f>
        <v>47.022438817820337</v>
      </c>
      <c r="C11">
        <f t="shared" ref="C11:C19" si="2">C10+$C$5*-$C$3*(C10-B10)</f>
        <v>147.85704740164374</v>
      </c>
    </row>
    <row r="12" spans="1:3" x14ac:dyDescent="0.45">
      <c r="A12">
        <f t="shared" si="0"/>
        <v>0.30000000000000004</v>
      </c>
      <c r="B12">
        <f t="shared" si="1"/>
        <v>52.064169247011506</v>
      </c>
      <c r="C12">
        <f t="shared" si="2"/>
        <v>135.75689437158493</v>
      </c>
    </row>
    <row r="13" spans="1:3" x14ac:dyDescent="0.45">
      <c r="A13">
        <f t="shared" si="0"/>
        <v>0.4</v>
      </c>
      <c r="B13">
        <f t="shared" si="1"/>
        <v>56.248805503240177</v>
      </c>
      <c r="C13">
        <f>C12+$C$5*-$C$3*(C12-B12)</f>
        <v>125.71376735663613</v>
      </c>
    </row>
    <row r="14" spans="1:3" x14ac:dyDescent="0.45">
      <c r="A14">
        <f t="shared" si="0"/>
        <v>0.5</v>
      </c>
      <c r="B14">
        <f t="shared" si="1"/>
        <v>59.722053595909976</v>
      </c>
      <c r="C14">
        <f t="shared" si="2"/>
        <v>117.37797193422861</v>
      </c>
    </row>
    <row r="15" spans="1:3" x14ac:dyDescent="0.45">
      <c r="A15">
        <f t="shared" si="0"/>
        <v>0.6</v>
      </c>
      <c r="B15">
        <f t="shared" si="1"/>
        <v>62.604849512825908</v>
      </c>
      <c r="C15">
        <f t="shared" si="2"/>
        <v>110.45926173363037</v>
      </c>
    </row>
    <row r="16" spans="1:3" x14ac:dyDescent="0.45">
      <c r="A16">
        <f t="shared" si="0"/>
        <v>0.7</v>
      </c>
      <c r="B16">
        <f t="shared" si="1"/>
        <v>64.997570123866126</v>
      </c>
      <c r="C16">
        <f t="shared" si="2"/>
        <v>104.71673226713384</v>
      </c>
    </row>
    <row r="17" spans="1:3" x14ac:dyDescent="0.45">
      <c r="A17">
        <f t="shared" si="0"/>
        <v>0.79999999999999993</v>
      </c>
      <c r="B17">
        <f t="shared" si="1"/>
        <v>66.98352823102951</v>
      </c>
      <c r="C17">
        <f t="shared" si="2"/>
        <v>99.950432809941717</v>
      </c>
    </row>
    <row r="18" spans="1:3" x14ac:dyDescent="0.45">
      <c r="A18">
        <f t="shared" si="0"/>
        <v>0.89999999999999991</v>
      </c>
      <c r="B18">
        <f t="shared" si="1"/>
        <v>68.631873459975125</v>
      </c>
      <c r="C18">
        <f t="shared" si="2"/>
        <v>95.994404260472251</v>
      </c>
    </row>
    <row r="19" spans="1:3" x14ac:dyDescent="0.45">
      <c r="A19">
        <f t="shared" si="0"/>
        <v>0.99999999999999989</v>
      </c>
      <c r="B19">
        <f t="shared" si="1"/>
        <v>69.999999999999986</v>
      </c>
      <c r="C19">
        <f t="shared" si="2"/>
        <v>92.710900564412597</v>
      </c>
    </row>
    <row r="22" spans="1:3" x14ac:dyDescent="0.45">
      <c r="A22" t="s">
        <v>4</v>
      </c>
      <c r="B22" t="s">
        <v>19</v>
      </c>
      <c r="C22" t="s">
        <v>20</v>
      </c>
    </row>
    <row r="23" spans="1:3" x14ac:dyDescent="0.45">
      <c r="A23">
        <v>0</v>
      </c>
      <c r="B23">
        <v>35.040606013355188</v>
      </c>
      <c r="C23">
        <v>180</v>
      </c>
    </row>
    <row r="24" spans="1:3" x14ac:dyDescent="0.45">
      <c r="A24">
        <v>0.01</v>
      </c>
      <c r="B24">
        <f>B23+0.01*$C$4*(C23-B23)</f>
        <v>35.765402983288411</v>
      </c>
      <c r="C24">
        <f>C23+0.01*-$C$3*(C23-B23)</f>
        <v>178.26048727216028</v>
      </c>
    </row>
    <row r="25" spans="1:3" x14ac:dyDescent="0.45">
      <c r="A25">
        <v>0.02</v>
      </c>
      <c r="B25">
        <f t="shared" ref="B25:B88" si="3">B24+0.01*$C$4*(C24-B24)</f>
        <v>36.47787840473277</v>
      </c>
      <c r="C25">
        <f t="shared" ref="C25:C88" si="4">C24+0.01*-$C$3*(C24-B24)</f>
        <v>176.55054626069381</v>
      </c>
    </row>
    <row r="26" spans="1:3" x14ac:dyDescent="0.45">
      <c r="A26">
        <v>0.03</v>
      </c>
      <c r="B26">
        <f t="shared" si="3"/>
        <v>37.178241744012574</v>
      </c>
      <c r="C26">
        <f t="shared" si="4"/>
        <v>174.86967424642228</v>
      </c>
    </row>
    <row r="27" spans="1:3" x14ac:dyDescent="0.45">
      <c r="A27">
        <v>0.04</v>
      </c>
      <c r="B27">
        <f t="shared" si="3"/>
        <v>37.866698906524626</v>
      </c>
      <c r="C27">
        <f t="shared" si="4"/>
        <v>173.21737705639336</v>
      </c>
    </row>
    <row r="28" spans="1:3" x14ac:dyDescent="0.45">
      <c r="A28">
        <v>0.05</v>
      </c>
      <c r="B28">
        <f t="shared" si="3"/>
        <v>38.543452297273973</v>
      </c>
      <c r="C28">
        <f t="shared" si="4"/>
        <v>171.59316891859493</v>
      </c>
    </row>
    <row r="29" spans="1:3" x14ac:dyDescent="0.45">
      <c r="A29">
        <v>0.06</v>
      </c>
      <c r="B29">
        <f t="shared" si="3"/>
        <v>39.208700880380576</v>
      </c>
      <c r="C29">
        <f t="shared" si="4"/>
        <v>169.99657231913906</v>
      </c>
    </row>
    <row r="30" spans="1:3" x14ac:dyDescent="0.45">
      <c r="A30">
        <v>7.0000000000000007E-2</v>
      </c>
      <c r="B30">
        <f t="shared" si="3"/>
        <v>39.862640237574368</v>
      </c>
      <c r="C30">
        <f t="shared" si="4"/>
        <v>168.42711786187397</v>
      </c>
    </row>
    <row r="31" spans="1:3" x14ac:dyDescent="0.45">
      <c r="A31">
        <v>0.08</v>
      </c>
      <c r="B31">
        <f t="shared" si="3"/>
        <v>40.505462625695863</v>
      </c>
      <c r="C31">
        <f t="shared" si="4"/>
        <v>166.88434413038237</v>
      </c>
    </row>
    <row r="32" spans="1:3" x14ac:dyDescent="0.45">
      <c r="A32">
        <v>0.09</v>
      </c>
      <c r="B32">
        <f t="shared" si="3"/>
        <v>41.137357033219295</v>
      </c>
      <c r="C32">
        <f t="shared" si="4"/>
        <v>165.36779755232612</v>
      </c>
    </row>
    <row r="33" spans="1:3" x14ac:dyDescent="0.45">
      <c r="A33">
        <v>0.1</v>
      </c>
      <c r="B33">
        <f t="shared" si="3"/>
        <v>41.758509235814827</v>
      </c>
      <c r="C33">
        <f t="shared" si="4"/>
        <v>163.87703226609685</v>
      </c>
    </row>
    <row r="34" spans="1:3" x14ac:dyDescent="0.45">
      <c r="A34">
        <v>0.11</v>
      </c>
      <c r="B34">
        <f t="shared" si="3"/>
        <v>42.369101850966238</v>
      </c>
      <c r="C34">
        <f t="shared" si="4"/>
        <v>162.41160998973345</v>
      </c>
    </row>
    <row r="35" spans="1:3" x14ac:dyDescent="0.45">
      <c r="A35">
        <v>0.12</v>
      </c>
      <c r="B35">
        <f t="shared" si="3"/>
        <v>42.969314391660077</v>
      </c>
      <c r="C35">
        <f t="shared" si="4"/>
        <v>160.97109989206825</v>
      </c>
    </row>
    <row r="36" spans="1:3" x14ac:dyDescent="0.45">
      <c r="A36">
        <v>0.13</v>
      </c>
      <c r="B36">
        <f t="shared" si="3"/>
        <v>43.559323319162118</v>
      </c>
      <c r="C36">
        <f t="shared" si="4"/>
        <v>159.55507846606335</v>
      </c>
    </row>
    <row r="37" spans="1:3" x14ac:dyDescent="0.45">
      <c r="A37">
        <v>0.14000000000000001</v>
      </c>
      <c r="B37">
        <f t="shared" si="3"/>
        <v>44.139302094896621</v>
      </c>
      <c r="C37">
        <f t="shared" si="4"/>
        <v>158.16312940430055</v>
      </c>
    </row>
    <row r="38" spans="1:3" x14ac:dyDescent="0.45">
      <c r="A38">
        <v>0.15</v>
      </c>
      <c r="B38">
        <f t="shared" si="3"/>
        <v>44.709421231443642</v>
      </c>
      <c r="C38">
        <f t="shared" si="4"/>
        <v>156.79484347658769</v>
      </c>
    </row>
    <row r="39" spans="1:3" x14ac:dyDescent="0.45">
      <c r="A39">
        <v>0.16</v>
      </c>
      <c r="B39">
        <f t="shared" si="3"/>
        <v>45.269848342669363</v>
      </c>
      <c r="C39">
        <f t="shared" si="4"/>
        <v>155.44981840964596</v>
      </c>
    </row>
    <row r="40" spans="1:3" x14ac:dyDescent="0.45">
      <c r="A40">
        <v>0.17</v>
      </c>
      <c r="B40">
        <f t="shared" si="3"/>
        <v>45.820748193004249</v>
      </c>
      <c r="C40">
        <f t="shared" si="4"/>
        <v>154.12765876884222</v>
      </c>
    </row>
    <row r="41" spans="1:3" x14ac:dyDescent="0.45">
      <c r="A41">
        <v>0.18</v>
      </c>
      <c r="B41">
        <f t="shared" si="3"/>
        <v>46.362282745883441</v>
      </c>
      <c r="C41">
        <f t="shared" si="4"/>
        <v>152.82797584193216</v>
      </c>
    </row>
    <row r="42" spans="1:3" x14ac:dyDescent="0.45">
      <c r="A42">
        <v>0.19</v>
      </c>
      <c r="B42">
        <f t="shared" si="3"/>
        <v>46.894611211363681</v>
      </c>
      <c r="C42">
        <f t="shared" si="4"/>
        <v>151.55038752477958</v>
      </c>
    </row>
    <row r="43" spans="1:3" x14ac:dyDescent="0.45">
      <c r="A43">
        <v>0.2</v>
      </c>
      <c r="B43">
        <f t="shared" si="3"/>
        <v>47.417890092930762</v>
      </c>
      <c r="C43">
        <f t="shared" si="4"/>
        <v>150.29451820901858</v>
      </c>
    </row>
    <row r="44" spans="1:3" x14ac:dyDescent="0.45">
      <c r="A44">
        <v>0.21</v>
      </c>
      <c r="B44">
        <f t="shared" si="3"/>
        <v>47.932273233511204</v>
      </c>
      <c r="C44">
        <f t="shared" si="4"/>
        <v>149.05999867162552</v>
      </c>
    </row>
    <row r="45" spans="1:3" x14ac:dyDescent="0.45">
      <c r="A45">
        <v>0.22</v>
      </c>
      <c r="B45">
        <f t="shared" si="3"/>
        <v>48.437911860701774</v>
      </c>
      <c r="C45">
        <f t="shared" si="4"/>
        <v>147.84646596636816</v>
      </c>
    </row>
    <row r="46" spans="1:3" x14ac:dyDescent="0.45">
      <c r="A46">
        <v>0.23</v>
      </c>
      <c r="B46">
        <f t="shared" si="3"/>
        <v>48.934954631230106</v>
      </c>
      <c r="C46">
        <f t="shared" si="4"/>
        <v>146.65356331710015</v>
      </c>
    </row>
    <row r="47" spans="1:3" x14ac:dyDescent="0.45">
      <c r="A47">
        <v>0.24</v>
      </c>
      <c r="B47">
        <f t="shared" si="3"/>
        <v>49.423547674659453</v>
      </c>
      <c r="C47">
        <f t="shared" si="4"/>
        <v>145.48094001286972</v>
      </c>
    </row>
    <row r="48" spans="1:3" x14ac:dyDescent="0.45">
      <c r="A48">
        <v>0.25</v>
      </c>
      <c r="B48">
        <f t="shared" si="3"/>
        <v>49.903834636350503</v>
      </c>
      <c r="C48">
        <f t="shared" si="4"/>
        <v>144.3282513048112</v>
      </c>
    </row>
    <row r="49" spans="1:3" x14ac:dyDescent="0.45">
      <c r="A49">
        <v>0.26</v>
      </c>
      <c r="B49">
        <f t="shared" si="3"/>
        <v>50.375956719692809</v>
      </c>
      <c r="C49">
        <f t="shared" si="4"/>
        <v>143.19515830478969</v>
      </c>
    </row>
    <row r="50" spans="1:3" x14ac:dyDescent="0.45">
      <c r="A50">
        <v>0.27</v>
      </c>
      <c r="B50">
        <f t="shared" si="3"/>
        <v>50.840052727618293</v>
      </c>
      <c r="C50">
        <f t="shared" si="4"/>
        <v>142.08132788576853</v>
      </c>
    </row>
    <row r="51" spans="1:3" x14ac:dyDescent="0.45">
      <c r="A51">
        <v>0.28000000000000003</v>
      </c>
      <c r="B51">
        <f t="shared" si="3"/>
        <v>51.296259103409042</v>
      </c>
      <c r="C51">
        <f t="shared" si="4"/>
        <v>140.98643258387074</v>
      </c>
    </row>
    <row r="52" spans="1:3" x14ac:dyDescent="0.45">
      <c r="A52">
        <v>0.28999999999999998</v>
      </c>
      <c r="B52">
        <f t="shared" si="3"/>
        <v>51.74470997081135</v>
      </c>
      <c r="C52">
        <f t="shared" si="4"/>
        <v>139.91015050210521</v>
      </c>
    </row>
    <row r="53" spans="1:3" x14ac:dyDescent="0.45">
      <c r="A53">
        <v>0.3</v>
      </c>
      <c r="B53">
        <f t="shared" si="3"/>
        <v>52.185537173467822</v>
      </c>
      <c r="C53">
        <f t="shared" si="4"/>
        <v>138.85216521572968</v>
      </c>
    </row>
    <row r="54" spans="1:3" x14ac:dyDescent="0.45">
      <c r="A54">
        <v>0.31</v>
      </c>
      <c r="B54">
        <f t="shared" si="3"/>
        <v>52.618870313679132</v>
      </c>
      <c r="C54">
        <f t="shared" si="4"/>
        <v>137.81216567922255</v>
      </c>
    </row>
    <row r="55" spans="1:3" x14ac:dyDescent="0.45">
      <c r="A55">
        <v>0.32</v>
      </c>
      <c r="B55">
        <f t="shared" si="3"/>
        <v>53.044836790506849</v>
      </c>
      <c r="C55">
        <f t="shared" si="4"/>
        <v>136.78984613483601</v>
      </c>
    </row>
    <row r="56" spans="1:3" x14ac:dyDescent="0.45">
      <c r="A56">
        <v>0.33</v>
      </c>
      <c r="B56">
        <f t="shared" si="3"/>
        <v>53.463561837228497</v>
      </c>
      <c r="C56">
        <f t="shared" si="4"/>
        <v>135.78490602270406</v>
      </c>
    </row>
    <row r="57" spans="1:3" x14ac:dyDescent="0.45">
      <c r="A57">
        <v>0.34</v>
      </c>
      <c r="B57">
        <f t="shared" si="3"/>
        <v>53.875168558155877</v>
      </c>
      <c r="C57">
        <f t="shared" si="4"/>
        <v>134.79704989247836</v>
      </c>
    </row>
    <row r="58" spans="1:3" x14ac:dyDescent="0.45">
      <c r="A58">
        <v>0.35</v>
      </c>
      <c r="B58">
        <f t="shared" si="3"/>
        <v>54.279777964827488</v>
      </c>
      <c r="C58">
        <f t="shared" si="4"/>
        <v>133.8259873164665</v>
      </c>
    </row>
    <row r="59" spans="1:3" x14ac:dyDescent="0.45">
      <c r="A59">
        <v>0.36</v>
      </c>
      <c r="B59">
        <f t="shared" si="3"/>
        <v>54.677509011585684</v>
      </c>
      <c r="C59">
        <f t="shared" si="4"/>
        <v>132.87143280424684</v>
      </c>
    </row>
    <row r="60" spans="1:3" x14ac:dyDescent="0.45">
      <c r="A60">
        <v>0.37</v>
      </c>
      <c r="B60">
        <f t="shared" si="3"/>
        <v>55.068478630548988</v>
      </c>
      <c r="C60">
        <f t="shared" si="4"/>
        <v>131.93310571873491</v>
      </c>
    </row>
    <row r="61" spans="1:3" x14ac:dyDescent="0.45">
      <c r="A61">
        <v>0.38</v>
      </c>
      <c r="B61">
        <f t="shared" si="3"/>
        <v>55.452801765989918</v>
      </c>
      <c r="C61">
        <f t="shared" si="4"/>
        <v>131.01073019367666</v>
      </c>
    </row>
    <row r="62" spans="1:3" x14ac:dyDescent="0.45">
      <c r="A62">
        <v>0.39</v>
      </c>
      <c r="B62">
        <f t="shared" si="3"/>
        <v>55.830591408128349</v>
      </c>
      <c r="C62">
        <f t="shared" si="4"/>
        <v>130.10403505254442</v>
      </c>
    </row>
    <row r="63" spans="1:3" x14ac:dyDescent="0.45">
      <c r="A63">
        <v>0.4</v>
      </c>
      <c r="B63">
        <f t="shared" si="3"/>
        <v>56.201958626350432</v>
      </c>
      <c r="C63">
        <f t="shared" si="4"/>
        <v>129.21275372881144</v>
      </c>
    </row>
    <row r="64" spans="1:3" x14ac:dyDescent="0.45">
      <c r="A64">
        <v>0.41</v>
      </c>
      <c r="B64">
        <f t="shared" si="3"/>
        <v>56.567012601862736</v>
      </c>
      <c r="C64">
        <f t="shared" si="4"/>
        <v>128.33662418758189</v>
      </c>
    </row>
    <row r="65" spans="1:3" x14ac:dyDescent="0.45">
      <c r="A65">
        <v>0.42</v>
      </c>
      <c r="B65">
        <f t="shared" si="3"/>
        <v>56.925860659791333</v>
      </c>
      <c r="C65">
        <f t="shared" si="4"/>
        <v>127.47538884855327</v>
      </c>
    </row>
    <row r="66" spans="1:3" x14ac:dyDescent="0.45">
      <c r="A66">
        <v>0.43</v>
      </c>
      <c r="B66">
        <f t="shared" si="3"/>
        <v>57.278608300735144</v>
      </c>
      <c r="C66">
        <f t="shared" si="4"/>
        <v>126.62879451028812</v>
      </c>
    </row>
    <row r="67" spans="1:3" x14ac:dyDescent="0.45">
      <c r="A67">
        <v>0.44</v>
      </c>
      <c r="B67">
        <f t="shared" si="3"/>
        <v>57.625359231782909</v>
      </c>
      <c r="C67">
        <f t="shared" si="4"/>
        <v>125.79659227577348</v>
      </c>
    </row>
    <row r="68" spans="1:3" x14ac:dyDescent="0.45">
      <c r="A68">
        <v>0.45</v>
      </c>
      <c r="B68">
        <f t="shared" si="3"/>
        <v>57.966215397002863</v>
      </c>
      <c r="C68">
        <f t="shared" si="4"/>
        <v>124.97853747924559</v>
      </c>
    </row>
    <row r="69" spans="1:3" x14ac:dyDescent="0.45">
      <c r="A69">
        <v>0.46</v>
      </c>
      <c r="B69">
        <f t="shared" si="3"/>
        <v>58.301277007414079</v>
      </c>
      <c r="C69">
        <f t="shared" si="4"/>
        <v>124.17438961425867</v>
      </c>
    </row>
    <row r="70" spans="1:3" x14ac:dyDescent="0.45">
      <c r="A70">
        <v>0.47</v>
      </c>
      <c r="B70">
        <f t="shared" si="3"/>
        <v>58.630642570448302</v>
      </c>
      <c r="C70">
        <f t="shared" si="4"/>
        <v>123.38391226297654</v>
      </c>
    </row>
    <row r="71" spans="1:3" x14ac:dyDescent="0.45">
      <c r="A71">
        <v>0.48</v>
      </c>
      <c r="B71">
        <f t="shared" si="3"/>
        <v>58.954408918910943</v>
      </c>
      <c r="C71">
        <f t="shared" si="4"/>
        <v>122.60687302666619</v>
      </c>
    </row>
    <row r="72" spans="1:3" x14ac:dyDescent="0.45">
      <c r="A72">
        <v>0.49</v>
      </c>
      <c r="B72">
        <f t="shared" si="3"/>
        <v>59.272671239449721</v>
      </c>
      <c r="C72">
        <f t="shared" si="4"/>
        <v>121.84304345737313</v>
      </c>
    </row>
    <row r="73" spans="1:3" x14ac:dyDescent="0.45">
      <c r="A73">
        <v>0.5</v>
      </c>
      <c r="B73">
        <f t="shared" si="3"/>
        <v>59.585523100539341</v>
      </c>
      <c r="C73">
        <f t="shared" si="4"/>
        <v>121.09219899075805</v>
      </c>
    </row>
    <row r="74" spans="1:3" x14ac:dyDescent="0.45">
      <c r="A74">
        <v>0.51</v>
      </c>
      <c r="B74">
        <f t="shared" si="3"/>
        <v>59.893056479990435</v>
      </c>
      <c r="C74">
        <f t="shared" si="4"/>
        <v>120.35411888007542</v>
      </c>
    </row>
    <row r="75" spans="1:3" x14ac:dyDescent="0.45">
      <c r="A75">
        <v>0.52</v>
      </c>
      <c r="B75">
        <f t="shared" si="3"/>
        <v>60.195361791990862</v>
      </c>
      <c r="C75">
        <f t="shared" si="4"/>
        <v>119.6285861312744</v>
      </c>
    </row>
    <row r="76" spans="1:3" x14ac:dyDescent="0.45">
      <c r="A76">
        <v>0.53</v>
      </c>
      <c r="B76">
        <f t="shared" si="3"/>
        <v>60.492527913687283</v>
      </c>
      <c r="C76">
        <f t="shared" si="4"/>
        <v>118.915387439203</v>
      </c>
    </row>
    <row r="77" spans="1:3" x14ac:dyDescent="0.45">
      <c r="A77">
        <v>0.54</v>
      </c>
      <c r="B77">
        <f t="shared" si="3"/>
        <v>60.784642211314861</v>
      </c>
      <c r="C77">
        <f t="shared" si="4"/>
        <v>118.21431312489682</v>
      </c>
    </row>
    <row r="78" spans="1:3" x14ac:dyDescent="0.45">
      <c r="A78">
        <v>0.55000000000000004</v>
      </c>
      <c r="B78">
        <f t="shared" si="3"/>
        <v>61.071790565882772</v>
      </c>
      <c r="C78">
        <f t="shared" si="4"/>
        <v>117.52515707393384</v>
      </c>
    </row>
    <row r="79" spans="1:3" x14ac:dyDescent="0.45">
      <c r="A79">
        <v>0.56000000000000005</v>
      </c>
      <c r="B79">
        <f t="shared" si="3"/>
        <v>61.354057398423031</v>
      </c>
      <c r="C79">
        <f t="shared" si="4"/>
        <v>116.84771667583723</v>
      </c>
    </row>
    <row r="80" spans="1:3" x14ac:dyDescent="0.45">
      <c r="A80">
        <v>0.56999999999999995</v>
      </c>
      <c r="B80">
        <f t="shared" si="3"/>
        <v>61.631525694810101</v>
      </c>
      <c r="C80">
        <f t="shared" si="4"/>
        <v>116.18179276450826</v>
      </c>
    </row>
    <row r="81" spans="1:3" x14ac:dyDescent="0.45">
      <c r="A81">
        <v>0.57999999999999996</v>
      </c>
      <c r="B81">
        <f t="shared" si="3"/>
        <v>61.904277030158589</v>
      </c>
      <c r="C81">
        <f t="shared" si="4"/>
        <v>115.52718955967188</v>
      </c>
    </row>
    <row r="82" spans="1:3" x14ac:dyDescent="0.45">
      <c r="A82">
        <v>0.59</v>
      </c>
      <c r="B82">
        <f t="shared" si="3"/>
        <v>62.172391592806157</v>
      </c>
      <c r="C82">
        <f t="shared" si="4"/>
        <v>114.88371460931772</v>
      </c>
    </row>
    <row r="83" spans="1:3" x14ac:dyDescent="0.45">
      <c r="A83">
        <v>0.6</v>
      </c>
      <c r="B83">
        <f t="shared" si="3"/>
        <v>62.435948207888714</v>
      </c>
      <c r="C83">
        <f t="shared" si="4"/>
        <v>114.25117873311959</v>
      </c>
    </row>
    <row r="84" spans="1:3" x14ac:dyDescent="0.45">
      <c r="A84">
        <v>0.61</v>
      </c>
      <c r="B84">
        <f t="shared" si="3"/>
        <v>62.695024360514871</v>
      </c>
      <c r="C84">
        <f t="shared" si="4"/>
        <v>113.62939596681682</v>
      </c>
    </row>
    <row r="85" spans="1:3" x14ac:dyDescent="0.45">
      <c r="A85">
        <v>0.62</v>
      </c>
      <c r="B85">
        <f t="shared" si="3"/>
        <v>62.949696218546379</v>
      </c>
      <c r="C85">
        <f t="shared" si="4"/>
        <v>113.0181835075412</v>
      </c>
    </row>
    <row r="86" spans="1:3" x14ac:dyDescent="0.45">
      <c r="A86">
        <v>0.63</v>
      </c>
      <c r="B86">
        <f t="shared" si="3"/>
        <v>63.200038654991353</v>
      </c>
      <c r="C86">
        <f t="shared" si="4"/>
        <v>112.41736166007325</v>
      </c>
    </row>
    <row r="87" spans="1:3" x14ac:dyDescent="0.45">
      <c r="A87">
        <v>0.64</v>
      </c>
      <c r="B87">
        <f t="shared" si="3"/>
        <v>63.446125270016765</v>
      </c>
      <c r="C87">
        <f t="shared" si="4"/>
        <v>111.82675378401227</v>
      </c>
    </row>
    <row r="88" spans="1:3" x14ac:dyDescent="0.45">
      <c r="A88">
        <v>0.65</v>
      </c>
      <c r="B88">
        <f t="shared" si="3"/>
        <v>63.688028412586739</v>
      </c>
      <c r="C88">
        <f t="shared" si="4"/>
        <v>111.24618624184433</v>
      </c>
    </row>
    <row r="89" spans="1:3" x14ac:dyDescent="0.45">
      <c r="A89">
        <v>0.66</v>
      </c>
      <c r="B89">
        <f t="shared" ref="B89:B123" si="5">B88+0.01*$C$4*(C88-B88)</f>
        <v>63.925819201733027</v>
      </c>
      <c r="C89">
        <f t="shared" ref="C89:C123" si="6">C88+0.01*-$C$3*(C88-B88)</f>
        <v>110.67548834789324</v>
      </c>
    </row>
    <row r="90" spans="1:3" x14ac:dyDescent="0.45">
      <c r="A90">
        <v>0.67</v>
      </c>
      <c r="B90">
        <f t="shared" si="5"/>
        <v>64.159567547463823</v>
      </c>
      <c r="C90">
        <f t="shared" si="6"/>
        <v>110.11449231813931</v>
      </c>
    </row>
    <row r="91" spans="1:3" x14ac:dyDescent="0.45">
      <c r="A91">
        <v>0.68</v>
      </c>
      <c r="B91">
        <f t="shared" si="5"/>
        <v>64.389342171317196</v>
      </c>
      <c r="C91">
        <f t="shared" si="6"/>
        <v>109.56303322089121</v>
      </c>
    </row>
    <row r="92" spans="1:3" x14ac:dyDescent="0.45">
      <c r="A92">
        <v>0.69</v>
      </c>
      <c r="B92">
        <f t="shared" si="5"/>
        <v>64.615210626565073</v>
      </c>
      <c r="C92">
        <f t="shared" si="6"/>
        <v>109.02094892829632</v>
      </c>
    </row>
    <row r="93" spans="1:3" x14ac:dyDescent="0.45">
      <c r="A93">
        <v>0.7</v>
      </c>
      <c r="B93">
        <f t="shared" si="5"/>
        <v>64.837239318073728</v>
      </c>
      <c r="C93">
        <f t="shared" si="6"/>
        <v>108.48808006867554</v>
      </c>
    </row>
    <row r="94" spans="1:3" x14ac:dyDescent="0.45">
      <c r="A94">
        <v>0.71</v>
      </c>
      <c r="B94">
        <f t="shared" si="5"/>
        <v>65.055493521826733</v>
      </c>
      <c r="C94">
        <f t="shared" si="6"/>
        <v>107.96426997966832</v>
      </c>
    </row>
    <row r="95" spans="1:3" x14ac:dyDescent="0.45">
      <c r="A95">
        <v>0.72</v>
      </c>
      <c r="B95">
        <f t="shared" si="5"/>
        <v>65.270037404115939</v>
      </c>
      <c r="C95">
        <f t="shared" si="6"/>
        <v>107.44936466217422</v>
      </c>
    </row>
    <row r="96" spans="1:3" x14ac:dyDescent="0.45">
      <c r="A96">
        <v>0.73</v>
      </c>
      <c r="B96">
        <f t="shared" si="5"/>
        <v>65.480934040406225</v>
      </c>
      <c r="C96">
        <f t="shared" si="6"/>
        <v>106.94321273507752</v>
      </c>
    </row>
    <row r="97" spans="1:3" x14ac:dyDescent="0.45">
      <c r="A97">
        <v>0.74</v>
      </c>
      <c r="B97">
        <f t="shared" si="5"/>
        <v>65.688245433879587</v>
      </c>
      <c r="C97">
        <f t="shared" si="6"/>
        <v>106.44566539074147</v>
      </c>
    </row>
    <row r="98" spans="1:3" x14ac:dyDescent="0.45">
      <c r="A98">
        <v>0.75</v>
      </c>
      <c r="B98">
        <f t="shared" si="5"/>
        <v>65.892032533663894</v>
      </c>
      <c r="C98">
        <f t="shared" si="6"/>
        <v>105.95657635125913</v>
      </c>
    </row>
    <row r="99" spans="1:3" x14ac:dyDescent="0.45">
      <c r="A99">
        <v>0.76</v>
      </c>
      <c r="B99">
        <f t="shared" si="5"/>
        <v>66.092355252751872</v>
      </c>
      <c r="C99">
        <f t="shared" si="6"/>
        <v>105.47580182544799</v>
      </c>
    </row>
    <row r="100" spans="1:3" x14ac:dyDescent="0.45">
      <c r="A100">
        <v>0.77</v>
      </c>
      <c r="B100">
        <f t="shared" si="5"/>
        <v>66.289272485615356</v>
      </c>
      <c r="C100">
        <f t="shared" si="6"/>
        <v>105.00320046657563</v>
      </c>
    </row>
    <row r="101" spans="1:3" x14ac:dyDescent="0.45">
      <c r="A101">
        <v>0.78</v>
      </c>
      <c r="B101">
        <f t="shared" si="5"/>
        <v>66.482842125520165</v>
      </c>
      <c r="C101">
        <f t="shared" si="6"/>
        <v>104.53863333080412</v>
      </c>
    </row>
    <row r="102" spans="1:3" x14ac:dyDescent="0.45">
      <c r="A102">
        <v>0.79</v>
      </c>
      <c r="B102">
        <f t="shared" si="5"/>
        <v>66.673121081546583</v>
      </c>
      <c r="C102">
        <f t="shared" si="6"/>
        <v>104.08196383634071</v>
      </c>
    </row>
    <row r="103" spans="1:3" x14ac:dyDescent="0.45">
      <c r="A103">
        <v>0.8</v>
      </c>
      <c r="B103">
        <f t="shared" si="5"/>
        <v>66.860165295320556</v>
      </c>
      <c r="C103">
        <f t="shared" si="6"/>
        <v>103.63305772328317</v>
      </c>
    </row>
    <row r="104" spans="1:3" x14ac:dyDescent="0.45">
      <c r="A104">
        <v>0.81</v>
      </c>
      <c r="B104">
        <f t="shared" si="5"/>
        <v>67.044029757460365</v>
      </c>
      <c r="C104">
        <f t="shared" si="6"/>
        <v>103.19178301414762</v>
      </c>
    </row>
    <row r="105" spans="1:3" x14ac:dyDescent="0.45">
      <c r="A105">
        <v>0.82</v>
      </c>
      <c r="B105">
        <f t="shared" si="5"/>
        <v>67.224768523743805</v>
      </c>
      <c r="C105">
        <f t="shared" si="6"/>
        <v>102.75800997506737</v>
      </c>
    </row>
    <row r="106" spans="1:3" x14ac:dyDescent="0.45">
      <c r="A106">
        <v>0.83</v>
      </c>
      <c r="B106">
        <f t="shared" si="5"/>
        <v>67.402434731000426</v>
      </c>
      <c r="C106">
        <f t="shared" si="6"/>
        <v>102.33161107765149</v>
      </c>
    </row>
    <row r="107" spans="1:3" x14ac:dyDescent="0.45">
      <c r="A107">
        <v>0.84</v>
      </c>
      <c r="B107">
        <f t="shared" si="5"/>
        <v>67.577080612733681</v>
      </c>
      <c r="C107">
        <f t="shared" si="6"/>
        <v>101.91246096149167</v>
      </c>
    </row>
    <row r="108" spans="1:3" x14ac:dyDescent="0.45">
      <c r="A108">
        <v>0.85</v>
      </c>
      <c r="B108">
        <f t="shared" si="5"/>
        <v>67.748757514477475</v>
      </c>
      <c r="C108">
        <f t="shared" si="6"/>
        <v>101.50043639730657</v>
      </c>
    </row>
    <row r="109" spans="1:3" x14ac:dyDescent="0.45">
      <c r="A109">
        <v>0.86</v>
      </c>
      <c r="B109">
        <f t="shared" si="5"/>
        <v>67.917515908891616</v>
      </c>
      <c r="C109">
        <f t="shared" si="6"/>
        <v>101.09541625071262</v>
      </c>
    </row>
    <row r="110" spans="1:3" x14ac:dyDescent="0.45">
      <c r="A110">
        <v>0.87</v>
      </c>
      <c r="B110">
        <f t="shared" si="5"/>
        <v>68.083405410600719</v>
      </c>
      <c r="C110">
        <f t="shared" si="6"/>
        <v>100.69728144661076</v>
      </c>
    </row>
    <row r="111" spans="1:3" x14ac:dyDescent="0.45">
      <c r="A111">
        <v>0.88</v>
      </c>
      <c r="B111">
        <f t="shared" si="5"/>
        <v>68.246474790780766</v>
      </c>
      <c r="C111">
        <f t="shared" si="6"/>
        <v>100.30591493417865</v>
      </c>
    </row>
    <row r="112" spans="1:3" x14ac:dyDescent="0.45">
      <c r="A112">
        <v>0.89</v>
      </c>
      <c r="B112">
        <f t="shared" si="5"/>
        <v>68.406771991497749</v>
      </c>
      <c r="C112">
        <f t="shared" si="6"/>
        <v>99.921201652457867</v>
      </c>
    </row>
    <row r="113" spans="1:3" x14ac:dyDescent="0.45">
      <c r="A113">
        <v>0.9</v>
      </c>
      <c r="B113">
        <f t="shared" si="5"/>
        <v>68.564344139802543</v>
      </c>
      <c r="C113">
        <f t="shared" si="6"/>
        <v>99.543028496526347</v>
      </c>
    </row>
    <row r="114" spans="1:3" x14ac:dyDescent="0.45">
      <c r="A114">
        <v>0.91</v>
      </c>
      <c r="B114">
        <f t="shared" si="5"/>
        <v>68.719237561586155</v>
      </c>
      <c r="C114">
        <f t="shared" si="6"/>
        <v>99.171284284245658</v>
      </c>
    </row>
    <row r="115" spans="1:3" x14ac:dyDescent="0.45">
      <c r="A115">
        <v>0.92</v>
      </c>
      <c r="B115">
        <f t="shared" si="5"/>
        <v>68.871497795199446</v>
      </c>
      <c r="C115">
        <f t="shared" si="6"/>
        <v>98.805859723573747</v>
      </c>
    </row>
    <row r="116" spans="1:3" x14ac:dyDescent="0.45">
      <c r="A116">
        <v>0.93</v>
      </c>
      <c r="B116">
        <f t="shared" si="5"/>
        <v>69.021169604841319</v>
      </c>
      <c r="C116">
        <f t="shared" si="6"/>
        <v>98.446647380433248</v>
      </c>
    </row>
    <row r="117" spans="1:3" x14ac:dyDescent="0.45">
      <c r="A117">
        <v>0.94</v>
      </c>
      <c r="B117">
        <f t="shared" si="5"/>
        <v>69.168296993719281</v>
      </c>
      <c r="C117">
        <f t="shared" si="6"/>
        <v>98.093541647126145</v>
      </c>
    </row>
    <row r="118" spans="1:3" x14ac:dyDescent="0.45">
      <c r="A118">
        <v>0.95</v>
      </c>
      <c r="B118">
        <f t="shared" si="5"/>
        <v>69.31292321698632</v>
      </c>
      <c r="C118">
        <f t="shared" si="6"/>
        <v>97.746438711285265</v>
      </c>
    </row>
    <row r="119" spans="1:3" x14ac:dyDescent="0.45">
      <c r="A119">
        <v>0.96</v>
      </c>
      <c r="B119">
        <f t="shared" si="5"/>
        <v>69.455090794457817</v>
      </c>
      <c r="C119">
        <f t="shared" si="6"/>
        <v>97.405236525353672</v>
      </c>
    </row>
    <row r="120" spans="1:3" x14ac:dyDescent="0.45">
      <c r="A120">
        <v>0.97</v>
      </c>
      <c r="B120">
        <f t="shared" si="5"/>
        <v>69.594841523112294</v>
      </c>
      <c r="C120">
        <f t="shared" si="6"/>
        <v>97.069834776582923</v>
      </c>
    </row>
    <row r="121" spans="1:3" x14ac:dyDescent="0.45">
      <c r="A121">
        <v>0.98</v>
      </c>
      <c r="B121">
        <f t="shared" si="5"/>
        <v>69.732216489379653</v>
      </c>
      <c r="C121">
        <f t="shared" si="6"/>
        <v>96.740134857541278</v>
      </c>
    </row>
    <row r="122" spans="1:3" x14ac:dyDescent="0.45">
      <c r="A122">
        <v>0.99</v>
      </c>
      <c r="B122">
        <f t="shared" si="5"/>
        <v>69.867256081220461</v>
      </c>
      <c r="C122">
        <f t="shared" si="6"/>
        <v>96.416039837123336</v>
      </c>
    </row>
    <row r="123" spans="1:3" x14ac:dyDescent="0.45">
      <c r="A123">
        <v>1</v>
      </c>
      <c r="B123">
        <f t="shared" si="5"/>
        <v>69.999999999999972</v>
      </c>
      <c r="C123">
        <f t="shared" si="6"/>
        <v>96.097454432052501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Pabilic</dc:creator>
  <cp:lastModifiedBy>Sarah Pabilic</cp:lastModifiedBy>
  <dcterms:created xsi:type="dcterms:W3CDTF">2020-04-17T20:58:20Z</dcterms:created>
  <dcterms:modified xsi:type="dcterms:W3CDTF">2020-04-20T01:04:34Z</dcterms:modified>
</cp:coreProperties>
</file>