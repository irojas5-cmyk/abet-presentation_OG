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halfan_Alasam/Desktop/"/>
    </mc:Choice>
  </mc:AlternateContent>
  <xr:revisionPtr revIDLastSave="0" documentId="13_ncr:1_{23047B7E-988A-5241-AFB9-9F485439091F}" xr6:coauthVersionLast="45" xr6:coauthVersionMax="45" xr10:uidLastSave="{00000000-0000-0000-0000-000000000000}"/>
  <bookViews>
    <workbookView xWindow="0" yWindow="460" windowWidth="25600" windowHeight="14160" activeTab="1" xr2:uid="{E686E4DF-8425-A84F-B1FF-07D7346F93AC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2" l="1" a="1"/>
  <c r="E10" i="2" s="1"/>
  <c r="K10" i="2" s="1" a="1"/>
  <c r="K10" i="2" s="1"/>
  <c r="G6" i="2"/>
  <c r="G5" i="2"/>
  <c r="G4" i="2"/>
  <c r="G3" i="2"/>
  <c r="Y20" i="1"/>
  <c r="Y22" i="1"/>
  <c r="Y24" i="1"/>
  <c r="Y26" i="1"/>
  <c r="Y18" i="1"/>
  <c r="K24" i="1"/>
  <c r="M24" i="1" s="1"/>
  <c r="F6" i="1"/>
  <c r="N23" i="1"/>
  <c r="O6" i="1"/>
  <c r="N6" i="1"/>
  <c r="M7" i="1" s="1"/>
  <c r="F4" i="1"/>
  <c r="F15" i="1"/>
  <c r="F5" i="1"/>
  <c r="F8" i="1"/>
  <c r="F9" i="1"/>
  <c r="F10" i="1"/>
  <c r="F12" i="1"/>
  <c r="F13" i="1"/>
  <c r="F14" i="1"/>
  <c r="B4" i="1"/>
  <c r="Y21" i="1" s="1"/>
  <c r="R18" i="1" a="1"/>
  <c r="N7" i="1" l="1"/>
  <c r="M8" i="1" s="1"/>
  <c r="O7" i="1"/>
  <c r="O23" i="1"/>
  <c r="L24" i="1" s="1"/>
  <c r="M23" i="1"/>
  <c r="Y27" i="1"/>
  <c r="Y23" i="1"/>
  <c r="Y19" i="1"/>
  <c r="F11" i="1"/>
  <c r="F7" i="1"/>
  <c r="I4" i="1"/>
  <c r="Y25" i="1"/>
  <c r="R18" i="1"/>
  <c r="N8" i="1" l="1"/>
  <c r="O8" i="1"/>
  <c r="M9" i="1" s="1"/>
  <c r="K25" i="1"/>
  <c r="M25" i="1" s="1"/>
  <c r="N24" i="1"/>
  <c r="O24" i="1" s="1"/>
  <c r="L25" i="1" s="1"/>
  <c r="K26" i="1" l="1"/>
  <c r="M26" i="1" s="1"/>
  <c r="N25" i="1"/>
  <c r="O25" i="1" s="1"/>
  <c r="L26" i="1" s="1"/>
  <c r="N9" i="1"/>
  <c r="O9" i="1"/>
  <c r="M10" i="1" s="1"/>
  <c r="O10" i="1" l="1"/>
  <c r="N10" i="1"/>
  <c r="M11" i="1" s="1"/>
  <c r="K27" i="1"/>
  <c r="M27" i="1" s="1"/>
  <c r="N26" i="1"/>
  <c r="O26" i="1" s="1"/>
  <c r="L27" i="1" s="1"/>
  <c r="O11" i="1" l="1"/>
  <c r="N11" i="1"/>
  <c r="M12" i="1" s="1"/>
  <c r="K28" i="1"/>
  <c r="M28" i="1" s="1"/>
  <c r="N27" i="1"/>
  <c r="O27" i="1" s="1"/>
  <c r="L28" i="1" s="1"/>
  <c r="K29" i="1" l="1"/>
  <c r="M29" i="1" s="1"/>
  <c r="N28" i="1"/>
  <c r="O28" i="1" s="1"/>
  <c r="L29" i="1" s="1"/>
  <c r="N29" i="1" s="1"/>
  <c r="O29" i="1" s="1"/>
  <c r="N12" i="1"/>
  <c r="O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<sst xmlns="http://schemas.openxmlformats.org/spreadsheetml/2006/main" count="62" uniqueCount="49">
  <si>
    <t>Tc =</t>
  </si>
  <si>
    <t>Pc=</t>
  </si>
  <si>
    <t>a =</t>
  </si>
  <si>
    <t>b =</t>
  </si>
  <si>
    <t>T =</t>
  </si>
  <si>
    <t xml:space="preserve">P = </t>
  </si>
  <si>
    <t xml:space="preserve">R= </t>
  </si>
  <si>
    <t>v</t>
  </si>
  <si>
    <t>g(v)</t>
  </si>
  <si>
    <t>A)</t>
  </si>
  <si>
    <t>B)</t>
  </si>
  <si>
    <t>C)</t>
  </si>
  <si>
    <t>Newton Method</t>
  </si>
  <si>
    <t>next guess = intial guess-(f(v)/f'(v))</t>
  </si>
  <si>
    <t>f(v)</t>
  </si>
  <si>
    <t>f'(v)</t>
  </si>
  <si>
    <t>intial guess</t>
  </si>
  <si>
    <t>Intial guess was 3.5</t>
  </si>
  <si>
    <t>intial guess is 3</t>
  </si>
  <si>
    <t>D)</t>
  </si>
  <si>
    <t xml:space="preserve">For secant method the intial values doesn’t matter so I am keeping it </t>
  </si>
  <si>
    <t xml:space="preserve">v2 = </t>
  </si>
  <si>
    <t>v1-(f(v1)/(f(v1)-f(v0)))*(v1-v0)</t>
  </si>
  <si>
    <t>Secant Method</t>
  </si>
  <si>
    <t>v0</t>
  </si>
  <si>
    <t>v1</t>
  </si>
  <si>
    <t>f(v0)</t>
  </si>
  <si>
    <t>f(v1)</t>
  </si>
  <si>
    <t>v2</t>
  </si>
  <si>
    <t>Next guess = v2</t>
  </si>
  <si>
    <t>intial one</t>
  </si>
  <si>
    <t xml:space="preserve">two intial guess are </t>
  </si>
  <si>
    <t xml:space="preserve">between 3 and 4 </t>
  </si>
  <si>
    <t>E)</t>
  </si>
  <si>
    <t>=Pressure(3,300)</t>
  </si>
  <si>
    <t>F)</t>
  </si>
  <si>
    <t>cell E1</t>
  </si>
  <si>
    <t>t</t>
  </si>
  <si>
    <t>g)</t>
  </si>
  <si>
    <t>A</t>
  </si>
  <si>
    <t>B</t>
  </si>
  <si>
    <t>A ^ (-1)</t>
  </si>
  <si>
    <t>x</t>
  </si>
  <si>
    <t>D1</t>
  </si>
  <si>
    <t>B1</t>
  </si>
  <si>
    <t>D2</t>
  </si>
  <si>
    <t>B2</t>
  </si>
  <si>
    <t>x =</t>
  </si>
  <si>
    <t>A ^ (-1) *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</si>
</sst>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quotePrefix="1"/>
    <xf numFmtId="0" fontId="0" fillId="0" borderId="0" xfId="0" applyFill="1"/>
    <xf numFmtId="0" fontId="0" fillId="3" borderId="0" xfId="0" quotePrefix="1" applyFill="1"/>
    <xf numFmtId="0" fontId="1" fillId="4" borderId="0" xfId="0" applyFont="1" applyFill="1"/>
    <xf numFmtId="0" fontId="1" fillId="0" borderId="0" xfId="0" applyFont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333333333333336E-2"/>
          <c:y val="0.19719925634295712"/>
          <c:w val="0.88255555555555554"/>
          <c:h val="0.7773840769903761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Sheet1!$E$4:$E$15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Sheet1!$F$4:$F$15</c:f>
              <c:numCache>
                <c:formatCode>General</c:formatCode>
                <c:ptCount val="12"/>
                <c:pt idx="0">
                  <c:v>13.09622414097274</c:v>
                </c:pt>
                <c:pt idx="1">
                  <c:v>8.3587527873756571</c:v>
                </c:pt>
                <c:pt idx="2">
                  <c:v>2.1689423978054094</c:v>
                </c:pt>
                <c:pt idx="3">
                  <c:v>-4.4148814096292099</c:v>
                </c:pt>
                <c:pt idx="4">
                  <c:v>-11.161552305196746</c:v>
                </c:pt>
                <c:pt idx="5">
                  <c:v>-17.991138261518348</c:v>
                </c:pt>
                <c:pt idx="6">
                  <c:v>-24.868659750164444</c:v>
                </c:pt>
                <c:pt idx="7">
                  <c:v>-31.776386181598244</c:v>
                </c:pt>
                <c:pt idx="8">
                  <c:v>-38.704371125423151</c:v>
                </c:pt>
                <c:pt idx="9">
                  <c:v>-45.646603162872523</c:v>
                </c:pt>
                <c:pt idx="10">
                  <c:v>-52.5992351266339</c:v>
                </c:pt>
                <c:pt idx="11">
                  <c:v>-59.559690574748771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0-6646-A173-AF7E0924C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5395311"/>
        <c:axId val="865396943"/>
      </c:scatterChart>
      <c:valAx>
        <c:axId val="865395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396943"/>
        <c:crosses val="autoZero"/>
        <c:crossBetween val="midCat"/>
      </c:valAx>
      <c:valAx>
        <c:axId val="865396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5395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15</xdr:row>
      <xdr:rowOff>95250</xdr:rowOff>
    </xdr:from>
    <xdr:to>
      <xdr:col>5</xdr:col>
      <xdr:colOff>552450</xdr:colOff>
      <xdr:row>28</xdr:row>
      <xdr:rowOff>196850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9C2009-1E3A-3849-A53A-BF188C9A50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A7F3F-BCB8-7A4B-A284-5F8DB9530F27}">
  <sheetPr codeName="Sheet1"/>
  <dimension ref="A1:Y32"/>
  <sheetViews>
    <sheetView topLeftCell="E1" workbookViewId="0">
      <selection activeCell="U31" sqref="U31"/>
    </sheetView>
  </sheetViews>
  <sheetFormatPr baseColWidth="10" defaultRowHeight="16" x14ac:dyDescent="0.2"/>
  <sheetData>
    <row r="1" spans="1:23" x14ac:dyDescent="0.2">
      <c r="A1" t="s">
        <v>0</v>
      </c>
      <c r="B1">
        <v>406</v>
      </c>
      <c r="E1" s="2">
        <v>7.7326391482114021</v>
      </c>
    </row>
    <row r="2" spans="1:23" x14ac:dyDescent="0.2">
      <c r="A2" t="s">
        <v>1</v>
      </c>
      <c r="B2">
        <v>112.8</v>
      </c>
      <c r="D2" s="1" t="s">
        <v>9</v>
      </c>
      <c r="H2" s="1" t="s">
        <v>10</v>
      </c>
      <c r="I2" t="s">
        <v>17</v>
      </c>
      <c r="L2" s="1" t="s">
        <v>11</v>
      </c>
      <c r="M2" t="s">
        <v>18</v>
      </c>
    </row>
    <row r="3" spans="1:23" x14ac:dyDescent="0.2">
      <c r="A3" t="s">
        <v>2</v>
      </c>
      <c r="B3">
        <v>5.3191434131488302</v>
      </c>
      <c r="E3" t="s">
        <v>7</v>
      </c>
      <c r="F3" t="s">
        <v>8</v>
      </c>
      <c r="H3" t="s">
        <v>7</v>
      </c>
      <c r="I3" t="s">
        <v>8</v>
      </c>
    </row>
    <row r="4" spans="1:23" x14ac:dyDescent="0.2">
      <c r="A4" t="s">
        <v>3</v>
      </c>
      <c r="B4">
        <f>(B7*B1)/(EXP(2)*B2)</f>
        <v>3.994310504887686E-2</v>
      </c>
      <c r="E4">
        <v>1</v>
      </c>
      <c r="F4">
        <f>0.082*300*EXP(-($B$3)/(0.082*300*E4))-(7*(E4-$B$4))</f>
        <v>13.09622414097274</v>
      </c>
      <c r="H4" s="2">
        <v>3.3335144785159856</v>
      </c>
      <c r="I4" s="2">
        <f>0.082*300*EXP(-($B$3)/(0.082*300*H4))-(7*(H4-$B$4))</f>
        <v>-6.5394182513500709E-6</v>
      </c>
      <c r="M4" s="2" t="s">
        <v>12</v>
      </c>
      <c r="O4" s="2" t="s">
        <v>13</v>
      </c>
      <c r="P4" s="2"/>
      <c r="Q4" s="2"/>
    </row>
    <row r="5" spans="1:23" x14ac:dyDescent="0.2">
      <c r="A5" t="s">
        <v>4</v>
      </c>
      <c r="B5">
        <v>300</v>
      </c>
      <c r="E5">
        <v>2</v>
      </c>
      <c r="F5">
        <f t="shared" ref="F5:F15" si="0">0.082*300*EXP(-($B$3)/(0.082*300*E5))-(7*(E5-$B$4))</f>
        <v>8.3587527873756571</v>
      </c>
      <c r="M5" t="s">
        <v>7</v>
      </c>
      <c r="N5" t="s">
        <v>14</v>
      </c>
      <c r="O5" t="s">
        <v>15</v>
      </c>
    </row>
    <row r="6" spans="1:23" x14ac:dyDescent="0.2">
      <c r="A6" t="s">
        <v>5</v>
      </c>
      <c r="B6">
        <v>7</v>
      </c>
      <c r="E6">
        <v>3</v>
      </c>
      <c r="F6">
        <f>0.082*300*EXP(-($B$3)/(0.082*300*E6))-(7*(E6-$B$4))</f>
        <v>2.1689423978054094</v>
      </c>
      <c r="L6" s="2" t="s">
        <v>16</v>
      </c>
      <c r="M6" s="4">
        <v>3</v>
      </c>
      <c r="N6" s="4">
        <f>0.082*300*EXP(-($B$3)/(0.082*300*M6))-(7*(M6-$B$4))</f>
        <v>2.1689423978054094</v>
      </c>
      <c r="O6">
        <f>0.082*300*($B$3/(0.082*300*M6^2)*EXP(-($B$3)/(0.082*300*M6)))-$B$6</f>
        <v>-6.4500827207946649</v>
      </c>
    </row>
    <row r="7" spans="1:23" x14ac:dyDescent="0.2">
      <c r="A7" t="s">
        <v>6</v>
      </c>
      <c r="B7">
        <v>8.2000000000000003E-2</v>
      </c>
      <c r="E7">
        <v>4</v>
      </c>
      <c r="F7">
        <f t="shared" si="0"/>
        <v>-4.4148814096292099</v>
      </c>
      <c r="M7" s="3">
        <f>M6-(N6/O6)</f>
        <v>3.3362658266091492</v>
      </c>
      <c r="N7" s="4">
        <f>0.082*300*EXP(-($B$3)/(0.082*300*M7))-(7*(M7-$B$4))</f>
        <v>-1.8032684533256571E-2</v>
      </c>
      <c r="O7">
        <f>0.082*300*($B$3/(0.082*300*M7^2)*EXP(-($B$3)/(0.082*300*M7)))-$B$6</f>
        <v>-6.5521077724036907</v>
      </c>
    </row>
    <row r="8" spans="1:23" x14ac:dyDescent="0.2">
      <c r="E8">
        <v>5</v>
      </c>
      <c r="F8">
        <f t="shared" si="0"/>
        <v>-11.161552305196746</v>
      </c>
      <c r="M8" s="3">
        <f t="shared" ref="M8:M12" si="1">M7-(N7/O7)</f>
        <v>3.3335136306502844</v>
      </c>
      <c r="N8" s="4">
        <f t="shared" ref="N8:N12" si="2">0.082*300*EXP(-($B$3)/(0.082*300*M8))-(7*(M8-$B$4))</f>
        <v>-9.847176727362239E-7</v>
      </c>
      <c r="O8">
        <f t="shared" ref="O8:O12" si="3">0.082*300*($B$3/(0.082*300*M8^2)*EXP(-($B$3)/(0.082*300*M8)))-$B$6</f>
        <v>-6.5513918998032121</v>
      </c>
    </row>
    <row r="9" spans="1:23" x14ac:dyDescent="0.2">
      <c r="E9">
        <v>6</v>
      </c>
      <c r="F9">
        <f t="shared" si="0"/>
        <v>-17.991138261518348</v>
      </c>
      <c r="M9" s="3">
        <f t="shared" si="1"/>
        <v>3.3335134803436492</v>
      </c>
      <c r="N9" s="4">
        <f t="shared" si="2"/>
        <v>0</v>
      </c>
      <c r="O9">
        <f t="shared" si="3"/>
        <v>-6.5513918606601749</v>
      </c>
    </row>
    <row r="10" spans="1:23" x14ac:dyDescent="0.2">
      <c r="E10">
        <v>7</v>
      </c>
      <c r="F10">
        <f t="shared" si="0"/>
        <v>-24.868659750164444</v>
      </c>
      <c r="M10" s="3">
        <f t="shared" si="1"/>
        <v>3.3335134803436492</v>
      </c>
      <c r="N10" s="4">
        <f t="shared" si="2"/>
        <v>0</v>
      </c>
      <c r="O10">
        <f t="shared" si="3"/>
        <v>-6.5513918606601749</v>
      </c>
    </row>
    <row r="11" spans="1:23" x14ac:dyDescent="0.2">
      <c r="E11">
        <v>8</v>
      </c>
      <c r="F11">
        <f t="shared" si="0"/>
        <v>-31.776386181598244</v>
      </c>
      <c r="M11" s="3">
        <f t="shared" si="1"/>
        <v>3.3335134803436492</v>
      </c>
      <c r="N11" s="4">
        <f t="shared" si="2"/>
        <v>0</v>
      </c>
      <c r="O11">
        <f t="shared" si="3"/>
        <v>-6.5513918606601749</v>
      </c>
    </row>
    <row r="12" spans="1:23" x14ac:dyDescent="0.2">
      <c r="E12">
        <v>9</v>
      </c>
      <c r="F12">
        <f t="shared" si="0"/>
        <v>-38.704371125423151</v>
      </c>
      <c r="M12" s="5">
        <f t="shared" si="1"/>
        <v>3.3335134803436492</v>
      </c>
      <c r="N12" s="4">
        <f t="shared" si="2"/>
        <v>0</v>
      </c>
      <c r="O12">
        <f t="shared" si="3"/>
        <v>-6.5513918606601749</v>
      </c>
    </row>
    <row r="13" spans="1:23" x14ac:dyDescent="0.2">
      <c r="E13">
        <v>10</v>
      </c>
      <c r="F13">
        <f t="shared" si="0"/>
        <v>-45.646603162872523</v>
      </c>
    </row>
    <row r="14" spans="1:23" x14ac:dyDescent="0.2">
      <c r="E14">
        <v>11</v>
      </c>
      <c r="F14">
        <f t="shared" si="0"/>
        <v>-52.5992351266339</v>
      </c>
    </row>
    <row r="15" spans="1:23" x14ac:dyDescent="0.2">
      <c r="E15">
        <v>12</v>
      </c>
      <c r="F15">
        <f t="shared" si="0"/>
        <v>-59.559690574748771</v>
      </c>
    </row>
    <row r="16" spans="1:23" x14ac:dyDescent="0.2">
      <c r="H16" s="1" t="s">
        <v>19</v>
      </c>
      <c r="Q16" s="1" t="s">
        <v>33</v>
      </c>
      <c r="T16" s="1" t="s">
        <v>35</v>
      </c>
      <c r="U16" s="2" t="s">
        <v>36</v>
      </c>
      <c r="W16" s="1" t="s">
        <v>38</v>
      </c>
    </row>
    <row r="17" spans="9:25" x14ac:dyDescent="0.2">
      <c r="I17" s="6" t="s">
        <v>20</v>
      </c>
      <c r="J17" s="7"/>
      <c r="K17" s="7"/>
      <c r="L17" s="7"/>
      <c r="M17" s="7"/>
      <c r="N17" s="7"/>
      <c r="O17" s="7"/>
      <c r="R17" s="3" t="s">
        <v>34</v>
      </c>
      <c r="T17" t="s">
        <v>7</v>
      </c>
      <c r="U17">
        <v>3</v>
      </c>
      <c r="W17" t="s">
        <v>37</v>
      </c>
      <c r="X17" t="s">
        <v>7</v>
      </c>
      <c r="Y17" t="s">
        <v>8</v>
      </c>
    </row>
    <row r="18" spans="9:25" x14ac:dyDescent="0.2">
      <c r="I18" s="6" t="s">
        <v>32</v>
      </c>
      <c r="J18" s="7"/>
      <c r="K18" s="7"/>
      <c r="L18" s="7"/>
      <c r="M18" s="7"/>
      <c r="N18" s="7"/>
      <c r="O18" s="7"/>
      <c r="Q18" t="s">
        <v>5</v>
      </c>
      <c r="R18" cm="1">
        <f t="array" ref="R18">Pressure(3,300)</f>
        <v>7.7326391482114021</v>
      </c>
      <c r="T18" t="s">
        <v>37</v>
      </c>
      <c r="U18">
        <v>300</v>
      </c>
      <c r="W18">
        <v>20</v>
      </c>
      <c r="X18" s="2">
        <v>3.9943122311663692E-2</v>
      </c>
      <c r="Y18">
        <f>0.082*W18*EXP(-($B$3)/(0.082*W18*X18))-(7*(X18-$B$4))</f>
        <v>-1.2083950782365571E-7</v>
      </c>
    </row>
    <row r="19" spans="9:25" x14ac:dyDescent="0.2">
      <c r="I19" s="7"/>
      <c r="J19" s="7"/>
      <c r="K19" s="7" t="s">
        <v>21</v>
      </c>
      <c r="L19" s="7" t="s">
        <v>22</v>
      </c>
      <c r="M19" s="7"/>
      <c r="N19" s="7"/>
      <c r="O19" s="7"/>
      <c r="W19">
        <v>40</v>
      </c>
      <c r="X19" s="2">
        <v>3.994310504887686E-2</v>
      </c>
      <c r="Y19">
        <f t="shared" ref="Y19:Y27" si="4">0.082*W19*EXP(-($B$3)/(0.082*W19*X19))-(7*(X19-$B$4))</f>
        <v>7.6474716985360025E-18</v>
      </c>
    </row>
    <row r="20" spans="9:25" x14ac:dyDescent="0.2">
      <c r="I20" s="7"/>
      <c r="J20" s="7"/>
      <c r="K20" s="7"/>
      <c r="L20" s="7"/>
      <c r="M20" s="7"/>
      <c r="N20" s="7"/>
      <c r="O20" s="7"/>
      <c r="W20">
        <v>60</v>
      </c>
      <c r="X20" s="2">
        <v>3.9943583423604073E-2</v>
      </c>
      <c r="Y20">
        <f t="shared" si="4"/>
        <v>-3.3486144367877646E-6</v>
      </c>
    </row>
    <row r="21" spans="9:25" x14ac:dyDescent="0.2">
      <c r="I21" s="6" t="s">
        <v>23</v>
      </c>
      <c r="J21" s="7"/>
      <c r="K21" s="7" t="s">
        <v>24</v>
      </c>
      <c r="L21" s="7" t="s">
        <v>25</v>
      </c>
      <c r="M21" s="7" t="s">
        <v>26</v>
      </c>
      <c r="N21" s="7" t="s">
        <v>27</v>
      </c>
      <c r="O21" s="7" t="s">
        <v>28</v>
      </c>
      <c r="W21">
        <v>80</v>
      </c>
      <c r="X21" s="2">
        <v>3.9955570877434947E-2</v>
      </c>
      <c r="Y21">
        <f t="shared" si="4"/>
        <v>-8.7250719537468744E-5</v>
      </c>
    </row>
    <row r="22" spans="9:25" x14ac:dyDescent="0.2">
      <c r="I22" s="7" t="s">
        <v>29</v>
      </c>
      <c r="J22" s="7"/>
      <c r="K22" s="7" t="s">
        <v>30</v>
      </c>
      <c r="L22" s="7" t="s">
        <v>30</v>
      </c>
      <c r="M22" s="7"/>
      <c r="N22" s="7"/>
      <c r="O22" s="7"/>
      <c r="W22">
        <v>100</v>
      </c>
      <c r="X22" s="2">
        <v>3.9943268900617002E-2</v>
      </c>
      <c r="Y22">
        <f t="shared" si="4"/>
        <v>-4.210227307242147E-7</v>
      </c>
    </row>
    <row r="23" spans="9:25" x14ac:dyDescent="0.2">
      <c r="I23" s="7" t="s">
        <v>31</v>
      </c>
      <c r="J23" s="7"/>
      <c r="K23" s="7">
        <v>3</v>
      </c>
      <c r="L23" s="4">
        <v>4</v>
      </c>
      <c r="M23" s="4">
        <f>0.082*300*EXP(-($B$3)/(0.082*300*K23))-(7*(K23-$B$4))</f>
        <v>2.1689423978054094</v>
      </c>
      <c r="N23" s="4">
        <f>0.082*300*EXP(-($B$3)/(0.082*300*L23))-(7*(L23-$B$4))</f>
        <v>-4.4148814096292099</v>
      </c>
      <c r="O23" s="7">
        <f>L23-(N23/(N23-M23))*(L23-K23)</f>
        <v>3.3294350610288483</v>
      </c>
      <c r="W23">
        <v>120</v>
      </c>
      <c r="X23" s="2">
        <v>0.65872649830132735</v>
      </c>
      <c r="Y23">
        <f t="shared" si="4"/>
        <v>-3.172699571898363E-4</v>
      </c>
    </row>
    <row r="24" spans="9:25" x14ac:dyDescent="0.2">
      <c r="I24" s="7"/>
      <c r="J24" s="7"/>
      <c r="K24" s="7">
        <f>L23</f>
        <v>4</v>
      </c>
      <c r="L24" s="7">
        <f>O23</f>
        <v>3.3294350610288483</v>
      </c>
      <c r="M24" s="4">
        <f>0.082*300*EXP(-($B$3)/(0.082*300*K24))-(7*(K24-$B$4))</f>
        <v>-4.4148814096292099</v>
      </c>
      <c r="N24" s="4">
        <f>0.082*300*EXP(-($B$3)/(0.082*300*L24))-(7*(L24-$B$4))</f>
        <v>2.671715467847946E-2</v>
      </c>
      <c r="O24" s="7">
        <f>L24-(N24/(N24-M24))*(L24-K24)</f>
        <v>3.3334686509485736</v>
      </c>
      <c r="W24">
        <v>140</v>
      </c>
      <c r="X24" s="2">
        <v>1.127162934288749</v>
      </c>
      <c r="Y24">
        <f t="shared" si="4"/>
        <v>3.7647659098638542E-5</v>
      </c>
    </row>
    <row r="25" spans="9:25" x14ac:dyDescent="0.2">
      <c r="K25" s="7">
        <f t="shared" ref="K25:K29" si="5">L24</f>
        <v>3.3294350610288483</v>
      </c>
      <c r="L25" s="7">
        <f t="shared" ref="L25:L29" si="6">O24</f>
        <v>3.3334686509485736</v>
      </c>
      <c r="M25" s="4">
        <f t="shared" ref="M25:M29" si="7">0.082*300*EXP(-($B$3)/(0.082*300*K25))-(7*(K25-$B$4))</f>
        <v>2.671715467847946E-2</v>
      </c>
      <c r="N25" s="4">
        <f t="shared" ref="N25:N29" si="8">0.082*300*EXP(-($B$3)/(0.082*300*L25))-(7*(L25-$B$4))</f>
        <v>2.936946723330891E-4</v>
      </c>
      <c r="O25" s="7">
        <f t="shared" ref="O25:O29" si="9">L25-(N25/(N25-M25))*(L25-K25)</f>
        <v>3.3335134839821552</v>
      </c>
      <c r="W25">
        <v>160</v>
      </c>
      <c r="X25" s="2">
        <v>1.4596939593542242</v>
      </c>
      <c r="Y25">
        <f t="shared" si="4"/>
        <v>1.3495947976949196E-5</v>
      </c>
    </row>
    <row r="26" spans="9:25" x14ac:dyDescent="0.2">
      <c r="K26" s="7">
        <f t="shared" si="5"/>
        <v>3.3334686509485736</v>
      </c>
      <c r="L26" s="7">
        <f t="shared" si="6"/>
        <v>3.3335134839821552</v>
      </c>
      <c r="M26" s="4">
        <f t="shared" si="7"/>
        <v>2.936946723330891E-4</v>
      </c>
      <c r="N26" s="4">
        <f t="shared" si="8"/>
        <v>-2.3837280593852483E-8</v>
      </c>
      <c r="O26" s="7">
        <f t="shared" si="9"/>
        <v>3.3335134803436457</v>
      </c>
      <c r="W26">
        <v>180</v>
      </c>
      <c r="X26" s="2">
        <v>1.7575992119737571</v>
      </c>
      <c r="Y26">
        <f t="shared" si="4"/>
        <v>1.3828155161377254E-4</v>
      </c>
    </row>
    <row r="27" spans="9:25" x14ac:dyDescent="0.2">
      <c r="K27" s="7">
        <f t="shared" si="5"/>
        <v>3.3335134839821552</v>
      </c>
      <c r="L27" s="7">
        <f t="shared" si="6"/>
        <v>3.3335134803436457</v>
      </c>
      <c r="M27" s="4">
        <f t="shared" si="7"/>
        <v>-2.3837280593852483E-8</v>
      </c>
      <c r="N27" s="4">
        <f t="shared" si="8"/>
        <v>0</v>
      </c>
      <c r="O27" s="7">
        <f t="shared" si="9"/>
        <v>3.3335134803436457</v>
      </c>
      <c r="W27">
        <v>200</v>
      </c>
      <c r="X27" s="2">
        <v>2.0381158990691208</v>
      </c>
      <c r="Y27">
        <f t="shared" si="4"/>
        <v>2.5581305596489301E-5</v>
      </c>
    </row>
    <row r="28" spans="9:25" x14ac:dyDescent="0.2">
      <c r="K28" s="7">
        <f t="shared" si="5"/>
        <v>3.3335134803436457</v>
      </c>
      <c r="L28" s="7">
        <f t="shared" si="6"/>
        <v>3.3335134803436457</v>
      </c>
      <c r="M28" s="4">
        <f t="shared" si="7"/>
        <v>0</v>
      </c>
      <c r="N28" s="4">
        <f t="shared" si="8"/>
        <v>0</v>
      </c>
      <c r="O28" s="7" t="e">
        <f t="shared" si="9"/>
        <v>#DIV/0!</v>
      </c>
    </row>
    <row r="29" spans="9:25" x14ac:dyDescent="0.2">
      <c r="K29" s="8">
        <f t="shared" si="5"/>
        <v>3.3335134803436457</v>
      </c>
      <c r="L29" s="7" t="e">
        <f t="shared" si="6"/>
        <v>#DIV/0!</v>
      </c>
      <c r="M29" s="4">
        <f t="shared" si="7"/>
        <v>0</v>
      </c>
      <c r="N29" s="4" t="e">
        <f t="shared" si="8"/>
        <v>#DIV/0!</v>
      </c>
      <c r="O29" s="7" t="e">
        <f t="shared" si="9"/>
        <v>#DIV/0!</v>
      </c>
    </row>
    <row r="30" spans="9:25" x14ac:dyDescent="0.2">
      <c r="K30" s="7"/>
      <c r="L30" s="7"/>
      <c r="M30" s="4"/>
      <c r="N30" s="4"/>
      <c r="O30" s="7"/>
    </row>
    <row r="31" spans="9:25" x14ac:dyDescent="0.2">
      <c r="K31" s="7"/>
      <c r="L31" s="7"/>
      <c r="M31" s="4"/>
      <c r="N31" s="4"/>
      <c r="O31" s="7"/>
    </row>
    <row r="32" spans="9:25" x14ac:dyDescent="0.2">
      <c r="K32" s="7"/>
      <c r="L32" s="7"/>
      <c r="M32" s="4"/>
      <c r="N32" s="4"/>
      <c r="O32" s="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7BE9-270D-BF4E-8B05-EDBB398E2E4B}">
  <sheetPr codeName="Sheet2"/>
  <dimension ref="B2:K13"/>
  <sheetViews>
    <sheetView tabSelected="1" workbookViewId="0">
      <selection activeCell="M17" sqref="M17"/>
    </sheetView>
  </sheetViews>
  <sheetFormatPr baseColWidth="10" defaultRowHeight="16" x14ac:dyDescent="0.2"/>
  <sheetData>
    <row r="2" spans="2:11" x14ac:dyDescent="0.2">
      <c r="B2" t="s">
        <v>39</v>
      </c>
      <c r="G2" t="s">
        <v>40</v>
      </c>
      <c r="I2" t="s">
        <v>42</v>
      </c>
    </row>
    <row r="3" spans="2:11" x14ac:dyDescent="0.2">
      <c r="B3">
        <v>7.0000000000000007E-2</v>
      </c>
      <c r="C3">
        <v>0.18</v>
      </c>
      <c r="D3">
        <v>0.15</v>
      </c>
      <c r="E3">
        <v>0.24</v>
      </c>
      <c r="G3">
        <f>0.15*70</f>
        <v>10.5</v>
      </c>
      <c r="I3" t="s">
        <v>43</v>
      </c>
    </row>
    <row r="4" spans="2:11" x14ac:dyDescent="0.2">
      <c r="B4">
        <v>0.04</v>
      </c>
      <c r="C4">
        <v>0.24</v>
      </c>
      <c r="D4">
        <v>0.1</v>
      </c>
      <c r="E4">
        <v>0.65</v>
      </c>
      <c r="G4">
        <f>0.25*70</f>
        <v>17.5</v>
      </c>
      <c r="I4" t="s">
        <v>44</v>
      </c>
    </row>
    <row r="5" spans="2:11" x14ac:dyDescent="0.2">
      <c r="B5">
        <v>0.54</v>
      </c>
      <c r="C5">
        <v>0.42</v>
      </c>
      <c r="D5">
        <v>0.54</v>
      </c>
      <c r="E5">
        <v>0.1</v>
      </c>
      <c r="G5">
        <f>0.4*70</f>
        <v>28</v>
      </c>
      <c r="I5" t="s">
        <v>45</v>
      </c>
    </row>
    <row r="6" spans="2:11" x14ac:dyDescent="0.2">
      <c r="B6">
        <v>0.35</v>
      </c>
      <c r="C6">
        <v>0.16</v>
      </c>
      <c r="D6">
        <v>0.21</v>
      </c>
      <c r="E6">
        <v>0.01</v>
      </c>
      <c r="G6">
        <f>0.2*70</f>
        <v>14</v>
      </c>
      <c r="I6" t="s">
        <v>46</v>
      </c>
    </row>
    <row r="9" spans="2:11" x14ac:dyDescent="0.2">
      <c r="E9" t="s">
        <v>41</v>
      </c>
      <c r="J9" t="s">
        <v>47</v>
      </c>
      <c r="K9" t="s">
        <v>48</v>
      </c>
    </row>
    <row r="10" spans="2:11" x14ac:dyDescent="0.2">
      <c r="E10" cm="1">
        <f t="array" ref="E10:H13">MINVERSE(B3:E6)</f>
        <v>-2.8104838709677695</v>
      </c>
      <c r="F10">
        <v>1.2217741935483943</v>
      </c>
      <c r="G10">
        <v>-1.8024193548386984</v>
      </c>
      <c r="H10">
        <v>6.0604838709677411</v>
      </c>
      <c r="J10" t="s">
        <v>43</v>
      </c>
      <c r="K10" cm="1">
        <f t="array" ref="K10:K13" xml:space="preserve"> MMULT(_xlfn.ANCHORARRAY(E10),G3:G6)</f>
        <v>26.250000000000128</v>
      </c>
    </row>
    <row r="11" spans="2:11" x14ac:dyDescent="0.2">
      <c r="E11">
        <v>94.36290322580615</v>
      </c>
      <c r="F11">
        <v>-29.830645161290228</v>
      </c>
      <c r="G11">
        <v>-36.685483870967616</v>
      </c>
      <c r="H11">
        <v>41.137096774193409</v>
      </c>
      <c r="J11" t="s">
        <v>44</v>
      </c>
      <c r="K11">
        <v>17.500000000000114</v>
      </c>
    </row>
    <row r="12" spans="2:11" x14ac:dyDescent="0.2">
      <c r="E12">
        <v>-66.044354838709424</v>
      </c>
      <c r="F12">
        <v>20.245967741935406</v>
      </c>
      <c r="G12">
        <v>30.528225806451513</v>
      </c>
      <c r="H12">
        <v>-36.205645161290214</v>
      </c>
      <c r="J12" t="s">
        <v>45</v>
      </c>
      <c r="K12">
        <v>8.7500000000000568</v>
      </c>
    </row>
    <row r="13" spans="2:11" x14ac:dyDescent="0.2">
      <c r="E13">
        <v>-24.508064516128954</v>
      </c>
      <c r="F13">
        <v>9.3629032258064271</v>
      </c>
      <c r="G13">
        <v>8.9596774193548061</v>
      </c>
      <c r="H13">
        <v>-9.9919354838709324</v>
      </c>
      <c r="J13" t="s">
        <v>46</v>
      </c>
      <c r="K13">
        <v>17.499999999999972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2020-02-26T16:26:30Z</dcterms:created>
  <dcterms:modified xsi:type="dcterms:W3CDTF">2020-02-26T17:14:18Z</dcterms:modified>
</cp:coreProperties>
</file>