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alfan_Alasam/Desktop/"/>
    </mc:Choice>
  </mc:AlternateContent>
  <xr:revisionPtr revIDLastSave="0" documentId="13_ncr:1_{650B36CF-2D18-F64F-B386-325B6D3EBFDD}" xr6:coauthVersionLast="45" xr6:coauthVersionMax="45" xr10:uidLastSave="{00000000-0000-0000-0000-000000000000}"/>
  <bookViews>
    <workbookView xWindow="80" yWindow="460" windowWidth="25520" windowHeight="14200" activeTab="6" xr2:uid="{53F7429F-252D-D849-818E-088A2C4AA8B6}"/>
  </bookViews>
  <sheets>
    <sheet name="Q1(a)" sheetId="1" r:id="rId1"/>
    <sheet name="Q1(b)" sheetId="2" r:id="rId2"/>
    <sheet name="Q2(a)" sheetId="3" r:id="rId3"/>
    <sheet name="Q2(b)" sheetId="5" r:id="rId4"/>
    <sheet name="Q2(c)" sheetId="4" r:id="rId5"/>
    <sheet name="Q2(d)" sheetId="6" r:id="rId6"/>
    <sheet name="Q2(e)" sheetId="8" r:id="rId7"/>
    <sheet name="Q2(f)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4" l="1"/>
  <c r="C5" i="4"/>
  <c r="E5" i="4"/>
  <c r="F5" i="4" s="1"/>
  <c r="H5" i="4"/>
  <c r="I5" i="4"/>
  <c r="B6" i="4"/>
  <c r="C6" i="4"/>
  <c r="E6" i="4"/>
  <c r="F6" i="4"/>
  <c r="H6" i="4"/>
  <c r="I6" i="4"/>
  <c r="B7" i="4"/>
  <c r="C7" i="4"/>
  <c r="E7" i="4"/>
  <c r="F7" i="4"/>
  <c r="H7" i="4"/>
  <c r="I7" i="4"/>
  <c r="B8" i="4"/>
  <c r="C8" i="4"/>
  <c r="E8" i="4"/>
  <c r="F8" i="4"/>
  <c r="H8" i="4"/>
  <c r="I8" i="4"/>
  <c r="B9" i="4"/>
  <c r="C9" i="4"/>
  <c r="E9" i="4"/>
  <c r="F9" i="4"/>
  <c r="H9" i="4"/>
  <c r="I9" i="4"/>
  <c r="B10" i="4"/>
  <c r="C10" i="4"/>
  <c r="E10" i="4"/>
  <c r="F10" i="4"/>
  <c r="H10" i="4"/>
  <c r="I10" i="4"/>
  <c r="B11" i="4"/>
  <c r="C11" i="4"/>
  <c r="E11" i="4"/>
  <c r="F11" i="4"/>
  <c r="H11" i="4"/>
  <c r="I11" i="4"/>
  <c r="B12" i="4"/>
  <c r="C12" i="4"/>
  <c r="E12" i="4"/>
  <c r="F12" i="4"/>
  <c r="H12" i="4"/>
  <c r="I12" i="4"/>
  <c r="B13" i="4"/>
  <c r="C13" i="4"/>
  <c r="E13" i="4"/>
  <c r="F13" i="4"/>
  <c r="H13" i="4"/>
  <c r="I13" i="4"/>
  <c r="B14" i="4"/>
  <c r="C14" i="4"/>
  <c r="E14" i="4"/>
  <c r="F14" i="4"/>
  <c r="H14" i="4"/>
  <c r="I14" i="4"/>
  <c r="B15" i="4"/>
  <c r="C15" i="4"/>
  <c r="E15" i="4"/>
  <c r="F15" i="4"/>
  <c r="H15" i="4"/>
  <c r="I15" i="4"/>
  <c r="B16" i="4"/>
  <c r="C16" i="4"/>
  <c r="E16" i="4"/>
  <c r="F16" i="4"/>
  <c r="H16" i="4"/>
  <c r="I16" i="4"/>
  <c r="B17" i="4"/>
  <c r="C17" i="4"/>
  <c r="E17" i="4"/>
  <c r="F17" i="4"/>
  <c r="H17" i="4"/>
  <c r="I17" i="4"/>
  <c r="B18" i="4"/>
  <c r="C18" i="4"/>
  <c r="E18" i="4"/>
  <c r="F18" i="4"/>
  <c r="H18" i="4"/>
  <c r="I18" i="4"/>
  <c r="B19" i="4"/>
  <c r="C19" i="4"/>
  <c r="E19" i="4"/>
  <c r="F19" i="4"/>
  <c r="H19" i="4"/>
  <c r="I19" i="4"/>
  <c r="B20" i="4"/>
  <c r="C20" i="4"/>
  <c r="E20" i="4"/>
  <c r="F20" i="4"/>
  <c r="H20" i="4"/>
  <c r="I20" i="4"/>
  <c r="B21" i="4"/>
  <c r="C21" i="4"/>
  <c r="E21" i="4"/>
  <c r="F21" i="4"/>
  <c r="H21" i="4"/>
  <c r="I21" i="4"/>
  <c r="B22" i="4"/>
  <c r="C22" i="4"/>
  <c r="E22" i="4"/>
  <c r="F22" i="4"/>
  <c r="H22" i="4"/>
  <c r="I22" i="4"/>
  <c r="B23" i="4"/>
  <c r="C23" i="4"/>
  <c r="E23" i="4"/>
  <c r="F23" i="4"/>
  <c r="H23" i="4"/>
  <c r="I23" i="4"/>
  <c r="B24" i="4"/>
  <c r="C24" i="4"/>
  <c r="E24" i="4"/>
  <c r="F24" i="4"/>
  <c r="H24" i="4"/>
  <c r="I24" i="4"/>
  <c r="H4" i="4" l="1"/>
  <c r="E4" i="4"/>
  <c r="I4" i="4" s="1"/>
  <c r="B4" i="4"/>
  <c r="B6" i="3"/>
  <c r="B7" i="3" s="1"/>
  <c r="B8" i="3" s="1"/>
  <c r="B5" i="3"/>
  <c r="C5" i="3"/>
  <c r="C6" i="3" s="1"/>
  <c r="C7" i="3" s="1"/>
  <c r="D5" i="3"/>
  <c r="D6" i="3" s="1"/>
  <c r="D7" i="3" s="1"/>
  <c r="D8" i="3" s="1"/>
  <c r="B12" i="2"/>
  <c r="D12" i="2" s="1"/>
  <c r="B26" i="2"/>
  <c r="D26" i="2" s="1"/>
  <c r="B27" i="2"/>
  <c r="D27" i="2" s="1"/>
  <c r="B28" i="2"/>
  <c r="D28" i="2" s="1"/>
  <c r="B25" i="2"/>
  <c r="D25" i="2" s="1"/>
  <c r="D19" i="2"/>
  <c r="B19" i="2"/>
  <c r="B20" i="2"/>
  <c r="D20" i="2" s="1"/>
  <c r="B18" i="2"/>
  <c r="D18" i="2" s="1"/>
  <c r="B13" i="2"/>
  <c r="D13" i="2" s="1"/>
  <c r="K6" i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5" i="1"/>
  <c r="C6" i="1"/>
  <c r="C7" i="1" s="1"/>
  <c r="C8" i="1" s="1"/>
  <c r="C9" i="1" s="1"/>
  <c r="C10" i="1" s="1"/>
  <c r="C11" i="1" s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B6" i="1"/>
  <c r="B7" i="1"/>
  <c r="B8" i="1"/>
  <c r="B9" i="1"/>
  <c r="B10" i="1"/>
  <c r="B11" i="1"/>
  <c r="B5" i="1"/>
  <c r="D21" i="2" l="1"/>
  <c r="E21" i="2" s="1"/>
  <c r="D29" i="2"/>
  <c r="E29" i="2" s="1"/>
  <c r="D9" i="3"/>
  <c r="C8" i="3"/>
  <c r="B9" i="3" s="1"/>
  <c r="F4" i="4"/>
  <c r="C4" i="4"/>
  <c r="D14" i="2"/>
  <c r="E14" i="2" s="1"/>
  <c r="C9" i="3"/>
  <c r="C10" i="3" l="1"/>
  <c r="D10" i="3"/>
  <c r="B10" i="3"/>
  <c r="B11" i="3" l="1"/>
  <c r="D11" i="3"/>
  <c r="C11" i="3"/>
  <c r="C12" i="3" s="1"/>
  <c r="D12" i="3" l="1"/>
  <c r="D13" i="3" s="1"/>
  <c r="B12" i="3"/>
  <c r="B13" i="3" s="1"/>
  <c r="C13" i="3" l="1"/>
  <c r="C14" i="3" s="1"/>
  <c r="D14" i="3" l="1"/>
  <c r="D15" i="3" s="1"/>
  <c r="B14" i="3"/>
  <c r="B15" i="3" s="1"/>
  <c r="C15" i="3" l="1"/>
  <c r="C16" i="3" s="1"/>
  <c r="D16" i="3" l="1"/>
  <c r="D17" i="3" s="1"/>
  <c r="B16" i="3"/>
  <c r="B17" i="3" s="1"/>
  <c r="C17" i="3" l="1"/>
  <c r="C18" i="3" s="1"/>
  <c r="D18" i="3" l="1"/>
  <c r="D19" i="3" s="1"/>
  <c r="B18" i="3"/>
  <c r="B19" i="3" s="1"/>
  <c r="C19" i="3" l="1"/>
  <c r="C20" i="3" s="1"/>
  <c r="D20" i="3" l="1"/>
  <c r="D21" i="3" s="1"/>
  <c r="B20" i="3"/>
  <c r="B21" i="3" s="1"/>
  <c r="C21" i="3" l="1"/>
  <c r="C22" i="3" s="1"/>
  <c r="D22" i="3" l="1"/>
  <c r="D23" i="3" s="1"/>
  <c r="B22" i="3"/>
  <c r="B23" i="3" s="1"/>
  <c r="C23" i="3" l="1"/>
  <c r="C24" i="3" s="1"/>
  <c r="D24" i="3" l="1"/>
  <c r="B24" i="3"/>
</calcChain>
</file>

<file path=xl/sharedStrings.xml><?xml version="1.0" encoding="utf-8"?>
<sst xmlns="http://schemas.openxmlformats.org/spreadsheetml/2006/main" count="107" uniqueCount="39">
  <si>
    <t>Trapezoidal rule</t>
  </si>
  <si>
    <t>1a)</t>
  </si>
  <si>
    <t>x</t>
  </si>
  <si>
    <t>f(x)</t>
  </si>
  <si>
    <t>f(x) =</t>
  </si>
  <si>
    <t>(2+3x)^2</t>
  </si>
  <si>
    <t>h</t>
  </si>
  <si>
    <t>h =</t>
  </si>
  <si>
    <t>Integration</t>
  </si>
  <si>
    <t xml:space="preserve">f(x) = </t>
  </si>
  <si>
    <t>Modified equation :-</t>
  </si>
  <si>
    <t xml:space="preserve">x = </t>
  </si>
  <si>
    <t>3/2(y)+(3/2)</t>
  </si>
  <si>
    <t xml:space="preserve"> f(y) = (2+3(3/2(y)+(3/2))^2</t>
  </si>
  <si>
    <t>y</t>
  </si>
  <si>
    <t>f(y)</t>
  </si>
  <si>
    <t>Weight</t>
  </si>
  <si>
    <t>f(y)*wt</t>
  </si>
  <si>
    <t>Integral =</t>
  </si>
  <si>
    <t>n = 3</t>
  </si>
  <si>
    <t>n = 2</t>
  </si>
  <si>
    <t>n = 4</t>
  </si>
  <si>
    <t>The new integral is from 0 to 1 using the new function  f(y) = (2+3((3/2)(y)+3/2))^2</t>
  </si>
  <si>
    <t>K1 =</t>
  </si>
  <si>
    <t>K2 =</t>
  </si>
  <si>
    <t xml:space="preserve">K3 = </t>
  </si>
  <si>
    <t>Time</t>
  </si>
  <si>
    <t>Ca</t>
  </si>
  <si>
    <t>Cb</t>
  </si>
  <si>
    <t>Cc</t>
  </si>
  <si>
    <t>k1</t>
  </si>
  <si>
    <t>k2</t>
  </si>
  <si>
    <t>N</t>
  </si>
  <si>
    <t>TimeMax</t>
  </si>
  <si>
    <t>I tried using the VBA code from the practice exam but it will stop at 3 with 1 interval instead of going through all of the interval</t>
  </si>
  <si>
    <t>k3</t>
  </si>
  <si>
    <t>k4</t>
  </si>
  <si>
    <t>I tried the book method but not sure why iam not gettting the expected values</t>
  </si>
  <si>
    <t xml:space="preserve">I know that we have to convert the range of the integration but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</si>
</sst>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CCE1-78EC-0547-8757-29E2101694A8}">
  <sheetPr codeName="Sheet1"/>
  <dimension ref="A1:K35"/>
  <sheetViews>
    <sheetView workbookViewId="0">
      <selection activeCell="D24" sqref="D24"/>
    </sheetView>
  </sheetViews>
  <sheetFormatPr baseColWidth="10" defaultRowHeight="16" x14ac:dyDescent="0.2"/>
  <sheetData>
    <row r="1" spans="1:11" x14ac:dyDescent="0.2">
      <c r="A1" t="s">
        <v>1</v>
      </c>
      <c r="B1" t="s">
        <v>0</v>
      </c>
      <c r="D1" t="s">
        <v>4</v>
      </c>
      <c r="E1" t="s">
        <v>5</v>
      </c>
    </row>
    <row r="3" spans="1:11" x14ac:dyDescent="0.2">
      <c r="B3" t="s">
        <v>7</v>
      </c>
      <c r="C3" s="1">
        <v>0.5</v>
      </c>
      <c r="F3" t="s">
        <v>7</v>
      </c>
      <c r="G3" s="1">
        <v>0.2</v>
      </c>
      <c r="J3" t="s">
        <v>7</v>
      </c>
      <c r="K3" s="1">
        <v>0.1</v>
      </c>
    </row>
    <row r="4" spans="1:11" x14ac:dyDescent="0.2">
      <c r="A4" t="s">
        <v>2</v>
      </c>
      <c r="B4" t="s">
        <v>3</v>
      </c>
      <c r="C4" t="s">
        <v>8</v>
      </c>
      <c r="E4" t="s">
        <v>2</v>
      </c>
      <c r="F4" t="s">
        <v>3</v>
      </c>
      <c r="G4" t="s">
        <v>8</v>
      </c>
      <c r="I4" t="s">
        <v>2</v>
      </c>
      <c r="J4" t="s">
        <v>3</v>
      </c>
      <c r="K4" t="s">
        <v>8</v>
      </c>
    </row>
    <row r="5" spans="1:11" x14ac:dyDescent="0.2">
      <c r="A5">
        <v>0</v>
      </c>
      <c r="B5">
        <f>(2+3*A5)^2</f>
        <v>4</v>
      </c>
      <c r="C5">
        <v>0</v>
      </c>
      <c r="E5">
        <v>0</v>
      </c>
      <c r="F5">
        <f>(2+3*E5)^2</f>
        <v>4</v>
      </c>
      <c r="G5">
        <v>0</v>
      </c>
      <c r="I5">
        <v>0</v>
      </c>
      <c r="J5">
        <f>(2+3*I5)^2</f>
        <v>4</v>
      </c>
      <c r="K5">
        <v>0</v>
      </c>
    </row>
    <row r="6" spans="1:11" x14ac:dyDescent="0.2">
      <c r="A6">
        <v>0.5</v>
      </c>
      <c r="B6">
        <f t="shared" ref="B6:B11" si="0">(2+3*A6)^2</f>
        <v>12.25</v>
      </c>
      <c r="C6">
        <f>C5+$C$3*(B5+B6)/2</f>
        <v>4.0625</v>
      </c>
      <c r="E6">
        <v>0.2</v>
      </c>
      <c r="F6">
        <f t="shared" ref="F6:F20" si="1">(2+3*E6)^2</f>
        <v>6.7600000000000007</v>
      </c>
      <c r="G6">
        <f>G5+$G$3*(F5+F6)/2</f>
        <v>1.0760000000000003</v>
      </c>
      <c r="I6">
        <v>0.1</v>
      </c>
      <c r="J6">
        <f t="shared" ref="J6:J35" si="2">(2+3*I6)^2</f>
        <v>5.2899999999999991</v>
      </c>
      <c r="K6">
        <f>K5+$K$3*(J5+J6)/2</f>
        <v>0.46449999999999997</v>
      </c>
    </row>
    <row r="7" spans="1:11" x14ac:dyDescent="0.2">
      <c r="A7">
        <v>1</v>
      </c>
      <c r="B7">
        <f t="shared" si="0"/>
        <v>25</v>
      </c>
      <c r="C7">
        <f t="shared" ref="C7:C11" si="3">C6+$C$3*(B6+B7)/2</f>
        <v>13.375</v>
      </c>
      <c r="E7">
        <v>0.4</v>
      </c>
      <c r="F7">
        <f t="shared" si="1"/>
        <v>10.240000000000002</v>
      </c>
      <c r="G7">
        <f t="shared" ref="G7:G20" si="4">G6+$G$3*(F6+F7)/2</f>
        <v>2.7760000000000007</v>
      </c>
      <c r="I7">
        <v>0.2</v>
      </c>
      <c r="J7">
        <f t="shared" si="2"/>
        <v>6.7600000000000007</v>
      </c>
      <c r="K7">
        <f t="shared" ref="K7:K35" si="5">K6+$K$3*(J6+J7)/2</f>
        <v>1.0669999999999999</v>
      </c>
    </row>
    <row r="8" spans="1:11" x14ac:dyDescent="0.2">
      <c r="A8">
        <v>1.5</v>
      </c>
      <c r="B8">
        <f t="shared" si="0"/>
        <v>42.25</v>
      </c>
      <c r="C8">
        <f t="shared" si="3"/>
        <v>30.1875</v>
      </c>
      <c r="E8">
        <v>0.6</v>
      </c>
      <c r="F8">
        <f t="shared" si="1"/>
        <v>14.44</v>
      </c>
      <c r="G8">
        <f t="shared" si="4"/>
        <v>5.2440000000000007</v>
      </c>
      <c r="I8">
        <v>0.3</v>
      </c>
      <c r="J8">
        <f t="shared" si="2"/>
        <v>8.41</v>
      </c>
      <c r="K8">
        <f t="shared" si="5"/>
        <v>1.8255000000000001</v>
      </c>
    </row>
    <row r="9" spans="1:11" x14ac:dyDescent="0.2">
      <c r="A9">
        <v>2</v>
      </c>
      <c r="B9">
        <f t="shared" si="0"/>
        <v>64</v>
      </c>
      <c r="C9">
        <f t="shared" si="3"/>
        <v>56.75</v>
      </c>
      <c r="E9">
        <v>0.8</v>
      </c>
      <c r="F9">
        <f t="shared" si="1"/>
        <v>19.360000000000003</v>
      </c>
      <c r="G9">
        <f t="shared" si="4"/>
        <v>8.6240000000000023</v>
      </c>
      <c r="I9">
        <v>0.4</v>
      </c>
      <c r="J9">
        <f t="shared" si="2"/>
        <v>10.240000000000002</v>
      </c>
      <c r="K9">
        <f t="shared" si="5"/>
        <v>2.758</v>
      </c>
    </row>
    <row r="10" spans="1:11" x14ac:dyDescent="0.2">
      <c r="A10">
        <v>2.5</v>
      </c>
      <c r="B10">
        <f t="shared" si="0"/>
        <v>90.25</v>
      </c>
      <c r="C10">
        <f t="shared" si="3"/>
        <v>95.3125</v>
      </c>
      <c r="E10">
        <v>1</v>
      </c>
      <c r="F10">
        <f t="shared" si="1"/>
        <v>25</v>
      </c>
      <c r="G10">
        <f t="shared" si="4"/>
        <v>13.060000000000002</v>
      </c>
      <c r="I10">
        <v>0.5</v>
      </c>
      <c r="J10">
        <f t="shared" si="2"/>
        <v>12.25</v>
      </c>
      <c r="K10">
        <f t="shared" si="5"/>
        <v>3.8825000000000003</v>
      </c>
    </row>
    <row r="11" spans="1:11" x14ac:dyDescent="0.2">
      <c r="A11">
        <v>3</v>
      </c>
      <c r="B11">
        <f t="shared" si="0"/>
        <v>121</v>
      </c>
      <c r="C11" s="1">
        <f t="shared" si="3"/>
        <v>148.125</v>
      </c>
      <c r="E11">
        <v>1.2</v>
      </c>
      <c r="F11">
        <f t="shared" si="1"/>
        <v>31.359999999999996</v>
      </c>
      <c r="G11">
        <f t="shared" si="4"/>
        <v>18.696000000000002</v>
      </c>
      <c r="I11">
        <v>0.6</v>
      </c>
      <c r="J11">
        <f t="shared" si="2"/>
        <v>14.44</v>
      </c>
      <c r="K11">
        <f t="shared" si="5"/>
        <v>5.2170000000000005</v>
      </c>
    </row>
    <row r="12" spans="1:11" x14ac:dyDescent="0.2">
      <c r="E12">
        <v>1.4</v>
      </c>
      <c r="F12">
        <f t="shared" si="1"/>
        <v>38.439999999999991</v>
      </c>
      <c r="G12">
        <f t="shared" si="4"/>
        <v>25.676000000000002</v>
      </c>
      <c r="I12">
        <v>0.7</v>
      </c>
      <c r="J12">
        <f t="shared" si="2"/>
        <v>16.809999999999999</v>
      </c>
      <c r="K12">
        <f t="shared" si="5"/>
        <v>6.7795000000000005</v>
      </c>
    </row>
    <row r="13" spans="1:11" x14ac:dyDescent="0.2">
      <c r="E13">
        <v>1.6</v>
      </c>
      <c r="F13">
        <f t="shared" si="1"/>
        <v>46.240000000000009</v>
      </c>
      <c r="G13">
        <f t="shared" si="4"/>
        <v>34.144000000000005</v>
      </c>
      <c r="I13">
        <v>0.8</v>
      </c>
      <c r="J13">
        <f t="shared" si="2"/>
        <v>19.360000000000003</v>
      </c>
      <c r="K13">
        <f t="shared" si="5"/>
        <v>8.588000000000001</v>
      </c>
    </row>
    <row r="14" spans="1:11" x14ac:dyDescent="0.2">
      <c r="E14">
        <v>1.8</v>
      </c>
      <c r="F14">
        <f t="shared" si="1"/>
        <v>54.760000000000005</v>
      </c>
      <c r="G14">
        <f t="shared" si="4"/>
        <v>44.244000000000007</v>
      </c>
      <c r="I14">
        <v>0.9</v>
      </c>
      <c r="J14">
        <f t="shared" si="2"/>
        <v>22.090000000000003</v>
      </c>
      <c r="K14">
        <f t="shared" si="5"/>
        <v>10.660500000000001</v>
      </c>
    </row>
    <row r="15" spans="1:11" x14ac:dyDescent="0.2">
      <c r="E15">
        <v>2</v>
      </c>
      <c r="F15">
        <f t="shared" si="1"/>
        <v>64</v>
      </c>
      <c r="G15">
        <f t="shared" si="4"/>
        <v>56.120000000000005</v>
      </c>
      <c r="I15">
        <v>1</v>
      </c>
      <c r="J15">
        <f t="shared" si="2"/>
        <v>25</v>
      </c>
      <c r="K15">
        <f t="shared" si="5"/>
        <v>13.015000000000001</v>
      </c>
    </row>
    <row r="16" spans="1:11" x14ac:dyDescent="0.2">
      <c r="E16">
        <v>2.2000000000000002</v>
      </c>
      <c r="F16">
        <f t="shared" si="1"/>
        <v>73.960000000000022</v>
      </c>
      <c r="G16">
        <f t="shared" si="4"/>
        <v>69.916000000000011</v>
      </c>
      <c r="I16">
        <v>1.1000000000000001</v>
      </c>
      <c r="J16">
        <f t="shared" si="2"/>
        <v>28.090000000000007</v>
      </c>
      <c r="K16">
        <f t="shared" si="5"/>
        <v>15.669500000000001</v>
      </c>
    </row>
    <row r="17" spans="5:11" x14ac:dyDescent="0.2">
      <c r="E17">
        <v>2.4</v>
      </c>
      <c r="F17">
        <f t="shared" si="1"/>
        <v>84.639999999999986</v>
      </c>
      <c r="G17">
        <f t="shared" si="4"/>
        <v>85.77600000000001</v>
      </c>
      <c r="I17">
        <v>1.2</v>
      </c>
      <c r="J17">
        <f t="shared" si="2"/>
        <v>31.359999999999996</v>
      </c>
      <c r="K17">
        <f t="shared" si="5"/>
        <v>18.642000000000003</v>
      </c>
    </row>
    <row r="18" spans="5:11" x14ac:dyDescent="0.2">
      <c r="E18">
        <v>2.6</v>
      </c>
      <c r="F18">
        <f t="shared" si="1"/>
        <v>96.04000000000002</v>
      </c>
      <c r="G18">
        <f t="shared" si="4"/>
        <v>103.84400000000001</v>
      </c>
      <c r="I18">
        <v>1.3</v>
      </c>
      <c r="J18">
        <f t="shared" si="2"/>
        <v>34.81</v>
      </c>
      <c r="K18">
        <f t="shared" si="5"/>
        <v>21.950500000000005</v>
      </c>
    </row>
    <row r="19" spans="5:11" x14ac:dyDescent="0.2">
      <c r="E19">
        <v>2.8</v>
      </c>
      <c r="F19">
        <f t="shared" si="1"/>
        <v>108.15999999999997</v>
      </c>
      <c r="G19">
        <f t="shared" si="4"/>
        <v>124.26400000000001</v>
      </c>
      <c r="I19">
        <v>1.4</v>
      </c>
      <c r="J19">
        <f t="shared" si="2"/>
        <v>38.439999999999991</v>
      </c>
      <c r="K19">
        <f t="shared" si="5"/>
        <v>25.613000000000007</v>
      </c>
    </row>
    <row r="20" spans="5:11" x14ac:dyDescent="0.2">
      <c r="E20">
        <v>3</v>
      </c>
      <c r="F20">
        <f t="shared" si="1"/>
        <v>121</v>
      </c>
      <c r="G20" s="1">
        <f t="shared" si="4"/>
        <v>147.18</v>
      </c>
      <c r="I20">
        <v>1.5</v>
      </c>
      <c r="J20">
        <f t="shared" si="2"/>
        <v>42.25</v>
      </c>
      <c r="K20">
        <f t="shared" si="5"/>
        <v>29.647500000000008</v>
      </c>
    </row>
    <row r="21" spans="5:11" x14ac:dyDescent="0.2">
      <c r="I21">
        <v>1.6</v>
      </c>
      <c r="J21">
        <f t="shared" si="2"/>
        <v>46.240000000000009</v>
      </c>
      <c r="K21">
        <f t="shared" si="5"/>
        <v>34.07200000000001</v>
      </c>
    </row>
    <row r="22" spans="5:11" x14ac:dyDescent="0.2">
      <c r="I22">
        <v>1.7</v>
      </c>
      <c r="J22">
        <f t="shared" si="2"/>
        <v>50.41</v>
      </c>
      <c r="K22">
        <f t="shared" si="5"/>
        <v>38.904500000000013</v>
      </c>
    </row>
    <row r="23" spans="5:11" x14ac:dyDescent="0.2">
      <c r="I23">
        <v>1.8</v>
      </c>
      <c r="J23">
        <f t="shared" si="2"/>
        <v>54.760000000000005</v>
      </c>
      <c r="K23">
        <f t="shared" si="5"/>
        <v>44.163000000000011</v>
      </c>
    </row>
    <row r="24" spans="5:11" x14ac:dyDescent="0.2">
      <c r="I24">
        <v>1.9</v>
      </c>
      <c r="J24">
        <f t="shared" si="2"/>
        <v>59.289999999999992</v>
      </c>
      <c r="K24">
        <f t="shared" si="5"/>
        <v>49.865500000000011</v>
      </c>
    </row>
    <row r="25" spans="5:11" x14ac:dyDescent="0.2">
      <c r="I25">
        <v>2</v>
      </c>
      <c r="J25">
        <f t="shared" si="2"/>
        <v>64</v>
      </c>
      <c r="K25">
        <f t="shared" si="5"/>
        <v>56.030000000000015</v>
      </c>
    </row>
    <row r="26" spans="5:11" x14ac:dyDescent="0.2">
      <c r="I26">
        <v>2.1</v>
      </c>
      <c r="J26">
        <f t="shared" si="2"/>
        <v>68.890000000000015</v>
      </c>
      <c r="K26">
        <f t="shared" si="5"/>
        <v>62.674500000000016</v>
      </c>
    </row>
    <row r="27" spans="5:11" x14ac:dyDescent="0.2">
      <c r="I27">
        <v>2.2000000000000002</v>
      </c>
      <c r="J27">
        <f t="shared" si="2"/>
        <v>73.960000000000022</v>
      </c>
      <c r="K27">
        <f t="shared" si="5"/>
        <v>69.817000000000021</v>
      </c>
    </row>
    <row r="28" spans="5:11" x14ac:dyDescent="0.2">
      <c r="I28">
        <v>2.2999999999999998</v>
      </c>
      <c r="J28">
        <f t="shared" si="2"/>
        <v>79.20999999999998</v>
      </c>
      <c r="K28">
        <f t="shared" si="5"/>
        <v>77.475500000000025</v>
      </c>
    </row>
    <row r="29" spans="5:11" x14ac:dyDescent="0.2">
      <c r="I29">
        <v>2.4</v>
      </c>
      <c r="J29">
        <f t="shared" si="2"/>
        <v>84.639999999999986</v>
      </c>
      <c r="K29">
        <f t="shared" si="5"/>
        <v>85.668000000000021</v>
      </c>
    </row>
    <row r="30" spans="5:11" x14ac:dyDescent="0.2">
      <c r="I30">
        <v>2.5</v>
      </c>
      <c r="J30">
        <f t="shared" si="2"/>
        <v>90.25</v>
      </c>
      <c r="K30">
        <f t="shared" si="5"/>
        <v>94.412500000000023</v>
      </c>
    </row>
    <row r="31" spans="5:11" x14ac:dyDescent="0.2">
      <c r="I31">
        <v>2.6</v>
      </c>
      <c r="J31">
        <f t="shared" si="2"/>
        <v>96.04000000000002</v>
      </c>
      <c r="K31">
        <f t="shared" si="5"/>
        <v>103.72700000000002</v>
      </c>
    </row>
    <row r="32" spans="5:11" x14ac:dyDescent="0.2">
      <c r="I32">
        <v>2.7</v>
      </c>
      <c r="J32">
        <f t="shared" si="2"/>
        <v>102.01000000000003</v>
      </c>
      <c r="K32">
        <f t="shared" si="5"/>
        <v>113.62950000000002</v>
      </c>
    </row>
    <row r="33" spans="9:11" x14ac:dyDescent="0.2">
      <c r="I33">
        <v>2.8</v>
      </c>
      <c r="J33">
        <f t="shared" si="2"/>
        <v>108.15999999999997</v>
      </c>
      <c r="K33">
        <f t="shared" si="5"/>
        <v>124.13800000000002</v>
      </c>
    </row>
    <row r="34" spans="9:11" x14ac:dyDescent="0.2">
      <c r="I34">
        <v>2.9</v>
      </c>
      <c r="J34">
        <f t="shared" si="2"/>
        <v>114.48999999999998</v>
      </c>
      <c r="K34">
        <f t="shared" si="5"/>
        <v>135.27050000000003</v>
      </c>
    </row>
    <row r="35" spans="9:11" x14ac:dyDescent="0.2">
      <c r="I35">
        <v>3</v>
      </c>
      <c r="J35">
        <f t="shared" si="2"/>
        <v>121</v>
      </c>
      <c r="K35" s="1">
        <f t="shared" si="5"/>
        <v>147.04500000000002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63C8-8C74-1E48-BDB5-0F03191EC822}">
  <sheetPr codeName="Sheet2"/>
  <dimension ref="A1:F29"/>
  <sheetViews>
    <sheetView topLeftCell="A9" workbookViewId="0">
      <selection activeCell="H21" sqref="H21"/>
    </sheetView>
  </sheetViews>
  <sheetFormatPr baseColWidth="10" defaultRowHeight="16" x14ac:dyDescent="0.2"/>
  <sheetData>
    <row r="1" spans="1:6" x14ac:dyDescent="0.2">
      <c r="A1" t="s">
        <v>9</v>
      </c>
      <c r="B1" t="s">
        <v>5</v>
      </c>
    </row>
    <row r="3" spans="1:6" x14ac:dyDescent="0.2">
      <c r="A3" t="s">
        <v>10</v>
      </c>
      <c r="C3" t="s">
        <v>11</v>
      </c>
      <c r="D3" t="s">
        <v>12</v>
      </c>
    </row>
    <row r="5" spans="1:6" x14ac:dyDescent="0.2">
      <c r="A5" t="s">
        <v>22</v>
      </c>
    </row>
    <row r="7" spans="1:6" x14ac:dyDescent="0.2">
      <c r="A7" t="s">
        <v>13</v>
      </c>
    </row>
    <row r="10" spans="1:6" x14ac:dyDescent="0.2">
      <c r="A10" s="1" t="s">
        <v>20</v>
      </c>
    </row>
    <row r="11" spans="1:6" x14ac:dyDescent="0.2">
      <c r="A11" t="s">
        <v>14</v>
      </c>
      <c r="B11" t="s">
        <v>15</v>
      </c>
      <c r="C11" t="s">
        <v>16</v>
      </c>
      <c r="D11" t="s">
        <v>17</v>
      </c>
    </row>
    <row r="12" spans="1:6" x14ac:dyDescent="0.2">
      <c r="A12">
        <v>-0.57735000000000003</v>
      </c>
      <c r="B12">
        <f>(2+(9/2)*A12+9/2)^2</f>
        <v>15.225018705624999</v>
      </c>
      <c r="C12">
        <v>1</v>
      </c>
      <c r="D12">
        <f>B12*C12</f>
        <v>15.225018705624999</v>
      </c>
    </row>
    <row r="13" spans="1:6" x14ac:dyDescent="0.2">
      <c r="A13">
        <v>0.57735000000000003</v>
      </c>
      <c r="B13">
        <f>(2+(9/2)*A13+9/2)^2</f>
        <v>82.774968705625</v>
      </c>
      <c r="C13">
        <v>1</v>
      </c>
      <c r="D13">
        <f>B13*C13</f>
        <v>82.774968705625</v>
      </c>
      <c r="F13" t="s">
        <v>37</v>
      </c>
    </row>
    <row r="14" spans="1:6" x14ac:dyDescent="0.2">
      <c r="C14" s="1" t="s">
        <v>18</v>
      </c>
      <c r="D14" s="1">
        <f>SUM(D12:D13)</f>
        <v>97.999987411250004</v>
      </c>
      <c r="E14">
        <f>(3/2)*D14</f>
        <v>146.99998111687501</v>
      </c>
      <c r="F14" t="s">
        <v>38</v>
      </c>
    </row>
    <row r="16" spans="1:6" x14ac:dyDescent="0.2">
      <c r="A16" s="1" t="s">
        <v>19</v>
      </c>
    </row>
    <row r="17" spans="1:5" x14ac:dyDescent="0.2">
      <c r="A17" t="s">
        <v>14</v>
      </c>
      <c r="B17" t="s">
        <v>15</v>
      </c>
      <c r="C17" t="s">
        <v>16</v>
      </c>
      <c r="D17" t="s">
        <v>17</v>
      </c>
    </row>
    <row r="18" spans="1:5" x14ac:dyDescent="0.2">
      <c r="A18">
        <v>-0.77459999999999996</v>
      </c>
      <c r="B18">
        <f>(2+(9/2)*A18+9/2)^2</f>
        <v>9.0860044900000023</v>
      </c>
      <c r="C18">
        <v>0.55556000000000005</v>
      </c>
      <c r="D18">
        <f>C18*B18</f>
        <v>5.0478206544644015</v>
      </c>
    </row>
    <row r="19" spans="1:5" x14ac:dyDescent="0.2">
      <c r="A19">
        <v>0</v>
      </c>
      <c r="B19">
        <f t="shared" ref="B19:B20" si="0">(2+(9/2)*A19+9/2)^2</f>
        <v>42.25</v>
      </c>
      <c r="C19">
        <v>0.88888999999999996</v>
      </c>
      <c r="D19">
        <f t="shared" ref="D19:D20" si="1">C19*B19</f>
        <v>37.555602499999999</v>
      </c>
    </row>
    <row r="20" spans="1:5" x14ac:dyDescent="0.2">
      <c r="A20">
        <v>0.77459999999999996</v>
      </c>
      <c r="B20">
        <f t="shared" si="0"/>
        <v>99.714204489999986</v>
      </c>
      <c r="C20">
        <v>0.55556000000000005</v>
      </c>
      <c r="D20">
        <f t="shared" si="1"/>
        <v>55.397223446464395</v>
      </c>
    </row>
    <row r="21" spans="1:5" x14ac:dyDescent="0.2">
      <c r="C21" s="1" t="s">
        <v>18</v>
      </c>
      <c r="D21" s="1">
        <f>SUM(D18:D20)</f>
        <v>98.000646600928803</v>
      </c>
      <c r="E21">
        <f>(3/2)*D21</f>
        <v>147.0009699013932</v>
      </c>
    </row>
    <row r="23" spans="1:5" x14ac:dyDescent="0.2">
      <c r="A23" s="1" t="s">
        <v>21</v>
      </c>
    </row>
    <row r="24" spans="1:5" x14ac:dyDescent="0.2">
      <c r="A24" t="s">
        <v>14</v>
      </c>
      <c r="B24" t="s">
        <v>15</v>
      </c>
      <c r="C24" t="s">
        <v>16</v>
      </c>
      <c r="D24" t="s">
        <v>17</v>
      </c>
    </row>
    <row r="25" spans="1:5" x14ac:dyDescent="0.2">
      <c r="A25">
        <v>-0.86114000000000002</v>
      </c>
      <c r="B25">
        <f>(2+(9/2)*A25+9/2)^2</f>
        <v>6.8899425169000006</v>
      </c>
      <c r="C25">
        <v>0.34784999999999999</v>
      </c>
      <c r="D25">
        <f>B25*C25</f>
        <v>2.3966665045036653</v>
      </c>
    </row>
    <row r="26" spans="1:5" x14ac:dyDescent="0.2">
      <c r="A26">
        <v>-0.33998</v>
      </c>
      <c r="B26">
        <f t="shared" ref="B26:B28" si="2">(2+(9/2)*A26+9/2)^2</f>
        <v>24.701794608099998</v>
      </c>
      <c r="C26">
        <v>0.65215000000000001</v>
      </c>
      <c r="D26">
        <f t="shared" ref="D26:D28" si="3">B26*C26</f>
        <v>16.109275353672412</v>
      </c>
    </row>
    <row r="27" spans="1:5" x14ac:dyDescent="0.2">
      <c r="A27">
        <v>0.33998</v>
      </c>
      <c r="B27">
        <f t="shared" si="2"/>
        <v>64.479454608100014</v>
      </c>
      <c r="C27">
        <v>0.65215000000000001</v>
      </c>
      <c r="D27">
        <f t="shared" si="3"/>
        <v>42.050276322672424</v>
      </c>
    </row>
    <row r="28" spans="1:5" x14ac:dyDescent="0.2">
      <c r="A28">
        <v>0.86114000000000002</v>
      </c>
      <c r="B28">
        <f t="shared" si="2"/>
        <v>107.64332251690001</v>
      </c>
      <c r="C28">
        <v>0.34784999999999999</v>
      </c>
      <c r="D28">
        <f t="shared" si="3"/>
        <v>37.443729737503666</v>
      </c>
    </row>
    <row r="29" spans="1:5" x14ac:dyDescent="0.2">
      <c r="C29" s="1" t="s">
        <v>18</v>
      </c>
      <c r="D29" s="1">
        <f>SUM(D25:D28)</f>
        <v>97.999947918352177</v>
      </c>
      <c r="E29">
        <f>(3/2)*D29</f>
        <v>146.99992187752827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6442D-EE18-9942-9544-423F6789BC7B}">
  <sheetPr codeName="Sheet3"/>
  <dimension ref="A1:D24"/>
  <sheetViews>
    <sheetView workbookViewId="0">
      <selection activeCell="C5" sqref="C5"/>
    </sheetView>
  </sheetViews>
  <sheetFormatPr baseColWidth="10" defaultRowHeight="16" x14ac:dyDescent="0.2"/>
  <sheetData>
    <row r="1" spans="1:4" x14ac:dyDescent="0.2">
      <c r="A1" t="s">
        <v>23</v>
      </c>
      <c r="B1">
        <v>1</v>
      </c>
      <c r="C1" t="s">
        <v>24</v>
      </c>
      <c r="D1">
        <v>0.5</v>
      </c>
    </row>
    <row r="2" spans="1:4" x14ac:dyDescent="0.2">
      <c r="A2" t="s">
        <v>25</v>
      </c>
      <c r="B2">
        <v>2</v>
      </c>
      <c r="C2" t="s">
        <v>7</v>
      </c>
      <c r="D2">
        <v>0.1</v>
      </c>
    </row>
    <row r="3" spans="1:4" x14ac:dyDescent="0.2">
      <c r="A3" t="s">
        <v>26</v>
      </c>
      <c r="B3" t="s">
        <v>27</v>
      </c>
      <c r="C3" t="s">
        <v>28</v>
      </c>
      <c r="D3" t="s">
        <v>29</v>
      </c>
    </row>
    <row r="4" spans="1:4" x14ac:dyDescent="0.2">
      <c r="A4">
        <v>0</v>
      </c>
      <c r="B4">
        <v>10</v>
      </c>
      <c r="C4">
        <v>0</v>
      </c>
      <c r="D4">
        <v>0</v>
      </c>
    </row>
    <row r="5" spans="1:4" x14ac:dyDescent="0.2">
      <c r="A5">
        <v>0.1</v>
      </c>
      <c r="B5">
        <f>B4+$D$2*(-$B$1*B4+$D$1*C4)</f>
        <v>9</v>
      </c>
      <c r="C5">
        <f>C4+$D$2*($B$1*B4-$D$1*C4-$B$2*C4)</f>
        <v>1</v>
      </c>
      <c r="D5">
        <f>D4+$D$2*(2*$B$2*C4)</f>
        <v>0</v>
      </c>
    </row>
    <row r="6" spans="1:4" x14ac:dyDescent="0.2">
      <c r="A6">
        <v>0.2</v>
      </c>
      <c r="B6">
        <f t="shared" ref="B6:B24" si="0">B5+$D$2*(-$B$1*B5+$D$1*C5)</f>
        <v>8.15</v>
      </c>
      <c r="C6">
        <f t="shared" ref="C6:C24" si="1">C5+$D$2*($B$1*B5-$D$1*C5-$B$2*C5)</f>
        <v>1.65</v>
      </c>
      <c r="D6">
        <f t="shared" ref="D6:D24" si="2">D5+$D$2*(2*$B$2*C5)</f>
        <v>0.4</v>
      </c>
    </row>
    <row r="7" spans="1:4" x14ac:dyDescent="0.2">
      <c r="A7">
        <v>0.3</v>
      </c>
      <c r="B7">
        <f t="shared" si="0"/>
        <v>7.4175000000000004</v>
      </c>
      <c r="C7">
        <f t="shared" si="1"/>
        <v>2.0525000000000002</v>
      </c>
      <c r="D7">
        <f t="shared" si="2"/>
        <v>1.06</v>
      </c>
    </row>
    <row r="8" spans="1:4" x14ac:dyDescent="0.2">
      <c r="A8">
        <v>0.4</v>
      </c>
      <c r="B8">
        <f t="shared" si="0"/>
        <v>6.7783750000000005</v>
      </c>
      <c r="C8">
        <f t="shared" si="1"/>
        <v>2.2811250000000003</v>
      </c>
      <c r="D8">
        <f t="shared" si="2"/>
        <v>1.8810000000000002</v>
      </c>
    </row>
    <row r="9" spans="1:4" x14ac:dyDescent="0.2">
      <c r="A9">
        <v>0.5</v>
      </c>
      <c r="B9">
        <f t="shared" si="0"/>
        <v>6.2145937500000006</v>
      </c>
      <c r="C9">
        <f t="shared" si="1"/>
        <v>2.3886812500000003</v>
      </c>
      <c r="D9">
        <f t="shared" si="2"/>
        <v>2.7934500000000004</v>
      </c>
    </row>
    <row r="10" spans="1:4" x14ac:dyDescent="0.2">
      <c r="A10">
        <v>0.6</v>
      </c>
      <c r="B10">
        <f t="shared" si="0"/>
        <v>5.7125684375000008</v>
      </c>
      <c r="C10">
        <f t="shared" si="1"/>
        <v>2.4129703125000002</v>
      </c>
      <c r="D10">
        <f t="shared" si="2"/>
        <v>3.7489225000000008</v>
      </c>
    </row>
    <row r="11" spans="1:4" x14ac:dyDescent="0.2">
      <c r="A11">
        <v>0.7</v>
      </c>
      <c r="B11">
        <f t="shared" si="0"/>
        <v>5.2619601093750008</v>
      </c>
      <c r="C11">
        <f t="shared" si="1"/>
        <v>2.3809845781250001</v>
      </c>
      <c r="D11">
        <f t="shared" si="2"/>
        <v>4.7141106250000009</v>
      </c>
    </row>
    <row r="12" spans="1:4" x14ac:dyDescent="0.2">
      <c r="A12">
        <v>0.8</v>
      </c>
      <c r="B12">
        <f t="shared" si="0"/>
        <v>4.8548133273437504</v>
      </c>
      <c r="C12">
        <f t="shared" si="1"/>
        <v>2.31193444453125</v>
      </c>
      <c r="D12">
        <f t="shared" si="2"/>
        <v>5.6665044562500011</v>
      </c>
    </row>
    <row r="13" spans="1:4" x14ac:dyDescent="0.2">
      <c r="A13">
        <v>0.9</v>
      </c>
      <c r="B13">
        <f t="shared" si="0"/>
        <v>4.4849287168359382</v>
      </c>
      <c r="C13">
        <f t="shared" si="1"/>
        <v>2.2194321661328127</v>
      </c>
      <c r="D13">
        <f t="shared" si="2"/>
        <v>6.5912782340625009</v>
      </c>
    </row>
    <row r="14" spans="1:4" x14ac:dyDescent="0.2">
      <c r="A14">
        <v>1</v>
      </c>
      <c r="B14">
        <f t="shared" si="0"/>
        <v>4.1474074534589853</v>
      </c>
      <c r="C14">
        <f t="shared" si="1"/>
        <v>2.1130669962832034</v>
      </c>
      <c r="D14">
        <f t="shared" si="2"/>
        <v>7.4790511005156262</v>
      </c>
    </row>
    <row r="15" spans="1:4" x14ac:dyDescent="0.2">
      <c r="A15">
        <v>1.1000000000000001</v>
      </c>
      <c r="B15">
        <f t="shared" si="0"/>
        <v>3.838320057927247</v>
      </c>
      <c r="C15">
        <f t="shared" si="1"/>
        <v>1.999540992558301</v>
      </c>
      <c r="D15">
        <f t="shared" si="2"/>
        <v>8.3242778990289068</v>
      </c>
    </row>
    <row r="16" spans="1:4" x14ac:dyDescent="0.2">
      <c r="A16">
        <v>1.2</v>
      </c>
      <c r="B16">
        <f t="shared" si="0"/>
        <v>3.5544651017624371</v>
      </c>
      <c r="C16">
        <f t="shared" si="1"/>
        <v>1.8834877502114504</v>
      </c>
      <c r="D16">
        <f t="shared" si="2"/>
        <v>9.1240942960522275</v>
      </c>
    </row>
    <row r="17" spans="1:4" x14ac:dyDescent="0.2">
      <c r="A17">
        <v>1.3</v>
      </c>
      <c r="B17">
        <f t="shared" si="0"/>
        <v>3.2931929790967658</v>
      </c>
      <c r="C17">
        <f t="shared" si="1"/>
        <v>1.7680623228348316</v>
      </c>
      <c r="D17">
        <f t="shared" si="2"/>
        <v>9.8774893961368075</v>
      </c>
    </row>
    <row r="18" spans="1:4" x14ac:dyDescent="0.2">
      <c r="A18">
        <v>1.4</v>
      </c>
      <c r="B18">
        <f t="shared" si="0"/>
        <v>3.0522767973288309</v>
      </c>
      <c r="C18">
        <f t="shared" si="1"/>
        <v>1.6553660400358003</v>
      </c>
      <c r="D18">
        <f t="shared" si="2"/>
        <v>10.58471432527074</v>
      </c>
    </row>
    <row r="19" spans="1:4" x14ac:dyDescent="0.2">
      <c r="A19">
        <v>1.5</v>
      </c>
      <c r="B19">
        <f t="shared" si="0"/>
        <v>2.8298174195977377</v>
      </c>
      <c r="C19">
        <f t="shared" si="1"/>
        <v>1.5467522097597333</v>
      </c>
      <c r="D19">
        <f t="shared" si="2"/>
        <v>11.24686074128506</v>
      </c>
    </row>
    <row r="20" spans="1:4" x14ac:dyDescent="0.2">
      <c r="A20">
        <v>1.6</v>
      </c>
      <c r="B20">
        <f t="shared" si="0"/>
        <v>2.6241732881259505</v>
      </c>
      <c r="C20">
        <f t="shared" si="1"/>
        <v>1.4430458992795736</v>
      </c>
      <c r="D20">
        <f t="shared" si="2"/>
        <v>11.865561625188953</v>
      </c>
    </row>
    <row r="21" spans="1:4" x14ac:dyDescent="0.2">
      <c r="A21">
        <v>1.7</v>
      </c>
      <c r="B21">
        <f t="shared" si="0"/>
        <v>2.433908254277334</v>
      </c>
      <c r="C21">
        <f t="shared" si="1"/>
        <v>1.3447017532722754</v>
      </c>
      <c r="D21">
        <f t="shared" si="2"/>
        <v>12.442779984900781</v>
      </c>
    </row>
    <row r="22" spans="1:4" x14ac:dyDescent="0.2">
      <c r="A22">
        <v>1.8</v>
      </c>
      <c r="B22">
        <f t="shared" si="0"/>
        <v>2.2577525165132144</v>
      </c>
      <c r="C22">
        <f t="shared" si="1"/>
        <v>1.25191714038194</v>
      </c>
      <c r="D22">
        <f t="shared" si="2"/>
        <v>12.980660686209692</v>
      </c>
    </row>
    <row r="23" spans="1:4" x14ac:dyDescent="0.2">
      <c r="A23">
        <v>1.9</v>
      </c>
      <c r="B23">
        <f t="shared" si="0"/>
        <v>2.0945731218809898</v>
      </c>
      <c r="C23">
        <f t="shared" si="1"/>
        <v>1.1647131069377765</v>
      </c>
      <c r="D23">
        <f t="shared" si="2"/>
        <v>13.481427542362468</v>
      </c>
    </row>
    <row r="24" spans="1:4" x14ac:dyDescent="0.2">
      <c r="A24" s="1">
        <v>2</v>
      </c>
      <c r="B24" s="1">
        <f t="shared" si="0"/>
        <v>1.9433514650397796</v>
      </c>
      <c r="C24" s="1">
        <f t="shared" si="1"/>
        <v>1.0829921423914313</v>
      </c>
      <c r="D24" s="1">
        <f t="shared" si="2"/>
        <v>13.947312785137578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D4225-B34D-FA46-9897-6AEE68A1E9CB}">
  <sheetPr codeName="Sheet4"/>
  <dimension ref="A1:F23"/>
  <sheetViews>
    <sheetView workbookViewId="0">
      <selection activeCell="G26" sqref="G26"/>
    </sheetView>
  </sheetViews>
  <sheetFormatPr baseColWidth="10" defaultRowHeight="16" x14ac:dyDescent="0.2"/>
  <sheetData>
    <row r="1" spans="1:6" x14ac:dyDescent="0.2">
      <c r="A1" s="2">
        <v>3</v>
      </c>
      <c r="B1" s="2" t="s">
        <v>32</v>
      </c>
      <c r="C1" s="2">
        <v>0.1</v>
      </c>
      <c r="D1" s="2" t="s">
        <v>6</v>
      </c>
      <c r="E1" s="2">
        <v>2</v>
      </c>
      <c r="F1" s="2" t="s">
        <v>33</v>
      </c>
    </row>
    <row r="2" spans="1:6" x14ac:dyDescent="0.2">
      <c r="A2" t="s">
        <v>26</v>
      </c>
      <c r="B2" t="s">
        <v>27</v>
      </c>
      <c r="C2" t="s">
        <v>28</v>
      </c>
      <c r="D2" t="s">
        <v>29</v>
      </c>
    </row>
    <row r="3" spans="1:6" x14ac:dyDescent="0.2">
      <c r="A3">
        <v>0</v>
      </c>
      <c r="B3">
        <v>10</v>
      </c>
      <c r="C3">
        <v>0</v>
      </c>
      <c r="D3">
        <v>0</v>
      </c>
    </row>
    <row r="4" spans="1:6" x14ac:dyDescent="0.2">
      <c r="A4">
        <v>0.1</v>
      </c>
      <c r="B4">
        <v>9</v>
      </c>
      <c r="C4">
        <v>1</v>
      </c>
      <c r="D4">
        <v>0</v>
      </c>
    </row>
    <row r="5" spans="1:6" x14ac:dyDescent="0.2">
      <c r="A5">
        <v>0.2</v>
      </c>
      <c r="B5">
        <v>8.15</v>
      </c>
      <c r="C5">
        <v>1.6500000000000001</v>
      </c>
      <c r="D5">
        <v>0.4</v>
      </c>
    </row>
    <row r="6" spans="1:6" x14ac:dyDescent="0.2">
      <c r="A6">
        <v>0.30000000000000004</v>
      </c>
      <c r="B6">
        <v>7.4175000000000004</v>
      </c>
      <c r="C6">
        <v>2.0525000000000002</v>
      </c>
      <c r="D6">
        <v>1.06</v>
      </c>
    </row>
    <row r="7" spans="1:6" x14ac:dyDescent="0.2">
      <c r="A7">
        <v>0.4</v>
      </c>
      <c r="B7">
        <v>6.7783750000000005</v>
      </c>
      <c r="C7">
        <v>2.2811250000000003</v>
      </c>
      <c r="D7">
        <v>1.8810000000000002</v>
      </c>
    </row>
    <row r="8" spans="1:6" x14ac:dyDescent="0.2">
      <c r="A8">
        <v>0.5</v>
      </c>
      <c r="B8">
        <v>6.2145937500000006</v>
      </c>
      <c r="C8">
        <v>2.3886812500000003</v>
      </c>
      <c r="D8">
        <v>2.7934500000000004</v>
      </c>
    </row>
    <row r="9" spans="1:6" x14ac:dyDescent="0.2">
      <c r="A9">
        <v>0.6</v>
      </c>
      <c r="B9">
        <v>5.7125684375000008</v>
      </c>
      <c r="C9">
        <v>2.4129703125000002</v>
      </c>
      <c r="D9">
        <v>3.7489225000000008</v>
      </c>
    </row>
    <row r="10" spans="1:6" x14ac:dyDescent="0.2">
      <c r="A10">
        <v>0.7</v>
      </c>
      <c r="B10">
        <v>5.2619601093750008</v>
      </c>
      <c r="C10">
        <v>2.3809845781250001</v>
      </c>
      <c r="D10">
        <v>4.7141106250000009</v>
      </c>
    </row>
    <row r="11" spans="1:6" x14ac:dyDescent="0.2">
      <c r="A11">
        <v>0.79999999999999993</v>
      </c>
      <c r="B11">
        <v>4.8548133273437504</v>
      </c>
      <c r="C11">
        <v>2.31193444453125</v>
      </c>
      <c r="D11">
        <v>5.6665044562500011</v>
      </c>
    </row>
    <row r="12" spans="1:6" x14ac:dyDescent="0.2">
      <c r="A12">
        <v>0.89999999999999991</v>
      </c>
      <c r="B12">
        <v>4.4849287168359382</v>
      </c>
      <c r="C12">
        <v>2.2194321661328127</v>
      </c>
      <c r="D12">
        <v>6.5912782340625009</v>
      </c>
    </row>
    <row r="13" spans="1:6" x14ac:dyDescent="0.2">
      <c r="A13">
        <v>0.99999999999999989</v>
      </c>
      <c r="B13">
        <v>4.1474074534589853</v>
      </c>
      <c r="C13">
        <v>2.1130669962832034</v>
      </c>
      <c r="D13">
        <v>7.4790511005156262</v>
      </c>
    </row>
    <row r="14" spans="1:6" x14ac:dyDescent="0.2">
      <c r="A14">
        <v>1.0999999999999999</v>
      </c>
      <c r="B14">
        <v>3.838320057927247</v>
      </c>
      <c r="C14">
        <v>1.999540992558301</v>
      </c>
      <c r="D14">
        <v>8.3242778990289068</v>
      </c>
    </row>
    <row r="15" spans="1:6" x14ac:dyDescent="0.2">
      <c r="A15">
        <v>1.2</v>
      </c>
      <c r="B15">
        <v>3.5544651017624371</v>
      </c>
      <c r="C15">
        <v>1.8834877502114504</v>
      </c>
      <c r="D15">
        <v>9.1240942960522275</v>
      </c>
    </row>
    <row r="16" spans="1:6" x14ac:dyDescent="0.2">
      <c r="A16">
        <v>1.3</v>
      </c>
      <c r="B16">
        <v>3.2931929790967658</v>
      </c>
      <c r="C16">
        <v>1.7680623228348316</v>
      </c>
      <c r="D16">
        <v>9.8774893961368075</v>
      </c>
    </row>
    <row r="17" spans="1:4" x14ac:dyDescent="0.2">
      <c r="A17">
        <v>1.4000000000000001</v>
      </c>
      <c r="B17">
        <v>3.0522767973288309</v>
      </c>
      <c r="C17">
        <v>1.6553660400358003</v>
      </c>
      <c r="D17">
        <v>10.58471432527074</v>
      </c>
    </row>
    <row r="18" spans="1:4" x14ac:dyDescent="0.2">
      <c r="A18">
        <v>1.5000000000000002</v>
      </c>
      <c r="B18">
        <v>2.8298174195977377</v>
      </c>
      <c r="C18">
        <v>1.5467522097597333</v>
      </c>
      <c r="D18">
        <v>11.24686074128506</v>
      </c>
    </row>
    <row r="19" spans="1:4" x14ac:dyDescent="0.2">
      <c r="A19">
        <v>1.6000000000000003</v>
      </c>
      <c r="B19">
        <v>2.6241732881259505</v>
      </c>
      <c r="C19">
        <v>1.4430458992795736</v>
      </c>
      <c r="D19">
        <v>11.865561625188953</v>
      </c>
    </row>
    <row r="20" spans="1:4" x14ac:dyDescent="0.2">
      <c r="A20">
        <v>1.7000000000000004</v>
      </c>
      <c r="B20">
        <v>2.433908254277334</v>
      </c>
      <c r="C20">
        <v>1.3447017532722751</v>
      </c>
      <c r="D20">
        <v>12.442779984900783</v>
      </c>
    </row>
    <row r="21" spans="1:4" x14ac:dyDescent="0.2">
      <c r="A21">
        <v>1.8000000000000005</v>
      </c>
      <c r="B21">
        <v>2.2577525165132144</v>
      </c>
      <c r="C21">
        <v>1.2519171403819398</v>
      </c>
      <c r="D21">
        <v>12.980660686209694</v>
      </c>
    </row>
    <row r="22" spans="1:4" x14ac:dyDescent="0.2">
      <c r="A22">
        <v>1.9000000000000006</v>
      </c>
      <c r="B22">
        <v>2.0945731218809898</v>
      </c>
      <c r="C22">
        <v>1.1647131069377763</v>
      </c>
      <c r="D22">
        <v>13.48142754236247</v>
      </c>
    </row>
    <row r="23" spans="1:4" x14ac:dyDescent="0.2">
      <c r="A23" s="1">
        <v>2.0000000000000004</v>
      </c>
      <c r="B23" s="1">
        <v>1.9433514650397796</v>
      </c>
      <c r="C23" s="1">
        <v>1.0829921423914313</v>
      </c>
      <c r="D23" s="1">
        <v>13.94731278513758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7A9E6-13F7-D148-8363-648145C770E9}">
  <sheetPr codeName="Sheet5"/>
  <dimension ref="A1:J24"/>
  <sheetViews>
    <sheetView workbookViewId="0">
      <selection sqref="A1:J3"/>
    </sheetView>
  </sheetViews>
  <sheetFormatPr baseColWidth="10" defaultRowHeight="16" x14ac:dyDescent="0.2"/>
  <sheetData>
    <row r="1" spans="1:10" x14ac:dyDescent="0.2">
      <c r="A1" t="s">
        <v>23</v>
      </c>
      <c r="B1">
        <v>1</v>
      </c>
      <c r="C1" t="s">
        <v>24</v>
      </c>
      <c r="D1">
        <v>0.5</v>
      </c>
    </row>
    <row r="2" spans="1:10" x14ac:dyDescent="0.2">
      <c r="A2" t="s">
        <v>25</v>
      </c>
      <c r="B2">
        <v>2</v>
      </c>
      <c r="C2" t="s">
        <v>7</v>
      </c>
      <c r="D2">
        <v>0.1</v>
      </c>
    </row>
    <row r="3" spans="1:10" x14ac:dyDescent="0.2">
      <c r="A3" t="s">
        <v>26</v>
      </c>
      <c r="B3" t="s">
        <v>30</v>
      </c>
      <c r="C3" t="s">
        <v>31</v>
      </c>
      <c r="D3" t="s">
        <v>27</v>
      </c>
      <c r="E3" t="s">
        <v>30</v>
      </c>
      <c r="F3" t="s">
        <v>31</v>
      </c>
      <c r="G3" t="s">
        <v>28</v>
      </c>
      <c r="H3" t="s">
        <v>30</v>
      </c>
      <c r="I3" t="s">
        <v>31</v>
      </c>
      <c r="J3" t="s">
        <v>29</v>
      </c>
    </row>
    <row r="4" spans="1:10" x14ac:dyDescent="0.2">
      <c r="A4">
        <v>0</v>
      </c>
      <c r="B4">
        <f>$D$2*(-$B$1*D4+$D$1*G4)</f>
        <v>-1</v>
      </c>
      <c r="C4">
        <f>$D$2*(-$B$1*(D4+B4)+$D$1*(G4+E4))</f>
        <v>-0.85000000000000009</v>
      </c>
      <c r="D4">
        <v>10</v>
      </c>
      <c r="E4">
        <f>$D$2*($B$1*D4-$D$1*G4-$B$2*G4)</f>
        <v>1</v>
      </c>
      <c r="F4">
        <f>$D$2*($B$1*(D4+B4)-$D$1*(G4+E4)-$B$2*(G4+E4))</f>
        <v>0.65</v>
      </c>
      <c r="G4">
        <v>0</v>
      </c>
      <c r="H4">
        <f>$D$2*($B$2*G4)</f>
        <v>0</v>
      </c>
      <c r="I4">
        <f>$D$2*($B$2*(G4+E4))</f>
        <v>0.2</v>
      </c>
      <c r="J4">
        <v>0</v>
      </c>
    </row>
    <row r="5" spans="1:10" x14ac:dyDescent="0.2">
      <c r="A5">
        <v>0.1</v>
      </c>
      <c r="B5">
        <f t="shared" ref="B5:B24" si="0">$D$2*(-$B$1*D5+$D$1*G5)</f>
        <v>-1.05</v>
      </c>
      <c r="C5">
        <f t="shared" ref="C5:C24" si="1">$D$2*(-$B$1*(D5+B5)+$D$1*(G5+E5))</f>
        <v>-0.90249999999999986</v>
      </c>
      <c r="D5">
        <v>11</v>
      </c>
      <c r="E5">
        <f t="shared" ref="E5:E24" si="2">$D$2*($B$1*D5-$D$1*G5-$B$2*G5)</f>
        <v>0.85000000000000009</v>
      </c>
      <c r="F5">
        <f t="shared" ref="F5:F24" si="3">$D$2*($B$1*(D5+B5)-$D$1*(G5+E5)-$B$2*(G5+E5))</f>
        <v>0.53249999999999986</v>
      </c>
      <c r="G5">
        <v>1</v>
      </c>
      <c r="H5">
        <f t="shared" ref="H5:H24" si="4">$D$2*($B$2*G5)</f>
        <v>0.2</v>
      </c>
      <c r="I5">
        <f t="shared" ref="I5:I24" si="5">$D$2*($B$2*(G5+E5))</f>
        <v>0.37000000000000005</v>
      </c>
      <c r="J5">
        <v>1</v>
      </c>
    </row>
    <row r="6" spans="1:10" x14ac:dyDescent="0.2">
      <c r="A6">
        <v>0.2</v>
      </c>
      <c r="B6">
        <f t="shared" si="0"/>
        <v>-1.1000000000000001</v>
      </c>
      <c r="C6">
        <f t="shared" si="1"/>
        <v>-0.95500000000000007</v>
      </c>
      <c r="D6">
        <v>12</v>
      </c>
      <c r="E6">
        <f t="shared" si="2"/>
        <v>0.70000000000000007</v>
      </c>
      <c r="F6">
        <f t="shared" si="3"/>
        <v>0.41500000000000004</v>
      </c>
      <c r="G6">
        <v>2</v>
      </c>
      <c r="H6">
        <f t="shared" si="4"/>
        <v>0.4</v>
      </c>
      <c r="I6">
        <f t="shared" si="5"/>
        <v>0.54</v>
      </c>
      <c r="J6">
        <v>2</v>
      </c>
    </row>
    <row r="7" spans="1:10" x14ac:dyDescent="0.2">
      <c r="A7">
        <v>0.3</v>
      </c>
      <c r="B7">
        <f t="shared" si="0"/>
        <v>-1.1500000000000001</v>
      </c>
      <c r="C7">
        <f t="shared" si="1"/>
        <v>-1.0075000000000001</v>
      </c>
      <c r="D7">
        <v>13</v>
      </c>
      <c r="E7">
        <f t="shared" si="2"/>
        <v>0.55000000000000004</v>
      </c>
      <c r="F7">
        <f t="shared" si="3"/>
        <v>0.29749999999999999</v>
      </c>
      <c r="G7">
        <v>3</v>
      </c>
      <c r="H7">
        <f t="shared" si="4"/>
        <v>0.60000000000000009</v>
      </c>
      <c r="I7">
        <f t="shared" si="5"/>
        <v>0.71</v>
      </c>
      <c r="J7">
        <v>3</v>
      </c>
    </row>
    <row r="8" spans="1:10" x14ac:dyDescent="0.2">
      <c r="A8">
        <v>0.4</v>
      </c>
      <c r="B8">
        <f t="shared" si="0"/>
        <v>-1.2000000000000002</v>
      </c>
      <c r="C8">
        <f t="shared" si="1"/>
        <v>-1.0600000000000003</v>
      </c>
      <c r="D8">
        <v>14</v>
      </c>
      <c r="E8">
        <f t="shared" si="2"/>
        <v>0.4</v>
      </c>
      <c r="F8">
        <f t="shared" si="3"/>
        <v>0.18000000000000008</v>
      </c>
      <c r="G8">
        <v>4</v>
      </c>
      <c r="H8">
        <f t="shared" si="4"/>
        <v>0.8</v>
      </c>
      <c r="I8">
        <f t="shared" si="5"/>
        <v>0.88000000000000012</v>
      </c>
      <c r="J8">
        <v>4</v>
      </c>
    </row>
    <row r="9" spans="1:10" x14ac:dyDescent="0.2">
      <c r="A9">
        <v>0.5</v>
      </c>
      <c r="B9">
        <f t="shared" si="0"/>
        <v>-1.25</v>
      </c>
      <c r="C9">
        <f t="shared" si="1"/>
        <v>-1.1125</v>
      </c>
      <c r="D9">
        <v>15</v>
      </c>
      <c r="E9">
        <f t="shared" si="2"/>
        <v>0.25</v>
      </c>
      <c r="F9">
        <f t="shared" si="3"/>
        <v>6.25E-2</v>
      </c>
      <c r="G9">
        <v>5</v>
      </c>
      <c r="H9">
        <f t="shared" si="4"/>
        <v>1</v>
      </c>
      <c r="I9">
        <f t="shared" si="5"/>
        <v>1.05</v>
      </c>
      <c r="J9">
        <v>5</v>
      </c>
    </row>
    <row r="10" spans="1:10" x14ac:dyDescent="0.2">
      <c r="A10">
        <v>0.6</v>
      </c>
      <c r="B10">
        <f t="shared" si="0"/>
        <v>-1.3</v>
      </c>
      <c r="C10">
        <f t="shared" si="1"/>
        <v>-1.1649999999999998</v>
      </c>
      <c r="D10">
        <v>16</v>
      </c>
      <c r="E10">
        <f t="shared" si="2"/>
        <v>0.1</v>
      </c>
      <c r="F10">
        <f t="shared" si="3"/>
        <v>-5.5000000000000077E-2</v>
      </c>
      <c r="G10">
        <v>6</v>
      </c>
      <c r="H10">
        <f t="shared" si="4"/>
        <v>1.2000000000000002</v>
      </c>
      <c r="I10">
        <f t="shared" si="5"/>
        <v>1.22</v>
      </c>
      <c r="J10">
        <v>6</v>
      </c>
    </row>
    <row r="11" spans="1:10" x14ac:dyDescent="0.2">
      <c r="A11">
        <v>0.7</v>
      </c>
      <c r="B11">
        <f t="shared" si="0"/>
        <v>-1.35</v>
      </c>
      <c r="C11">
        <f t="shared" si="1"/>
        <v>-1.2175000000000002</v>
      </c>
      <c r="D11">
        <v>17</v>
      </c>
      <c r="E11">
        <f t="shared" si="2"/>
        <v>-0.05</v>
      </c>
      <c r="F11">
        <f t="shared" si="3"/>
        <v>-0.17249999999999999</v>
      </c>
      <c r="G11">
        <v>7</v>
      </c>
      <c r="H11">
        <f t="shared" si="4"/>
        <v>1.4000000000000001</v>
      </c>
      <c r="I11">
        <f t="shared" si="5"/>
        <v>1.3900000000000001</v>
      </c>
      <c r="J11">
        <v>7</v>
      </c>
    </row>
    <row r="12" spans="1:10" x14ac:dyDescent="0.2">
      <c r="A12">
        <v>0.8</v>
      </c>
      <c r="B12">
        <f t="shared" si="0"/>
        <v>-1.4000000000000001</v>
      </c>
      <c r="C12">
        <f t="shared" si="1"/>
        <v>-1.2700000000000002</v>
      </c>
      <c r="D12">
        <v>18</v>
      </c>
      <c r="E12">
        <f t="shared" si="2"/>
        <v>-0.2</v>
      </c>
      <c r="F12">
        <f t="shared" si="3"/>
        <v>-0.28999999999999987</v>
      </c>
      <c r="G12">
        <v>8</v>
      </c>
      <c r="H12">
        <f t="shared" si="4"/>
        <v>1.6</v>
      </c>
      <c r="I12">
        <f t="shared" si="5"/>
        <v>1.56</v>
      </c>
      <c r="J12">
        <v>8</v>
      </c>
    </row>
    <row r="13" spans="1:10" x14ac:dyDescent="0.2">
      <c r="A13">
        <v>0.9</v>
      </c>
      <c r="B13">
        <f t="shared" si="0"/>
        <v>-1.4500000000000002</v>
      </c>
      <c r="C13">
        <f t="shared" si="1"/>
        <v>-1.3225000000000002</v>
      </c>
      <c r="D13">
        <v>19</v>
      </c>
      <c r="E13">
        <f t="shared" si="2"/>
        <v>-0.35000000000000003</v>
      </c>
      <c r="F13">
        <f t="shared" si="3"/>
        <v>-0.40749999999999997</v>
      </c>
      <c r="G13">
        <v>9</v>
      </c>
      <c r="H13">
        <f t="shared" si="4"/>
        <v>1.8</v>
      </c>
      <c r="I13">
        <f t="shared" si="5"/>
        <v>1.7300000000000002</v>
      </c>
      <c r="J13">
        <v>9</v>
      </c>
    </row>
    <row r="14" spans="1:10" x14ac:dyDescent="0.2">
      <c r="A14">
        <v>1</v>
      </c>
      <c r="B14">
        <f t="shared" si="0"/>
        <v>-1.5</v>
      </c>
      <c r="C14">
        <f t="shared" si="1"/>
        <v>-1.375</v>
      </c>
      <c r="D14">
        <v>20</v>
      </c>
      <c r="E14">
        <f t="shared" si="2"/>
        <v>-0.5</v>
      </c>
      <c r="F14">
        <f t="shared" si="3"/>
        <v>-0.52500000000000002</v>
      </c>
      <c r="G14">
        <v>10</v>
      </c>
      <c r="H14">
        <f t="shared" si="4"/>
        <v>2</v>
      </c>
      <c r="I14">
        <f t="shared" si="5"/>
        <v>1.9000000000000001</v>
      </c>
      <c r="J14">
        <v>10</v>
      </c>
    </row>
    <row r="15" spans="1:10" x14ac:dyDescent="0.2">
      <c r="A15">
        <v>1.1000000000000001</v>
      </c>
      <c r="B15">
        <f t="shared" si="0"/>
        <v>-1.55</v>
      </c>
      <c r="C15">
        <f t="shared" si="1"/>
        <v>-1.4275</v>
      </c>
      <c r="D15">
        <v>21</v>
      </c>
      <c r="E15">
        <f t="shared" si="2"/>
        <v>-0.65</v>
      </c>
      <c r="F15">
        <f t="shared" si="3"/>
        <v>-0.64250000000000007</v>
      </c>
      <c r="G15">
        <v>11</v>
      </c>
      <c r="H15">
        <f t="shared" si="4"/>
        <v>2.2000000000000002</v>
      </c>
      <c r="I15">
        <f t="shared" si="5"/>
        <v>2.0699999999999998</v>
      </c>
      <c r="J15">
        <v>11</v>
      </c>
    </row>
    <row r="16" spans="1:10" x14ac:dyDescent="0.2">
      <c r="A16">
        <v>1.2</v>
      </c>
      <c r="B16">
        <f t="shared" si="0"/>
        <v>-1.6</v>
      </c>
      <c r="C16">
        <f t="shared" si="1"/>
        <v>-1.48</v>
      </c>
      <c r="D16">
        <v>22</v>
      </c>
      <c r="E16">
        <f t="shared" si="2"/>
        <v>-0.8</v>
      </c>
      <c r="F16">
        <f t="shared" si="3"/>
        <v>-0.76</v>
      </c>
      <c r="G16">
        <v>12</v>
      </c>
      <c r="H16">
        <f t="shared" si="4"/>
        <v>2.4000000000000004</v>
      </c>
      <c r="I16">
        <f t="shared" si="5"/>
        <v>2.2399999999999998</v>
      </c>
      <c r="J16">
        <v>12</v>
      </c>
    </row>
    <row r="17" spans="1:10" x14ac:dyDescent="0.2">
      <c r="A17">
        <v>1.3</v>
      </c>
      <c r="B17">
        <f t="shared" si="0"/>
        <v>-1.6500000000000001</v>
      </c>
      <c r="C17">
        <f t="shared" si="1"/>
        <v>-1.5325000000000002</v>
      </c>
      <c r="D17">
        <v>23</v>
      </c>
      <c r="E17">
        <f t="shared" si="2"/>
        <v>-0.95000000000000007</v>
      </c>
      <c r="F17">
        <f t="shared" si="3"/>
        <v>-0.87750000000000006</v>
      </c>
      <c r="G17">
        <v>13</v>
      </c>
      <c r="H17">
        <f t="shared" si="4"/>
        <v>2.6</v>
      </c>
      <c r="I17">
        <f t="shared" si="5"/>
        <v>2.41</v>
      </c>
      <c r="J17">
        <v>13</v>
      </c>
    </row>
    <row r="18" spans="1:10" x14ac:dyDescent="0.2">
      <c r="A18">
        <v>1.4</v>
      </c>
      <c r="B18">
        <f t="shared" si="0"/>
        <v>-1.7000000000000002</v>
      </c>
      <c r="C18">
        <f t="shared" si="1"/>
        <v>-1.5850000000000002</v>
      </c>
      <c r="D18">
        <v>24</v>
      </c>
      <c r="E18">
        <f t="shared" si="2"/>
        <v>-1.1000000000000001</v>
      </c>
      <c r="F18">
        <f t="shared" si="3"/>
        <v>-0.995</v>
      </c>
      <c r="G18">
        <v>14</v>
      </c>
      <c r="H18">
        <f t="shared" si="4"/>
        <v>2.8000000000000003</v>
      </c>
      <c r="I18">
        <f t="shared" si="5"/>
        <v>2.58</v>
      </c>
      <c r="J18">
        <v>14</v>
      </c>
    </row>
    <row r="19" spans="1:10" x14ac:dyDescent="0.2">
      <c r="A19">
        <v>1.5</v>
      </c>
      <c r="B19">
        <f t="shared" si="0"/>
        <v>-1.75</v>
      </c>
      <c r="C19">
        <f t="shared" si="1"/>
        <v>-1.6375000000000002</v>
      </c>
      <c r="D19">
        <v>25</v>
      </c>
      <c r="E19">
        <f t="shared" si="2"/>
        <v>-1.25</v>
      </c>
      <c r="F19">
        <f t="shared" si="3"/>
        <v>-1.1125</v>
      </c>
      <c r="G19">
        <v>15</v>
      </c>
      <c r="H19">
        <f t="shared" si="4"/>
        <v>3</v>
      </c>
      <c r="I19">
        <f t="shared" si="5"/>
        <v>2.75</v>
      </c>
      <c r="J19">
        <v>15</v>
      </c>
    </row>
    <row r="20" spans="1:10" x14ac:dyDescent="0.2">
      <c r="A20">
        <v>1.6</v>
      </c>
      <c r="B20">
        <f t="shared" si="0"/>
        <v>-1.8</v>
      </c>
      <c r="C20">
        <f t="shared" si="1"/>
        <v>-1.69</v>
      </c>
      <c r="D20">
        <v>26</v>
      </c>
      <c r="E20">
        <f t="shared" si="2"/>
        <v>-1.4000000000000001</v>
      </c>
      <c r="F20">
        <f t="shared" si="3"/>
        <v>-1.2300000000000002</v>
      </c>
      <c r="G20">
        <v>16</v>
      </c>
      <c r="H20">
        <f t="shared" si="4"/>
        <v>3.2</v>
      </c>
      <c r="I20">
        <f t="shared" si="5"/>
        <v>2.92</v>
      </c>
      <c r="J20">
        <v>16</v>
      </c>
    </row>
    <row r="21" spans="1:10" x14ac:dyDescent="0.2">
      <c r="A21">
        <v>1.7</v>
      </c>
      <c r="B21">
        <f t="shared" si="0"/>
        <v>-1.85</v>
      </c>
      <c r="C21">
        <f t="shared" si="1"/>
        <v>-1.7424999999999997</v>
      </c>
      <c r="D21">
        <v>27</v>
      </c>
      <c r="E21">
        <f t="shared" si="2"/>
        <v>-1.55</v>
      </c>
      <c r="F21">
        <f t="shared" si="3"/>
        <v>-1.3475000000000001</v>
      </c>
      <c r="G21">
        <v>17</v>
      </c>
      <c r="H21">
        <f t="shared" si="4"/>
        <v>3.4000000000000004</v>
      </c>
      <c r="I21">
        <f t="shared" si="5"/>
        <v>3.09</v>
      </c>
      <c r="J21">
        <v>17</v>
      </c>
    </row>
    <row r="22" spans="1:10" x14ac:dyDescent="0.2">
      <c r="A22">
        <v>1.8</v>
      </c>
      <c r="B22">
        <f t="shared" si="0"/>
        <v>-1.9000000000000001</v>
      </c>
      <c r="C22">
        <f t="shared" si="1"/>
        <v>-1.7950000000000004</v>
      </c>
      <c r="D22">
        <v>28</v>
      </c>
      <c r="E22">
        <f t="shared" si="2"/>
        <v>-1.7000000000000002</v>
      </c>
      <c r="F22">
        <f t="shared" si="3"/>
        <v>-1.4649999999999999</v>
      </c>
      <c r="G22">
        <v>18</v>
      </c>
      <c r="H22">
        <f t="shared" si="4"/>
        <v>3.6</v>
      </c>
      <c r="I22">
        <f t="shared" si="5"/>
        <v>3.2600000000000002</v>
      </c>
      <c r="J22">
        <v>18</v>
      </c>
    </row>
    <row r="23" spans="1:10" x14ac:dyDescent="0.2">
      <c r="A23">
        <v>1.9</v>
      </c>
      <c r="B23">
        <f t="shared" si="0"/>
        <v>-1.9500000000000002</v>
      </c>
      <c r="C23">
        <f t="shared" si="1"/>
        <v>-1.8475000000000001</v>
      </c>
      <c r="D23">
        <v>29</v>
      </c>
      <c r="E23">
        <f t="shared" si="2"/>
        <v>-1.85</v>
      </c>
      <c r="F23">
        <f t="shared" si="3"/>
        <v>-1.5824999999999996</v>
      </c>
      <c r="G23">
        <v>19</v>
      </c>
      <c r="H23">
        <f t="shared" si="4"/>
        <v>3.8000000000000003</v>
      </c>
      <c r="I23">
        <f t="shared" si="5"/>
        <v>3.4299999999999997</v>
      </c>
      <c r="J23">
        <v>19</v>
      </c>
    </row>
    <row r="24" spans="1:10" x14ac:dyDescent="0.2">
      <c r="A24">
        <v>2</v>
      </c>
      <c r="B24">
        <f t="shared" si="0"/>
        <v>-2</v>
      </c>
      <c r="C24">
        <f t="shared" si="1"/>
        <v>-1.9000000000000001</v>
      </c>
      <c r="D24">
        <v>30</v>
      </c>
      <c r="E24">
        <f t="shared" si="2"/>
        <v>-2</v>
      </c>
      <c r="F24">
        <f t="shared" si="3"/>
        <v>-1.7000000000000002</v>
      </c>
      <c r="G24">
        <v>20</v>
      </c>
      <c r="H24">
        <f t="shared" si="4"/>
        <v>4</v>
      </c>
      <c r="I24">
        <f t="shared" si="5"/>
        <v>3.6</v>
      </c>
      <c r="J24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83F9D-A42F-2942-B812-90B7769EE8E5}">
  <sheetPr codeName="Sheet6"/>
  <dimension ref="A1:F23"/>
  <sheetViews>
    <sheetView workbookViewId="0">
      <selection activeCell="H25" sqref="H25"/>
    </sheetView>
  </sheetViews>
  <sheetFormatPr baseColWidth="10" defaultRowHeight="16" x14ac:dyDescent="0.2"/>
  <sheetData>
    <row r="1" spans="1:6" x14ac:dyDescent="0.2">
      <c r="A1" s="2">
        <v>3</v>
      </c>
      <c r="B1" s="2" t="s">
        <v>32</v>
      </c>
      <c r="C1" s="2">
        <v>0.1</v>
      </c>
      <c r="D1" s="2" t="s">
        <v>6</v>
      </c>
      <c r="E1" s="2">
        <v>2</v>
      </c>
      <c r="F1" s="2" t="s">
        <v>33</v>
      </c>
    </row>
    <row r="2" spans="1:6" x14ac:dyDescent="0.2">
      <c r="A2" t="s">
        <v>26</v>
      </c>
      <c r="B2" t="s">
        <v>27</v>
      </c>
      <c r="C2" t="s">
        <v>28</v>
      </c>
      <c r="D2" t="s">
        <v>29</v>
      </c>
    </row>
    <row r="3" spans="1:6" x14ac:dyDescent="0.2">
      <c r="A3">
        <v>0</v>
      </c>
      <c r="B3">
        <v>10</v>
      </c>
      <c r="C3">
        <v>0</v>
      </c>
      <c r="D3">
        <v>0</v>
      </c>
    </row>
    <row r="4" spans="1:6" x14ac:dyDescent="0.2">
      <c r="A4">
        <v>0.1</v>
      </c>
      <c r="B4">
        <v>9.0749999999999993</v>
      </c>
      <c r="C4">
        <v>0.82499999999999996</v>
      </c>
      <c r="D4">
        <v>0.2</v>
      </c>
    </row>
    <row r="5" spans="1:6" x14ac:dyDescent="0.2">
      <c r="A5">
        <v>0.2</v>
      </c>
      <c r="B5">
        <v>8.2695937499999985</v>
      </c>
      <c r="C5">
        <v>1.39528125</v>
      </c>
      <c r="D5">
        <v>0.67025000000000001</v>
      </c>
    </row>
    <row r="6" spans="1:6" x14ac:dyDescent="0.2">
      <c r="A6">
        <v>0.30000000000000004</v>
      </c>
      <c r="B6">
        <v>7.5622116796874987</v>
      </c>
      <c r="C6">
        <v>1.7757931640624998</v>
      </c>
      <c r="D6">
        <v>1.3239903125000001</v>
      </c>
    </row>
    <row r="7" spans="1:6" x14ac:dyDescent="0.2">
      <c r="A7">
        <v>0.4</v>
      </c>
      <c r="B7">
        <v>6.9359585673339836</v>
      </c>
      <c r="C7">
        <v>2.0156603559082029</v>
      </c>
      <c r="D7">
        <v>2.0967621535156251</v>
      </c>
    </row>
    <row r="8" spans="1:6" x14ac:dyDescent="0.2">
      <c r="A8">
        <v>0.5</v>
      </c>
      <c r="B8">
        <v>6.3775283895368036</v>
      </c>
      <c r="C8">
        <v>2.1519903857481077</v>
      </c>
      <c r="D8">
        <v>2.9409624494301756</v>
      </c>
    </row>
    <row r="9" spans="1:6" x14ac:dyDescent="0.2">
      <c r="A9">
        <v>0.6</v>
      </c>
      <c r="B9">
        <v>5.8763766169167591</v>
      </c>
      <c r="C9">
        <v>2.2127685569668656</v>
      </c>
      <c r="D9">
        <v>3.8217096522327494</v>
      </c>
    </row>
    <row r="10" spans="1:6" x14ac:dyDescent="0.2">
      <c r="A10">
        <v>0.7</v>
      </c>
      <c r="B10">
        <v>5.4240884828268419</v>
      </c>
      <c r="C10">
        <v>2.2190584274184135</v>
      </c>
      <c r="D10">
        <v>4.7137061795094874</v>
      </c>
    </row>
    <row r="11" spans="1:6" x14ac:dyDescent="0.2">
      <c r="A11">
        <v>0.79999999999999993</v>
      </c>
      <c r="B11">
        <v>5.0138964582963688</v>
      </c>
      <c r="C11">
        <v>2.1866743423223962</v>
      </c>
      <c r="D11">
        <v>5.5988583987624692</v>
      </c>
    </row>
    <row r="12" spans="1:6" x14ac:dyDescent="0.2">
      <c r="A12">
        <v>0.89999999999999991</v>
      </c>
      <c r="B12">
        <v>4.640311352524753</v>
      </c>
      <c r="C12">
        <v>2.1274524736046283</v>
      </c>
      <c r="D12">
        <v>6.4644723477412356</v>
      </c>
    </row>
    <row r="13" spans="1:6" x14ac:dyDescent="0.2">
      <c r="A13">
        <v>0.99999999999999989</v>
      </c>
      <c r="B13">
        <v>4.2988399669524044</v>
      </c>
      <c r="C13">
        <v>2.0502165627709195</v>
      </c>
      <c r="D13">
        <v>7.3018869405533504</v>
      </c>
    </row>
    <row r="14" spans="1:6" x14ac:dyDescent="0.2">
      <c r="A14">
        <v>1.0999999999999999</v>
      </c>
      <c r="B14">
        <v>3.9857687032236075</v>
      </c>
      <c r="C14">
        <v>1.9615115283452815</v>
      </c>
      <c r="D14">
        <v>8.105439536862221</v>
      </c>
    </row>
    <row r="15" spans="1:6" x14ac:dyDescent="0.2">
      <c r="A15">
        <v>1.2</v>
      </c>
      <c r="B15">
        <v>3.6979974487196667</v>
      </c>
      <c r="C15">
        <v>1.866160578356562</v>
      </c>
      <c r="D15">
        <v>8.8716839458475416</v>
      </c>
    </row>
    <row r="16" spans="1:6" x14ac:dyDescent="0.2">
      <c r="A16">
        <v>1.3</v>
      </c>
      <c r="B16">
        <v>3.4329118085703056</v>
      </c>
      <c r="C16">
        <v>1.767688142806328</v>
      </c>
      <c r="D16">
        <v>9.5988000972467322</v>
      </c>
    </row>
    <row r="17" spans="1:4" x14ac:dyDescent="0.2">
      <c r="A17">
        <v>1.4000000000000001</v>
      </c>
      <c r="B17">
        <v>3.1882846021683133</v>
      </c>
      <c r="C17">
        <v>1.6686408061315097</v>
      </c>
      <c r="D17">
        <v>10.286149183400353</v>
      </c>
    </row>
    <row r="18" spans="1:4" x14ac:dyDescent="0.2">
      <c r="A18">
        <v>1.5000000000000002</v>
      </c>
      <c r="B18">
        <v>2.9621997097206689</v>
      </c>
      <c r="C18">
        <v>1.5708307114844566</v>
      </c>
      <c r="D18">
        <v>10.933939157589748</v>
      </c>
    </row>
    <row r="19" spans="1:4" x14ac:dyDescent="0.2">
      <c r="A19">
        <v>1.6000000000000003</v>
      </c>
      <c r="B19">
        <v>2.752993003420241</v>
      </c>
      <c r="C19">
        <v>1.4755200461778981</v>
      </c>
      <c r="D19">
        <v>11.542973900803721</v>
      </c>
    </row>
    <row r="20" spans="1:4" x14ac:dyDescent="0.2">
      <c r="A20">
        <v>1.7000000000000004</v>
      </c>
      <c r="B20">
        <v>2.5592063525087072</v>
      </c>
      <c r="C20">
        <v>1.3835607589740975</v>
      </c>
      <c r="D20">
        <v>12.11446577703439</v>
      </c>
    </row>
    <row r="21" spans="1:4" x14ac:dyDescent="0.2">
      <c r="A21">
        <v>1.8000000000000005</v>
      </c>
      <c r="B21">
        <v>2.3795516462093333</v>
      </c>
      <c r="C21">
        <v>1.2955002689279171</v>
      </c>
      <c r="D21">
        <v>12.649896169725498</v>
      </c>
    </row>
    <row r="22" spans="1:4" x14ac:dyDescent="0.2">
      <c r="A22">
        <v>1.9000000000000006</v>
      </c>
      <c r="B22">
        <v>2.2128825050282468</v>
      </c>
      <c r="C22">
        <v>1.211661346584525</v>
      </c>
      <c r="D22">
        <v>13.150912296774456</v>
      </c>
    </row>
    <row r="23" spans="1:4" x14ac:dyDescent="0.2">
      <c r="A23" s="1">
        <v>2.0000000000000004</v>
      </c>
      <c r="B23" s="1">
        <v>2.0581719038597455</v>
      </c>
      <c r="C23" s="1">
        <v>1.1322023870504518</v>
      </c>
      <c r="D23" s="1">
        <v>13.619251418179605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3A66D-6B91-474F-8DD3-805843887CF0}">
  <sheetPr codeName="Sheet8"/>
  <dimension ref="A1:P4"/>
  <sheetViews>
    <sheetView tabSelected="1" workbookViewId="0">
      <selection activeCell="B6" sqref="B6"/>
    </sheetView>
  </sheetViews>
  <sheetFormatPr baseColWidth="10" defaultRowHeight="16" x14ac:dyDescent="0.2"/>
  <sheetData>
    <row r="1" spans="1:16" x14ac:dyDescent="0.2">
      <c r="A1" s="2" t="s">
        <v>23</v>
      </c>
      <c r="B1" s="2">
        <v>1</v>
      </c>
      <c r="C1" s="2" t="s">
        <v>24</v>
      </c>
      <c r="D1" s="2">
        <v>0.5</v>
      </c>
      <c r="E1" s="2"/>
      <c r="F1" s="2"/>
      <c r="G1" s="2"/>
      <c r="H1" s="2"/>
      <c r="I1" s="2"/>
      <c r="J1" s="2"/>
    </row>
    <row r="2" spans="1:16" x14ac:dyDescent="0.2">
      <c r="A2" s="2" t="s">
        <v>25</v>
      </c>
      <c r="B2" s="2">
        <v>2</v>
      </c>
      <c r="C2" s="2" t="s">
        <v>7</v>
      </c>
      <c r="D2" s="2">
        <v>0.1</v>
      </c>
      <c r="E2" s="2"/>
      <c r="F2" s="2"/>
      <c r="G2" s="2"/>
      <c r="H2" s="2"/>
      <c r="I2" s="2"/>
      <c r="J2" s="2"/>
    </row>
    <row r="3" spans="1:16" x14ac:dyDescent="0.2">
      <c r="A3" s="2" t="s">
        <v>26</v>
      </c>
      <c r="B3" s="2" t="s">
        <v>30</v>
      </c>
      <c r="C3" s="2" t="s">
        <v>31</v>
      </c>
      <c r="D3" s="2" t="s">
        <v>35</v>
      </c>
      <c r="E3" s="2" t="s">
        <v>36</v>
      </c>
      <c r="F3" s="2" t="s">
        <v>27</v>
      </c>
      <c r="G3" s="2" t="s">
        <v>30</v>
      </c>
      <c r="H3" s="2" t="s">
        <v>31</v>
      </c>
      <c r="I3" s="2" t="s">
        <v>35</v>
      </c>
      <c r="J3" s="2" t="s">
        <v>36</v>
      </c>
      <c r="K3" s="2" t="s">
        <v>28</v>
      </c>
      <c r="L3" s="2" t="s">
        <v>30</v>
      </c>
      <c r="M3" s="2" t="s">
        <v>31</v>
      </c>
      <c r="N3" s="2" t="s">
        <v>35</v>
      </c>
      <c r="O3" s="2" t="s">
        <v>36</v>
      </c>
      <c r="P3" s="2" t="s">
        <v>29</v>
      </c>
    </row>
    <row r="4" spans="1:16" x14ac:dyDescent="0.2">
      <c r="A4">
        <v>0</v>
      </c>
      <c r="F4">
        <v>10</v>
      </c>
      <c r="K4">
        <v>0</v>
      </c>
      <c r="P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5845D-F5C3-7443-A141-19FC1A4FBA37}">
  <sheetPr codeName="Sheet7"/>
  <dimension ref="A1:F23"/>
  <sheetViews>
    <sheetView workbookViewId="0">
      <selection activeCell="F14" sqref="F14"/>
    </sheetView>
  </sheetViews>
  <sheetFormatPr baseColWidth="10" defaultRowHeight="16" x14ac:dyDescent="0.2"/>
  <sheetData>
    <row r="1" spans="1:6" x14ac:dyDescent="0.2">
      <c r="A1" s="2">
        <v>3</v>
      </c>
      <c r="B1" s="2" t="s">
        <v>32</v>
      </c>
      <c r="C1" s="2">
        <v>0.1</v>
      </c>
      <c r="D1" s="2" t="s">
        <v>6</v>
      </c>
      <c r="E1" s="2">
        <v>2</v>
      </c>
      <c r="F1" s="2" t="s">
        <v>33</v>
      </c>
    </row>
    <row r="2" spans="1:6" x14ac:dyDescent="0.2">
      <c r="A2" s="2" t="s">
        <v>26</v>
      </c>
      <c r="B2" s="2" t="s">
        <v>27</v>
      </c>
      <c r="C2" s="2" t="s">
        <v>28</v>
      </c>
      <c r="D2" s="2" t="s">
        <v>29</v>
      </c>
      <c r="E2" s="2"/>
      <c r="F2" s="2"/>
    </row>
    <row r="3" spans="1:6" x14ac:dyDescent="0.2">
      <c r="A3" s="2">
        <v>0</v>
      </c>
      <c r="B3" s="2">
        <v>10</v>
      </c>
      <c r="C3" s="2">
        <v>0</v>
      </c>
      <c r="D3" s="2">
        <v>0</v>
      </c>
      <c r="E3" s="2"/>
      <c r="F3" s="2"/>
    </row>
    <row r="4" spans="1:6" x14ac:dyDescent="0.2">
      <c r="A4">
        <v>3</v>
      </c>
      <c r="B4">
        <v>183.90625</v>
      </c>
      <c r="C4">
        <v>-640.78125</v>
      </c>
    </row>
    <row r="5" spans="1:6" x14ac:dyDescent="0.2">
      <c r="A5" s="2"/>
    </row>
    <row r="6" spans="1:6" x14ac:dyDescent="0.2">
      <c r="F6" t="s">
        <v>34</v>
      </c>
    </row>
    <row r="7" spans="1:6" x14ac:dyDescent="0.2">
      <c r="A7" s="2"/>
    </row>
    <row r="9" spans="1:6" x14ac:dyDescent="0.2">
      <c r="A9" s="2"/>
    </row>
    <row r="11" spans="1:6" x14ac:dyDescent="0.2">
      <c r="A11" s="2"/>
    </row>
    <row r="13" spans="1:6" x14ac:dyDescent="0.2">
      <c r="A13" s="2"/>
    </row>
    <row r="15" spans="1:6" x14ac:dyDescent="0.2">
      <c r="A15" s="2"/>
    </row>
    <row r="17" spans="1:1" x14ac:dyDescent="0.2">
      <c r="A17" s="2"/>
    </row>
    <row r="19" spans="1:1" x14ac:dyDescent="0.2">
      <c r="A19" s="2"/>
    </row>
    <row r="21" spans="1:1" x14ac:dyDescent="0.2">
      <c r="A21" s="2"/>
    </row>
    <row r="23" spans="1:1" x14ac:dyDescent="0.2">
      <c r="A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Q1(a)</vt:lpstr>
      <vt:lpstr>Q1(b)</vt:lpstr>
      <vt:lpstr>Q2(a)</vt:lpstr>
      <vt:lpstr>Q2(b)</vt:lpstr>
      <vt:lpstr>Q2(c)</vt:lpstr>
      <vt:lpstr>Q2(d)</vt:lpstr>
      <vt:lpstr>Q2(e)</vt:lpstr>
      <vt:lpstr>Q2(f)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2020-04-08T15:09:37Z</dcterms:created>
  <dcterms:modified xsi:type="dcterms:W3CDTF">2020-04-08T16:38:54Z</dcterms:modified>
</cp:coreProperties>
</file>