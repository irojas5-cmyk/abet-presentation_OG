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11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uoZhen/Desktop/CHE205_Fall19/weak/hw2/"/>
    </mc:Choice>
  </mc:AlternateContent>
  <xr:revisionPtr revIDLastSave="0" documentId="13_ncr:1_{E50DDA1F-5792-C843-9378-C1FC8F55BAD1}" xr6:coauthVersionLast="41" xr6:coauthVersionMax="45" xr10:uidLastSave="{00000000-0000-0000-0000-000000000000}"/>
  <bookViews>
    <workbookView xWindow="500" yWindow="460" windowWidth="24380" windowHeight="1554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6" i="1" l="1"/>
  <c r="N7" i="1"/>
  <c r="N8" i="1"/>
  <c r="N9" i="1"/>
  <c r="N10" i="1"/>
  <c r="N11" i="1"/>
  <c r="N12" i="1"/>
  <c r="N13" i="1"/>
  <c r="N14" i="1"/>
  <c r="N15" i="1"/>
  <c r="N5" i="1"/>
  <c r="A4" i="2"/>
  <c r="A5" i="2" s="1"/>
  <c r="B17" i="2"/>
  <c r="A18" i="2"/>
  <c r="B18" i="2"/>
  <c r="B3" i="2"/>
  <c r="B4" i="2"/>
  <c r="B2" i="2"/>
  <c r="B32" i="2"/>
  <c r="A19" i="2"/>
  <c r="A20" i="2" s="1"/>
  <c r="B19" i="2"/>
  <c r="B20" i="2" l="1"/>
  <c r="A21" i="2"/>
  <c r="B5" i="2"/>
  <c r="A6" i="2"/>
  <c r="A7" i="2" l="1"/>
  <c r="B6" i="2"/>
  <c r="A22" i="2"/>
  <c r="B21" i="2"/>
  <c r="A23" i="2" l="1"/>
  <c r="B22" i="2"/>
  <c r="A8" i="2"/>
  <c r="B7" i="2"/>
  <c r="A9" i="2" l="1"/>
  <c r="B8" i="2"/>
  <c r="B23" i="2"/>
  <c r="A24" i="2"/>
  <c r="B24" i="2" l="1"/>
  <c r="A25" i="2"/>
  <c r="B9" i="2"/>
  <c r="A10" i="2"/>
  <c r="A11" i="2" l="1"/>
  <c r="B10" i="2"/>
  <c r="A26" i="2"/>
  <c r="B25" i="2"/>
  <c r="B26" i="2" l="1"/>
  <c r="A27" i="2"/>
  <c r="A12" i="2"/>
  <c r="B11" i="2"/>
  <c r="A13" i="2" l="1"/>
  <c r="B12" i="2"/>
  <c r="A28" i="2"/>
  <c r="B27" i="2"/>
  <c r="A29" i="2" l="1"/>
  <c r="B28" i="2"/>
  <c r="B13" i="2"/>
  <c r="A14" i="2"/>
  <c r="A15" i="2" l="1"/>
  <c r="B14" i="2"/>
  <c r="B29" i="2"/>
  <c r="A30" i="2"/>
  <c r="A31" i="2" l="1"/>
  <c r="B31" i="2" s="1"/>
  <c r="B30" i="2"/>
  <c r="A16" i="2"/>
  <c r="B16" i="2" s="1"/>
  <c r="B15" i="2"/>
</calcChain>
</file>

<file path=xl/sharedStrings.xml><?xml version="1.0" encoding="utf-8"?>
<sst xmlns="http://schemas.openxmlformats.org/spreadsheetml/2006/main" count="29" uniqueCount="14">
  <si>
    <t>Iteration</t>
  </si>
  <si>
    <t>Solution is within tolerance</t>
  </si>
  <si>
    <t>x =</t>
  </si>
  <si>
    <t>xL</t>
  </si>
  <si>
    <t>xR</t>
  </si>
  <si>
    <t>f(xL)</t>
  </si>
  <si>
    <t>f(xR)</t>
  </si>
  <si>
    <t>xM</t>
  </si>
  <si>
    <t>f(xM)</t>
  </si>
  <si>
    <t>x</t>
  </si>
  <si>
    <t>f(x)</t>
  </si>
  <si>
    <t>RepeatL</t>
  </si>
  <si>
    <t>RepeatR</t>
  </si>
  <si>
    <t>Root is not bracketed, please try again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</si>
</sst>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4" xfId="0" applyFill="1" applyBorder="1"/>
    <xf numFmtId="0" fontId="0" fillId="0" borderId="5" xfId="0" applyFill="1" applyBorder="1"/>
    <xf numFmtId="0" fontId="0" fillId="0" borderId="19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Sheet1!$M$5:$M$15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Sheet1!$N$5:$N$15</c:f>
              <c:numCache>
                <c:formatCode>General</c:formatCode>
                <c:ptCount val="11"/>
                <c:pt idx="0">
                  <c:v>-0.5</c:v>
                </c:pt>
                <c:pt idx="1">
                  <c:v>-0.49966532791454943</c:v>
                </c:pt>
                <c:pt idx="2">
                  <c:v>-0.49728996449132751</c:v>
                </c:pt>
                <c:pt idx="3">
                  <c:v>-0.49066375039037674</c:v>
                </c:pt>
                <c:pt idx="4">
                  <c:v>-0.47720678126183824</c:v>
                </c:pt>
                <c:pt idx="5">
                  <c:v>-0.45369751015620952</c:v>
                </c:pt>
                <c:pt idx="6">
                  <c:v>-0.41586319165830765</c:v>
                </c:pt>
                <c:pt idx="7">
                  <c:v>-0.35771161953692054</c:v>
                </c:pt>
                <c:pt idx="8">
                  <c:v>-0.27036144294963593</c:v>
                </c:pt>
                <c:pt idx="9">
                  <c:v>-0.13984178244966083</c:v>
                </c:pt>
                <c:pt idx="10">
                  <c:v>5.7407724654902292E-2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A9-0447-9587-4128745E5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9711"/>
        <c:axId val="208218431"/>
      </c:scatterChart>
      <c:valAx>
        <c:axId val="208449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218431"/>
        <c:crosses val="autoZero"/>
        <c:crossBetween val="midCat"/>
      </c:valAx>
      <c:valAx>
        <c:axId val="208218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449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f(x)</c:v>
                </c:pt>
              </c:strCache>
            </c:strRef>
          </c:tx>
          <c:marker>
            <c:symbol val="none"/>
          </c:marker>
          <c:xVal>
            <c:strRef>
              <c:f>Sheet2!$A$2:$A$13</c:f>
              <c:strCache>
                <c:ptCount val="12"/>
                <c:pt idx="0">
                  <c:v>0.1</c:v>
                </c:pt>
                <c:pt idx="1">
                  <c:v>Root is not bracketed, please try again</c:v>
                </c:pt>
                <c:pt idx="2">
                  <c:v>#VALUE!</c:v>
                </c:pt>
                <c:pt idx="3">
                  <c:v>#VALUE!</c:v>
                </c:pt>
                <c:pt idx="4">
                  <c:v>#VALUE!</c:v>
                </c:pt>
                <c:pt idx="5">
                  <c:v>#VALUE!</c:v>
                </c:pt>
                <c:pt idx="6">
                  <c:v>#VALUE!</c:v>
                </c:pt>
                <c:pt idx="7">
                  <c:v>#VALUE!</c:v>
                </c:pt>
                <c:pt idx="8">
                  <c:v>#VALUE!</c:v>
                </c:pt>
                <c:pt idx="9">
                  <c:v>#VALUE!</c:v>
                </c:pt>
                <c:pt idx="10">
                  <c:v>#VALUE!</c:v>
                </c:pt>
                <c:pt idx="11">
                  <c:v>#VALUE!</c:v>
                </c:pt>
              </c:strCache>
            </c:strRef>
          </c:xVal>
          <c:yVal>
            <c:numRef>
              <c:f>Sheet2!$B$2:$B$13</c:f>
              <c:numCache>
                <c:formatCode>General</c:formatCode>
                <c:ptCount val="12"/>
                <c:pt idx="0">
                  <c:v>-0.40966532791454946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82-464F-BD88-6F9FF3C91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2669256"/>
        <c:axId val="2021988696"/>
      </c:scatterChart>
      <c:valAx>
        <c:axId val="2022669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21988696"/>
        <c:crosses val="autoZero"/>
        <c:crossBetween val="midCat"/>
      </c:valAx>
      <c:valAx>
        <c:axId val="2021988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22669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355600</xdr:colOff>
      <xdr:row>2</xdr:row>
      <xdr:rowOff>101600</xdr:rowOff>
    </xdr:from>
    <xdr:to>
      <xdr:col>21</xdr:col>
      <xdr:colOff>215900</xdr:colOff>
      <xdr:row>16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B1C277-0188-854F-8B66-9907BBEDD9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713608</xdr:colOff>
      <xdr:row>22</xdr:row>
      <xdr:rowOff>61515</xdr:rowOff>
    </xdr:from>
    <xdr:ext cx="7825668" cy="875111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3DADAB8-1BBE-1649-A395-099469D84F8E}"/>
            </a:ext>
          </a:extLst>
        </xdr:cNvPr>
        <xdr:cNvSpPr/>
      </xdr:nvSpPr>
      <xdr:spPr>
        <a:xfrm>
          <a:off x="4244487" y="4108768"/>
          <a:ext cx="7825668" cy="875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2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5/10</a:t>
          </a:r>
        </a:p>
        <a:p>
          <a:pPr algn="ctr"/>
          <a:r>
            <a:rPr lang="en-US" altLang="zh-CN" sz="2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equations</a:t>
          </a:r>
          <a:r>
            <a:rPr lang="en-US" altLang="zh-CN" sz="25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are not correctly implemented in sheet 2 and 3</a:t>
          </a:r>
          <a:endParaRPr lang="en-US" altLang="zh-CN" sz="25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423862</xdr:colOff>
      <xdr:row>4</xdr:row>
      <xdr:rowOff>123825</xdr:rowOff>
    </xdr:from>
    <xdr:to>
      <xdr:col>11</xdr:col>
      <xdr:colOff>119062</xdr:colOff>
      <xdr:row>19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7"/>
  <sheetViews>
    <sheetView tabSelected="1" zoomScale="91" workbookViewId="0">
      <selection activeCell="K19" sqref="K19"/>
    </sheetView>
  </sheetViews>
  <sheetFormatPr baseColWidth="10" defaultColWidth="8.83203125" defaultRowHeight="14"/>
  <cols>
    <col min="1" max="1" width="28.33203125" customWidth="1"/>
    <col min="2" max="3" width="9" bestFit="1" customWidth="1"/>
    <col min="4" max="4" width="12.5" bestFit="1" customWidth="1"/>
    <col min="5" max="9" width="9" bestFit="1" customWidth="1"/>
    <col min="13" max="14" width="9" bestFit="1" customWidth="1"/>
  </cols>
  <sheetData>
    <row r="1" spans="1:14" ht="15" thickBot="1">
      <c r="A1" s="3" t="s">
        <v>0</v>
      </c>
      <c r="B1" s="15" t="s">
        <v>3</v>
      </c>
      <c r="C1" s="15" t="s">
        <v>4</v>
      </c>
      <c r="D1" s="15" t="s">
        <v>5</v>
      </c>
      <c r="E1" s="15" t="s">
        <v>6</v>
      </c>
      <c r="F1" s="15" t="s">
        <v>7</v>
      </c>
      <c r="G1" s="16" t="s">
        <v>8</v>
      </c>
      <c r="H1" s="19" t="s">
        <v>11</v>
      </c>
      <c r="I1" s="20" t="s">
        <v>12</v>
      </c>
    </row>
    <row r="2" spans="1:14" ht="15" thickTop="1">
      <c r="A2" s="5">
        <v>1</v>
      </c>
      <c r="B2" s="6">
        <v>0.1</v>
      </c>
      <c r="C2" s="6">
        <v>1.55</v>
      </c>
      <c r="D2" s="6">
        <v>6.5762066541205044</v>
      </c>
      <c r="E2" s="6">
        <v>-2.7223274932086525</v>
      </c>
      <c r="F2" s="6">
        <v>1.1254841781931444</v>
      </c>
      <c r="G2" s="12">
        <v>-5.995486314248863</v>
      </c>
      <c r="H2" s="2"/>
      <c r="I2" s="21"/>
    </row>
    <row r="3" spans="1:14">
      <c r="A3" s="7">
        <v>2</v>
      </c>
      <c r="B3" s="1">
        <v>0.1</v>
      </c>
      <c r="C3" s="1">
        <v>1.1254841781931444</v>
      </c>
      <c r="D3" s="1">
        <v>6.5762066541205044</v>
      </c>
      <c r="E3" s="1">
        <v>-5.995486314248863</v>
      </c>
      <c r="F3" s="1">
        <v>0.6364270264392059</v>
      </c>
      <c r="G3" s="13">
        <v>-8.2595218666368648</v>
      </c>
      <c r="H3" s="1">
        <v>1</v>
      </c>
      <c r="I3" s="8">
        <v>0</v>
      </c>
    </row>
    <row r="4" spans="1:14">
      <c r="A4" s="7">
        <v>3</v>
      </c>
      <c r="B4" s="1">
        <v>0.1</v>
      </c>
      <c r="C4" s="1">
        <v>0.6364270264392059</v>
      </c>
      <c r="D4" s="1">
        <v>3.2881033270602522</v>
      </c>
      <c r="E4" s="1">
        <v>-8.2595218666368648</v>
      </c>
      <c r="F4" s="1">
        <v>0.25274374261146931</v>
      </c>
      <c r="G4" s="13">
        <v>-4.0852119913476486</v>
      </c>
      <c r="H4" s="1">
        <v>2</v>
      </c>
      <c r="I4" s="8">
        <v>0</v>
      </c>
      <c r="M4" t="s">
        <v>9</v>
      </c>
      <c r="N4" t="s">
        <v>10</v>
      </c>
    </row>
    <row r="5" spans="1:14">
      <c r="A5" s="7">
        <v>4</v>
      </c>
      <c r="B5" s="1">
        <v>0.1</v>
      </c>
      <c r="C5" s="1">
        <v>0.25274374261146931</v>
      </c>
      <c r="D5" s="1">
        <v>1.6440516635301261</v>
      </c>
      <c r="E5" s="1">
        <v>-4.0852119913476486</v>
      </c>
      <c r="F5" s="1">
        <v>0.14383086889715863</v>
      </c>
      <c r="G5" s="13">
        <v>2.3215989218230106</v>
      </c>
      <c r="H5" s="1">
        <v>3</v>
      </c>
      <c r="I5" s="8">
        <v>0</v>
      </c>
      <c r="M5">
        <v>0</v>
      </c>
      <c r="N5">
        <f>TAN(M5)-M5-0.5</f>
        <v>-0.5</v>
      </c>
    </row>
    <row r="6" spans="1:14">
      <c r="A6" s="7">
        <v>5</v>
      </c>
      <c r="B6" s="1">
        <v>0.14383086889715863</v>
      </c>
      <c r="C6" s="1">
        <v>0.25274374261146931</v>
      </c>
      <c r="D6" s="1">
        <v>2.3215989218230106</v>
      </c>
      <c r="E6" s="1">
        <v>-4.0852119913476486</v>
      </c>
      <c r="F6" s="1">
        <v>0.18329699543259212</v>
      </c>
      <c r="G6" s="13">
        <v>-0.67192238672126336</v>
      </c>
      <c r="H6" s="1">
        <v>0</v>
      </c>
      <c r="I6" s="8">
        <v>1</v>
      </c>
      <c r="M6">
        <v>0.1</v>
      </c>
      <c r="N6">
        <f t="shared" ref="N6:N15" si="0">TAN(M6)-M6-0.5</f>
        <v>-0.49966532791454943</v>
      </c>
    </row>
    <row r="7" spans="1:14">
      <c r="A7" s="7">
        <v>6</v>
      </c>
      <c r="B7" s="1">
        <v>0.14383086889715863</v>
      </c>
      <c r="C7" s="1">
        <v>0.18329699543259212</v>
      </c>
      <c r="D7" s="1">
        <v>2.3215989218230106</v>
      </c>
      <c r="E7" s="1">
        <v>-0.67192238672126336</v>
      </c>
      <c r="F7" s="1">
        <v>0.17443847357719652</v>
      </c>
      <c r="G7" s="13">
        <v>-7.9641761280349499E-2</v>
      </c>
      <c r="H7" s="1">
        <v>1</v>
      </c>
      <c r="I7" s="8">
        <v>0</v>
      </c>
      <c r="J7" s="4"/>
      <c r="K7" s="4"/>
      <c r="L7" s="4"/>
      <c r="M7">
        <v>0.2</v>
      </c>
      <c r="N7">
        <f t="shared" si="0"/>
        <v>-0.49728996449132751</v>
      </c>
    </row>
    <row r="8" spans="1:14">
      <c r="A8" s="7">
        <v>7</v>
      </c>
      <c r="B8" s="1">
        <v>0.14383086889715863</v>
      </c>
      <c r="C8" s="1">
        <v>0.17443847357719652</v>
      </c>
      <c r="D8" s="1">
        <v>1.1607994609115053</v>
      </c>
      <c r="E8" s="1">
        <v>-7.9641761280349499E-2</v>
      </c>
      <c r="F8" s="1">
        <v>0.17247333125389999</v>
      </c>
      <c r="G8" s="13">
        <v>5.766662290619351E-2</v>
      </c>
      <c r="H8" s="1">
        <v>2</v>
      </c>
      <c r="I8" s="8">
        <v>0</v>
      </c>
      <c r="J8" s="4"/>
      <c r="K8" s="4"/>
      <c r="L8" s="4"/>
      <c r="M8">
        <v>0.3</v>
      </c>
      <c r="N8">
        <f t="shared" si="0"/>
        <v>-0.49066375039037674</v>
      </c>
    </row>
    <row r="9" spans="1:14">
      <c r="A9" s="7">
        <v>8</v>
      </c>
      <c r="B9" s="1">
        <v>0.17247333125389999</v>
      </c>
      <c r="C9" s="1">
        <v>0.17443847357719652</v>
      </c>
      <c r="D9" s="1">
        <v>5.766662290619351E-2</v>
      </c>
      <c r="E9" s="1">
        <v>-7.9641761280349499E-2</v>
      </c>
      <c r="F9" s="1">
        <v>0.17329864954735966</v>
      </c>
      <c r="G9" s="13">
        <v>-2.6784527283751913E-4</v>
      </c>
      <c r="H9" s="1">
        <v>0</v>
      </c>
      <c r="I9" s="8">
        <v>1</v>
      </c>
      <c r="M9">
        <v>0.4</v>
      </c>
      <c r="N9">
        <f t="shared" si="0"/>
        <v>-0.47720678126183824</v>
      </c>
    </row>
    <row r="10" spans="1:14">
      <c r="A10" s="7">
        <v>9</v>
      </c>
      <c r="B10" s="1">
        <v>0.17247333125389999</v>
      </c>
      <c r="C10" s="1">
        <v>0.17329864954735966</v>
      </c>
      <c r="D10" s="1">
        <v>5.766662290619351E-2</v>
      </c>
      <c r="E10" s="1">
        <v>-2.6784527283751913E-4</v>
      </c>
      <c r="F10" s="1">
        <v>0.17329483389822301</v>
      </c>
      <c r="G10" s="13">
        <v>-8.9473297038011879E-7</v>
      </c>
      <c r="H10" s="1">
        <v>1</v>
      </c>
      <c r="I10" s="8">
        <v>0</v>
      </c>
      <c r="M10">
        <v>0.5</v>
      </c>
      <c r="N10">
        <f t="shared" si="0"/>
        <v>-0.45369751015620952</v>
      </c>
    </row>
    <row r="11" spans="1:14">
      <c r="A11" s="7">
        <v>10</v>
      </c>
      <c r="B11" s="1">
        <v>0.17247333125389999</v>
      </c>
      <c r="C11" s="1">
        <v>0.17329483389822301</v>
      </c>
      <c r="D11" s="1">
        <v>2.8833311453096755E-2</v>
      </c>
      <c r="E11" s="1">
        <v>-8.9473297038011879E-7</v>
      </c>
      <c r="F11" s="1">
        <v>0.97451452494777802</v>
      </c>
      <c r="G11" s="13">
        <v>-1.0924606861757447E-3</v>
      </c>
      <c r="H11" s="1">
        <v>2</v>
      </c>
      <c r="I11" s="8">
        <v>0</v>
      </c>
      <c r="M11">
        <v>0.6</v>
      </c>
      <c r="N11">
        <f t="shared" si="0"/>
        <v>-0.41586319165830765</v>
      </c>
    </row>
    <row r="12" spans="1:14" ht="15" thickBot="1">
      <c r="A12" s="9" t="s">
        <v>1</v>
      </c>
      <c r="B12" s="10">
        <v>0.97451452494777802</v>
      </c>
      <c r="C12" s="10">
        <v>0.99622458921306856</v>
      </c>
      <c r="D12" s="10">
        <v>-1.0924606861757447E-3</v>
      </c>
      <c r="E12" s="10">
        <v>2.4162966062258096E-2</v>
      </c>
      <c r="F12" s="10">
        <v>0.97545362575729611</v>
      </c>
      <c r="G12" s="14">
        <v>9.5042845244419638E-4</v>
      </c>
      <c r="H12" s="10">
        <v>0</v>
      </c>
      <c r="I12" s="11">
        <v>2</v>
      </c>
      <c r="M12">
        <v>0.7</v>
      </c>
      <c r="N12">
        <f t="shared" si="0"/>
        <v>-0.35771161953692054</v>
      </c>
    </row>
    <row r="13" spans="1:14">
      <c r="A13" s="17" t="s">
        <v>2</v>
      </c>
      <c r="B13" s="2">
        <v>0.17329483389822301</v>
      </c>
      <c r="C13" s="2">
        <v>0.97545362575729611</v>
      </c>
      <c r="D13" s="2">
        <v>-1.0924606861757447E-3</v>
      </c>
      <c r="E13" s="2">
        <v>9.5042845244419638E-4</v>
      </c>
      <c r="F13" s="2">
        <v>0.97501672092863645</v>
      </c>
      <c r="G13" s="18">
        <v>-1.0276478126236555E-6</v>
      </c>
      <c r="H13" s="2">
        <v>1</v>
      </c>
      <c r="I13" s="2">
        <v>0</v>
      </c>
      <c r="M13">
        <v>0.8</v>
      </c>
      <c r="N13">
        <f t="shared" si="0"/>
        <v>-0.27036144294963593</v>
      </c>
    </row>
    <row r="14" spans="1:14" ht="15" thickBot="1">
      <c r="A14" s="9">
        <v>13</v>
      </c>
      <c r="B14" s="10">
        <v>0.97501672092863645</v>
      </c>
      <c r="C14" s="10">
        <v>0.97545362575729611</v>
      </c>
      <c r="D14" s="10">
        <v>-1.0276478126236555E-6</v>
      </c>
      <c r="E14" s="10">
        <v>9.5042845244419638E-4</v>
      </c>
      <c r="F14" s="10">
        <v>0.97501719282039412</v>
      </c>
      <c r="G14" s="14">
        <v>-9.6541796779092692E-10</v>
      </c>
      <c r="H14" s="1">
        <v>0</v>
      </c>
      <c r="I14" s="1">
        <v>1</v>
      </c>
      <c r="M14">
        <v>0.9</v>
      </c>
      <c r="N14">
        <f t="shared" si="0"/>
        <v>-0.13984178244966083</v>
      </c>
    </row>
    <row r="15" spans="1:14">
      <c r="A15">
        <v>14</v>
      </c>
      <c r="B15">
        <v>0.97501719282039412</v>
      </c>
      <c r="C15">
        <v>0.97545362575729611</v>
      </c>
      <c r="D15">
        <v>-9.6541796779092692E-10</v>
      </c>
      <c r="E15">
        <v>4.7521422622209819E-4</v>
      </c>
      <c r="H15">
        <v>0</v>
      </c>
      <c r="I15">
        <v>2</v>
      </c>
      <c r="M15">
        <v>1</v>
      </c>
      <c r="N15">
        <f t="shared" si="0"/>
        <v>5.7407724654902292E-2</v>
      </c>
    </row>
    <row r="16" spans="1:14">
      <c r="A16" t="s">
        <v>1</v>
      </c>
      <c r="B16">
        <v>0.97501713815116953</v>
      </c>
      <c r="N16" s="4"/>
    </row>
    <row r="17" spans="1:2">
      <c r="A17" t="s">
        <v>2</v>
      </c>
      <c r="B17">
        <v>0.97501719282039412</v>
      </c>
    </row>
  </sheetData>
  <phoneticPr fontId="1" type="noConversion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2"/>
  <sheetViews>
    <sheetView workbookViewId="0">
      <selection activeCell="A4" sqref="A4"/>
    </sheetView>
  </sheetViews>
  <sheetFormatPr baseColWidth="10" defaultColWidth="8.83203125" defaultRowHeight="14"/>
  <cols>
    <col min="1" max="1" width="10.6640625" customWidth="1"/>
    <col min="2" max="2" width="11.6640625" customWidth="1"/>
  </cols>
  <sheetData>
    <row r="1" spans="1:5">
      <c r="A1" t="s">
        <v>9</v>
      </c>
      <c r="B1" t="s">
        <v>10</v>
      </c>
    </row>
    <row r="2" spans="1:5">
      <c r="A2">
        <v>0.1</v>
      </c>
      <c r="B2">
        <f>TAN(A2)-(A2)^2-0.5</f>
        <v>-0.40966532791454946</v>
      </c>
      <c r="D2">
        <v>-0.52456804146304181</v>
      </c>
      <c r="E2">
        <v>-0.5</v>
      </c>
    </row>
    <row r="3" spans="1:5">
      <c r="A3" t="s">
        <v>13</v>
      </c>
      <c r="B3" t="e">
        <f t="shared" ref="B3:B18" si="0">TAN(A3)-(A3)^2-0.5</f>
        <v>#VALUE!</v>
      </c>
    </row>
    <row r="4" spans="1:5">
      <c r="A4" t="e">
        <f t="shared" ref="A4:A18" si="1">A3+0.1</f>
        <v>#VALUE!</v>
      </c>
      <c r="B4" t="e">
        <f t="shared" si="0"/>
        <v>#VALUE!</v>
      </c>
    </row>
    <row r="5" spans="1:5">
      <c r="A5" t="e">
        <f t="shared" si="1"/>
        <v>#VALUE!</v>
      </c>
      <c r="B5" t="e">
        <f t="shared" si="0"/>
        <v>#VALUE!</v>
      </c>
    </row>
    <row r="6" spans="1:5">
      <c r="A6" t="e">
        <f t="shared" si="1"/>
        <v>#VALUE!</v>
      </c>
      <c r="B6" t="e">
        <f t="shared" si="0"/>
        <v>#VALUE!</v>
      </c>
    </row>
    <row r="7" spans="1:5">
      <c r="A7" t="e">
        <f t="shared" si="1"/>
        <v>#VALUE!</v>
      </c>
      <c r="B7" t="e">
        <f t="shared" si="0"/>
        <v>#VALUE!</v>
      </c>
    </row>
    <row r="8" spans="1:5">
      <c r="A8" t="e">
        <f t="shared" si="1"/>
        <v>#VALUE!</v>
      </c>
      <c r="B8" t="e">
        <f t="shared" si="0"/>
        <v>#VALUE!</v>
      </c>
    </row>
    <row r="9" spans="1:5">
      <c r="A9" t="e">
        <f t="shared" si="1"/>
        <v>#VALUE!</v>
      </c>
      <c r="B9" t="e">
        <f t="shared" si="0"/>
        <v>#VALUE!</v>
      </c>
    </row>
    <row r="10" spans="1:5">
      <c r="A10" t="e">
        <f t="shared" si="1"/>
        <v>#VALUE!</v>
      </c>
      <c r="B10" t="e">
        <f t="shared" si="0"/>
        <v>#VALUE!</v>
      </c>
    </row>
    <row r="11" spans="1:5">
      <c r="A11" t="e">
        <f t="shared" si="1"/>
        <v>#VALUE!</v>
      </c>
      <c r="B11" t="e">
        <f t="shared" si="0"/>
        <v>#VALUE!</v>
      </c>
    </row>
    <row r="12" spans="1:5">
      <c r="A12" t="e">
        <f t="shared" si="1"/>
        <v>#VALUE!</v>
      </c>
      <c r="B12" t="e">
        <f t="shared" si="0"/>
        <v>#VALUE!</v>
      </c>
    </row>
    <row r="13" spans="1:5">
      <c r="A13" t="e">
        <f t="shared" si="1"/>
        <v>#VALUE!</v>
      </c>
      <c r="B13" t="e">
        <f t="shared" si="0"/>
        <v>#VALUE!</v>
      </c>
    </row>
    <row r="14" spans="1:5">
      <c r="A14" t="e">
        <f t="shared" si="1"/>
        <v>#VALUE!</v>
      </c>
      <c r="B14" t="e">
        <f t="shared" si="0"/>
        <v>#VALUE!</v>
      </c>
    </row>
    <row r="15" spans="1:5">
      <c r="A15" t="e">
        <f t="shared" si="1"/>
        <v>#VALUE!</v>
      </c>
      <c r="B15" t="e">
        <f t="shared" si="0"/>
        <v>#VALUE!</v>
      </c>
    </row>
    <row r="16" spans="1:5">
      <c r="A16" t="e">
        <f t="shared" si="1"/>
        <v>#VALUE!</v>
      </c>
      <c r="B16" t="e">
        <f t="shared" si="0"/>
        <v>#VALUE!</v>
      </c>
    </row>
    <row r="17" spans="1:2">
      <c r="A17">
        <v>1.55</v>
      </c>
      <c r="B17">
        <f t="shared" si="0"/>
        <v>45.175982479219066</v>
      </c>
    </row>
    <row r="18" spans="1:2">
      <c r="A18">
        <f t="shared" si="1"/>
        <v>1.6500000000000001</v>
      </c>
      <c r="B18">
        <f t="shared" si="0"/>
        <v>-15.821764789465741</v>
      </c>
    </row>
    <row r="19" spans="1:2">
      <c r="A19">
        <f t="shared" ref="A19:A25" si="2">A18+0.005</f>
        <v>1.655</v>
      </c>
      <c r="B19">
        <f t="shared" ref="B19:B32" si="3">TAN(A19)-SQRT(A19)-0.5</f>
        <v>-13.634353340091835</v>
      </c>
    </row>
    <row r="20" spans="1:2">
      <c r="A20">
        <f t="shared" si="2"/>
        <v>1.66</v>
      </c>
      <c r="B20">
        <f t="shared" si="3"/>
        <v>-12.968960227249184</v>
      </c>
    </row>
    <row r="21" spans="1:2">
      <c r="A21">
        <f t="shared" si="2"/>
        <v>1.6649999999999998</v>
      </c>
      <c r="B21">
        <f t="shared" si="3"/>
        <v>-12.374226295376531</v>
      </c>
    </row>
    <row r="22" spans="1:2">
      <c r="A22">
        <f t="shared" si="2"/>
        <v>1.6699999999999997</v>
      </c>
      <c r="B22">
        <f t="shared" si="3"/>
        <v>-11.839467097542338</v>
      </c>
    </row>
    <row r="23" spans="1:2">
      <c r="A23">
        <f t="shared" si="2"/>
        <v>1.6749999999999996</v>
      </c>
      <c r="B23">
        <f t="shared" si="3"/>
        <v>-11.356048871280356</v>
      </c>
    </row>
    <row r="24" spans="1:2">
      <c r="A24">
        <f t="shared" si="2"/>
        <v>1.6799999999999995</v>
      </c>
      <c r="B24">
        <f t="shared" si="3"/>
        <v>-10.916919075311165</v>
      </c>
    </row>
    <row r="25" spans="1:2">
      <c r="A25">
        <f t="shared" si="2"/>
        <v>1.6849999999999994</v>
      </c>
      <c r="B25">
        <f t="shared" si="3"/>
        <v>-10.51626024890265</v>
      </c>
    </row>
    <row r="26" spans="1:2">
      <c r="A26">
        <f t="shared" ref="A26:A31" si="4">A25+0.005</f>
        <v>1.6899999999999993</v>
      </c>
      <c r="B26">
        <f t="shared" si="3"/>
        <v>-10.149230984478855</v>
      </c>
    </row>
    <row r="27" spans="1:2">
      <c r="A27">
        <f t="shared" si="4"/>
        <v>1.6949999999999992</v>
      </c>
      <c r="B27">
        <f t="shared" si="3"/>
        <v>-9.8117694653812073</v>
      </c>
    </row>
    <row r="28" spans="1:2">
      <c r="A28">
        <f t="shared" si="4"/>
        <v>1.6999999999999991</v>
      </c>
      <c r="B28">
        <f t="shared" si="3"/>
        <v>-9.5004426204997436</v>
      </c>
    </row>
    <row r="29" spans="1:2">
      <c r="A29">
        <f t="shared" si="4"/>
        <v>1.704999999999999</v>
      </c>
      <c r="B29">
        <f t="shared" si="3"/>
        <v>-9.212328999002743</v>
      </c>
    </row>
    <row r="30" spans="1:2">
      <c r="A30">
        <f t="shared" si="4"/>
        <v>1.7099999999999989</v>
      </c>
      <c r="B30">
        <f t="shared" si="3"/>
        <v>-8.9449268869154643</v>
      </c>
    </row>
    <row r="31" spans="1:2">
      <c r="A31">
        <f t="shared" si="4"/>
        <v>1.7149999999999987</v>
      </c>
      <c r="B31">
        <f t="shared" si="3"/>
        <v>-8.6960815390416251</v>
      </c>
    </row>
    <row r="32" spans="1:2">
      <c r="A32">
        <v>1E-4</v>
      </c>
      <c r="B32">
        <f t="shared" si="3"/>
        <v>-0.50989999999966662</v>
      </c>
    </row>
  </sheetData>
  <phoneticPr fontId="1" type="noConversion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5"/>
  <sheetViews>
    <sheetView workbookViewId="0">
      <selection activeCell="K12" sqref="K12"/>
    </sheetView>
  </sheetViews>
  <sheetFormatPr baseColWidth="10" defaultColWidth="8.83203125" defaultRowHeight="14"/>
  <sheetData>
    <row r="1" spans="1:9" ht="15" thickBot="1">
      <c r="A1" s="3" t="s">
        <v>0</v>
      </c>
      <c r="B1" s="15" t="s">
        <v>3</v>
      </c>
      <c r="C1" s="15" t="s">
        <v>4</v>
      </c>
      <c r="D1" s="15" t="s">
        <v>5</v>
      </c>
      <c r="E1" s="15" t="s">
        <v>6</v>
      </c>
      <c r="F1" s="15" t="s">
        <v>7</v>
      </c>
      <c r="G1" s="16" t="s">
        <v>8</v>
      </c>
      <c r="H1" s="19" t="s">
        <v>11</v>
      </c>
      <c r="I1" s="20" t="s">
        <v>12</v>
      </c>
    </row>
    <row r="2" spans="1:9" ht="15" thickTop="1">
      <c r="A2">
        <v>1</v>
      </c>
      <c r="B2">
        <v>0.1</v>
      </c>
      <c r="C2">
        <v>1.5</v>
      </c>
      <c r="D2">
        <v>-0.49966532791454943</v>
      </c>
      <c r="E2">
        <v>12.101419947171721</v>
      </c>
      <c r="F2">
        <v>0.15551358821953373</v>
      </c>
      <c r="G2">
        <v>-0.49873408079747372</v>
      </c>
    </row>
    <row r="3" spans="1:9">
      <c r="A3">
        <v>2</v>
      </c>
      <c r="B3">
        <v>0.15551358821953373</v>
      </c>
      <c r="C3">
        <v>1.5</v>
      </c>
      <c r="D3">
        <v>-0.49873408079747372</v>
      </c>
      <c r="E3">
        <v>12.101419947171721</v>
      </c>
      <c r="F3">
        <v>0.20873049280939754</v>
      </c>
      <c r="G3">
        <v>-0.49691487064365158</v>
      </c>
      <c r="H3">
        <v>0</v>
      </c>
      <c r="I3">
        <v>1</v>
      </c>
    </row>
    <row r="4" spans="1:9">
      <c r="A4">
        <v>3</v>
      </c>
      <c r="B4">
        <v>0.20873049280939754</v>
      </c>
      <c r="C4">
        <v>1.5</v>
      </c>
      <c r="D4">
        <v>-0.49691487064365158</v>
      </c>
      <c r="E4">
        <v>6.0507099735858603</v>
      </c>
      <c r="F4">
        <v>0.30672801639952862</v>
      </c>
      <c r="G4">
        <v>-0.49000446774370471</v>
      </c>
      <c r="H4">
        <v>0</v>
      </c>
      <c r="I4">
        <v>2</v>
      </c>
    </row>
    <row r="5" spans="1:9">
      <c r="A5">
        <v>4</v>
      </c>
      <c r="B5">
        <v>0.30672801639952862</v>
      </c>
      <c r="C5">
        <v>1.5</v>
      </c>
      <c r="D5">
        <v>-0.49000446774370471</v>
      </c>
      <c r="E5">
        <v>3.0253549867929301</v>
      </c>
      <c r="F5">
        <v>0.47305769356612581</v>
      </c>
      <c r="G5">
        <v>-0.46123913218306778</v>
      </c>
      <c r="H5">
        <v>0</v>
      </c>
      <c r="I5">
        <v>3</v>
      </c>
    </row>
    <row r="6" spans="1:9">
      <c r="A6">
        <v>5</v>
      </c>
      <c r="B6">
        <v>0.47305769356612581</v>
      </c>
      <c r="C6">
        <v>1.5</v>
      </c>
      <c r="D6">
        <v>-0.46123913218306778</v>
      </c>
      <c r="E6">
        <v>1.5126774933964651</v>
      </c>
      <c r="F6">
        <v>0.71302019860991006</v>
      </c>
      <c r="G6">
        <v>-0.34822635955998693</v>
      </c>
      <c r="H6">
        <v>0</v>
      </c>
      <c r="I6">
        <v>4</v>
      </c>
    </row>
    <row r="7" spans="1:9">
      <c r="A7">
        <v>6</v>
      </c>
      <c r="B7">
        <v>0.71302019860991006</v>
      </c>
      <c r="C7">
        <v>1.5</v>
      </c>
      <c r="D7">
        <v>-0.34822635955998693</v>
      </c>
      <c r="E7">
        <v>0.75633874669823253</v>
      </c>
      <c r="F7">
        <v>0.96112428023680807</v>
      </c>
      <c r="G7">
        <v>-2.9343247559342478E-2</v>
      </c>
      <c r="H7">
        <v>0</v>
      </c>
      <c r="I7">
        <v>5</v>
      </c>
    </row>
    <row r="8" spans="1:9">
      <c r="A8">
        <v>7</v>
      </c>
      <c r="B8">
        <v>0.96112428023680807</v>
      </c>
      <c r="C8">
        <v>1.5</v>
      </c>
      <c r="D8">
        <v>-2.9343247559342478E-2</v>
      </c>
      <c r="E8">
        <v>0.37816937334911627</v>
      </c>
      <c r="F8">
        <v>0.99992642485132344</v>
      </c>
      <c r="G8">
        <v>5.7229295622866272E-2</v>
      </c>
      <c r="H8">
        <v>0</v>
      </c>
      <c r="I8">
        <v>6</v>
      </c>
    </row>
    <row r="9" spans="1:9">
      <c r="A9">
        <v>8</v>
      </c>
      <c r="B9">
        <v>0.96112428023680807</v>
      </c>
      <c r="C9">
        <v>0.99992642485132344</v>
      </c>
      <c r="D9">
        <v>-2.9343247559342478E-2</v>
      </c>
      <c r="E9">
        <v>5.7229295622866272E-2</v>
      </c>
      <c r="F9">
        <v>0.97427603590212064</v>
      </c>
      <c r="G9">
        <v>-1.6099482327190939E-3</v>
      </c>
      <c r="H9">
        <v>1</v>
      </c>
      <c r="I9">
        <v>0</v>
      </c>
    </row>
    <row r="10" spans="1:9">
      <c r="A10">
        <v>9</v>
      </c>
      <c r="B10">
        <v>0.97427603590212064</v>
      </c>
      <c r="C10">
        <v>0.99992642485132344</v>
      </c>
      <c r="D10">
        <v>-1.6099482327190939E-3</v>
      </c>
      <c r="E10">
        <v>5.7229295622866272E-2</v>
      </c>
      <c r="F10">
        <v>0.97497787698047789</v>
      </c>
      <c r="G10">
        <v>-8.5532243576103006E-5</v>
      </c>
      <c r="H10">
        <v>0</v>
      </c>
      <c r="I10">
        <v>1</v>
      </c>
    </row>
    <row r="11" spans="1:9">
      <c r="A11">
        <v>10</v>
      </c>
      <c r="B11">
        <v>0.97497787698047789</v>
      </c>
      <c r="C11">
        <v>0.99992642485132344</v>
      </c>
      <c r="D11">
        <v>-8.5532243576103006E-5</v>
      </c>
      <c r="E11">
        <v>2.8614647811433136E-2</v>
      </c>
      <c r="F11">
        <v>0.97505222861413554</v>
      </c>
      <c r="G11">
        <v>7.6231310426444487E-5</v>
      </c>
      <c r="H11">
        <v>0</v>
      </c>
      <c r="I11">
        <v>2</v>
      </c>
    </row>
    <row r="12" spans="1:9">
      <c r="A12">
        <v>11</v>
      </c>
      <c r="B12">
        <v>0.97497787698047789</v>
      </c>
      <c r="C12">
        <v>0.97505222861413554</v>
      </c>
      <c r="D12">
        <v>-8.5532243576103006E-5</v>
      </c>
      <c r="E12">
        <v>7.6231310426444487E-5</v>
      </c>
      <c r="F12">
        <v>0.97501719029848388</v>
      </c>
      <c r="G12">
        <v>-6.4522767129204794E-9</v>
      </c>
      <c r="H12">
        <v>1</v>
      </c>
      <c r="I12">
        <v>0</v>
      </c>
    </row>
    <row r="13" spans="1:9">
      <c r="A13">
        <v>12</v>
      </c>
      <c r="B13">
        <v>0.97501719029848388</v>
      </c>
      <c r="C13">
        <v>0.97505222861413554</v>
      </c>
      <c r="D13">
        <v>-6.4522767129204794E-9</v>
      </c>
      <c r="E13">
        <v>7.6231310426444487E-5</v>
      </c>
      <c r="H13">
        <v>0</v>
      </c>
      <c r="I13">
        <v>1</v>
      </c>
    </row>
    <row r="14" spans="1:9">
      <c r="A14" t="s">
        <v>1</v>
      </c>
    </row>
    <row r="15" spans="1:9">
      <c r="A15" t="s">
        <v>2</v>
      </c>
      <c r="B15">
        <v>0.97501719029848388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pansdad</dc:creator>
  <cp:lastModifiedBy>Zhen Luo</cp:lastModifiedBy>
  <dcterms:created xsi:type="dcterms:W3CDTF">2011-02-25T19:37:56Z</dcterms:created>
  <dcterms:modified xsi:type="dcterms:W3CDTF">2020-05-13T00:49:11Z</dcterms:modified>
</cp:coreProperties>
</file>