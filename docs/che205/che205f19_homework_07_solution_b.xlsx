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codeName="ThisWorkbook" autoCompressPictures="0"/>
  <bookViews>
    <workbookView xWindow="1520" yWindow="180" windowWidth="23760" windowHeight="1578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1" l="1"/>
  <c r="H13" i="1"/>
  <c r="G12" i="1"/>
  <c r="F11" i="1"/>
  <c r="B7" i="1"/>
  <c r="C8" i="1"/>
  <c r="D9" i="1"/>
  <c r="E10" i="1"/>
  <c r="L6" i="1"/>
  <c r="L7" i="1"/>
  <c r="L8" i="1"/>
  <c r="L9" i="1"/>
  <c r="L10" i="1"/>
  <c r="L11" i="1"/>
  <c r="L12" i="1"/>
  <c r="L13" i="1"/>
  <c r="L14" i="1"/>
  <c r="L15" i="1"/>
  <c r="D3" i="1"/>
  <c r="D4" i="1"/>
  <c r="D2" i="1"/>
  <c r="A6" i="1"/>
</calcChain>
</file>

<file path=xl/sharedStrings.xml><?xml version="1.0" encoding="utf-8"?>
<sst xmlns="http://schemas.openxmlformats.org/spreadsheetml/2006/main" count="12" uniqueCount="12">
  <si>
    <t>k</t>
  </si>
  <si>
    <t>Dy</t>
  </si>
  <si>
    <t>CA0</t>
  </si>
  <si>
    <t>k/Da</t>
  </si>
  <si>
    <t>Da</t>
  </si>
  <si>
    <t>kL^2Dx^2/Da</t>
  </si>
  <si>
    <t>L</t>
  </si>
  <si>
    <t>2+alpha</t>
  </si>
  <si>
    <t>y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</si>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</sst>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2" fontId="4" fillId="0" borderId="0" xfId="0" applyNumberFormat="1" applyFont="1"/>
    <xf numFmtId="0" fontId="4" fillId="0" borderId="0" xfId="0" quotePrefix="1" applyFont="1"/>
    <xf numFmtId="0" fontId="5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/>
              <a:t>Concentration of A by Finite Differences</a:t>
            </a:r>
          </a:p>
        </c:rich>
      </c:tx>
      <c:layout>
        <c:manualLayout>
          <c:xMode val="edge"/>
          <c:yMode val="edge"/>
          <c:x val="0.199218753102156"/>
          <c:y val="0.0364238677326459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644577525602"/>
          <c:y val="0.155870815037958"/>
          <c:w val="0.815431767261789"/>
          <c:h val="0.619066280250408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Sheet1!$L$5:$L$15</c:f>
              <c:numCache>
                <c:formatCode>General</c:formatCode>
                <c:ptCount val="1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Sheet1!$M$5:$M$15</c:f>
              <c:numCache>
                <c:formatCode>0.00</c:formatCode>
                <c:ptCount val="11"/>
                <c:pt idx="0">
                  <c:v>1.0</c:v>
                </c:pt>
                <c:pt idx="1">
                  <c:v>0.731000075030215</c:v>
                </c:pt>
                <c:pt idx="2">
                  <c:v>0.535100157563452</c:v>
                </c:pt>
                <c:pt idx="3">
                  <c:v>0.392710255853035</c:v>
                </c:pt>
                <c:pt idx="4">
                  <c:v>0.289591379727921</c:v>
                </c:pt>
                <c:pt idx="5">
                  <c:v>0.215431641575598</c:v>
                </c:pt>
                <c:pt idx="6">
                  <c:v>0.162815067580836</c:v>
                </c:pt>
                <c:pt idx="7">
                  <c:v>0.126480000344158</c:v>
                </c:pt>
                <c:pt idx="8">
                  <c:v>0.102792933141895</c:v>
                </c:pt>
                <c:pt idx="9">
                  <c:v>0.0893851592538216</c:v>
                </c:pt>
                <c:pt idx="10">
                  <c:v>0.0849159012911305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6996456"/>
        <c:axId val="-2070885016"/>
      </c:scatterChart>
      <c:valAx>
        <c:axId val="-2066996456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Distance, cm</a:t>
                </a:r>
              </a:p>
            </c:rich>
          </c:tx>
          <c:layout>
            <c:manualLayout>
              <c:xMode val="edge"/>
              <c:yMode val="edge"/>
              <c:x val="0.46093745656982"/>
              <c:y val="0.874172154311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70885016"/>
        <c:crosses val="autoZero"/>
        <c:crossBetween val="midCat"/>
      </c:valAx>
      <c:valAx>
        <c:axId val="-207088501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Concentration, mole/l</a:t>
                </a:r>
              </a:p>
            </c:rich>
          </c:tx>
          <c:layout>
            <c:manualLayout>
              <c:xMode val="edge"/>
              <c:yMode val="edge"/>
              <c:x val="0.0119550640585511"/>
              <c:y val="0.2102463067436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669964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16</xdr:row>
      <xdr:rowOff>28575</xdr:rowOff>
    </xdr:from>
    <xdr:to>
      <xdr:col>12</xdr:col>
      <xdr:colOff>203199</xdr:colOff>
      <xdr:row>37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M18"/>
  <sheetViews>
    <sheetView tabSelected="1" workbookViewId="0">
      <selection activeCell="O20" sqref="O20"/>
    </sheetView>
  </sheetViews>
  <sheetFormatPr baseColWidth="10" defaultColWidth="8.83203125" defaultRowHeight="15" x14ac:dyDescent="0"/>
  <cols>
    <col min="1" max="2" width="10.5" style="1" bestFit="1" customWidth="1"/>
    <col min="3" max="3" width="13" style="1" bestFit="1" customWidth="1"/>
    <col min="4" max="8" width="10.5" style="1" bestFit="1" customWidth="1"/>
    <col min="9" max="9" width="14" style="1" bestFit="1" customWidth="1"/>
    <col min="10" max="10" width="10" style="1" bestFit="1" customWidth="1"/>
    <col min="11" max="11" width="3.1640625" style="1" bestFit="1" customWidth="1"/>
    <col min="12" max="12" width="4.6640625" style="1" bestFit="1" customWidth="1"/>
    <col min="13" max="13" width="5.1640625" style="1" bestFit="1" customWidth="1"/>
    <col min="14" max="256" width="8.83203125" style="1"/>
    <col min="257" max="265" width="9.83203125" style="1" customWidth="1"/>
    <col min="266" max="512" width="8.83203125" style="1"/>
    <col min="513" max="521" width="9.83203125" style="1" customWidth="1"/>
    <col min="522" max="768" width="8.83203125" style="1"/>
    <col min="769" max="777" width="9.83203125" style="1" customWidth="1"/>
    <col min="778" max="1024" width="8.83203125" style="1"/>
    <col min="1025" max="1033" width="9.83203125" style="1" customWidth="1"/>
    <col min="1034" max="1280" width="8.83203125" style="1"/>
    <col min="1281" max="1289" width="9.83203125" style="1" customWidth="1"/>
    <col min="1290" max="1536" width="8.83203125" style="1"/>
    <col min="1537" max="1545" width="9.83203125" style="1" customWidth="1"/>
    <col min="1546" max="1792" width="8.83203125" style="1"/>
    <col min="1793" max="1801" width="9.83203125" style="1" customWidth="1"/>
    <col min="1802" max="2048" width="8.83203125" style="1"/>
    <col min="2049" max="2057" width="9.83203125" style="1" customWidth="1"/>
    <col min="2058" max="2304" width="8.83203125" style="1"/>
    <col min="2305" max="2313" width="9.83203125" style="1" customWidth="1"/>
    <col min="2314" max="2560" width="8.83203125" style="1"/>
    <col min="2561" max="2569" width="9.83203125" style="1" customWidth="1"/>
    <col min="2570" max="2816" width="8.83203125" style="1"/>
    <col min="2817" max="2825" width="9.83203125" style="1" customWidth="1"/>
    <col min="2826" max="3072" width="8.83203125" style="1"/>
    <col min="3073" max="3081" width="9.83203125" style="1" customWidth="1"/>
    <col min="3082" max="3328" width="8.83203125" style="1"/>
    <col min="3329" max="3337" width="9.83203125" style="1" customWidth="1"/>
    <col min="3338" max="3584" width="8.83203125" style="1"/>
    <col min="3585" max="3593" width="9.83203125" style="1" customWidth="1"/>
    <col min="3594" max="3840" width="8.83203125" style="1"/>
    <col min="3841" max="3849" width="9.83203125" style="1" customWidth="1"/>
    <col min="3850" max="4096" width="8.83203125" style="1"/>
    <col min="4097" max="4105" width="9.83203125" style="1" customWidth="1"/>
    <col min="4106" max="4352" width="8.83203125" style="1"/>
    <col min="4353" max="4361" width="9.83203125" style="1" customWidth="1"/>
    <col min="4362" max="4608" width="8.83203125" style="1"/>
    <col min="4609" max="4617" width="9.83203125" style="1" customWidth="1"/>
    <col min="4618" max="4864" width="8.83203125" style="1"/>
    <col min="4865" max="4873" width="9.83203125" style="1" customWidth="1"/>
    <col min="4874" max="5120" width="8.83203125" style="1"/>
    <col min="5121" max="5129" width="9.83203125" style="1" customWidth="1"/>
    <col min="5130" max="5376" width="8.83203125" style="1"/>
    <col min="5377" max="5385" width="9.83203125" style="1" customWidth="1"/>
    <col min="5386" max="5632" width="8.83203125" style="1"/>
    <col min="5633" max="5641" width="9.83203125" style="1" customWidth="1"/>
    <col min="5642" max="5888" width="8.83203125" style="1"/>
    <col min="5889" max="5897" width="9.83203125" style="1" customWidth="1"/>
    <col min="5898" max="6144" width="8.83203125" style="1"/>
    <col min="6145" max="6153" width="9.83203125" style="1" customWidth="1"/>
    <col min="6154" max="6400" width="8.83203125" style="1"/>
    <col min="6401" max="6409" width="9.83203125" style="1" customWidth="1"/>
    <col min="6410" max="6656" width="8.83203125" style="1"/>
    <col min="6657" max="6665" width="9.83203125" style="1" customWidth="1"/>
    <col min="6666" max="6912" width="8.83203125" style="1"/>
    <col min="6913" max="6921" width="9.83203125" style="1" customWidth="1"/>
    <col min="6922" max="7168" width="8.83203125" style="1"/>
    <col min="7169" max="7177" width="9.83203125" style="1" customWidth="1"/>
    <col min="7178" max="7424" width="8.83203125" style="1"/>
    <col min="7425" max="7433" width="9.83203125" style="1" customWidth="1"/>
    <col min="7434" max="7680" width="8.83203125" style="1"/>
    <col min="7681" max="7689" width="9.83203125" style="1" customWidth="1"/>
    <col min="7690" max="7936" width="8.83203125" style="1"/>
    <col min="7937" max="7945" width="9.83203125" style="1" customWidth="1"/>
    <col min="7946" max="8192" width="8.83203125" style="1"/>
    <col min="8193" max="8201" width="9.83203125" style="1" customWidth="1"/>
    <col min="8202" max="8448" width="8.83203125" style="1"/>
    <col min="8449" max="8457" width="9.83203125" style="1" customWidth="1"/>
    <col min="8458" max="8704" width="8.83203125" style="1"/>
    <col min="8705" max="8713" width="9.83203125" style="1" customWidth="1"/>
    <col min="8714" max="8960" width="8.83203125" style="1"/>
    <col min="8961" max="8969" width="9.83203125" style="1" customWidth="1"/>
    <col min="8970" max="9216" width="8.83203125" style="1"/>
    <col min="9217" max="9225" width="9.83203125" style="1" customWidth="1"/>
    <col min="9226" max="9472" width="8.83203125" style="1"/>
    <col min="9473" max="9481" width="9.83203125" style="1" customWidth="1"/>
    <col min="9482" max="9728" width="8.83203125" style="1"/>
    <col min="9729" max="9737" width="9.83203125" style="1" customWidth="1"/>
    <col min="9738" max="9984" width="8.83203125" style="1"/>
    <col min="9985" max="9993" width="9.83203125" style="1" customWidth="1"/>
    <col min="9994" max="10240" width="8.83203125" style="1"/>
    <col min="10241" max="10249" width="9.83203125" style="1" customWidth="1"/>
    <col min="10250" max="10496" width="8.83203125" style="1"/>
    <col min="10497" max="10505" width="9.83203125" style="1" customWidth="1"/>
    <col min="10506" max="10752" width="8.83203125" style="1"/>
    <col min="10753" max="10761" width="9.83203125" style="1" customWidth="1"/>
    <col min="10762" max="11008" width="8.83203125" style="1"/>
    <col min="11009" max="11017" width="9.83203125" style="1" customWidth="1"/>
    <col min="11018" max="11264" width="8.83203125" style="1"/>
    <col min="11265" max="11273" width="9.83203125" style="1" customWidth="1"/>
    <col min="11274" max="11520" width="8.83203125" style="1"/>
    <col min="11521" max="11529" width="9.83203125" style="1" customWidth="1"/>
    <col min="11530" max="11776" width="8.83203125" style="1"/>
    <col min="11777" max="11785" width="9.83203125" style="1" customWidth="1"/>
    <col min="11786" max="12032" width="8.83203125" style="1"/>
    <col min="12033" max="12041" width="9.83203125" style="1" customWidth="1"/>
    <col min="12042" max="12288" width="8.83203125" style="1"/>
    <col min="12289" max="12297" width="9.83203125" style="1" customWidth="1"/>
    <col min="12298" max="12544" width="8.83203125" style="1"/>
    <col min="12545" max="12553" width="9.83203125" style="1" customWidth="1"/>
    <col min="12554" max="12800" width="8.83203125" style="1"/>
    <col min="12801" max="12809" width="9.83203125" style="1" customWidth="1"/>
    <col min="12810" max="13056" width="8.83203125" style="1"/>
    <col min="13057" max="13065" width="9.83203125" style="1" customWidth="1"/>
    <col min="13066" max="13312" width="8.83203125" style="1"/>
    <col min="13313" max="13321" width="9.83203125" style="1" customWidth="1"/>
    <col min="13322" max="13568" width="8.83203125" style="1"/>
    <col min="13569" max="13577" width="9.83203125" style="1" customWidth="1"/>
    <col min="13578" max="13824" width="8.83203125" style="1"/>
    <col min="13825" max="13833" width="9.83203125" style="1" customWidth="1"/>
    <col min="13834" max="14080" width="8.83203125" style="1"/>
    <col min="14081" max="14089" width="9.83203125" style="1" customWidth="1"/>
    <col min="14090" max="14336" width="8.83203125" style="1"/>
    <col min="14337" max="14345" width="9.83203125" style="1" customWidth="1"/>
    <col min="14346" max="14592" width="8.83203125" style="1"/>
    <col min="14593" max="14601" width="9.83203125" style="1" customWidth="1"/>
    <col min="14602" max="14848" width="8.83203125" style="1"/>
    <col min="14849" max="14857" width="9.83203125" style="1" customWidth="1"/>
    <col min="14858" max="15104" width="8.83203125" style="1"/>
    <col min="15105" max="15113" width="9.83203125" style="1" customWidth="1"/>
    <col min="15114" max="15360" width="8.83203125" style="1"/>
    <col min="15361" max="15369" width="9.83203125" style="1" customWidth="1"/>
    <col min="15370" max="15616" width="8.83203125" style="1"/>
    <col min="15617" max="15625" width="9.83203125" style="1" customWidth="1"/>
    <col min="15626" max="15872" width="8.83203125" style="1"/>
    <col min="15873" max="15881" width="9.83203125" style="1" customWidth="1"/>
    <col min="15882" max="16128" width="8.83203125" style="1"/>
    <col min="16129" max="16137" width="9.83203125" style="1" customWidth="1"/>
    <col min="16138" max="16384" width="8.83203125" style="1"/>
  </cols>
  <sheetData>
    <row r="1" spans="1:13">
      <c r="A1" s="3" t="s">
        <v>0</v>
      </c>
      <c r="B1" s="1">
        <v>0.01</v>
      </c>
      <c r="C1" s="3" t="s">
        <v>1</v>
      </c>
      <c r="D1" s="1">
        <v>0.1</v>
      </c>
    </row>
    <row r="2" spans="1:13">
      <c r="A2" s="3" t="s">
        <v>2</v>
      </c>
      <c r="B2" s="1">
        <v>1</v>
      </c>
      <c r="C2" s="3" t="s">
        <v>3</v>
      </c>
      <c r="D2" s="2">
        <f>B1/B3</f>
        <v>10</v>
      </c>
    </row>
    <row r="3" spans="1:13">
      <c r="A3" s="3" t="s">
        <v>4</v>
      </c>
      <c r="B3" s="2">
        <v>1E-3</v>
      </c>
      <c r="C3" s="3" t="s">
        <v>5</v>
      </c>
      <c r="D3" s="2">
        <f>B1*B4^2*D1^2/B3</f>
        <v>0.10000000000000002</v>
      </c>
    </row>
    <row r="4" spans="1:13">
      <c r="A4" s="3" t="s">
        <v>6</v>
      </c>
      <c r="B4" s="1">
        <v>1</v>
      </c>
      <c r="C4" s="3" t="s">
        <v>7</v>
      </c>
      <c r="D4" s="2">
        <f>2+D3</f>
        <v>2.1</v>
      </c>
      <c r="K4" s="3" t="s">
        <v>10</v>
      </c>
      <c r="L4" s="3" t="s">
        <v>8</v>
      </c>
      <c r="M4" s="3" t="s">
        <v>9</v>
      </c>
    </row>
    <row r="5" spans="1:13">
      <c r="A5" s="6" t="s">
        <v>11</v>
      </c>
      <c r="B5" s="6"/>
      <c r="C5" s="6"/>
      <c r="D5" s="6"/>
      <c r="E5" s="6"/>
      <c r="F5" s="6"/>
      <c r="G5" s="6"/>
      <c r="H5" s="6"/>
      <c r="I5" s="6"/>
      <c r="L5" s="1">
        <v>0</v>
      </c>
      <c r="M5" s="4">
        <v>1</v>
      </c>
    </row>
    <row r="6" spans="1:13">
      <c r="A6" s="2">
        <f>-$D$4</f>
        <v>-2.1</v>
      </c>
      <c r="B6" s="1">
        <v>1</v>
      </c>
      <c r="K6" s="1">
        <v>-1</v>
      </c>
      <c r="L6" s="1">
        <f>L5+$D$1</f>
        <v>0.1</v>
      </c>
      <c r="M6" s="4">
        <v>0.73100007503021536</v>
      </c>
    </row>
    <row r="7" spans="1:13">
      <c r="A7" s="1">
        <v>1</v>
      </c>
      <c r="B7" s="2">
        <f>-$D$4</f>
        <v>-2.1</v>
      </c>
      <c r="C7" s="1">
        <v>1</v>
      </c>
      <c r="K7" s="1">
        <v>0</v>
      </c>
      <c r="L7" s="1">
        <f t="shared" ref="L7:L15" si="0">L6+$D$1</f>
        <v>0.2</v>
      </c>
      <c r="M7" s="4">
        <v>0.53510015756345242</v>
      </c>
    </row>
    <row r="8" spans="1:13">
      <c r="B8" s="1">
        <v>1</v>
      </c>
      <c r="C8" s="2">
        <f>-$D$4</f>
        <v>-2.1</v>
      </c>
      <c r="D8" s="1">
        <v>1</v>
      </c>
      <c r="K8" s="1">
        <v>0</v>
      </c>
      <c r="L8" s="1">
        <f t="shared" si="0"/>
        <v>0.30000000000000004</v>
      </c>
      <c r="M8" s="4">
        <v>0.3927102558530346</v>
      </c>
    </row>
    <row r="9" spans="1:13">
      <c r="C9" s="1">
        <v>1</v>
      </c>
      <c r="D9" s="2">
        <f>-$D$4</f>
        <v>-2.1</v>
      </c>
      <c r="E9" s="1">
        <v>1</v>
      </c>
      <c r="K9" s="1">
        <v>0</v>
      </c>
      <c r="L9" s="1">
        <f t="shared" si="0"/>
        <v>0.4</v>
      </c>
      <c r="M9" s="4">
        <v>0.28959137972792054</v>
      </c>
    </row>
    <row r="10" spans="1:13">
      <c r="D10" s="1">
        <v>1</v>
      </c>
      <c r="E10" s="2">
        <f>-$D$4</f>
        <v>-2.1</v>
      </c>
      <c r="F10" s="1">
        <v>1</v>
      </c>
      <c r="K10" s="1">
        <v>0</v>
      </c>
      <c r="L10" s="1">
        <f t="shared" si="0"/>
        <v>0.5</v>
      </c>
      <c r="M10" s="4">
        <v>0.21543164157559841</v>
      </c>
    </row>
    <row r="11" spans="1:13">
      <c r="E11" s="1">
        <v>1</v>
      </c>
      <c r="F11" s="2">
        <f>-$D$4</f>
        <v>-2.1</v>
      </c>
      <c r="G11" s="1">
        <v>1</v>
      </c>
      <c r="K11" s="1">
        <v>0</v>
      </c>
      <c r="L11" s="1">
        <f t="shared" si="0"/>
        <v>0.6</v>
      </c>
      <c r="M11" s="4">
        <v>0.16281506758083622</v>
      </c>
    </row>
    <row r="12" spans="1:13">
      <c r="F12" s="1">
        <v>1</v>
      </c>
      <c r="G12" s="2">
        <f>-$D$4</f>
        <v>-2.1</v>
      </c>
      <c r="H12" s="1">
        <v>1</v>
      </c>
      <c r="K12" s="1">
        <v>0</v>
      </c>
      <c r="L12" s="1">
        <f t="shared" si="0"/>
        <v>0.7</v>
      </c>
      <c r="M12" s="4">
        <v>0.12648000034415768</v>
      </c>
    </row>
    <row r="13" spans="1:13">
      <c r="G13" s="1">
        <v>1</v>
      </c>
      <c r="H13" s="2">
        <f>-$D$4</f>
        <v>-2.1</v>
      </c>
      <c r="I13" s="1">
        <v>1</v>
      </c>
      <c r="K13" s="1">
        <v>0</v>
      </c>
      <c r="L13" s="1">
        <f t="shared" si="0"/>
        <v>0.79999999999999993</v>
      </c>
      <c r="M13" s="4">
        <v>0.10279293314189492</v>
      </c>
    </row>
    <row r="14" spans="1:13">
      <c r="H14" s="1">
        <v>1</v>
      </c>
      <c r="I14" s="2">
        <f>-$D$4</f>
        <v>-2.1</v>
      </c>
      <c r="J14" s="1">
        <v>1</v>
      </c>
      <c r="K14" s="1">
        <v>0</v>
      </c>
      <c r="L14" s="1">
        <f t="shared" si="0"/>
        <v>0.89999999999999991</v>
      </c>
      <c r="M14" s="4">
        <v>8.9385159253821636E-2</v>
      </c>
    </row>
    <row r="15" spans="1:13">
      <c r="H15" s="1">
        <v>1</v>
      </c>
      <c r="I15" s="1">
        <v>-4</v>
      </c>
      <c r="J15" s="2">
        <v>3</v>
      </c>
      <c r="K15" s="1">
        <v>0</v>
      </c>
      <c r="L15" s="1">
        <f t="shared" si="0"/>
        <v>0.99999999999999989</v>
      </c>
      <c r="M15" s="4">
        <v>8.4915901291130552E-2</v>
      </c>
    </row>
    <row r="18" spans="13:13">
      <c r="M18" s="5"/>
    </row>
  </sheetData>
  <mergeCells count="1">
    <mergeCell ref="A5:I5"/>
  </mergeCells>
  <phoneticPr fontId="1" type="noConversion"/>
  <pageMargins left="0.7" right="0.7" top="0.75" bottom="0.75" header="0.3" footer="0.3"/>
  <pageSetup orientation="portrait" horizontalDpi="4294967292" verticalDpi="4294967292"/>
  <colBreaks count="1" manualBreakCount="1">
    <brk id="7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Shafigh</cp:lastModifiedBy>
  <dcterms:created xsi:type="dcterms:W3CDTF">2011-08-06T00:26:02Z</dcterms:created>
  <dcterms:modified xsi:type="dcterms:W3CDTF">2019-10-30T12:09:49Z</dcterms:modified>
</cp:coreProperties>
</file>