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uoZhen/Desktop/CHE205_Fall19/mid/hw10/"/>
    </mc:Choice>
  </mc:AlternateContent>
  <xr:revisionPtr revIDLastSave="0" documentId="13_ncr:1_{DE8E09ED-2902-CE4D-ACCD-58038AF1FD59}" xr6:coauthVersionLast="41" xr6:coauthVersionMax="45" xr10:uidLastSave="{00000000-0000-0000-0000-000000000000}"/>
  <bookViews>
    <workbookView xWindow="-120" yWindow="460" windowWidth="20740" windowHeight="11160" xr2:uid="{00000000-000D-0000-FFFF-FFFF00000000}"/>
  </bookViews>
  <sheets>
    <sheet name="Sheet1" sheetId="1" r:id="rId1"/>
  </sheets>
  <definedNames>
    <definedName name="solver_adj" localSheetId="0" hidden="1">Sheet1!$B$9:$B$11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Sheet1!$D$22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2" i="1"/>
  <c r="B13" i="1"/>
  <c r="B19" i="1"/>
  <c r="D19" i="1"/>
  <c r="B16" i="1"/>
  <c r="B17" i="1"/>
  <c r="B20" i="1"/>
  <c r="D20" i="1"/>
  <c r="B18" i="1"/>
  <c r="B21" i="1"/>
  <c r="D21" i="1"/>
  <c r="D22" i="1"/>
</calcChain>
</file>

<file path=xl/sharedStrings.xml><?xml version="1.0" encoding="utf-8"?>
<sst xmlns="http://schemas.openxmlformats.org/spreadsheetml/2006/main" count="28" uniqueCount="28">
  <si>
    <t>Exercise 9.4</t>
  </si>
  <si>
    <t>Ca0</t>
  </si>
  <si>
    <t>Cb0</t>
  </si>
  <si>
    <t>Cc0</t>
  </si>
  <si>
    <t>Cd0</t>
  </si>
  <si>
    <t>Ce0</t>
  </si>
  <si>
    <t>Cf0</t>
  </si>
  <si>
    <t>Cg0</t>
  </si>
  <si>
    <t>x1</t>
  </si>
  <si>
    <t>K1</t>
  </si>
  <si>
    <t>K2</t>
  </si>
  <si>
    <t>K3</t>
  </si>
  <si>
    <t>x2</t>
  </si>
  <si>
    <t>x3</t>
  </si>
  <si>
    <t>Ca</t>
  </si>
  <si>
    <t>Cb</t>
  </si>
  <si>
    <t>Cc</t>
  </si>
  <si>
    <t>Cd</t>
  </si>
  <si>
    <t>Ce</t>
  </si>
  <si>
    <t>Cf</t>
  </si>
  <si>
    <t>Cg</t>
  </si>
  <si>
    <t>Resid1</t>
  </si>
  <si>
    <t>Resid2</t>
  </si>
  <si>
    <t>Resid3</t>
  </si>
  <si>
    <t>Resid1^2</t>
  </si>
  <si>
    <t>Resid2^2</t>
  </si>
  <si>
    <t>Resid3^2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</si>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</sst>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1886222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D4FA37-CB9F-3748-802C-84C96A559F80}"/>
            </a:ext>
          </a:extLst>
        </xdr:cNvPr>
        <xdr:cNvSpPr/>
      </xdr:nvSpPr>
      <xdr:spPr>
        <a:xfrm>
          <a:off x="5384800" y="9525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6" sqref="I6"/>
    </sheetView>
  </sheetViews>
  <sheetFormatPr baseColWidth="10" defaultColWidth="8.83203125" defaultRowHeight="15"/>
  <sheetData>
    <row r="1" spans="1:4">
      <c r="A1" t="s">
        <v>0</v>
      </c>
    </row>
    <row r="2" spans="1:4">
      <c r="A2" t="s">
        <v>1</v>
      </c>
      <c r="B2">
        <v>1</v>
      </c>
    </row>
    <row r="3" spans="1:4">
      <c r="A3" t="s">
        <v>2</v>
      </c>
      <c r="B3">
        <v>1</v>
      </c>
    </row>
    <row r="4" spans="1:4">
      <c r="A4" t="s">
        <v>3</v>
      </c>
      <c r="B4">
        <v>0</v>
      </c>
    </row>
    <row r="5" spans="1:4">
      <c r="A5" t="s">
        <v>4</v>
      </c>
      <c r="B5">
        <v>0</v>
      </c>
    </row>
    <row r="6" spans="1:4">
      <c r="A6" t="s">
        <v>5</v>
      </c>
      <c r="B6">
        <v>0</v>
      </c>
    </row>
    <row r="7" spans="1:4">
      <c r="A7" t="s">
        <v>6</v>
      </c>
      <c r="B7">
        <v>0</v>
      </c>
    </row>
    <row r="8" spans="1:4">
      <c r="A8" t="s">
        <v>7</v>
      </c>
      <c r="B8">
        <v>0</v>
      </c>
    </row>
    <row r="9" spans="1:4">
      <c r="A9" t="s">
        <v>8</v>
      </c>
      <c r="B9">
        <v>0.47239262670731952</v>
      </c>
      <c r="C9" t="s">
        <v>9</v>
      </c>
      <c r="D9">
        <v>1</v>
      </c>
    </row>
    <row r="10" spans="1:4">
      <c r="A10" t="s">
        <v>12</v>
      </c>
      <c r="B10">
        <v>0.34013608665217399</v>
      </c>
      <c r="C10" t="s">
        <v>10</v>
      </c>
      <c r="D10">
        <v>2</v>
      </c>
    </row>
    <row r="11" spans="1:4">
      <c r="A11" t="s">
        <v>13</v>
      </c>
      <c r="B11">
        <v>0.19434559466258589</v>
      </c>
      <c r="C11" t="s">
        <v>11</v>
      </c>
      <c r="D11">
        <v>4</v>
      </c>
    </row>
    <row r="12" spans="1:4">
      <c r="A12" t="s">
        <v>14</v>
      </c>
      <c r="B12">
        <f>$B$2-($B$9*$B$3)-($B$11*$B$2)</f>
        <v>0.3332617786300946</v>
      </c>
    </row>
    <row r="13" spans="1:4">
      <c r="A13" t="s">
        <v>15</v>
      </c>
      <c r="B13">
        <f>$B$3-($B$9*$B$3)-($B$10*$B$3)</f>
        <v>0.1874712866405065</v>
      </c>
    </row>
    <row r="14" spans="1:4">
      <c r="A14" t="s">
        <v>16</v>
      </c>
      <c r="B14">
        <f>$B$4+($B$9*$B$3)-($B$10*$B$3)</f>
        <v>0.13225654005514553</v>
      </c>
    </row>
    <row r="15" spans="1:4">
      <c r="A15" t="s">
        <v>17</v>
      </c>
      <c r="B15">
        <f>$B$5+($B$9*$B$3)</f>
        <v>0.47239262670731952</v>
      </c>
    </row>
    <row r="16" spans="1:4">
      <c r="A16" t="s">
        <v>18</v>
      </c>
      <c r="B16">
        <f>$B$6+($B$10*$B$3)-($B$11*$B$2)</f>
        <v>0.1457904919895881</v>
      </c>
    </row>
    <row r="17" spans="1:4">
      <c r="A17" t="s">
        <v>19</v>
      </c>
      <c r="B17">
        <f>$B$7+($B$10*$B$3)</f>
        <v>0.34013608665217399</v>
      </c>
    </row>
    <row r="18" spans="1:4">
      <c r="A18" t="s">
        <v>20</v>
      </c>
      <c r="B18">
        <f>$B$8+($B$11*$B$2)</f>
        <v>0.19434559466258589</v>
      </c>
    </row>
    <row r="19" spans="1:4">
      <c r="A19" t="s">
        <v>21</v>
      </c>
      <c r="B19">
        <f>B14*B15-(D9*B12*B13)</f>
        <v>-7.201546997626096E-11</v>
      </c>
      <c r="C19" t="s">
        <v>24</v>
      </c>
      <c r="D19">
        <f>(B19)^2</f>
        <v>5.1862279159017437E-21</v>
      </c>
    </row>
    <row r="20" spans="1:4">
      <c r="A20" t="s">
        <v>22</v>
      </c>
      <c r="B20">
        <f>B16*B17-(D10*B13*B14)</f>
        <v>-4.5086018252149529E-11</v>
      </c>
      <c r="C20" t="s">
        <v>25</v>
      </c>
      <c r="D20">
        <f>(B20)^2</f>
        <v>2.0327490418331605E-21</v>
      </c>
    </row>
    <row r="21" spans="1:4">
      <c r="A21" t="s">
        <v>23</v>
      </c>
      <c r="B21">
        <f>B18-(D11*B12*B16)</f>
        <v>-8.6408658006575934E-12</v>
      </c>
      <c r="C21" t="s">
        <v>26</v>
      </c>
      <c r="D21">
        <f>(B21)^2</f>
        <v>7.4664561784973992E-23</v>
      </c>
    </row>
    <row r="22" spans="1:4">
      <c r="C22" t="s">
        <v>27</v>
      </c>
      <c r="D22">
        <f>SUM(D19:D21)</f>
        <v>7.2936415195198782E-21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2020-05-13T01:49:45Z</dcterms:modified>
</cp:coreProperties>
</file>