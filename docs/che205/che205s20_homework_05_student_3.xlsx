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pabi\Downloads\"/>
    </mc:Choice>
  </mc:AlternateContent>
  <xr:revisionPtr revIDLastSave="0" documentId="8_{14066335-965D-4B7A-A2BB-A4697868D651}" xr6:coauthVersionLast="45" xr6:coauthVersionMax="45" xr10:uidLastSave="{00000000-0000-0000-0000-000000000000}"/>
  <bookViews>
    <workbookView xWindow="-98" yWindow="-98" windowWidth="22695" windowHeight="14595" activeTab="3" xr2:uid="{3C1C0EEB-D8D7-477B-AB51-32A66A8B0152}"/>
  </bookViews>
  <sheets>
    <sheet name="#1" sheetId="1" r:id="rId1"/>
    <sheet name="#2" sheetId="2" r:id="rId2"/>
    <sheet name="#3" sheetId="3" r:id="rId3"/>
    <sheet name="#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4" i="4" l="1"/>
  <c r="G22" i="4"/>
  <c r="G14" i="4"/>
  <c r="G16" i="4"/>
  <c r="G17" i="4"/>
  <c r="G18" i="4"/>
  <c r="G19" i="4"/>
  <c r="G20" i="4"/>
  <c r="G21" i="4"/>
  <c r="G15" i="4"/>
  <c r="G3" i="4"/>
  <c r="B15" i="4" s="1"/>
  <c r="B16" i="4" s="1"/>
  <c r="I4" i="4"/>
  <c r="I5" i="4"/>
  <c r="I6" i="4"/>
  <c r="I7" i="4"/>
  <c r="I8" i="4"/>
  <c r="I9" i="4"/>
  <c r="I10" i="4"/>
  <c r="I3" i="4"/>
  <c r="H4" i="4"/>
  <c r="H5" i="4"/>
  <c r="H6" i="4"/>
  <c r="H7" i="4"/>
  <c r="H8" i="4"/>
  <c r="H9" i="4"/>
  <c r="H10" i="4"/>
  <c r="H3" i="4"/>
  <c r="C15" i="4" s="1"/>
  <c r="G4" i="4"/>
  <c r="G5" i="4"/>
  <c r="G6" i="4"/>
  <c r="G7" i="4"/>
  <c r="G8" i="4"/>
  <c r="G9" i="4"/>
  <c r="G10" i="4"/>
  <c r="D15" i="4"/>
  <c r="E2" i="1"/>
  <c r="E31" i="1"/>
  <c r="E32" i="1"/>
  <c r="E33" i="1"/>
  <c r="E34" i="1"/>
  <c r="E35" i="1"/>
  <c r="E36" i="1"/>
  <c r="E37" i="1"/>
  <c r="E38" i="1"/>
  <c r="E39" i="1"/>
  <c r="E40" i="1"/>
  <c r="E41" i="1"/>
  <c r="E42" i="1"/>
  <c r="E30" i="1"/>
  <c r="E3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E43" i="1" s="1"/>
  <c r="C43" i="1"/>
  <c r="C29" i="1"/>
  <c r="E16" i="1"/>
  <c r="F124" i="3"/>
  <c r="F122" i="3"/>
  <c r="H19" i="3"/>
  <c r="H20" i="3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8" i="3"/>
  <c r="C4" i="2"/>
  <c r="C27" i="2"/>
  <c r="H4" i="3"/>
  <c r="H5" i="3" s="1"/>
  <c r="H6" i="3" s="1"/>
  <c r="H7" i="3" s="1"/>
  <c r="H8" i="3" s="1"/>
  <c r="H9" i="3" s="1"/>
  <c r="H10" i="3" s="1"/>
  <c r="H11" i="3" s="1"/>
  <c r="H12" i="3" s="1"/>
  <c r="H3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2" i="3"/>
  <c r="G11" i="3"/>
  <c r="G10" i="3"/>
  <c r="G9" i="3"/>
  <c r="G8" i="3"/>
  <c r="G7" i="3"/>
  <c r="G6" i="3"/>
  <c r="G5" i="3"/>
  <c r="G4" i="3"/>
  <c r="G3" i="3"/>
  <c r="G2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8" i="3"/>
  <c r="C117" i="3"/>
  <c r="C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7" i="3"/>
  <c r="B2" i="3"/>
  <c r="B3" i="3"/>
  <c r="C4" i="3" s="1"/>
  <c r="B4" i="3"/>
  <c r="C3" i="3" s="1"/>
  <c r="B5" i="3"/>
  <c r="B6" i="3"/>
  <c r="B7" i="3"/>
  <c r="C6" i="3" s="1"/>
  <c r="B8" i="3"/>
  <c r="C7" i="3" s="1"/>
  <c r="B9" i="3"/>
  <c r="C8" i="3" s="1"/>
  <c r="B10" i="3"/>
  <c r="C9" i="3" s="1"/>
  <c r="B11" i="3"/>
  <c r="C10" i="3" s="1"/>
  <c r="B12" i="3"/>
  <c r="C11" i="3" s="1"/>
  <c r="D70" i="2"/>
  <c r="D64" i="2"/>
  <c r="D62" i="2"/>
  <c r="D63" i="2"/>
  <c r="D61" i="2"/>
  <c r="D58" i="2"/>
  <c r="D53" i="2"/>
  <c r="D52" i="2"/>
  <c r="D51" i="2"/>
  <c r="D46" i="2"/>
  <c r="D42" i="2"/>
  <c r="D41" i="2"/>
  <c r="C26" i="2"/>
  <c r="B26" i="2"/>
  <c r="B27" i="2"/>
  <c r="B28" i="2"/>
  <c r="B29" i="2"/>
  <c r="B30" i="2"/>
  <c r="B31" i="2"/>
  <c r="B32" i="2"/>
  <c r="B33" i="2"/>
  <c r="B34" i="2"/>
  <c r="B35" i="2"/>
  <c r="B36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E29" i="1"/>
  <c r="E15" i="1"/>
  <c r="E4" i="1"/>
  <c r="E5" i="1"/>
  <c r="E6" i="1"/>
  <c r="E7" i="1"/>
  <c r="E8" i="1"/>
  <c r="E9" i="1"/>
  <c r="E10" i="1"/>
  <c r="E11" i="1"/>
  <c r="E12" i="1"/>
  <c r="E13" i="1"/>
  <c r="E14" i="1"/>
  <c r="D16" i="4" l="1"/>
  <c r="D17" i="4" s="1"/>
  <c r="D18" i="4" s="1"/>
  <c r="D19" i="4" s="1"/>
  <c r="D20" i="4" s="1"/>
  <c r="D21" i="4" s="1"/>
  <c r="D22" i="4" s="1"/>
  <c r="C16" i="4"/>
  <c r="C17" i="4" s="1"/>
  <c r="C18" i="4" s="1"/>
  <c r="C19" i="4" s="1"/>
  <c r="C20" i="4" s="1"/>
  <c r="C21" i="4" s="1"/>
  <c r="C22" i="4" s="1"/>
  <c r="B17" i="4"/>
  <c r="B18" i="4" s="1"/>
  <c r="B19" i="4" s="1"/>
  <c r="B20" i="4" s="1"/>
  <c r="B21" i="4" s="1"/>
  <c r="B22" i="4" s="1"/>
  <c r="C28" i="2"/>
  <c r="C29" i="2" s="1"/>
  <c r="C30" i="2" s="1"/>
  <c r="C31" i="2" s="1"/>
  <c r="C32" i="2" s="1"/>
  <c r="C33" i="2" s="1"/>
  <c r="C34" i="2" s="1"/>
  <c r="C35" i="2" s="1"/>
  <c r="C36" i="2" s="1"/>
  <c r="C2" i="3"/>
  <c r="C12" i="3"/>
  <c r="C5" i="3"/>
</calcChain>
</file>

<file path=xl/sharedStrings.xml><?xml version="1.0" encoding="utf-8"?>
<sst xmlns="http://schemas.openxmlformats.org/spreadsheetml/2006/main" count="70" uniqueCount="35">
  <si>
    <r>
      <t>Temperature(</t>
    </r>
    <r>
      <rPr>
        <sz val="11"/>
        <color theme="1"/>
        <rFont val="Calibri"/>
        <family val="2"/>
      </rPr>
      <t>°C)</t>
    </r>
  </si>
  <si>
    <t>Enthalpy (kJ/mol)</t>
  </si>
  <si>
    <t>x</t>
  </si>
  <si>
    <t>f(x)</t>
  </si>
  <si>
    <t>I</t>
  </si>
  <si>
    <t xml:space="preserve">2-point </t>
  </si>
  <si>
    <t>x1</t>
  </si>
  <si>
    <t>x2</t>
  </si>
  <si>
    <t>x3</t>
  </si>
  <si>
    <t>w1</t>
  </si>
  <si>
    <t>w2</t>
  </si>
  <si>
    <t>3-point</t>
  </si>
  <si>
    <t>w3</t>
  </si>
  <si>
    <t>4-point</t>
  </si>
  <si>
    <t>x4</t>
  </si>
  <si>
    <t>w4</t>
  </si>
  <si>
    <t>d/dx</t>
  </si>
  <si>
    <t>Actual</t>
  </si>
  <si>
    <t>% error (0.01)</t>
  </si>
  <si>
    <t>% error (0.1)</t>
  </si>
  <si>
    <t>Pressure (atm)</t>
  </si>
  <si>
    <t>0 C</t>
  </si>
  <si>
    <t>25 C</t>
  </si>
  <si>
    <t>50 C</t>
  </si>
  <si>
    <t>nist data</t>
  </si>
  <si>
    <r>
      <t>Temperature (</t>
    </r>
    <r>
      <rPr>
        <sz val="11"/>
        <color theme="1"/>
        <rFont val="Calibri"/>
        <family val="2"/>
      </rPr>
      <t>°</t>
    </r>
    <r>
      <rPr>
        <sz val="10.35"/>
        <color theme="1"/>
        <rFont val="Calibri"/>
        <family val="2"/>
      </rPr>
      <t>C)</t>
    </r>
  </si>
  <si>
    <t>Cp (J/mol*K)</t>
  </si>
  <si>
    <t>Cp (kJ/mol*C)</t>
  </si>
  <si>
    <t>Cp (a) (J/mol*K)</t>
  </si>
  <si>
    <t>Trapezoidal</t>
  </si>
  <si>
    <t>dz/dT</t>
  </si>
  <si>
    <t>P</t>
  </si>
  <si>
    <t>d2z/dTdP</t>
  </si>
  <si>
    <t>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</si>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</sst>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.3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'#1'!$C$1</c:f>
              <c:strCache>
                <c:ptCount val="1"/>
                <c:pt idx="0">
                  <c:v>Enthalpy (kJ/mol)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4.0429352580927384E-2"/>
                  <c:y val="0.458170749489647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'#1'!$A$2:$A$16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xVal>
          <c:yVal>
            <c:numRef>
              <c:f>'#1'!$C$2:$C$16</c:f>
              <c:numCache>
                <c:formatCode>General</c:formatCode>
                <c:ptCount val="15"/>
                <c:pt idx="0">
                  <c:v>25.186</c:v>
                </c:pt>
                <c:pt idx="1">
                  <c:v>27.254000000000001</c:v>
                </c:pt>
                <c:pt idx="2">
                  <c:v>29.408000000000001</c:v>
                </c:pt>
                <c:pt idx="3">
                  <c:v>31.64</c:v>
                </c:pt>
                <c:pt idx="4">
                  <c:v>33.942</c:v>
                </c:pt>
                <c:pt idx="5">
                  <c:v>36.307000000000002</c:v>
                </c:pt>
                <c:pt idx="6">
                  <c:v>38.731999999999999</c:v>
                </c:pt>
                <c:pt idx="7">
                  <c:v>41.209000000000003</c:v>
                </c:pt>
                <c:pt idx="8">
                  <c:v>43.735999999999997</c:v>
                </c:pt>
                <c:pt idx="9">
                  <c:v>46.307000000000002</c:v>
                </c:pt>
                <c:pt idx="10">
                  <c:v>48.918999999999997</c:v>
                </c:pt>
                <c:pt idx="11">
                  <c:v>51.567999999999998</c:v>
                </c:pt>
                <c:pt idx="12">
                  <c:v>54.252000000000002</c:v>
                </c:pt>
                <c:pt idx="13">
                  <c:v>58.966000000000001</c:v>
                </c:pt>
                <c:pt idx="14">
                  <c:v>59.71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B8-42E1-8274-3E38F7D23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621744"/>
        <c:axId val="574622072"/>
      </c:scatterChart>
      <c:valAx>
        <c:axId val="57462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22072"/>
        <c:crosses val="autoZero"/>
        <c:crossBetween val="midCat"/>
      </c:valAx>
      <c:valAx>
        <c:axId val="57462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2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102393</xdr:colOff>
      <xdr:row>10</xdr:row>
      <xdr:rowOff>126206</xdr:rowOff>
    </xdr:from>
    <xdr:to>
      <xdr:col>14</xdr:col>
      <xdr:colOff>140493</xdr:colOff>
      <xdr:row>25</xdr:row>
      <xdr:rowOff>154781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1015CC-33B5-49FF-9B78-082280738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AE54-5FD9-45C7-9CBE-D7486B8C620F}">
  <sheetPr codeName="Sheet1"/>
  <dimension ref="A1:G62"/>
  <sheetViews>
    <sheetView zoomScale="94" zoomScaleNormal="130" workbookViewId="0">
      <selection activeCell="G17" sqref="G17"/>
    </sheetView>
  </sheetViews>
  <sheetFormatPr defaultRowHeight="14.25" x14ac:dyDescent="0.45"/>
  <cols>
    <col min="4" max="4" width="11.59765625" bestFit="1" customWidth="1"/>
  </cols>
  <sheetData>
    <row r="1" spans="1:7" x14ac:dyDescent="0.45">
      <c r="A1" t="s">
        <v>0</v>
      </c>
      <c r="C1" t="s">
        <v>1</v>
      </c>
      <c r="E1" t="s">
        <v>27</v>
      </c>
      <c r="G1" t="s">
        <v>26</v>
      </c>
    </row>
    <row r="2" spans="1:7" x14ac:dyDescent="0.45">
      <c r="A2">
        <v>100</v>
      </c>
      <c r="C2">
        <v>25.186</v>
      </c>
      <c r="E2" s="1">
        <f>-3*C2+4*C3-C4/(2*50)</f>
        <v>33.163920000000012</v>
      </c>
      <c r="G2" s="2"/>
    </row>
    <row r="3" spans="1:7" x14ac:dyDescent="0.45">
      <c r="A3">
        <v>150</v>
      </c>
      <c r="C3">
        <v>27.254000000000001</v>
      </c>
      <c r="E3" s="1">
        <f>C4-C2/(2*50)</f>
        <v>29.156140000000001</v>
      </c>
      <c r="G3" s="2"/>
    </row>
    <row r="4" spans="1:7" x14ac:dyDescent="0.45">
      <c r="A4">
        <v>200</v>
      </c>
      <c r="C4">
        <v>29.408000000000001</v>
      </c>
      <c r="E4" s="1">
        <f t="shared" ref="E4:G15" si="0">C5-C3/(2*50)</f>
        <v>31.367460000000001</v>
      </c>
      <c r="G4" s="2"/>
    </row>
    <row r="5" spans="1:7" x14ac:dyDescent="0.45">
      <c r="A5">
        <v>250</v>
      </c>
      <c r="C5">
        <v>31.64</v>
      </c>
      <c r="E5" s="1">
        <f t="shared" si="0"/>
        <v>33.647919999999999</v>
      </c>
      <c r="G5" s="2"/>
    </row>
    <row r="6" spans="1:7" x14ac:dyDescent="0.45">
      <c r="A6">
        <v>300</v>
      </c>
      <c r="C6">
        <v>33.942</v>
      </c>
      <c r="E6" s="1">
        <f t="shared" si="0"/>
        <v>35.990600000000001</v>
      </c>
      <c r="G6" s="2"/>
    </row>
    <row r="7" spans="1:7" x14ac:dyDescent="0.45">
      <c r="A7">
        <v>350</v>
      </c>
      <c r="C7">
        <v>36.307000000000002</v>
      </c>
      <c r="E7" s="1">
        <f t="shared" si="0"/>
        <v>38.392580000000002</v>
      </c>
      <c r="G7" s="2"/>
    </row>
    <row r="8" spans="1:7" x14ac:dyDescent="0.45">
      <c r="A8">
        <v>400</v>
      </c>
      <c r="C8">
        <v>38.731999999999999</v>
      </c>
      <c r="E8" s="1">
        <f t="shared" si="0"/>
        <v>40.845930000000003</v>
      </c>
      <c r="G8" s="2"/>
    </row>
    <row r="9" spans="1:7" x14ac:dyDescent="0.45">
      <c r="A9">
        <v>450</v>
      </c>
      <c r="C9">
        <v>41.209000000000003</v>
      </c>
      <c r="E9" s="1">
        <f t="shared" si="0"/>
        <v>43.348679999999995</v>
      </c>
      <c r="G9" s="2"/>
    </row>
    <row r="10" spans="1:7" x14ac:dyDescent="0.45">
      <c r="A10">
        <v>500</v>
      </c>
      <c r="C10">
        <v>43.735999999999997</v>
      </c>
      <c r="E10" s="1">
        <f t="shared" si="0"/>
        <v>45.894910000000003</v>
      </c>
      <c r="G10" s="2"/>
    </row>
    <row r="11" spans="1:7" x14ac:dyDescent="0.45">
      <c r="A11">
        <v>550</v>
      </c>
      <c r="C11">
        <v>46.307000000000002</v>
      </c>
      <c r="E11" s="1">
        <f t="shared" si="0"/>
        <v>48.481639999999999</v>
      </c>
      <c r="G11" s="2"/>
    </row>
    <row r="12" spans="1:7" x14ac:dyDescent="0.45">
      <c r="A12">
        <v>600</v>
      </c>
      <c r="C12">
        <v>48.918999999999997</v>
      </c>
      <c r="E12" s="1">
        <f t="shared" si="0"/>
        <v>51.104929999999996</v>
      </c>
      <c r="G12" s="2"/>
    </row>
    <row r="13" spans="1:7" x14ac:dyDescent="0.45">
      <c r="A13">
        <v>650</v>
      </c>
      <c r="C13">
        <v>51.567999999999998</v>
      </c>
      <c r="E13" s="1">
        <f t="shared" si="0"/>
        <v>53.762810000000002</v>
      </c>
      <c r="G13" s="2"/>
    </row>
    <row r="14" spans="1:7" x14ac:dyDescent="0.45">
      <c r="A14">
        <v>700</v>
      </c>
      <c r="C14">
        <v>54.252000000000002</v>
      </c>
      <c r="E14" s="1">
        <f t="shared" si="0"/>
        <v>58.450319999999998</v>
      </c>
      <c r="G14" s="2"/>
    </row>
    <row r="15" spans="1:7" x14ac:dyDescent="0.45">
      <c r="A15">
        <v>750</v>
      </c>
      <c r="C15">
        <v>58.966000000000001</v>
      </c>
      <c r="E15" s="1">
        <f>C16-C14/(2*50)</f>
        <v>59.167479999999998</v>
      </c>
      <c r="G15" s="2"/>
    </row>
    <row r="16" spans="1:7" x14ac:dyDescent="0.45">
      <c r="A16">
        <v>800</v>
      </c>
      <c r="C16">
        <v>59.71</v>
      </c>
      <c r="E16" s="1">
        <f>3*C16-4*C15+C14/(2*50)</f>
        <v>-56.191480000000006</v>
      </c>
      <c r="G16" s="2"/>
    </row>
    <row r="28" spans="1:5" x14ac:dyDescent="0.45">
      <c r="A28" t="s">
        <v>0</v>
      </c>
      <c r="C28" t="s">
        <v>1</v>
      </c>
      <c r="E28" t="s">
        <v>27</v>
      </c>
    </row>
    <row r="29" spans="1:5" x14ac:dyDescent="0.45">
      <c r="A29">
        <v>100</v>
      </c>
      <c r="C29">
        <f>0.00001*A29^2 + 0.0383*A29 + 21.219</f>
        <v>25.149000000000001</v>
      </c>
      <c r="E29">
        <f>-3*C29+4*C30-C31/(2*50)</f>
        <v>33.016210000000001</v>
      </c>
    </row>
    <row r="30" spans="1:5" x14ac:dyDescent="0.45">
      <c r="A30">
        <v>150</v>
      </c>
      <c r="C30">
        <f t="shared" ref="C30:C43" si="1">0.00001*A30^2 + 0.0383*A30 + 21.219</f>
        <v>27.189</v>
      </c>
      <c r="E30">
        <f>C29-C31/(2*50)</f>
        <v>24.856210000000001</v>
      </c>
    </row>
    <row r="31" spans="1:5" x14ac:dyDescent="0.45">
      <c r="A31">
        <v>200</v>
      </c>
      <c r="C31">
        <f t="shared" si="1"/>
        <v>29.279000000000003</v>
      </c>
      <c r="E31">
        <f t="shared" ref="E31:E42" si="2">C30-C32/(2*50)</f>
        <v>26.87481</v>
      </c>
    </row>
    <row r="32" spans="1:5" x14ac:dyDescent="0.45">
      <c r="A32">
        <v>250</v>
      </c>
      <c r="C32">
        <f t="shared" si="1"/>
        <v>31.419</v>
      </c>
      <c r="E32">
        <f t="shared" si="2"/>
        <v>28.942910000000005</v>
      </c>
    </row>
    <row r="33" spans="1:5" x14ac:dyDescent="0.45">
      <c r="A33">
        <v>300</v>
      </c>
      <c r="C33">
        <f t="shared" si="1"/>
        <v>33.609000000000002</v>
      </c>
      <c r="E33">
        <f t="shared" si="2"/>
        <v>31.060510000000001</v>
      </c>
    </row>
    <row r="34" spans="1:5" x14ac:dyDescent="0.45">
      <c r="A34">
        <v>350</v>
      </c>
      <c r="C34">
        <f t="shared" si="1"/>
        <v>35.849000000000004</v>
      </c>
      <c r="E34">
        <f t="shared" si="2"/>
        <v>33.227609999999999</v>
      </c>
    </row>
    <row r="35" spans="1:5" x14ac:dyDescent="0.45">
      <c r="A35">
        <v>400</v>
      </c>
      <c r="C35">
        <f t="shared" si="1"/>
        <v>38.139000000000003</v>
      </c>
      <c r="E35">
        <f t="shared" si="2"/>
        <v>35.444210000000005</v>
      </c>
    </row>
    <row r="36" spans="1:5" x14ac:dyDescent="0.45">
      <c r="A36">
        <v>450</v>
      </c>
      <c r="C36">
        <f t="shared" si="1"/>
        <v>40.478999999999999</v>
      </c>
      <c r="E36">
        <f t="shared" si="2"/>
        <v>37.71031</v>
      </c>
    </row>
    <row r="37" spans="1:5" x14ac:dyDescent="0.45">
      <c r="A37">
        <v>500</v>
      </c>
      <c r="C37">
        <f t="shared" si="1"/>
        <v>42.869</v>
      </c>
      <c r="E37">
        <f t="shared" si="2"/>
        <v>40.025909999999996</v>
      </c>
    </row>
    <row r="38" spans="1:5" x14ac:dyDescent="0.45">
      <c r="A38">
        <v>550</v>
      </c>
      <c r="C38">
        <f t="shared" si="1"/>
        <v>45.309000000000005</v>
      </c>
      <c r="E38">
        <f t="shared" si="2"/>
        <v>42.391010000000001</v>
      </c>
    </row>
    <row r="39" spans="1:5" x14ac:dyDescent="0.45">
      <c r="A39">
        <v>600</v>
      </c>
      <c r="C39">
        <f t="shared" si="1"/>
        <v>47.799000000000007</v>
      </c>
      <c r="E39">
        <f t="shared" si="2"/>
        <v>44.805610000000001</v>
      </c>
    </row>
    <row r="40" spans="1:5" x14ac:dyDescent="0.45">
      <c r="A40">
        <v>650</v>
      </c>
      <c r="C40">
        <f t="shared" si="1"/>
        <v>50.338999999999999</v>
      </c>
      <c r="E40">
        <f t="shared" si="2"/>
        <v>47.269710000000003</v>
      </c>
    </row>
    <row r="41" spans="1:5" x14ac:dyDescent="0.45">
      <c r="A41">
        <v>700</v>
      </c>
      <c r="C41">
        <f t="shared" si="1"/>
        <v>52.929000000000002</v>
      </c>
      <c r="E41">
        <f t="shared" si="2"/>
        <v>49.78331</v>
      </c>
    </row>
    <row r="42" spans="1:5" x14ac:dyDescent="0.45">
      <c r="A42">
        <v>750</v>
      </c>
      <c r="C42">
        <f t="shared" si="1"/>
        <v>55.569000000000003</v>
      </c>
      <c r="E42">
        <f t="shared" si="2"/>
        <v>52.346409999999999</v>
      </c>
    </row>
    <row r="43" spans="1:5" x14ac:dyDescent="0.45">
      <c r="A43">
        <v>800</v>
      </c>
      <c r="C43">
        <f t="shared" si="1"/>
        <v>58.259</v>
      </c>
      <c r="E43">
        <f>3*C43-4*C42+C41/(2*50)</f>
        <v>-46.969710000000021</v>
      </c>
    </row>
    <row r="46" spans="1:5" x14ac:dyDescent="0.45">
      <c r="A46" t="s">
        <v>24</v>
      </c>
    </row>
    <row r="47" spans="1:5" x14ac:dyDescent="0.45">
      <c r="A47" t="s">
        <v>25</v>
      </c>
      <c r="C47" t="s">
        <v>26</v>
      </c>
      <c r="E47" t="s">
        <v>28</v>
      </c>
    </row>
    <row r="48" spans="1:5" x14ac:dyDescent="0.45">
      <c r="A48">
        <v>100</v>
      </c>
      <c r="C48">
        <v>40.460999999999999</v>
      </c>
    </row>
    <row r="49" spans="1:3" x14ac:dyDescent="0.45">
      <c r="A49">
        <v>150</v>
      </c>
      <c r="C49">
        <v>42.256</v>
      </c>
    </row>
    <row r="50" spans="1:3" x14ac:dyDescent="0.45">
      <c r="A50">
        <v>200</v>
      </c>
      <c r="C50">
        <v>43.881</v>
      </c>
    </row>
    <row r="51" spans="1:3" x14ac:dyDescent="0.45">
      <c r="A51">
        <v>250</v>
      </c>
      <c r="C51">
        <v>45.354999999999997</v>
      </c>
    </row>
    <row r="52" spans="1:3" x14ac:dyDescent="0.45">
      <c r="A52">
        <v>300</v>
      </c>
      <c r="C52">
        <v>46.695</v>
      </c>
    </row>
    <row r="53" spans="1:3" x14ac:dyDescent="0.45">
      <c r="A53">
        <v>350</v>
      </c>
      <c r="C53">
        <v>47.917000000000002</v>
      </c>
    </row>
    <row r="54" spans="1:3" x14ac:dyDescent="0.45">
      <c r="A54">
        <v>400</v>
      </c>
      <c r="C54">
        <v>49.033999999999999</v>
      </c>
    </row>
    <row r="55" spans="1:3" x14ac:dyDescent="0.45">
      <c r="A55">
        <v>450</v>
      </c>
      <c r="C55">
        <v>50.055</v>
      </c>
    </row>
    <row r="56" spans="1:3" x14ac:dyDescent="0.45">
      <c r="A56">
        <v>500</v>
      </c>
      <c r="C56">
        <v>50.988999999999997</v>
      </c>
    </row>
    <row r="57" spans="1:3" x14ac:dyDescent="0.45">
      <c r="A57">
        <v>550</v>
      </c>
      <c r="C57">
        <v>51.843000000000004</v>
      </c>
    </row>
    <row r="58" spans="1:3" x14ac:dyDescent="0.45">
      <c r="A58">
        <v>600</v>
      </c>
      <c r="C58">
        <v>52.624000000000002</v>
      </c>
    </row>
    <row r="59" spans="1:3" x14ac:dyDescent="0.45">
      <c r="A59">
        <v>650</v>
      </c>
      <c r="C59">
        <v>53.338999999999999</v>
      </c>
    </row>
    <row r="60" spans="1:3" x14ac:dyDescent="0.45">
      <c r="A60">
        <v>700</v>
      </c>
      <c r="C60">
        <v>53.994</v>
      </c>
    </row>
    <row r="61" spans="1:3" x14ac:dyDescent="0.45">
      <c r="A61">
        <v>750</v>
      </c>
      <c r="C61">
        <v>54.593000000000004</v>
      </c>
    </row>
    <row r="62" spans="1:3" x14ac:dyDescent="0.45">
      <c r="A62">
        <v>800</v>
      </c>
      <c r="C62">
        <v>55.143999999999998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0E80-3DCD-4DCB-8722-F630A4D37DDE}">
  <dimension ref="A2:D70"/>
  <sheetViews>
    <sheetView topLeftCell="A30" workbookViewId="0">
      <selection activeCell="C3" sqref="C3"/>
    </sheetView>
  </sheetViews>
  <sheetFormatPr defaultRowHeight="14.25" x14ac:dyDescent="0.45"/>
  <sheetData>
    <row r="2" spans="1:3" x14ac:dyDescent="0.45">
      <c r="A2" t="s">
        <v>2</v>
      </c>
      <c r="B2" t="s">
        <v>3</v>
      </c>
      <c r="C2" t="s">
        <v>4</v>
      </c>
    </row>
    <row r="3" spans="1:3" x14ac:dyDescent="0.45">
      <c r="A3">
        <v>0</v>
      </c>
      <c r="B3">
        <f>SQRT(A3)</f>
        <v>0</v>
      </c>
      <c r="C3">
        <v>0</v>
      </c>
    </row>
    <row r="4" spans="1:3" x14ac:dyDescent="0.45">
      <c r="A4">
        <v>0.05</v>
      </c>
      <c r="B4">
        <f t="shared" ref="B4:B36" si="0">SQRT(A4)</f>
        <v>0.22360679774997896</v>
      </c>
      <c r="C4">
        <f>((B3+B4)/2*(A4-A3))+C3</f>
        <v>5.5901699437494743E-3</v>
      </c>
    </row>
    <row r="5" spans="1:3" x14ac:dyDescent="0.45">
      <c r="A5">
        <v>0.1</v>
      </c>
      <c r="B5">
        <f t="shared" si="0"/>
        <v>0.31622776601683794</v>
      </c>
      <c r="C5">
        <f t="shared" ref="C5:C36" si="1">((B4+B5)/2*(B5-B4))+C4</f>
        <v>3.0590169943749478E-2</v>
      </c>
    </row>
    <row r="6" spans="1:3" x14ac:dyDescent="0.45">
      <c r="A6">
        <v>0.15</v>
      </c>
      <c r="B6">
        <f t="shared" si="0"/>
        <v>0.3872983346207417</v>
      </c>
      <c r="C6">
        <f t="shared" si="1"/>
        <v>5.5590169943749483E-2</v>
      </c>
    </row>
    <row r="7" spans="1:3" x14ac:dyDescent="0.45">
      <c r="A7">
        <v>0.2</v>
      </c>
      <c r="B7">
        <f t="shared" si="0"/>
        <v>0.44721359549995793</v>
      </c>
      <c r="C7">
        <f t="shared" si="1"/>
        <v>8.0590169943749471E-2</v>
      </c>
    </row>
    <row r="8" spans="1:3" x14ac:dyDescent="0.45">
      <c r="A8">
        <v>0.25</v>
      </c>
      <c r="B8">
        <f t="shared" si="0"/>
        <v>0.5</v>
      </c>
      <c r="C8">
        <f t="shared" si="1"/>
        <v>0.10559016994374948</v>
      </c>
    </row>
    <row r="9" spans="1:3" x14ac:dyDescent="0.45">
      <c r="A9">
        <v>0.3</v>
      </c>
      <c r="B9">
        <f t="shared" si="0"/>
        <v>0.54772255750516607</v>
      </c>
      <c r="C9">
        <f t="shared" si="1"/>
        <v>0.13059016994374945</v>
      </c>
    </row>
    <row r="10" spans="1:3" x14ac:dyDescent="0.45">
      <c r="A10">
        <v>0.35</v>
      </c>
      <c r="B10">
        <f t="shared" si="0"/>
        <v>0.59160797830996159</v>
      </c>
      <c r="C10">
        <f t="shared" si="1"/>
        <v>0.15559016994374947</v>
      </c>
    </row>
    <row r="11" spans="1:3" x14ac:dyDescent="0.45">
      <c r="A11">
        <v>0.4</v>
      </c>
      <c r="B11">
        <f t="shared" si="0"/>
        <v>0.63245553203367588</v>
      </c>
      <c r="C11">
        <f t="shared" si="1"/>
        <v>0.18059016994374949</v>
      </c>
    </row>
    <row r="12" spans="1:3" x14ac:dyDescent="0.45">
      <c r="A12">
        <v>0.45</v>
      </c>
      <c r="B12">
        <f t="shared" si="0"/>
        <v>0.67082039324993692</v>
      </c>
      <c r="C12">
        <f t="shared" si="1"/>
        <v>0.20559016994374948</v>
      </c>
    </row>
    <row r="13" spans="1:3" x14ac:dyDescent="0.45">
      <c r="A13">
        <v>0.5</v>
      </c>
      <c r="B13">
        <f t="shared" si="0"/>
        <v>0.70710678118654757</v>
      </c>
      <c r="C13">
        <f t="shared" si="1"/>
        <v>0.23059016994374951</v>
      </c>
    </row>
    <row r="14" spans="1:3" x14ac:dyDescent="0.45">
      <c r="A14">
        <v>0.55000000000000004</v>
      </c>
      <c r="B14">
        <f t="shared" si="0"/>
        <v>0.74161984870956632</v>
      </c>
      <c r="C14">
        <f t="shared" si="1"/>
        <v>0.2555901699437495</v>
      </c>
    </row>
    <row r="15" spans="1:3" x14ac:dyDescent="0.45">
      <c r="A15">
        <v>0.6</v>
      </c>
      <c r="B15">
        <f t="shared" si="0"/>
        <v>0.7745966692414834</v>
      </c>
      <c r="C15">
        <f t="shared" si="1"/>
        <v>0.28059016994374952</v>
      </c>
    </row>
    <row r="16" spans="1:3" x14ac:dyDescent="0.45">
      <c r="A16">
        <v>0.65</v>
      </c>
      <c r="B16">
        <f t="shared" si="0"/>
        <v>0.80622577482985502</v>
      </c>
      <c r="C16">
        <f t="shared" si="1"/>
        <v>0.30559016994374955</v>
      </c>
    </row>
    <row r="17" spans="1:3" x14ac:dyDescent="0.45">
      <c r="A17">
        <v>0.7</v>
      </c>
      <c r="B17">
        <f t="shared" si="0"/>
        <v>0.83666002653407556</v>
      </c>
      <c r="C17">
        <f t="shared" si="1"/>
        <v>0.33059016994374951</v>
      </c>
    </row>
    <row r="18" spans="1:3" x14ac:dyDescent="0.45">
      <c r="A18">
        <v>0.75</v>
      </c>
      <c r="B18">
        <f t="shared" si="0"/>
        <v>0.8660254037844386</v>
      </c>
      <c r="C18">
        <f t="shared" si="1"/>
        <v>0.35559016994374948</v>
      </c>
    </row>
    <row r="19" spans="1:3" x14ac:dyDescent="0.45">
      <c r="A19">
        <v>0.8</v>
      </c>
      <c r="B19">
        <f t="shared" si="0"/>
        <v>0.89442719099991586</v>
      </c>
      <c r="C19">
        <f t="shared" si="1"/>
        <v>0.3805901699437495</v>
      </c>
    </row>
    <row r="20" spans="1:3" x14ac:dyDescent="0.45">
      <c r="A20">
        <v>0.85</v>
      </c>
      <c r="B20">
        <f t="shared" si="0"/>
        <v>0.92195444572928875</v>
      </c>
      <c r="C20">
        <f t="shared" si="1"/>
        <v>0.40559016994374952</v>
      </c>
    </row>
    <row r="21" spans="1:3" x14ac:dyDescent="0.45">
      <c r="A21">
        <v>0.9</v>
      </c>
      <c r="B21">
        <f t="shared" si="0"/>
        <v>0.94868329805051377</v>
      </c>
      <c r="C21">
        <f t="shared" si="1"/>
        <v>0.43059016994374949</v>
      </c>
    </row>
    <row r="22" spans="1:3" x14ac:dyDescent="0.45">
      <c r="A22">
        <v>0.95</v>
      </c>
      <c r="B22">
        <f t="shared" si="0"/>
        <v>0.97467943448089633</v>
      </c>
      <c r="C22">
        <f t="shared" si="1"/>
        <v>0.45559016994374946</v>
      </c>
    </row>
    <row r="23" spans="1:3" x14ac:dyDescent="0.45">
      <c r="A23">
        <v>1</v>
      </c>
      <c r="B23">
        <f t="shared" si="0"/>
        <v>1</v>
      </c>
      <c r="C23">
        <f t="shared" si="1"/>
        <v>0.48059016994374953</v>
      </c>
    </row>
    <row r="26" spans="1:3" x14ac:dyDescent="0.45">
      <c r="A26">
        <v>0</v>
      </c>
      <c r="B26">
        <f t="shared" si="0"/>
        <v>0</v>
      </c>
      <c r="C26">
        <f t="shared" si="1"/>
        <v>0</v>
      </c>
    </row>
    <row r="27" spans="1:3" x14ac:dyDescent="0.45">
      <c r="A27">
        <v>0.1</v>
      </c>
      <c r="B27">
        <f t="shared" si="0"/>
        <v>0.31622776601683794</v>
      </c>
      <c r="C27">
        <f>((B26+B27)/2*(A27-A26))+C26</f>
        <v>1.5811388300841899E-2</v>
      </c>
    </row>
    <row r="28" spans="1:3" x14ac:dyDescent="0.45">
      <c r="A28">
        <v>0.2</v>
      </c>
      <c r="B28">
        <f t="shared" si="0"/>
        <v>0.44721359549995793</v>
      </c>
      <c r="C28">
        <f t="shared" si="1"/>
        <v>6.5811388300841892E-2</v>
      </c>
    </row>
    <row r="29" spans="1:3" x14ac:dyDescent="0.45">
      <c r="A29">
        <v>0.3</v>
      </c>
      <c r="B29">
        <f t="shared" si="0"/>
        <v>0.54772255750516607</v>
      </c>
      <c r="C29">
        <f t="shared" si="1"/>
        <v>0.11581138830084187</v>
      </c>
    </row>
    <row r="30" spans="1:3" x14ac:dyDescent="0.45">
      <c r="A30">
        <v>0.4</v>
      </c>
      <c r="B30">
        <f t="shared" si="0"/>
        <v>0.63245553203367588</v>
      </c>
      <c r="C30">
        <f t="shared" si="1"/>
        <v>0.16581138830084188</v>
      </c>
    </row>
    <row r="31" spans="1:3" x14ac:dyDescent="0.45">
      <c r="A31">
        <v>0.5</v>
      </c>
      <c r="B31">
        <f t="shared" si="0"/>
        <v>0.70710678118654757</v>
      </c>
      <c r="C31">
        <f t="shared" si="1"/>
        <v>0.2158113883008419</v>
      </c>
    </row>
    <row r="32" spans="1:3" x14ac:dyDescent="0.45">
      <c r="A32">
        <v>0.6</v>
      </c>
      <c r="B32">
        <f t="shared" si="0"/>
        <v>0.7745966692414834</v>
      </c>
      <c r="C32">
        <f t="shared" si="1"/>
        <v>0.26581138830084189</v>
      </c>
    </row>
    <row r="33" spans="1:4" x14ac:dyDescent="0.45">
      <c r="A33">
        <v>0.7</v>
      </c>
      <c r="B33">
        <f t="shared" si="0"/>
        <v>0.83666002653407556</v>
      </c>
      <c r="C33">
        <f t="shared" si="1"/>
        <v>0.31581138830084188</v>
      </c>
    </row>
    <row r="34" spans="1:4" x14ac:dyDescent="0.45">
      <c r="A34">
        <v>0.8</v>
      </c>
      <c r="B34">
        <f t="shared" si="0"/>
        <v>0.89442719099991586</v>
      </c>
      <c r="C34">
        <f t="shared" si="1"/>
        <v>0.36581138830084181</v>
      </c>
    </row>
    <row r="35" spans="1:4" x14ac:dyDescent="0.45">
      <c r="A35">
        <v>0.9</v>
      </c>
      <c r="B35">
        <f t="shared" si="0"/>
        <v>0.94868329805051377</v>
      </c>
      <c r="C35">
        <f t="shared" si="1"/>
        <v>0.4158113883008418</v>
      </c>
    </row>
    <row r="36" spans="1:4" x14ac:dyDescent="0.45">
      <c r="A36">
        <v>1</v>
      </c>
      <c r="B36">
        <f t="shared" si="0"/>
        <v>1</v>
      </c>
      <c r="C36">
        <f t="shared" si="1"/>
        <v>0.46581138830084184</v>
      </c>
    </row>
    <row r="40" spans="1:4" x14ac:dyDescent="0.45">
      <c r="A40" t="s">
        <v>5</v>
      </c>
    </row>
    <row r="41" spans="1:4" x14ac:dyDescent="0.45">
      <c r="A41" t="s">
        <v>6</v>
      </c>
      <c r="B41">
        <v>-0.57735000000000003</v>
      </c>
      <c r="D41">
        <f>SQRT(0.5*B41+0.5)</f>
        <v>0.45970098977487528</v>
      </c>
    </row>
    <row r="42" spans="1:4" x14ac:dyDescent="0.45">
      <c r="A42" t="s">
        <v>7</v>
      </c>
      <c r="B42">
        <v>0.57735000000000003</v>
      </c>
      <c r="D42">
        <f>SQRT(0.5*B42+0.5)</f>
        <v>0.88807375819804513</v>
      </c>
    </row>
    <row r="43" spans="1:4" x14ac:dyDescent="0.45">
      <c r="A43" t="s">
        <v>9</v>
      </c>
      <c r="B43">
        <v>1</v>
      </c>
    </row>
    <row r="44" spans="1:4" x14ac:dyDescent="0.45">
      <c r="A44" t="s">
        <v>10</v>
      </c>
      <c r="B44">
        <v>1</v>
      </c>
    </row>
    <row r="46" spans="1:4" x14ac:dyDescent="0.45">
      <c r="C46" t="s">
        <v>4</v>
      </c>
      <c r="D46">
        <f>SUM(D41:D42)*0.5</f>
        <v>0.67388737398646015</v>
      </c>
    </row>
    <row r="50" spans="1:4" x14ac:dyDescent="0.45">
      <c r="A50" t="s">
        <v>11</v>
      </c>
    </row>
    <row r="51" spans="1:4" x14ac:dyDescent="0.45">
      <c r="A51" t="s">
        <v>6</v>
      </c>
      <c r="B51">
        <v>0</v>
      </c>
      <c r="D51">
        <f>SQRT(0.5*B51+0.5)*B54</f>
        <v>0.62854014672891023</v>
      </c>
    </row>
    <row r="52" spans="1:4" x14ac:dyDescent="0.45">
      <c r="A52" t="s">
        <v>7</v>
      </c>
      <c r="B52">
        <v>-0.77459999999999996</v>
      </c>
      <c r="D52">
        <f>SQRT(0.5*B52+0.5)*B55</f>
        <v>0.18650605127641304</v>
      </c>
    </row>
    <row r="53" spans="1:4" x14ac:dyDescent="0.45">
      <c r="A53" t="s">
        <v>8</v>
      </c>
      <c r="B53">
        <v>0.77459999999999996</v>
      </c>
      <c r="D53">
        <f>SQRT(0.5*B53+0.5)*B56</f>
        <v>0.52331864713315923</v>
      </c>
    </row>
    <row r="54" spans="1:4" x14ac:dyDescent="0.45">
      <c r="A54" t="s">
        <v>9</v>
      </c>
      <c r="B54">
        <v>0.88888999999999996</v>
      </c>
    </row>
    <row r="55" spans="1:4" x14ac:dyDescent="0.45">
      <c r="A55" t="s">
        <v>10</v>
      </c>
      <c r="B55">
        <v>0.55556000000000005</v>
      </c>
    </row>
    <row r="56" spans="1:4" x14ac:dyDescent="0.45">
      <c r="A56" t="s">
        <v>12</v>
      </c>
      <c r="B56">
        <v>0.55556000000000005</v>
      </c>
    </row>
    <row r="58" spans="1:4" x14ac:dyDescent="0.45">
      <c r="C58" t="s">
        <v>4</v>
      </c>
      <c r="D58">
        <f>SUM(D51:D53)*0.5</f>
        <v>0.66918242256924132</v>
      </c>
    </row>
    <row r="60" spans="1:4" x14ac:dyDescent="0.45">
      <c r="A60" t="s">
        <v>13</v>
      </c>
    </row>
    <row r="61" spans="1:4" x14ac:dyDescent="0.45">
      <c r="A61" t="s">
        <v>6</v>
      </c>
      <c r="B61">
        <v>-0.33998</v>
      </c>
      <c r="D61">
        <f>SQRT(0.5*B61+0.5)*B65</f>
        <v>0.37463732918814302</v>
      </c>
    </row>
    <row r="62" spans="1:4" x14ac:dyDescent="0.45">
      <c r="A62" t="s">
        <v>7</v>
      </c>
      <c r="B62">
        <v>0.33998</v>
      </c>
      <c r="D62">
        <f t="shared" ref="D62:D64" si="2">SQRT(0.5*B62+0.5)*B66</f>
        <v>0.53380379736264061</v>
      </c>
    </row>
    <row r="63" spans="1:4" x14ac:dyDescent="0.45">
      <c r="A63" t="s">
        <v>8</v>
      </c>
      <c r="B63">
        <v>-0.86114000000000002</v>
      </c>
      <c r="D63">
        <f t="shared" si="2"/>
        <v>9.1656989859884644E-2</v>
      </c>
    </row>
    <row r="64" spans="1:4" x14ac:dyDescent="0.45">
      <c r="A64" t="s">
        <v>14</v>
      </c>
      <c r="B64">
        <v>0.86114000000000002</v>
      </c>
      <c r="D64">
        <f>SQRT(0.5*B64+0.5)*B68</f>
        <v>0.33555717651366807</v>
      </c>
    </row>
    <row r="65" spans="1:4" x14ac:dyDescent="0.45">
      <c r="A65" t="s">
        <v>9</v>
      </c>
      <c r="B65">
        <v>0.65215000000000001</v>
      </c>
    </row>
    <row r="66" spans="1:4" x14ac:dyDescent="0.45">
      <c r="A66" t="s">
        <v>10</v>
      </c>
      <c r="B66">
        <v>0.65215000000000001</v>
      </c>
    </row>
    <row r="67" spans="1:4" x14ac:dyDescent="0.45">
      <c r="A67" t="s">
        <v>12</v>
      </c>
      <c r="B67">
        <v>0.34784999999999999</v>
      </c>
    </row>
    <row r="68" spans="1:4" x14ac:dyDescent="0.45">
      <c r="A68" t="s">
        <v>15</v>
      </c>
      <c r="B68">
        <v>0.34784999999999999</v>
      </c>
    </row>
    <row r="70" spans="1:4" x14ac:dyDescent="0.45">
      <c r="C70" t="s">
        <v>4</v>
      </c>
      <c r="D70">
        <f>SUM(D61:D64)*0.5</f>
        <v>0.66782764646216819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2E47-2798-4523-A990-96DAA3896E64}">
  <dimension ref="A1:H124"/>
  <sheetViews>
    <sheetView topLeftCell="A101" zoomScale="76" workbookViewId="0">
      <selection activeCell="F125" sqref="F125"/>
    </sheetView>
  </sheetViews>
  <sheetFormatPr defaultRowHeight="14.25" x14ac:dyDescent="0.45"/>
  <cols>
    <col min="3" max="3" width="11.59765625" bestFit="1" customWidth="1"/>
    <col min="5" max="5" width="12.6640625" customWidth="1"/>
    <col min="6" max="6" width="12.19921875" bestFit="1" customWidth="1"/>
    <col min="8" max="8" width="11.59765625" bestFit="1" customWidth="1"/>
  </cols>
  <sheetData>
    <row r="1" spans="1:8" x14ac:dyDescent="0.45">
      <c r="A1" t="s">
        <v>2</v>
      </c>
      <c r="B1" t="s">
        <v>3</v>
      </c>
      <c r="C1" t="s">
        <v>16</v>
      </c>
      <c r="F1" t="s">
        <v>2</v>
      </c>
      <c r="G1" t="s">
        <v>3</v>
      </c>
      <c r="H1" t="s">
        <v>4</v>
      </c>
    </row>
    <row r="2" spans="1:8" x14ac:dyDescent="0.45">
      <c r="A2">
        <v>0</v>
      </c>
      <c r="B2">
        <f>A2^2*COS(A2)</f>
        <v>0</v>
      </c>
      <c r="C2">
        <f>(-3*B2+4*B3-B4)/2*0.1</f>
        <v>2.9875174873568447E-5</v>
      </c>
      <c r="F2">
        <v>0</v>
      </c>
      <c r="G2">
        <f>F2^2*COS(F2)</f>
        <v>0</v>
      </c>
      <c r="H2">
        <v>0</v>
      </c>
    </row>
    <row r="3" spans="1:8" x14ac:dyDescent="0.45">
      <c r="A3">
        <v>0.1</v>
      </c>
      <c r="B3">
        <f t="shared" ref="B3:B12" si="0">A3^2*COS(A3)</f>
        <v>9.9500416527802601E-3</v>
      </c>
      <c r="C3">
        <f>(B4-B2)/2*0.1</f>
        <v>1.9601331556824836E-3</v>
      </c>
      <c r="F3">
        <v>0.1</v>
      </c>
      <c r="G3">
        <f t="shared" ref="G3:G12" si="1">F3^2*COS(F3)</f>
        <v>9.9500416527802601E-3</v>
      </c>
      <c r="H3">
        <f>(G2+G3)/2*(F3-F2)+H2</f>
        <v>4.9750208263901307E-4</v>
      </c>
    </row>
    <row r="4" spans="1:8" x14ac:dyDescent="0.45">
      <c r="A4">
        <v>0.2</v>
      </c>
      <c r="B4">
        <f t="shared" si="0"/>
        <v>3.9202663113649672E-2</v>
      </c>
      <c r="C4">
        <f t="shared" ref="C4:C11" si="2">(B5-B3)/2*0.1</f>
        <v>3.8015121184262132E-3</v>
      </c>
      <c r="F4">
        <v>0.2</v>
      </c>
      <c r="G4">
        <f t="shared" si="1"/>
        <v>3.9202663113649672E-2</v>
      </c>
      <c r="H4">
        <f t="shared" ref="H4:H12" si="3">(G3+G4)/2*(F4-F3)+H3</f>
        <v>2.9551373209605099E-3</v>
      </c>
    </row>
    <row r="5" spans="1:8" x14ac:dyDescent="0.45">
      <c r="A5">
        <v>0.3</v>
      </c>
      <c r="B5">
        <f t="shared" si="0"/>
        <v>8.5980284021304532E-2</v>
      </c>
      <c r="C5">
        <f t="shared" si="2"/>
        <v>5.4083547963405991E-3</v>
      </c>
      <c r="F5">
        <v>0.3</v>
      </c>
      <c r="G5">
        <f t="shared" si="1"/>
        <v>8.5980284021304532E-2</v>
      </c>
      <c r="H5">
        <f t="shared" si="3"/>
        <v>9.2142846777082191E-3</v>
      </c>
    </row>
    <row r="6" spans="1:8" x14ac:dyDescent="0.45">
      <c r="A6">
        <v>0.4</v>
      </c>
      <c r="B6">
        <f t="shared" si="0"/>
        <v>0.14736975904046165</v>
      </c>
      <c r="C6">
        <f t="shared" si="2"/>
        <v>6.6707678225644334E-3</v>
      </c>
      <c r="F6">
        <v>0.4</v>
      </c>
      <c r="G6">
        <f t="shared" si="1"/>
        <v>0.14736975904046165</v>
      </c>
      <c r="H6">
        <f t="shared" si="3"/>
        <v>2.0881786830796532E-2</v>
      </c>
    </row>
    <row r="7" spans="1:8" x14ac:dyDescent="0.45">
      <c r="A7">
        <v>0.5</v>
      </c>
      <c r="B7">
        <f t="shared" si="0"/>
        <v>0.21939564047259319</v>
      </c>
      <c r="C7">
        <f t="shared" si="2"/>
        <v>7.4875531163511276E-3</v>
      </c>
      <c r="F7">
        <v>0.5</v>
      </c>
      <c r="G7">
        <f t="shared" si="1"/>
        <v>0.21939564047259319</v>
      </c>
      <c r="H7">
        <f t="shared" si="3"/>
        <v>3.9220056806449272E-2</v>
      </c>
    </row>
    <row r="8" spans="1:8" x14ac:dyDescent="0.45">
      <c r="A8">
        <v>0.6</v>
      </c>
      <c r="B8">
        <f t="shared" si="0"/>
        <v>0.29712082136748419</v>
      </c>
      <c r="C8">
        <f t="shared" si="2"/>
        <v>7.7688515648403067E-3</v>
      </c>
      <c r="F8">
        <v>0.6</v>
      </c>
      <c r="G8">
        <f t="shared" si="1"/>
        <v>0.29712082136748419</v>
      </c>
      <c r="H8">
        <f t="shared" si="3"/>
        <v>6.5045879898453132E-2</v>
      </c>
    </row>
    <row r="9" spans="1:8" x14ac:dyDescent="0.45">
      <c r="A9">
        <v>0.7</v>
      </c>
      <c r="B9">
        <f t="shared" si="0"/>
        <v>0.37477267176939932</v>
      </c>
      <c r="C9">
        <f t="shared" si="2"/>
        <v>7.4385736307350878E-3</v>
      </c>
      <c r="F9">
        <v>0.7</v>
      </c>
      <c r="G9">
        <f t="shared" si="1"/>
        <v>0.37477267176939932</v>
      </c>
      <c r="H9">
        <f t="shared" si="3"/>
        <v>9.86405545552973E-2</v>
      </c>
    </row>
    <row r="10" spans="1:8" x14ac:dyDescent="0.45">
      <c r="A10">
        <v>0.8</v>
      </c>
      <c r="B10">
        <f t="shared" si="0"/>
        <v>0.44589229398218594</v>
      </c>
      <c r="C10">
        <f t="shared" si="2"/>
        <v>6.4365701264919419E-3</v>
      </c>
      <c r="F10">
        <v>0.8</v>
      </c>
      <c r="G10">
        <f t="shared" si="1"/>
        <v>0.44589229398218594</v>
      </c>
      <c r="H10">
        <f t="shared" si="3"/>
        <v>0.13967380284287659</v>
      </c>
    </row>
    <row r="11" spans="1:8" x14ac:dyDescent="0.45">
      <c r="A11">
        <v>0.9</v>
      </c>
      <c r="B11">
        <f t="shared" si="0"/>
        <v>0.50350407429923816</v>
      </c>
      <c r="C11">
        <f t="shared" si="2"/>
        <v>4.7205005942976917E-3</v>
      </c>
      <c r="F11">
        <v>0.9</v>
      </c>
      <c r="G11">
        <f t="shared" si="1"/>
        <v>0.50350407429923816</v>
      </c>
      <c r="H11">
        <f t="shared" si="3"/>
        <v>0.18714362125694778</v>
      </c>
    </row>
    <row r="12" spans="1:8" x14ac:dyDescent="0.45">
      <c r="A12">
        <v>1</v>
      </c>
      <c r="B12">
        <f t="shared" si="0"/>
        <v>0.54030230586813977</v>
      </c>
      <c r="C12">
        <f>(3*B12-4*B11+B10)/2*0.1</f>
        <v>2.6391457194826305E-3</v>
      </c>
      <c r="F12">
        <v>1</v>
      </c>
      <c r="G12">
        <f t="shared" si="1"/>
        <v>0.54030230586813977</v>
      </c>
      <c r="H12">
        <f t="shared" si="3"/>
        <v>0.23933394026531668</v>
      </c>
    </row>
    <row r="16" spans="1:8" x14ac:dyDescent="0.45">
      <c r="A16" t="s">
        <v>2</v>
      </c>
      <c r="B16" t="s">
        <v>3</v>
      </c>
      <c r="C16" t="s">
        <v>16</v>
      </c>
      <c r="F16" t="s">
        <v>2</v>
      </c>
      <c r="G16" t="s">
        <v>3</v>
      </c>
      <c r="H16" t="s">
        <v>4</v>
      </c>
    </row>
    <row r="17" spans="1:8" x14ac:dyDescent="0.45">
      <c r="A17">
        <v>0</v>
      </c>
      <c r="B17">
        <f>A17^2*COS(A17)</f>
        <v>0</v>
      </c>
      <c r="C17">
        <f>(-3*B17+4*B18-B19)/2*0.1</f>
        <v>2.9998750017499327E-9</v>
      </c>
      <c r="F17">
        <v>0</v>
      </c>
      <c r="G17">
        <f>F17^2*COS(F17)</f>
        <v>0</v>
      </c>
      <c r="H17">
        <v>0</v>
      </c>
    </row>
    <row r="18" spans="1:8" x14ac:dyDescent="0.45">
      <c r="A18">
        <v>0.01</v>
      </c>
      <c r="B18">
        <f t="shared" ref="B18:B81" si="4">A18^2*COS(A18)</f>
        <v>9.9995000041666534E-5</v>
      </c>
      <c r="C18">
        <f>(B19-B17)/2*0.1</f>
        <v>1.9996000133331558E-5</v>
      </c>
      <c r="F18">
        <v>0.01</v>
      </c>
      <c r="G18">
        <f t="shared" ref="G18:G81" si="5">F18^2*COS(F18)</f>
        <v>9.9995000041666534E-5</v>
      </c>
      <c r="H18">
        <f>(G17+G18)/2*(F18-F17)+H17</f>
        <v>4.9997500020833265E-7</v>
      </c>
    </row>
    <row r="19" spans="1:8" x14ac:dyDescent="0.45">
      <c r="A19">
        <v>0.02</v>
      </c>
      <c r="B19">
        <f t="shared" si="4"/>
        <v>3.9992000266663114E-4</v>
      </c>
      <c r="C19">
        <f t="shared" ref="C19:C82" si="6">(B20-B18)/2*0.1</f>
        <v>3.9980001516621118E-5</v>
      </c>
      <c r="F19">
        <v>0.02</v>
      </c>
      <c r="G19">
        <f t="shared" si="5"/>
        <v>3.9992000266663114E-4</v>
      </c>
      <c r="H19">
        <f t="shared" ref="H19:H82" si="7">(G18+G19)/2*(F19-F18)+H18</f>
        <v>2.999550013749821E-6</v>
      </c>
    </row>
    <row r="20" spans="1:8" x14ac:dyDescent="0.45">
      <c r="A20">
        <v>0.03</v>
      </c>
      <c r="B20">
        <f t="shared" si="4"/>
        <v>8.9959503037408876E-4</v>
      </c>
      <c r="C20">
        <f t="shared" si="6"/>
        <v>5.9940008399546682E-5</v>
      </c>
      <c r="F20">
        <v>0.03</v>
      </c>
      <c r="G20">
        <f t="shared" si="5"/>
        <v>8.9959503037408876E-4</v>
      </c>
      <c r="H20">
        <f t="shared" si="7"/>
        <v>9.4971251789534192E-6</v>
      </c>
    </row>
    <row r="21" spans="1:8" x14ac:dyDescent="0.45">
      <c r="A21">
        <v>0.04</v>
      </c>
      <c r="B21">
        <f t="shared" si="4"/>
        <v>1.5987201706575648E-3</v>
      </c>
      <c r="C21">
        <f t="shared" si="6"/>
        <v>7.9864031030666392E-5</v>
      </c>
      <c r="F21">
        <v>0.04</v>
      </c>
      <c r="G21">
        <f t="shared" si="5"/>
        <v>1.5987201706575648E-3</v>
      </c>
      <c r="H21">
        <f t="shared" si="7"/>
        <v>2.1988701184111689E-5</v>
      </c>
    </row>
    <row r="22" spans="1:8" x14ac:dyDescent="0.45">
      <c r="A22">
        <v>0.05</v>
      </c>
      <c r="B22">
        <f t="shared" si="4"/>
        <v>2.4968756509874163E-3</v>
      </c>
      <c r="C22">
        <f t="shared" si="6"/>
        <v>9.9740088655458534E-5</v>
      </c>
      <c r="F22">
        <v>0.05</v>
      </c>
      <c r="G22">
        <f t="shared" si="5"/>
        <v>2.4968756509874163E-3</v>
      </c>
      <c r="H22">
        <f t="shared" si="7"/>
        <v>4.2466680292336593E-5</v>
      </c>
    </row>
    <row r="23" spans="1:8" x14ac:dyDescent="0.45">
      <c r="A23">
        <v>0.06</v>
      </c>
      <c r="B23">
        <f t="shared" si="4"/>
        <v>3.593521943766735E-3</v>
      </c>
      <c r="C23">
        <f t="shared" si="6"/>
        <v>1.1955621251268274E-4</v>
      </c>
      <c r="F23">
        <v>0.06</v>
      </c>
      <c r="G23">
        <f t="shared" si="5"/>
        <v>3.593521943766735E-3</v>
      </c>
      <c r="H23">
        <f t="shared" si="7"/>
        <v>7.2918668266107336E-5</v>
      </c>
    </row>
    <row r="24" spans="1:8" x14ac:dyDescent="0.45">
      <c r="A24">
        <v>7.0000000000000007E-2</v>
      </c>
      <c r="B24">
        <f t="shared" si="4"/>
        <v>4.887999901241071E-3</v>
      </c>
      <c r="C24">
        <f t="shared" si="6"/>
        <v>1.3930044882850149E-4</v>
      </c>
      <c r="F24">
        <v>7.0000000000000007E-2</v>
      </c>
      <c r="G24">
        <f t="shared" si="5"/>
        <v>4.887999901241071E-3</v>
      </c>
      <c r="H24">
        <f t="shared" si="7"/>
        <v>1.1532627749114639E-4</v>
      </c>
    </row>
    <row r="25" spans="1:8" x14ac:dyDescent="0.45">
      <c r="A25">
        <v>0.08</v>
      </c>
      <c r="B25">
        <f t="shared" si="4"/>
        <v>6.3795309203367647E-3</v>
      </c>
      <c r="C25">
        <f t="shared" si="6"/>
        <v>1.5896086180780408E-4</v>
      </c>
      <c r="F25">
        <v>0.08</v>
      </c>
      <c r="G25">
        <f t="shared" si="5"/>
        <v>6.3795309203367647E-3</v>
      </c>
      <c r="H25">
        <f t="shared" si="7"/>
        <v>1.7166393159903553E-4</v>
      </c>
    </row>
    <row r="26" spans="1:8" x14ac:dyDescent="0.45">
      <c r="A26">
        <v>0.09</v>
      </c>
      <c r="B26">
        <f t="shared" si="4"/>
        <v>8.0672171373971525E-3</v>
      </c>
      <c r="C26">
        <f t="shared" si="6"/>
        <v>1.7852553662217477E-4</v>
      </c>
      <c r="F26">
        <v>0.09</v>
      </c>
      <c r="G26">
        <f t="shared" si="5"/>
        <v>8.0672171373971525E-3</v>
      </c>
      <c r="H26">
        <f t="shared" si="7"/>
        <v>2.4389767188770509E-4</v>
      </c>
    </row>
    <row r="27" spans="1:8" x14ac:dyDescent="0.45">
      <c r="A27">
        <v>0.1</v>
      </c>
      <c r="B27">
        <f t="shared" si="4"/>
        <v>9.9500416527802601E-3</v>
      </c>
      <c r="C27">
        <f t="shared" si="6"/>
        <v>1.9798258239394395E-4</v>
      </c>
      <c r="F27">
        <v>0.1</v>
      </c>
      <c r="G27">
        <f t="shared" si="5"/>
        <v>9.9500416527802601E-3</v>
      </c>
      <c r="H27">
        <f t="shared" si="7"/>
        <v>3.339839658385922E-4</v>
      </c>
    </row>
    <row r="28" spans="1:8" x14ac:dyDescent="0.45">
      <c r="A28">
        <v>0.11</v>
      </c>
      <c r="B28">
        <f t="shared" si="4"/>
        <v>1.2026868785276031E-2</v>
      </c>
      <c r="C28">
        <f t="shared" si="6"/>
        <v>2.1732013517577068E-4</v>
      </c>
      <c r="F28">
        <v>0.11</v>
      </c>
      <c r="G28">
        <f t="shared" si="5"/>
        <v>1.2026868785276031E-2</v>
      </c>
      <c r="H28">
        <f t="shared" si="7"/>
        <v>4.4386851802887364E-4</v>
      </c>
    </row>
    <row r="29" spans="1:8" x14ac:dyDescent="0.45">
      <c r="A29">
        <v>0.12</v>
      </c>
      <c r="B29">
        <f t="shared" si="4"/>
        <v>1.4296444356295674E-2</v>
      </c>
      <c r="C29">
        <f t="shared" si="6"/>
        <v>2.3652636092519452E-4</v>
      </c>
      <c r="F29">
        <v>0.12</v>
      </c>
      <c r="G29">
        <f t="shared" si="5"/>
        <v>1.4296444356295674E-2</v>
      </c>
      <c r="H29">
        <f t="shared" si="7"/>
        <v>5.754850837367321E-4</v>
      </c>
    </row>
    <row r="30" spans="1:8" x14ac:dyDescent="0.45">
      <c r="A30">
        <v>0.13</v>
      </c>
      <c r="B30">
        <f t="shared" si="4"/>
        <v>1.6757396003779922E-2</v>
      </c>
      <c r="C30">
        <f t="shared" si="6"/>
        <v>2.5558945847360085E-4</v>
      </c>
      <c r="F30">
        <v>0.13</v>
      </c>
      <c r="G30">
        <f t="shared" si="5"/>
        <v>1.6757396003779922E-2</v>
      </c>
      <c r="H30">
        <f t="shared" si="7"/>
        <v>7.3075428553711025E-4</v>
      </c>
    </row>
    <row r="31" spans="1:8" x14ac:dyDescent="0.45">
      <c r="A31">
        <v>0.14000000000000001</v>
      </c>
      <c r="B31">
        <f t="shared" si="4"/>
        <v>1.940823352576769E-2</v>
      </c>
      <c r="C31">
        <f t="shared" si="6"/>
        <v>2.7449766248905142E-4</v>
      </c>
      <c r="F31">
        <v>0.14000000000000001</v>
      </c>
      <c r="G31">
        <f t="shared" si="5"/>
        <v>1.940823352576769E-2</v>
      </c>
      <c r="H31">
        <f t="shared" si="7"/>
        <v>9.1158243318484843E-4</v>
      </c>
    </row>
    <row r="32" spans="1:8" x14ac:dyDescent="0.45">
      <c r="A32">
        <v>0.15</v>
      </c>
      <c r="B32">
        <f t="shared" si="4"/>
        <v>2.224734925356095E-2</v>
      </c>
      <c r="C32">
        <f t="shared" si="6"/>
        <v>2.9323924643241808E-4</v>
      </c>
      <c r="F32">
        <v>0.15</v>
      </c>
      <c r="G32">
        <f t="shared" si="5"/>
        <v>2.224734925356095E-2</v>
      </c>
      <c r="H32">
        <f t="shared" si="7"/>
        <v>1.1198603470814912E-3</v>
      </c>
    </row>
    <row r="33" spans="1:8" x14ac:dyDescent="0.45">
      <c r="A33">
        <v>0.16</v>
      </c>
      <c r="B33">
        <f t="shared" si="4"/>
        <v>2.5273018454416051E-2</v>
      </c>
      <c r="C33">
        <f t="shared" si="6"/>
        <v>3.1180252550626813E-4</v>
      </c>
      <c r="F33">
        <v>0.16</v>
      </c>
      <c r="G33">
        <f t="shared" si="5"/>
        <v>2.5273018454416051E-2</v>
      </c>
      <c r="H33">
        <f t="shared" si="7"/>
        <v>1.3574621856213764E-3</v>
      </c>
    </row>
    <row r="34" spans="1:8" x14ac:dyDescent="0.45">
      <c r="A34">
        <v>0.17</v>
      </c>
      <c r="B34">
        <f t="shared" si="4"/>
        <v>2.8483399763686312E-2</v>
      </c>
      <c r="C34">
        <f t="shared" si="6"/>
        <v>3.3017585959595425E-4</v>
      </c>
      <c r="F34">
        <v>0.17</v>
      </c>
      <c r="G34">
        <f t="shared" si="5"/>
        <v>2.8483399763686312E-2</v>
      </c>
      <c r="H34">
        <f t="shared" si="7"/>
        <v>1.6262442767118884E-3</v>
      </c>
    </row>
    <row r="35" spans="1:8" x14ac:dyDescent="0.45">
      <c r="A35">
        <v>0.18</v>
      </c>
      <c r="B35">
        <f t="shared" si="4"/>
        <v>3.1876535646335136E-2</v>
      </c>
      <c r="C35">
        <f t="shared" si="6"/>
        <v>3.4834765620235747E-4</v>
      </c>
      <c r="F35">
        <v>0.18</v>
      </c>
      <c r="G35">
        <f t="shared" si="5"/>
        <v>3.1876535646335136E-2</v>
      </c>
      <c r="H35">
        <f t="shared" si="7"/>
        <v>1.9280439537619951E-3</v>
      </c>
    </row>
    <row r="36" spans="1:8" x14ac:dyDescent="0.45">
      <c r="A36">
        <v>0.19</v>
      </c>
      <c r="B36">
        <f t="shared" si="4"/>
        <v>3.5450352887733461E-2</v>
      </c>
      <c r="C36">
        <f t="shared" si="6"/>
        <v>3.6630637336572684E-4</v>
      </c>
      <c r="F36">
        <v>0.19</v>
      </c>
      <c r="G36">
        <f t="shared" si="5"/>
        <v>3.5450352887733461E-2</v>
      </c>
      <c r="H36">
        <f t="shared" si="7"/>
        <v>2.2646783964323383E-3</v>
      </c>
    </row>
    <row r="37" spans="1:8" x14ac:dyDescent="0.45">
      <c r="A37">
        <v>0.2</v>
      </c>
      <c r="B37">
        <f t="shared" si="4"/>
        <v>3.9202663113649672E-2</v>
      </c>
      <c r="C37">
        <f t="shared" si="6"/>
        <v>3.8404052258007377E-4</v>
      </c>
      <c r="F37">
        <v>0.2</v>
      </c>
      <c r="G37">
        <f t="shared" si="5"/>
        <v>3.9202663113649672E-2</v>
      </c>
      <c r="H37">
        <f t="shared" si="7"/>
        <v>2.6379434764392542E-3</v>
      </c>
    </row>
    <row r="38" spans="1:8" x14ac:dyDescent="0.45">
      <c r="A38">
        <v>0.21</v>
      </c>
      <c r="B38">
        <f t="shared" si="4"/>
        <v>4.3131163339334935E-2</v>
      </c>
      <c r="C38">
        <f t="shared" si="6"/>
        <v>4.0153867169758184E-4</v>
      </c>
      <c r="F38">
        <v>0.21</v>
      </c>
      <c r="G38">
        <f t="shared" si="5"/>
        <v>4.3131163339334935E-2</v>
      </c>
      <c r="H38">
        <f t="shared" si="7"/>
        <v>3.0496126087041766E-3</v>
      </c>
    </row>
    <row r="39" spans="1:8" x14ac:dyDescent="0.45">
      <c r="A39">
        <v>0.22</v>
      </c>
      <c r="B39">
        <f t="shared" si="4"/>
        <v>4.7233436547601308E-2</v>
      </c>
      <c r="C39">
        <f t="shared" si="6"/>
        <v>4.1878944782247006E-4</v>
      </c>
      <c r="F39">
        <v>0.22</v>
      </c>
      <c r="G39">
        <f t="shared" si="5"/>
        <v>4.7233436547601308E-2</v>
      </c>
      <c r="H39">
        <f t="shared" si="7"/>
        <v>3.5014356081388581E-3</v>
      </c>
    </row>
    <row r="40" spans="1:8" x14ac:dyDescent="0.45">
      <c r="A40">
        <v>0.23</v>
      </c>
      <c r="B40">
        <f t="shared" si="4"/>
        <v>5.1506952295784336E-2</v>
      </c>
      <c r="C40">
        <f t="shared" si="6"/>
        <v>4.3578154019378E-4</v>
      </c>
      <c r="F40">
        <v>0.23</v>
      </c>
      <c r="G40">
        <f t="shared" si="5"/>
        <v>5.1506952295784336E-2</v>
      </c>
      <c r="H40">
        <f t="shared" si="7"/>
        <v>3.9951375523557871E-3</v>
      </c>
    </row>
    <row r="41" spans="1:8" x14ac:dyDescent="0.45">
      <c r="A41">
        <v>0.24</v>
      </c>
      <c r="B41">
        <f t="shared" si="4"/>
        <v>5.5949067351476908E-2</v>
      </c>
      <c r="C41">
        <f t="shared" si="6"/>
        <v>4.5250370305654803E-4</v>
      </c>
      <c r="F41">
        <v>0.24</v>
      </c>
      <c r="G41">
        <f t="shared" si="5"/>
        <v>5.5949067351476908E-2</v>
      </c>
      <c r="H41">
        <f t="shared" si="7"/>
        <v>4.5324176505920927E-3</v>
      </c>
    </row>
    <row r="42" spans="1:8" x14ac:dyDescent="0.45">
      <c r="A42">
        <v>0.25</v>
      </c>
      <c r="B42">
        <f t="shared" si="4"/>
        <v>6.0557026356915296E-2</v>
      </c>
      <c r="C42">
        <f t="shared" si="6"/>
        <v>4.689447585208097E-4</v>
      </c>
      <c r="F42">
        <v>0.25</v>
      </c>
      <c r="G42">
        <f t="shared" si="5"/>
        <v>6.0557026356915296E-2</v>
      </c>
      <c r="H42">
        <f t="shared" si="7"/>
        <v>5.1149481191340544E-3</v>
      </c>
    </row>
    <row r="43" spans="1:8" x14ac:dyDescent="0.45">
      <c r="A43">
        <v>0.26</v>
      </c>
      <c r="B43">
        <f t="shared" si="4"/>
        <v>6.5327962521893101E-2</v>
      </c>
      <c r="C43">
        <f t="shared" si="6"/>
        <v>4.8509359940790664E-4</v>
      </c>
      <c r="F43">
        <v>0.26</v>
      </c>
      <c r="G43">
        <f t="shared" si="5"/>
        <v>6.5327962521893101E-2</v>
      </c>
      <c r="H43">
        <f t="shared" si="7"/>
        <v>5.7443730635280965E-3</v>
      </c>
    </row>
    <row r="44" spans="1:8" x14ac:dyDescent="0.45">
      <c r="A44">
        <v>0.27</v>
      </c>
      <c r="B44">
        <f t="shared" si="4"/>
        <v>7.0258898345073428E-2</v>
      </c>
      <c r="C44">
        <f t="shared" si="6"/>
        <v>5.0093919208356742E-4</v>
      </c>
      <c r="F44">
        <v>0.27</v>
      </c>
      <c r="G44">
        <f t="shared" si="5"/>
        <v>7.0258898345073428E-2</v>
      </c>
      <c r="H44">
        <f t="shared" si="7"/>
        <v>6.4223073678629297E-3</v>
      </c>
    </row>
    <row r="45" spans="1:8" x14ac:dyDescent="0.45">
      <c r="A45">
        <v>0.28000000000000003</v>
      </c>
      <c r="B45">
        <f t="shared" si="4"/>
        <v>7.5346746363564449E-2</v>
      </c>
      <c r="C45">
        <f t="shared" si="6"/>
        <v>5.1647057927722004E-4</v>
      </c>
      <c r="F45">
        <v>0.28000000000000003</v>
      </c>
      <c r="G45">
        <f t="shared" si="5"/>
        <v>7.5346746363564449E-2</v>
      </c>
      <c r="H45">
        <f t="shared" si="7"/>
        <v>7.1503355914061201E-3</v>
      </c>
    </row>
    <row r="46" spans="1:8" x14ac:dyDescent="0.45">
      <c r="A46">
        <v>0.28999999999999998</v>
      </c>
      <c r="B46">
        <f t="shared" si="4"/>
        <v>8.058830993061783E-2</v>
      </c>
      <c r="C46">
        <f t="shared" si="6"/>
        <v>5.316768828870042E-4</v>
      </c>
      <c r="F46">
        <v>0.28999999999999998</v>
      </c>
      <c r="G46">
        <f t="shared" si="5"/>
        <v>8.058830993061783E-2</v>
      </c>
      <c r="H46">
        <f t="shared" si="7"/>
        <v>7.9300108728770271E-3</v>
      </c>
    </row>
    <row r="47" spans="1:8" x14ac:dyDescent="0.45">
      <c r="A47">
        <v>0.3</v>
      </c>
      <c r="B47">
        <f t="shared" si="4"/>
        <v>8.5980284021304532E-2</v>
      </c>
      <c r="C47">
        <f t="shared" si="6"/>
        <v>5.4654730676996152E-4</v>
      </c>
      <c r="F47">
        <v>0.3</v>
      </c>
      <c r="G47">
        <f t="shared" si="5"/>
        <v>8.5980284021304532E-2</v>
      </c>
      <c r="H47">
        <f t="shared" si="7"/>
        <v>8.7628538426366403E-3</v>
      </c>
    </row>
    <row r="48" spans="1:8" x14ac:dyDescent="0.45">
      <c r="A48">
        <v>0.31</v>
      </c>
      <c r="B48">
        <f t="shared" si="4"/>
        <v>9.151925606601706E-2</v>
      </c>
      <c r="C48">
        <f t="shared" si="6"/>
        <v>5.6107113951687083E-4</v>
      </c>
      <c r="F48">
        <v>0.31</v>
      </c>
      <c r="G48">
        <f t="shared" si="5"/>
        <v>9.151925606601706E-2</v>
      </c>
      <c r="H48">
        <f t="shared" si="7"/>
        <v>9.6503515430732493E-3</v>
      </c>
    </row>
    <row r="49" spans="1:8" x14ac:dyDescent="0.45">
      <c r="A49">
        <v>0.32</v>
      </c>
      <c r="B49">
        <f t="shared" si="4"/>
        <v>9.7201706811641947E-2</v>
      </c>
      <c r="C49">
        <f t="shared" si="6"/>
        <v>5.7523775721121456E-4</v>
      </c>
      <c r="F49">
        <v>0.32</v>
      </c>
      <c r="G49">
        <f t="shared" si="5"/>
        <v>9.7201706811641947E-2</v>
      </c>
      <c r="H49">
        <f t="shared" si="7"/>
        <v>1.0593956357461545E-2</v>
      </c>
    </row>
    <row r="50" spans="1:8" x14ac:dyDescent="0.45">
      <c r="A50">
        <v>0.33</v>
      </c>
      <c r="B50">
        <f t="shared" si="4"/>
        <v>0.10302401121024135</v>
      </c>
      <c r="C50">
        <f t="shared" si="6"/>
        <v>5.890366261717448E-4</v>
      </c>
      <c r="F50">
        <v>0.33</v>
      </c>
      <c r="G50">
        <f t="shared" si="5"/>
        <v>0.10302401121024135</v>
      </c>
      <c r="H50">
        <f t="shared" si="7"/>
        <v>1.1595084947570961E-2</v>
      </c>
    </row>
    <row r="51" spans="1:8" x14ac:dyDescent="0.45">
      <c r="A51">
        <v>0.34</v>
      </c>
      <c r="B51">
        <f t="shared" si="4"/>
        <v>0.10898243933507684</v>
      </c>
      <c r="C51">
        <f t="shared" si="6"/>
        <v>6.0245730567812727E-4</v>
      </c>
      <c r="F51">
        <v>0.34</v>
      </c>
      <c r="G51">
        <f t="shared" si="5"/>
        <v>0.10898243933507684</v>
      </c>
      <c r="H51">
        <f t="shared" si="7"/>
        <v>1.2655117200297553E-2</v>
      </c>
    </row>
    <row r="52" spans="1:8" x14ac:dyDescent="0.45">
      <c r="A52">
        <v>0.35</v>
      </c>
      <c r="B52">
        <f t="shared" si="4"/>
        <v>0.1150731573238039</v>
      </c>
      <c r="C52">
        <f t="shared" si="6"/>
        <v>6.1548945067917485E-4</v>
      </c>
      <c r="F52">
        <v>0.35</v>
      </c>
      <c r="G52">
        <f t="shared" si="5"/>
        <v>0.1150731573238039</v>
      </c>
      <c r="H52">
        <f t="shared" si="7"/>
        <v>1.3775395183591952E-2</v>
      </c>
    </row>
    <row r="53" spans="1:8" x14ac:dyDescent="0.45">
      <c r="A53">
        <v>0.36</v>
      </c>
      <c r="B53">
        <f t="shared" si="4"/>
        <v>0.12129222834866034</v>
      </c>
      <c r="C53">
        <f t="shared" si="6"/>
        <v>6.2812281448311122E-4</v>
      </c>
      <c r="F53">
        <v>0.36</v>
      </c>
      <c r="G53">
        <f t="shared" si="5"/>
        <v>0.12129222834866034</v>
      </c>
      <c r="H53">
        <f t="shared" si="7"/>
        <v>1.4957222111954275E-2</v>
      </c>
    </row>
    <row r="54" spans="1:8" x14ac:dyDescent="0.45">
      <c r="A54">
        <v>0.37</v>
      </c>
      <c r="B54">
        <f t="shared" si="4"/>
        <v>0.12763561361346612</v>
      </c>
      <c r="C54">
        <f t="shared" si="6"/>
        <v>6.4034725142938717E-4</v>
      </c>
      <c r="F54">
        <v>0.37</v>
      </c>
      <c r="G54">
        <f t="shared" si="5"/>
        <v>0.12763561361346612</v>
      </c>
      <c r="H54">
        <f t="shared" si="7"/>
        <v>1.6201861321764908E-2</v>
      </c>
    </row>
    <row r="55" spans="1:8" x14ac:dyDescent="0.45">
      <c r="A55">
        <v>0.38</v>
      </c>
      <c r="B55">
        <f t="shared" si="4"/>
        <v>0.13409917337724808</v>
      </c>
      <c r="C55">
        <f t="shared" si="6"/>
        <v>6.5215271954156004E-4</v>
      </c>
      <c r="F55">
        <v>0.38</v>
      </c>
      <c r="G55">
        <f t="shared" si="5"/>
        <v>0.13409917337724808</v>
      </c>
      <c r="H55">
        <f t="shared" si="7"/>
        <v>1.751053525671848E-2</v>
      </c>
    </row>
    <row r="56" spans="1:8" x14ac:dyDescent="0.45">
      <c r="A56">
        <v>0.39</v>
      </c>
      <c r="B56">
        <f t="shared" si="4"/>
        <v>0.14067866800429732</v>
      </c>
      <c r="C56">
        <f t="shared" si="6"/>
        <v>6.6352928316067844E-4</v>
      </c>
      <c r="F56">
        <v>0.39</v>
      </c>
      <c r="G56">
        <f t="shared" si="5"/>
        <v>0.14067866800429732</v>
      </c>
      <c r="H56">
        <f t="shared" si="7"/>
        <v>1.8884424463626207E-2</v>
      </c>
    </row>
    <row r="57" spans="1:8" x14ac:dyDescent="0.45">
      <c r="A57">
        <v>0.4</v>
      </c>
      <c r="B57">
        <f t="shared" si="4"/>
        <v>0.14736975904046165</v>
      </c>
      <c r="C57">
        <f t="shared" si="6"/>
        <v>6.7446711555869824E-4</v>
      </c>
      <c r="F57">
        <v>0.4</v>
      </c>
      <c r="G57">
        <f t="shared" si="5"/>
        <v>0.14736975904046165</v>
      </c>
      <c r="H57">
        <f t="shared" si="7"/>
        <v>2.0324666598850002E-2</v>
      </c>
    </row>
    <row r="58" spans="1:8" x14ac:dyDescent="0.45">
      <c r="A58">
        <v>0.41</v>
      </c>
      <c r="B58">
        <f t="shared" si="4"/>
        <v>0.15416801031547128</v>
      </c>
      <c r="C58">
        <f t="shared" si="6"/>
        <v>6.8495650153147522E-4</v>
      </c>
      <c r="F58">
        <v>0.41</v>
      </c>
      <c r="G58">
        <f t="shared" si="5"/>
        <v>0.15416801031547128</v>
      </c>
      <c r="H58">
        <f t="shared" si="7"/>
        <v>2.1832355445629659E-2</v>
      </c>
    </row>
    <row r="59" spans="1:8" x14ac:dyDescent="0.45">
      <c r="A59">
        <v>0.42</v>
      </c>
      <c r="B59">
        <f t="shared" si="4"/>
        <v>0.16106888907109115</v>
      </c>
      <c r="C59">
        <f t="shared" si="6"/>
        <v>6.9498783997074822E-4</v>
      </c>
      <c r="F59">
        <v>0.42</v>
      </c>
      <c r="G59">
        <f t="shared" si="5"/>
        <v>0.16106888907109115</v>
      </c>
      <c r="H59">
        <f t="shared" si="7"/>
        <v>2.3408539942562472E-2</v>
      </c>
    </row>
    <row r="60" spans="1:8" x14ac:dyDescent="0.45">
      <c r="A60">
        <v>0.43</v>
      </c>
      <c r="B60">
        <f t="shared" si="4"/>
        <v>0.16806776711488625</v>
      </c>
      <c r="C60">
        <f t="shared" si="6"/>
        <v>7.045516464146876E-4</v>
      </c>
      <c r="F60">
        <v>0.43</v>
      </c>
      <c r="G60">
        <f t="shared" si="5"/>
        <v>0.16806776711488625</v>
      </c>
      <c r="H60">
        <f t="shared" si="7"/>
        <v>2.5054223223492361E-2</v>
      </c>
    </row>
    <row r="61" spans="1:8" x14ac:dyDescent="0.45">
      <c r="A61">
        <v>0.44</v>
      </c>
      <c r="B61">
        <f t="shared" si="4"/>
        <v>0.1751599219993849</v>
      </c>
      <c r="C61">
        <f t="shared" si="6"/>
        <v>7.1363855557654153E-4</v>
      </c>
      <c r="F61">
        <v>0.44</v>
      </c>
      <c r="G61">
        <f t="shared" si="5"/>
        <v>0.1751599219993849</v>
      </c>
      <c r="H61">
        <f t="shared" si="7"/>
        <v>2.6770361669063717E-2</v>
      </c>
    </row>
    <row r="62" spans="1:8" x14ac:dyDescent="0.45">
      <c r="A62">
        <v>0.45</v>
      </c>
      <c r="B62">
        <f t="shared" si="4"/>
        <v>0.18234053822641708</v>
      </c>
      <c r="C62">
        <f t="shared" si="6"/>
        <v>7.2223932385081244E-4</v>
      </c>
      <c r="F62">
        <v>0.45</v>
      </c>
      <c r="G62">
        <f t="shared" si="5"/>
        <v>0.18234053822641708</v>
      </c>
      <c r="H62">
        <f t="shared" si="7"/>
        <v>2.8557863970192728E-2</v>
      </c>
    </row>
    <row r="63" spans="1:8" x14ac:dyDescent="0.45">
      <c r="A63">
        <v>0.46</v>
      </c>
      <c r="B63">
        <f t="shared" si="4"/>
        <v>0.18960470847640115</v>
      </c>
      <c r="C63">
        <f t="shared" si="6"/>
        <v>7.3034483179655336E-4</v>
      </c>
      <c r="F63">
        <v>0.46</v>
      </c>
      <c r="G63">
        <f t="shared" si="5"/>
        <v>0.18960470847640115</v>
      </c>
      <c r="H63">
        <f t="shared" si="7"/>
        <v>3.041759020370682E-2</v>
      </c>
    </row>
    <row r="64" spans="1:8" x14ac:dyDescent="0.45">
      <c r="A64">
        <v>0.47</v>
      </c>
      <c r="B64">
        <f t="shared" si="4"/>
        <v>0.19694743486234814</v>
      </c>
      <c r="C64">
        <f t="shared" si="6"/>
        <v>7.3794608659729505E-4</v>
      </c>
      <c r="F64">
        <v>0.47</v>
      </c>
      <c r="G64">
        <f t="shared" si="5"/>
        <v>0.19694743486234814</v>
      </c>
      <c r="H64">
        <f t="shared" si="7"/>
        <v>3.2350350920400554E-2</v>
      </c>
    </row>
    <row r="65" spans="1:8" x14ac:dyDescent="0.45">
      <c r="A65">
        <v>0.48</v>
      </c>
      <c r="B65">
        <f t="shared" si="4"/>
        <v>0.20436363020834705</v>
      </c>
      <c r="C65">
        <f t="shared" si="6"/>
        <v>7.4503422449710005E-4</v>
      </c>
      <c r="F65">
        <v>0.48</v>
      </c>
      <c r="G65">
        <f t="shared" si="5"/>
        <v>0.20436363020834705</v>
      </c>
      <c r="H65">
        <f t="shared" si="7"/>
        <v>3.4356906245754035E-2</v>
      </c>
    </row>
    <row r="66" spans="1:8" x14ac:dyDescent="0.45">
      <c r="A66">
        <v>0.49</v>
      </c>
      <c r="B66">
        <f t="shared" si="4"/>
        <v>0.21184811935229014</v>
      </c>
      <c r="C66">
        <f t="shared" si="6"/>
        <v>7.5160051321230691E-4</v>
      </c>
      <c r="F66">
        <v>0.49</v>
      </c>
      <c r="G66">
        <f t="shared" si="5"/>
        <v>0.21184811935229014</v>
      </c>
      <c r="H66">
        <f t="shared" si="7"/>
        <v>3.6437964993557226E-2</v>
      </c>
    </row>
    <row r="67" spans="1:8" x14ac:dyDescent="0.45">
      <c r="A67">
        <v>0.5</v>
      </c>
      <c r="B67">
        <f t="shared" si="4"/>
        <v>0.21939564047259319</v>
      </c>
      <c r="C67">
        <f t="shared" si="6"/>
        <v>7.5763635431848894E-4</v>
      </c>
      <c r="F67">
        <v>0.5</v>
      </c>
      <c r="G67">
        <f t="shared" si="5"/>
        <v>0.21939564047259319</v>
      </c>
      <c r="H67">
        <f t="shared" si="7"/>
        <v>3.8594183792681647E-2</v>
      </c>
    </row>
    <row r="68" spans="1:8" x14ac:dyDescent="0.45">
      <c r="A68">
        <v>0.51</v>
      </c>
      <c r="B68">
        <f t="shared" si="4"/>
        <v>0.22700084643865992</v>
      </c>
      <c r="C68">
        <f t="shared" si="6"/>
        <v>7.6313328561216785E-4</v>
      </c>
      <c r="F68">
        <v>0.51</v>
      </c>
      <c r="G68">
        <f t="shared" si="5"/>
        <v>0.22700084643865992</v>
      </c>
      <c r="H68">
        <f t="shared" si="7"/>
        <v>4.0826166227237913E-2</v>
      </c>
    </row>
    <row r="69" spans="1:8" x14ac:dyDescent="0.45">
      <c r="A69">
        <v>0.52</v>
      </c>
      <c r="B69">
        <f t="shared" si="4"/>
        <v>0.23465830618483655</v>
      </c>
      <c r="C69">
        <f t="shared" si="6"/>
        <v>7.6808298344682453E-4</v>
      </c>
      <c r="F69">
        <v>0.52</v>
      </c>
      <c r="G69">
        <f t="shared" si="5"/>
        <v>0.23465830618483655</v>
      </c>
      <c r="H69">
        <f t="shared" si="7"/>
        <v>4.3134461990355394E-2</v>
      </c>
    </row>
    <row r="70" spans="1:8" x14ac:dyDescent="0.45">
      <c r="A70">
        <v>0.53</v>
      </c>
      <c r="B70">
        <f t="shared" si="4"/>
        <v>0.24236250610759641</v>
      </c>
      <c r="C70">
        <f t="shared" si="6"/>
        <v>7.724772650427301E-4</v>
      </c>
      <c r="F70">
        <v>0.53</v>
      </c>
      <c r="G70">
        <f t="shared" si="5"/>
        <v>0.24236250610759641</v>
      </c>
      <c r="H70">
        <f t="shared" si="7"/>
        <v>4.5519566051817562E-2</v>
      </c>
    </row>
    <row r="71" spans="1:8" x14ac:dyDescent="0.45">
      <c r="A71">
        <v>0.54</v>
      </c>
      <c r="B71">
        <f t="shared" si="4"/>
        <v>0.25010785148569115</v>
      </c>
      <c r="C71">
        <f t="shared" si="6"/>
        <v>7.7630809077020588E-4</v>
      </c>
      <c r="F71">
        <v>0.54</v>
      </c>
      <c r="G71">
        <f t="shared" si="5"/>
        <v>0.25010785148569115</v>
      </c>
      <c r="H71">
        <f t="shared" si="7"/>
        <v>4.7981917839784005E-2</v>
      </c>
    </row>
    <row r="72" spans="1:8" x14ac:dyDescent="0.45">
      <c r="A72">
        <v>0.55000000000000004</v>
      </c>
      <c r="B72">
        <f t="shared" si="4"/>
        <v>0.25788866792300053</v>
      </c>
      <c r="C72">
        <f t="shared" si="6"/>
        <v>7.7956756640580886E-4</v>
      </c>
      <c r="F72">
        <v>0.55000000000000004</v>
      </c>
      <c r="G72">
        <f t="shared" si="5"/>
        <v>0.25788866792300053</v>
      </c>
      <c r="H72">
        <f t="shared" si="7"/>
        <v>5.0521900436827465E-2</v>
      </c>
    </row>
    <row r="73" spans="1:8" x14ac:dyDescent="0.45">
      <c r="A73">
        <v>0.56000000000000005</v>
      </c>
      <c r="B73">
        <f t="shared" si="4"/>
        <v>0.26569920281380732</v>
      </c>
      <c r="C73">
        <f t="shared" si="6"/>
        <v>7.822479453610282E-4</v>
      </c>
      <c r="F73">
        <v>0.56000000000000005</v>
      </c>
      <c r="G73">
        <f t="shared" si="5"/>
        <v>0.26569920281380732</v>
      </c>
      <c r="H73">
        <f t="shared" si="7"/>
        <v>5.3139839790511505E-2</v>
      </c>
    </row>
    <row r="74" spans="1:8" x14ac:dyDescent="0.45">
      <c r="A74">
        <v>0.56999999999999995</v>
      </c>
      <c r="B74">
        <f t="shared" si="4"/>
        <v>0.27353362683022109</v>
      </c>
      <c r="C74">
        <f t="shared" si="6"/>
        <v>7.8434163088307585E-4</v>
      </c>
      <c r="F74">
        <v>0.56999999999999995</v>
      </c>
      <c r="G74">
        <f t="shared" si="5"/>
        <v>0.27353362683022109</v>
      </c>
      <c r="H74">
        <f t="shared" si="7"/>
        <v>5.5836003938731622E-2</v>
      </c>
    </row>
    <row r="75" spans="1:8" x14ac:dyDescent="0.45">
      <c r="A75">
        <v>0.57999999999999996</v>
      </c>
      <c r="B75">
        <f t="shared" si="4"/>
        <v>0.28138603543146884</v>
      </c>
      <c r="C75">
        <f t="shared" si="6"/>
        <v>7.8584117822729231E-4</v>
      </c>
      <c r="F75">
        <v>0.57999999999999996</v>
      </c>
      <c r="G75">
        <f t="shared" si="5"/>
        <v>0.28138603543146884</v>
      </c>
      <c r="H75">
        <f t="shared" si="7"/>
        <v>5.8610602250040077E-2</v>
      </c>
    </row>
    <row r="76" spans="1:8" x14ac:dyDescent="0.45">
      <c r="A76">
        <v>0.59</v>
      </c>
      <c r="B76">
        <f t="shared" si="4"/>
        <v>0.28925045039476693</v>
      </c>
      <c r="C76">
        <f t="shared" si="6"/>
        <v>7.8673929680076751E-4</v>
      </c>
      <c r="F76">
        <v>0.59</v>
      </c>
      <c r="G76">
        <f t="shared" si="5"/>
        <v>0.28925045039476693</v>
      </c>
      <c r="H76">
        <f t="shared" si="7"/>
        <v>6.1463784679171261E-2</v>
      </c>
    </row>
    <row r="77" spans="1:8" x14ac:dyDescent="0.45">
      <c r="A77">
        <v>0.6</v>
      </c>
      <c r="B77">
        <f t="shared" si="4"/>
        <v>0.29712082136748419</v>
      </c>
      <c r="C77">
        <f t="shared" si="6"/>
        <v>7.8702885227679715E-4</v>
      </c>
      <c r="F77">
        <v>0.6</v>
      </c>
      <c r="G77">
        <f t="shared" si="5"/>
        <v>0.29712082136748419</v>
      </c>
      <c r="H77">
        <f t="shared" si="7"/>
        <v>6.4395641037982523E-2</v>
      </c>
    </row>
    <row r="78" spans="1:8" x14ac:dyDescent="0.45">
      <c r="A78">
        <v>0.61</v>
      </c>
      <c r="B78">
        <f t="shared" si="4"/>
        <v>0.30499102744030288</v>
      </c>
      <c r="C78">
        <f t="shared" si="6"/>
        <v>7.8670286867969232E-4</v>
      </c>
      <c r="F78">
        <v>0.61</v>
      </c>
      <c r="G78">
        <f t="shared" si="5"/>
        <v>0.30499102744030288</v>
      </c>
      <c r="H78">
        <f t="shared" si="7"/>
        <v>6.7406200282021461E-2</v>
      </c>
    </row>
    <row r="79" spans="1:8" x14ac:dyDescent="0.45">
      <c r="A79">
        <v>0.62</v>
      </c>
      <c r="B79">
        <f t="shared" si="4"/>
        <v>0.31285487874107804</v>
      </c>
      <c r="C79">
        <f t="shared" si="6"/>
        <v>7.8575453043951138E-4</v>
      </c>
      <c r="F79">
        <v>0.62</v>
      </c>
      <c r="G79">
        <f t="shared" si="5"/>
        <v>0.31285487874107804</v>
      </c>
      <c r="H79">
        <f t="shared" si="7"/>
        <v>7.0495429812928362E-2</v>
      </c>
    </row>
    <row r="80" spans="1:8" x14ac:dyDescent="0.45">
      <c r="A80">
        <v>0.63</v>
      </c>
      <c r="B80">
        <f t="shared" si="4"/>
        <v>0.3207061180490931</v>
      </c>
      <c r="C80">
        <f t="shared" si="6"/>
        <v>7.8417718441641253E-4</v>
      </c>
      <c r="F80">
        <v>0.63</v>
      </c>
      <c r="G80">
        <f t="shared" si="5"/>
        <v>0.3207061180490931</v>
      </c>
      <c r="H80">
        <f t="shared" si="7"/>
        <v>7.3663234796879223E-2</v>
      </c>
    </row>
    <row r="81" spans="1:8" x14ac:dyDescent="0.45">
      <c r="A81">
        <v>0.64</v>
      </c>
      <c r="B81">
        <f t="shared" si="4"/>
        <v>0.32853842242940628</v>
      </c>
      <c r="C81">
        <f t="shared" si="6"/>
        <v>7.819643418941508E-4</v>
      </c>
      <c r="F81">
        <v>0.64</v>
      </c>
      <c r="G81">
        <f t="shared" si="5"/>
        <v>0.32853842242940628</v>
      </c>
      <c r="H81">
        <f t="shared" si="7"/>
        <v>7.6909457499271722E-2</v>
      </c>
    </row>
    <row r="82" spans="1:8" x14ac:dyDescent="0.45">
      <c r="A82">
        <v>0.65</v>
      </c>
      <c r="B82">
        <f t="shared" ref="B82:B117" si="8">A82^2*COS(A82)</f>
        <v>0.33634540488697612</v>
      </c>
      <c r="C82">
        <f t="shared" si="6"/>
        <v>7.7910968054229759E-4</v>
      </c>
      <c r="F82">
        <v>0.65</v>
      </c>
      <c r="G82">
        <f t="shared" ref="G82:G117" si="9">F82^2*COS(F82)</f>
        <v>0.33634540488697612</v>
      </c>
      <c r="H82">
        <f t="shared" si="7"/>
        <v>8.0233876635853643E-2</v>
      </c>
    </row>
    <row r="83" spans="1:8" x14ac:dyDescent="0.45">
      <c r="A83">
        <v>0.66</v>
      </c>
      <c r="B83">
        <f t="shared" si="8"/>
        <v>0.34412061604025224</v>
      </c>
      <c r="C83">
        <f t="shared" ref="C83:C116" si="10">(B84-B82)/2*0.1</f>
        <v>7.7560704634685733E-4</v>
      </c>
      <c r="F83">
        <v>0.66</v>
      </c>
      <c r="G83">
        <f t="shared" si="9"/>
        <v>0.34412061604025224</v>
      </c>
      <c r="H83">
        <f t="shared" ref="H83:H117" si="11">(G82+G83)/2*(F83-F82)+H82</f>
        <v>8.3636206740489785E-2</v>
      </c>
    </row>
    <row r="84" spans="1:8" x14ac:dyDescent="0.45">
      <c r="A84">
        <v>0.67</v>
      </c>
      <c r="B84">
        <f t="shared" si="8"/>
        <v>0.35185754581391326</v>
      </c>
      <c r="C84">
        <f t="shared" si="10"/>
        <v>7.7145045550884583E-4</v>
      </c>
      <c r="F84">
        <v>0.67</v>
      </c>
      <c r="G84">
        <f t="shared" si="9"/>
        <v>0.35185754581391326</v>
      </c>
      <c r="H84">
        <f t="shared" si="11"/>
        <v>8.7116097549760615E-2</v>
      </c>
    </row>
    <row r="85" spans="1:8" x14ac:dyDescent="0.45">
      <c r="A85">
        <v>0.68</v>
      </c>
      <c r="B85">
        <f t="shared" si="8"/>
        <v>0.35954962515042915</v>
      </c>
      <c r="C85">
        <f t="shared" si="10"/>
        <v>7.6663409631045623E-4</v>
      </c>
      <c r="F85">
        <v>0.68</v>
      </c>
      <c r="G85">
        <f t="shared" si="9"/>
        <v>0.35954962515042915</v>
      </c>
      <c r="H85">
        <f t="shared" si="11"/>
        <v>9.0673133404582329E-2</v>
      </c>
    </row>
    <row r="86" spans="1:8" x14ac:dyDescent="0.45">
      <c r="A86">
        <v>0.69</v>
      </c>
      <c r="B86">
        <f t="shared" si="8"/>
        <v>0.36719022774012239</v>
      </c>
      <c r="C86">
        <f t="shared" si="10"/>
        <v>7.6115233094850858E-4</v>
      </c>
      <c r="F86">
        <v>0.69</v>
      </c>
      <c r="G86">
        <f t="shared" si="9"/>
        <v>0.36719022774012239</v>
      </c>
      <c r="H86">
        <f t="shared" si="11"/>
        <v>9.4306832669035057E-2</v>
      </c>
    </row>
    <row r="87" spans="1:8" x14ac:dyDescent="0.45">
      <c r="A87">
        <v>0.7</v>
      </c>
      <c r="B87">
        <f t="shared" si="8"/>
        <v>0.37477267176939932</v>
      </c>
      <c r="C87">
        <f t="shared" si="10"/>
        <v>7.5499969733464067E-4</v>
      </c>
      <c r="F87">
        <v>0.7</v>
      </c>
      <c r="G87">
        <f t="shared" si="9"/>
        <v>0.37477267176939932</v>
      </c>
      <c r="H87">
        <f t="shared" si="11"/>
        <v>9.8016647166582663E-2</v>
      </c>
    </row>
    <row r="88" spans="1:8" x14ac:dyDescent="0.45">
      <c r="A88">
        <v>0.71</v>
      </c>
      <c r="B88">
        <f t="shared" si="8"/>
        <v>0.3822902216868152</v>
      </c>
      <c r="C88">
        <f t="shared" si="10"/>
        <v>7.4817091086203384E-4</v>
      </c>
      <c r="F88">
        <v>0.71</v>
      </c>
      <c r="G88">
        <f t="shared" si="9"/>
        <v>0.3822902216868152</v>
      </c>
      <c r="H88">
        <f t="shared" si="11"/>
        <v>0.10180196163386374</v>
      </c>
    </row>
    <row r="89" spans="1:8" x14ac:dyDescent="0.45">
      <c r="A89">
        <v>0.72</v>
      </c>
      <c r="B89">
        <f t="shared" si="8"/>
        <v>0.38973608998664</v>
      </c>
      <c r="C89">
        <f t="shared" si="10"/>
        <v>7.406608661383097E-4</v>
      </c>
      <c r="F89">
        <v>0.72</v>
      </c>
      <c r="G89">
        <f t="shared" si="9"/>
        <v>0.38973608998664</v>
      </c>
      <c r="H89">
        <f t="shared" si="11"/>
        <v>0.10566209319223102</v>
      </c>
    </row>
    <row r="90" spans="1:8" x14ac:dyDescent="0.45">
      <c r="A90">
        <v>0.73</v>
      </c>
      <c r="B90">
        <f t="shared" si="8"/>
        <v>0.39710343900958139</v>
      </c>
      <c r="C90">
        <f t="shared" si="10"/>
        <v>7.3246463868411606E-4</v>
      </c>
      <c r="F90">
        <v>0.73</v>
      </c>
      <c r="G90">
        <f t="shared" si="9"/>
        <v>0.39710343900958139</v>
      </c>
      <c r="H90">
        <f t="shared" si="11"/>
        <v>0.10959629083721213</v>
      </c>
    </row>
    <row r="91" spans="1:8" x14ac:dyDescent="0.45">
      <c r="A91">
        <v>0.74</v>
      </c>
      <c r="B91">
        <f t="shared" si="8"/>
        <v>0.40438538276032232</v>
      </c>
      <c r="C91">
        <f t="shared" si="10"/>
        <v>7.2357748659714343E-4</v>
      </c>
      <c r="F91">
        <v>0.74</v>
      </c>
      <c r="G91">
        <f t="shared" si="9"/>
        <v>0.40438538276032232</v>
      </c>
      <c r="H91">
        <f t="shared" si="11"/>
        <v>0.11360373494606166</v>
      </c>
    </row>
    <row r="92" spans="1:8" x14ac:dyDescent="0.45">
      <c r="A92">
        <v>0.75</v>
      </c>
      <c r="B92">
        <f t="shared" si="8"/>
        <v>0.41157498874152426</v>
      </c>
      <c r="C92">
        <f t="shared" si="10"/>
        <v>7.1399485218122676E-4</v>
      </c>
      <c r="F92">
        <v>0.75</v>
      </c>
      <c r="G92">
        <f t="shared" si="9"/>
        <v>0.41157498874152426</v>
      </c>
      <c r="H92">
        <f t="shared" si="11"/>
        <v>0.1176835368035709</v>
      </c>
    </row>
    <row r="93" spans="1:8" x14ac:dyDescent="0.45">
      <c r="A93">
        <v>0.76</v>
      </c>
      <c r="B93">
        <f t="shared" si="8"/>
        <v>0.41866527980394685</v>
      </c>
      <c r="C93">
        <f t="shared" si="10"/>
        <v>7.0371236354020152E-4</v>
      </c>
      <c r="F93">
        <v>0.76</v>
      </c>
      <c r="G93">
        <f t="shared" si="9"/>
        <v>0.41866527980394685</v>
      </c>
      <c r="H93">
        <f t="shared" si="11"/>
        <v>0.12183473814629825</v>
      </c>
    </row>
    <row r="94" spans="1:8" x14ac:dyDescent="0.45">
      <c r="A94">
        <v>0.77</v>
      </c>
      <c r="B94">
        <f t="shared" si="8"/>
        <v>0.42564923601232829</v>
      </c>
      <c r="C94">
        <f t="shared" si="10"/>
        <v>6.9272583613613499E-4</v>
      </c>
      <c r="F94">
        <v>0.77</v>
      </c>
      <c r="G94">
        <f t="shared" si="9"/>
        <v>0.42564923601232829</v>
      </c>
      <c r="H94">
        <f t="shared" si="11"/>
        <v>0.12605631072537962</v>
      </c>
    </row>
    <row r="95" spans="1:8" x14ac:dyDescent="0.45">
      <c r="A95">
        <v>0.78</v>
      </c>
      <c r="B95">
        <f t="shared" si="8"/>
        <v>0.43251979652666955</v>
      </c>
      <c r="C95">
        <f t="shared" si="10"/>
        <v>6.8103127431161652E-4</v>
      </c>
      <c r="F95">
        <v>0.78</v>
      </c>
      <c r="G95">
        <f t="shared" si="9"/>
        <v>0.43251979652666955</v>
      </c>
      <c r="H95">
        <f t="shared" si="11"/>
        <v>0.13034715588807461</v>
      </c>
    </row>
    <row r="96" spans="1:8" x14ac:dyDescent="0.45">
      <c r="A96">
        <v>0.79</v>
      </c>
      <c r="B96">
        <f t="shared" si="8"/>
        <v>0.43926986149856062</v>
      </c>
      <c r="C96">
        <f t="shared" si="10"/>
        <v>6.6862487277581932E-4</v>
      </c>
      <c r="F96">
        <v>0.79</v>
      </c>
      <c r="G96">
        <f t="shared" si="9"/>
        <v>0.43926986149856062</v>
      </c>
      <c r="H96">
        <f t="shared" si="11"/>
        <v>0.13470610417820075</v>
      </c>
    </row>
    <row r="97" spans="1:8" x14ac:dyDescent="0.45">
      <c r="A97">
        <v>0.8</v>
      </c>
      <c r="B97">
        <f t="shared" si="8"/>
        <v>0.44589229398218594</v>
      </c>
      <c r="C97">
        <f t="shared" si="10"/>
        <v>6.5550301805403222E-4</v>
      </c>
      <c r="F97">
        <v>0.8</v>
      </c>
      <c r="G97">
        <f t="shared" si="9"/>
        <v>0.44589229398218594</v>
      </c>
      <c r="H97">
        <f t="shared" si="11"/>
        <v>0.13913191495560448</v>
      </c>
    </row>
    <row r="98" spans="1:8" x14ac:dyDescent="0.45">
      <c r="A98">
        <v>0.81</v>
      </c>
      <c r="B98">
        <f t="shared" si="8"/>
        <v>0.45237992185964127</v>
      </c>
      <c r="C98">
        <f t="shared" si="10"/>
        <v>6.4166228990026892E-4</v>
      </c>
      <c r="F98">
        <v>0.81</v>
      </c>
      <c r="G98">
        <f t="shared" si="9"/>
        <v>0.45237992185964127</v>
      </c>
      <c r="H98">
        <f t="shared" si="11"/>
        <v>0.14362327603481362</v>
      </c>
    </row>
    <row r="99" spans="1:8" x14ac:dyDescent="0.45">
      <c r="A99">
        <v>0.82</v>
      </c>
      <c r="B99">
        <f t="shared" si="8"/>
        <v>0.45872553978019132</v>
      </c>
      <c r="C99">
        <f t="shared" si="10"/>
        <v>6.2709946267273118E-4</v>
      </c>
      <c r="F99">
        <v>0.82</v>
      </c>
      <c r="G99">
        <f t="shared" si="9"/>
        <v>0.45872553978019132</v>
      </c>
      <c r="H99">
        <f t="shared" si="11"/>
        <v>0.14817880334301273</v>
      </c>
    </row>
    <row r="100" spans="1:8" x14ac:dyDescent="0.45">
      <c r="A100">
        <v>0.83</v>
      </c>
      <c r="B100">
        <f t="shared" si="8"/>
        <v>0.46492191111309589</v>
      </c>
      <c r="C100">
        <f t="shared" si="10"/>
        <v>6.1181150667178057E-4</v>
      </c>
      <c r="F100">
        <v>0.83</v>
      </c>
      <c r="G100">
        <f t="shared" si="9"/>
        <v>0.46492191111309589</v>
      </c>
      <c r="H100">
        <f t="shared" si="11"/>
        <v>0.15279704059747917</v>
      </c>
    </row>
    <row r="101" spans="1:8" x14ac:dyDescent="0.45">
      <c r="A101">
        <v>0.84</v>
      </c>
      <c r="B101">
        <f t="shared" si="8"/>
        <v>0.47096176991362693</v>
      </c>
      <c r="C101">
        <f t="shared" si="10"/>
        <v>5.9579558944018458E-4</v>
      </c>
      <c r="F101">
        <v>0.84</v>
      </c>
      <c r="G101">
        <f t="shared" si="9"/>
        <v>0.47096176991362693</v>
      </c>
      <c r="H101">
        <f t="shared" si="11"/>
        <v>0.15747645900261278</v>
      </c>
    </row>
    <row r="102" spans="1:8" x14ac:dyDescent="0.45">
      <c r="A102">
        <v>0.85</v>
      </c>
      <c r="B102">
        <f t="shared" si="8"/>
        <v>0.47683782290189958</v>
      </c>
      <c r="C102">
        <f t="shared" si="10"/>
        <v>5.7904907702528989E-4</v>
      </c>
      <c r="F102">
        <v>0.85</v>
      </c>
      <c r="G102">
        <f t="shared" si="9"/>
        <v>0.47683782290189958</v>
      </c>
      <c r="H102">
        <f t="shared" si="11"/>
        <v>0.16221545696669043</v>
      </c>
    </row>
    <row r="103" spans="1:8" x14ac:dyDescent="0.45">
      <c r="A103">
        <v>0.86</v>
      </c>
      <c r="B103">
        <f t="shared" si="8"/>
        <v>0.48254275145413272</v>
      </c>
      <c r="C103">
        <f t="shared" si="10"/>
        <v>5.6156953520286883E-4</v>
      </c>
      <c r="F103">
        <v>0.86</v>
      </c>
      <c r="G103">
        <f t="shared" si="9"/>
        <v>0.48254275145413272</v>
      </c>
      <c r="H103">
        <f t="shared" si="11"/>
        <v>0.1670123598384706</v>
      </c>
    </row>
    <row r="104" spans="1:8" x14ac:dyDescent="0.45">
      <c r="A104">
        <v>0.87</v>
      </c>
      <c r="B104">
        <f t="shared" si="8"/>
        <v>0.48806921360595695</v>
      </c>
      <c r="C104">
        <f t="shared" si="10"/>
        <v>5.433547306623876E-4</v>
      </c>
      <c r="F104">
        <v>0.87</v>
      </c>
      <c r="G104">
        <f t="shared" si="9"/>
        <v>0.48806921360595695</v>
      </c>
      <c r="H104">
        <f t="shared" si="11"/>
        <v>0.17186541966377106</v>
      </c>
    </row>
    <row r="105" spans="1:8" x14ac:dyDescent="0.45">
      <c r="A105">
        <v>0.88</v>
      </c>
      <c r="B105">
        <f t="shared" si="8"/>
        <v>0.49340984606738048</v>
      </c>
      <c r="C105">
        <f t="shared" si="10"/>
        <v>5.2440263215341738E-4</v>
      </c>
      <c r="F105">
        <v>0.88</v>
      </c>
      <c r="G105">
        <f t="shared" si="9"/>
        <v>0.49340984606738048</v>
      </c>
      <c r="H105">
        <f t="shared" si="11"/>
        <v>0.17677281496213776</v>
      </c>
    </row>
    <row r="106" spans="1:8" x14ac:dyDescent="0.45">
      <c r="A106">
        <v>0.89</v>
      </c>
      <c r="B106">
        <f t="shared" si="8"/>
        <v>0.4985572662490253</v>
      </c>
      <c r="C106">
        <f t="shared" si="10"/>
        <v>5.0471141159288415E-4</v>
      </c>
      <c r="F106">
        <v>0.89</v>
      </c>
      <c r="G106">
        <f t="shared" si="9"/>
        <v>0.4985572662490253</v>
      </c>
      <c r="H106">
        <f t="shared" si="11"/>
        <v>0.18173265052371979</v>
      </c>
    </row>
    <row r="107" spans="1:8" x14ac:dyDescent="0.45">
      <c r="A107">
        <v>0.9</v>
      </c>
      <c r="B107">
        <f t="shared" si="8"/>
        <v>0.50350407429923816</v>
      </c>
      <c r="C107">
        <f t="shared" si="10"/>
        <v>4.8427944513297909E-4</v>
      </c>
      <c r="F107">
        <v>0.9</v>
      </c>
      <c r="G107">
        <f t="shared" si="9"/>
        <v>0.50350407429923816</v>
      </c>
      <c r="H107">
        <f t="shared" si="11"/>
        <v>0.18674295722646111</v>
      </c>
    </row>
    <row r="108" spans="1:8" x14ac:dyDescent="0.45">
      <c r="A108">
        <v>0.91</v>
      </c>
      <c r="B108">
        <f t="shared" si="8"/>
        <v>0.50824285515168488</v>
      </c>
      <c r="C108">
        <f t="shared" si="10"/>
        <v>4.6310531418943814E-4</v>
      </c>
      <c r="F108">
        <v>0.91</v>
      </c>
      <c r="G108">
        <f t="shared" si="9"/>
        <v>0.50824285515168488</v>
      </c>
      <c r="H108">
        <f t="shared" si="11"/>
        <v>0.19180169187371574</v>
      </c>
    </row>
    <row r="109" spans="1:8" x14ac:dyDescent="0.45">
      <c r="A109">
        <v>0.92</v>
      </c>
      <c r="B109">
        <f t="shared" si="8"/>
        <v>0.51276618058302692</v>
      </c>
      <c r="C109">
        <f t="shared" si="10"/>
        <v>4.4118780642997125E-4</v>
      </c>
      <c r="F109">
        <v>0.92</v>
      </c>
      <c r="G109">
        <f t="shared" si="9"/>
        <v>0.51276618058302692</v>
      </c>
      <c r="H109">
        <f t="shared" si="11"/>
        <v>0.19690673705238929</v>
      </c>
    </row>
    <row r="110" spans="1:8" x14ac:dyDescent="0.45">
      <c r="A110">
        <v>0.93</v>
      </c>
      <c r="B110">
        <f t="shared" si="8"/>
        <v>0.51706661128028431</v>
      </c>
      <c r="C110">
        <f t="shared" si="10"/>
        <v>4.1852591672257301E-4</v>
      </c>
      <c r="F110">
        <v>0.93</v>
      </c>
      <c r="G110">
        <f t="shared" si="9"/>
        <v>0.51706661128028431</v>
      </c>
      <c r="H110">
        <f t="shared" si="11"/>
        <v>0.20205590101170584</v>
      </c>
    </row>
    <row r="111" spans="1:8" x14ac:dyDescent="0.45">
      <c r="A111">
        <v>0.94</v>
      </c>
      <c r="B111">
        <f t="shared" si="8"/>
        <v>0.52113669891747838</v>
      </c>
      <c r="C111">
        <f t="shared" si="10"/>
        <v>3.9511884804352973E-4</v>
      </c>
      <c r="F111">
        <v>0.94</v>
      </c>
      <c r="G111">
        <f t="shared" si="9"/>
        <v>0.52113669891747838</v>
      </c>
      <c r="H111">
        <f t="shared" si="11"/>
        <v>0.20724691756269459</v>
      </c>
    </row>
    <row r="112" spans="1:8" x14ac:dyDescent="0.45">
      <c r="A112">
        <v>0.95</v>
      </c>
      <c r="B112">
        <f t="shared" si="8"/>
        <v>0.5249689882411549</v>
      </c>
      <c r="C112">
        <f t="shared" si="10"/>
        <v>3.7096601234488659E-4</v>
      </c>
      <c r="F112">
        <v>0.95</v>
      </c>
      <c r="G112">
        <f t="shared" si="9"/>
        <v>0.5249689882411549</v>
      </c>
      <c r="H112">
        <f t="shared" si="11"/>
        <v>0.21247744599848775</v>
      </c>
    </row>
    <row r="113" spans="1:8" x14ac:dyDescent="0.45">
      <c r="A113">
        <v>0.96</v>
      </c>
      <c r="B113">
        <f t="shared" si="8"/>
        <v>0.52855601916437611</v>
      </c>
      <c r="C113">
        <f t="shared" si="10"/>
        <v>3.4606703138112538E-4</v>
      </c>
      <c r="F113">
        <v>0.96</v>
      </c>
      <c r="G113">
        <f t="shared" si="9"/>
        <v>0.52855601916437611</v>
      </c>
      <c r="H113">
        <f t="shared" si="11"/>
        <v>0.21774507103551541</v>
      </c>
    </row>
    <row r="114" spans="1:8" x14ac:dyDescent="0.45">
      <c r="A114">
        <v>0.97</v>
      </c>
      <c r="B114">
        <f t="shared" si="8"/>
        <v>0.53189032886877741</v>
      </c>
      <c r="C114">
        <f t="shared" si="10"/>
        <v>3.2042173749494699E-4</v>
      </c>
      <c r="F114">
        <v>0.97</v>
      </c>
      <c r="G114">
        <f t="shared" si="9"/>
        <v>0.53189032886877741</v>
      </c>
      <c r="H114">
        <f t="shared" si="11"/>
        <v>0.22304730277568119</v>
      </c>
    </row>
    <row r="115" spans="1:8" x14ac:dyDescent="0.45">
      <c r="A115">
        <v>0.98</v>
      </c>
      <c r="B115">
        <f t="shared" si="8"/>
        <v>0.53496445391427505</v>
      </c>
      <c r="C115">
        <f t="shared" si="10"/>
        <v>2.9403017436182568E-4</v>
      </c>
      <c r="F115">
        <v>0.98</v>
      </c>
      <c r="G115">
        <f t="shared" si="9"/>
        <v>0.53496445391427505</v>
      </c>
      <c r="H115">
        <f t="shared" si="11"/>
        <v>0.22838157668959647</v>
      </c>
    </row>
    <row r="116" spans="1:8" x14ac:dyDescent="0.45">
      <c r="A116">
        <v>0.99</v>
      </c>
      <c r="B116">
        <f t="shared" si="8"/>
        <v>0.53777093235601392</v>
      </c>
      <c r="C116">
        <f t="shared" si="10"/>
        <v>2.6689259769323569E-4</v>
      </c>
      <c r="F116">
        <v>0.99</v>
      </c>
      <c r="G116">
        <f t="shared" si="9"/>
        <v>0.53777093235601392</v>
      </c>
      <c r="H116">
        <f t="shared" si="11"/>
        <v>0.23374525362094792</v>
      </c>
    </row>
    <row r="117" spans="1:8" x14ac:dyDescent="0.45">
      <c r="A117">
        <v>1</v>
      </c>
      <c r="B117">
        <f t="shared" si="8"/>
        <v>0.54030230586813977</v>
      </c>
      <c r="C117">
        <f>(3*B117-4*B116+B115)/2*0.1</f>
        <v>2.3938210473193334E-4</v>
      </c>
      <c r="F117">
        <v>1</v>
      </c>
      <c r="G117">
        <f t="shared" si="9"/>
        <v>0.54030230586813977</v>
      </c>
      <c r="H117">
        <f t="shared" si="11"/>
        <v>0.23913561981206868</v>
      </c>
    </row>
    <row r="120" spans="1:8" x14ac:dyDescent="0.45">
      <c r="E120" t="s">
        <v>17</v>
      </c>
      <c r="F120">
        <v>0.23913362690000001</v>
      </c>
    </row>
    <row r="122" spans="1:8" x14ac:dyDescent="0.45">
      <c r="E122" t="s">
        <v>19</v>
      </c>
      <c r="F122">
        <f>(F120-H12)/F120</f>
        <v>-8.3766289130235796E-4</v>
      </c>
    </row>
    <row r="124" spans="1:8" x14ac:dyDescent="0.45">
      <c r="E124" t="s">
        <v>18</v>
      </c>
      <c r="F124">
        <f>(F120-H117)/F120</f>
        <v>-8.3338846757431913E-6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0458-6C48-440E-B759-EBA9C57F3D9B}">
  <dimension ref="A1:I28"/>
  <sheetViews>
    <sheetView tabSelected="1" workbookViewId="0">
      <selection activeCell="F25" sqref="F25"/>
    </sheetView>
  </sheetViews>
  <sheetFormatPr defaultRowHeight="14.25" x14ac:dyDescent="0.45"/>
  <cols>
    <col min="1" max="1" width="12.53125" customWidth="1"/>
  </cols>
  <sheetData>
    <row r="1" spans="1:9" x14ac:dyDescent="0.45">
      <c r="A1" t="s">
        <v>20</v>
      </c>
      <c r="B1" t="s">
        <v>21</v>
      </c>
      <c r="C1" t="s">
        <v>22</v>
      </c>
      <c r="D1" t="s">
        <v>23</v>
      </c>
      <c r="F1" t="s">
        <v>3</v>
      </c>
      <c r="G1" t="s">
        <v>21</v>
      </c>
      <c r="H1" t="s">
        <v>22</v>
      </c>
      <c r="I1" t="s">
        <v>23</v>
      </c>
    </row>
    <row r="2" spans="1:9" x14ac:dyDescent="0.45">
      <c r="A2">
        <v>0</v>
      </c>
      <c r="B2">
        <v>1</v>
      </c>
      <c r="C2">
        <v>1</v>
      </c>
      <c r="D2">
        <v>1</v>
      </c>
      <c r="G2">
        <v>0</v>
      </c>
      <c r="H2">
        <v>0</v>
      </c>
      <c r="I2">
        <v>0</v>
      </c>
    </row>
    <row r="3" spans="1:9" x14ac:dyDescent="0.45">
      <c r="A3">
        <v>10</v>
      </c>
      <c r="B3">
        <v>0.996</v>
      </c>
      <c r="C3">
        <v>0.998</v>
      </c>
      <c r="D3">
        <v>1</v>
      </c>
      <c r="G3">
        <f>EXP((B3-1)/$A$3)</f>
        <v>0.99960007998933442</v>
      </c>
      <c r="H3">
        <f>EXP((C3-1)/$A$3)</f>
        <v>0.99980001999866674</v>
      </c>
      <c r="I3">
        <f>EXP((D3-1)/$A$3)</f>
        <v>1</v>
      </c>
    </row>
    <row r="4" spans="1:9" x14ac:dyDescent="0.45">
      <c r="A4">
        <v>50</v>
      </c>
      <c r="B4">
        <v>0.98499999999999999</v>
      </c>
      <c r="C4">
        <v>0.996</v>
      </c>
      <c r="D4">
        <v>1.004</v>
      </c>
      <c r="G4">
        <f t="shared" ref="G4:G10" si="0">EXP((B4-1)/$A$3)</f>
        <v>0.99850112443771089</v>
      </c>
      <c r="H4">
        <f t="shared" ref="H4:H10" si="1">EXP((C4-1)/$A$3)</f>
        <v>0.99960007998933442</v>
      </c>
      <c r="I4">
        <f t="shared" ref="I4:I10" si="2">EXP((D4-1)/$A$3)</f>
        <v>1.0004000800106678</v>
      </c>
    </row>
    <row r="5" spans="1:9" x14ac:dyDescent="0.45">
      <c r="A5">
        <v>100</v>
      </c>
      <c r="B5">
        <v>0.98399999999999999</v>
      </c>
      <c r="C5">
        <v>1.004</v>
      </c>
      <c r="D5">
        <v>1.018</v>
      </c>
      <c r="G5">
        <f t="shared" si="0"/>
        <v>0.99840127931760636</v>
      </c>
      <c r="H5">
        <f t="shared" si="1"/>
        <v>1.0004000800106678</v>
      </c>
      <c r="I5">
        <f t="shared" si="2"/>
        <v>1.0018016209724376</v>
      </c>
    </row>
    <row r="6" spans="1:9" x14ac:dyDescent="0.45">
      <c r="A6">
        <v>200</v>
      </c>
      <c r="B6">
        <v>1.036</v>
      </c>
      <c r="C6">
        <v>1.0569999999999999</v>
      </c>
      <c r="D6">
        <v>1.0720000000000001</v>
      </c>
      <c r="G6">
        <f t="shared" si="0"/>
        <v>1.0036064877830035</v>
      </c>
      <c r="H6">
        <f t="shared" si="1"/>
        <v>1.0057162759095335</v>
      </c>
      <c r="I6">
        <f t="shared" si="2"/>
        <v>1.0072259823201359</v>
      </c>
    </row>
    <row r="7" spans="1:9" x14ac:dyDescent="0.45">
      <c r="A7">
        <v>300</v>
      </c>
      <c r="B7">
        <v>1.1339999999999999</v>
      </c>
      <c r="C7">
        <v>1.1459999999999999</v>
      </c>
      <c r="D7">
        <v>1.1539999999999999</v>
      </c>
      <c r="G7">
        <f t="shared" si="0"/>
        <v>1.0134901823643498</v>
      </c>
      <c r="H7">
        <f t="shared" si="1"/>
        <v>1.014707100588091</v>
      </c>
      <c r="I7">
        <f t="shared" si="2"/>
        <v>1.0155191910614394</v>
      </c>
    </row>
    <row r="8" spans="1:9" x14ac:dyDescent="0.45">
      <c r="A8">
        <v>400</v>
      </c>
      <c r="B8">
        <v>1.256</v>
      </c>
      <c r="C8">
        <v>1.254</v>
      </c>
      <c r="D8">
        <v>1.2529999999999999</v>
      </c>
      <c r="G8">
        <f t="shared" si="0"/>
        <v>1.0259304941903822</v>
      </c>
      <c r="H8">
        <f t="shared" si="1"/>
        <v>1.025725328608786</v>
      </c>
      <c r="I8">
        <f t="shared" si="2"/>
        <v>1.0256227612043809</v>
      </c>
    </row>
    <row r="9" spans="1:9" x14ac:dyDescent="0.45">
      <c r="A9">
        <v>600</v>
      </c>
      <c r="B9">
        <v>1.524</v>
      </c>
      <c r="C9">
        <v>1.4950000000000001</v>
      </c>
      <c r="D9">
        <v>1.4710000000000001</v>
      </c>
      <c r="G9">
        <f t="shared" si="0"/>
        <v>1.0537971770916665</v>
      </c>
      <c r="H9">
        <f t="shared" si="1"/>
        <v>1.0507455922148243</v>
      </c>
      <c r="I9">
        <f t="shared" si="2"/>
        <v>1.0482268265213484</v>
      </c>
    </row>
    <row r="10" spans="1:9" x14ac:dyDescent="0.45">
      <c r="A10">
        <v>800</v>
      </c>
      <c r="B10">
        <v>1.798</v>
      </c>
      <c r="C10">
        <v>1.7230000000000001</v>
      </c>
      <c r="D10">
        <v>1.6970000000000001</v>
      </c>
      <c r="G10">
        <f t="shared" si="0"/>
        <v>1.0830704319257207</v>
      </c>
      <c r="H10">
        <f t="shared" si="1"/>
        <v>1.0749777890313597</v>
      </c>
      <c r="I10">
        <f t="shared" si="2"/>
        <v>1.0721864770578824</v>
      </c>
    </row>
    <row r="13" spans="1:9" x14ac:dyDescent="0.45">
      <c r="A13" t="s">
        <v>29</v>
      </c>
      <c r="B13" t="s">
        <v>21</v>
      </c>
      <c r="C13" t="s">
        <v>22</v>
      </c>
      <c r="D13" t="s">
        <v>23</v>
      </c>
      <c r="F13" t="s">
        <v>31</v>
      </c>
      <c r="G13" t="s">
        <v>30</v>
      </c>
      <c r="H13" t="s">
        <v>32</v>
      </c>
    </row>
    <row r="14" spans="1:9" x14ac:dyDescent="0.45">
      <c r="A14">
        <v>0</v>
      </c>
      <c r="B14">
        <v>0</v>
      </c>
      <c r="C14">
        <v>0</v>
      </c>
      <c r="D14">
        <v>0</v>
      </c>
      <c r="F14">
        <v>0</v>
      </c>
      <c r="G14">
        <f>(-3*C2+4*C3-C4)/10</f>
        <v>-4.0000000000000034E-4</v>
      </c>
      <c r="H14">
        <f>(2*G14-5*G15+4*G16-G17)/10</f>
        <v>-9.4579999999999803E-2</v>
      </c>
    </row>
    <row r="15" spans="1:9" x14ac:dyDescent="0.45">
      <c r="A15">
        <v>10</v>
      </c>
      <c r="B15">
        <f>(G2+G3)/2*(A3-A2)+B14</f>
        <v>4.9980003999466724</v>
      </c>
      <c r="C15">
        <f>(H2+H3)/2*(A3-A2)+C14</f>
        <v>4.9990000999933333</v>
      </c>
      <c r="D15">
        <f>(I3+I2)/2*(A3-A2)+D14</f>
        <v>5</v>
      </c>
      <c r="F15">
        <v>10</v>
      </c>
      <c r="G15">
        <f>(C4-C2)/2*(F15-F14)</f>
        <v>-2.0000000000000018E-2</v>
      </c>
    </row>
    <row r="16" spans="1:9" x14ac:dyDescent="0.45">
      <c r="A16">
        <v>50</v>
      </c>
      <c r="B16">
        <f>(G3+G4)/2*(A4-A3)+B15</f>
        <v>44.960024488487576</v>
      </c>
      <c r="C16">
        <f t="shared" ref="C16:C22" si="3">(H3+H4)/2*(A4-A3)+C15</f>
        <v>44.987002099753354</v>
      </c>
      <c r="D16">
        <f t="shared" ref="D16:D22" si="4">(I4+I3)/2*(A4-A3)+D15</f>
        <v>45.008001600213355</v>
      </c>
      <c r="F16">
        <v>50</v>
      </c>
      <c r="G16">
        <f t="shared" ref="G16:G21" si="5">(C5-C3)/2*(F16-F15)</f>
        <v>0.12000000000000011</v>
      </c>
    </row>
    <row r="17" spans="1:7" x14ac:dyDescent="0.45">
      <c r="A17">
        <v>100</v>
      </c>
      <c r="B17">
        <f>(G4+G5)/2*(A5-A4)+B16</f>
        <v>94.882584582370498</v>
      </c>
      <c r="C17">
        <f t="shared" si="3"/>
        <v>94.987006099753415</v>
      </c>
      <c r="D17">
        <f t="shared" si="4"/>
        <v>95.063044124790991</v>
      </c>
      <c r="F17">
        <v>100</v>
      </c>
      <c r="G17">
        <f t="shared" si="5"/>
        <v>1.5249999999999986</v>
      </c>
    </row>
    <row r="18" spans="1:7" x14ac:dyDescent="0.45">
      <c r="A18">
        <v>200</v>
      </c>
      <c r="B18">
        <f t="shared" ref="B16:B21" si="6">(G5+G6)/2*(A6-A5)+B17</f>
        <v>194.982972937401</v>
      </c>
      <c r="C18">
        <f t="shared" si="3"/>
        <v>195.29282389576349</v>
      </c>
      <c r="D18">
        <f t="shared" si="4"/>
        <v>195.51442428941968</v>
      </c>
      <c r="F18">
        <v>200</v>
      </c>
      <c r="G18">
        <f t="shared" si="5"/>
        <v>7.0999999999999952</v>
      </c>
    </row>
    <row r="19" spans="1:7" x14ac:dyDescent="0.45">
      <c r="A19">
        <v>300</v>
      </c>
      <c r="B19">
        <f t="shared" si="6"/>
        <v>295.83780644476866</v>
      </c>
      <c r="C19">
        <f t="shared" si="3"/>
        <v>296.31399272064471</v>
      </c>
      <c r="D19">
        <f t="shared" si="4"/>
        <v>296.65168295849844</v>
      </c>
      <c r="F19">
        <v>300</v>
      </c>
      <c r="G19">
        <f t="shared" si="5"/>
        <v>9.8500000000000032</v>
      </c>
    </row>
    <row r="20" spans="1:7" x14ac:dyDescent="0.45">
      <c r="A20">
        <v>400</v>
      </c>
      <c r="B20">
        <f t="shared" si="6"/>
        <v>397.80884027250528</v>
      </c>
      <c r="C20">
        <f t="shared" si="3"/>
        <v>398.33561418048856</v>
      </c>
      <c r="D20">
        <f t="shared" si="4"/>
        <v>398.70878057178948</v>
      </c>
      <c r="F20">
        <v>400</v>
      </c>
      <c r="G20">
        <f t="shared" si="5"/>
        <v>17.45000000000001</v>
      </c>
    </row>
    <row r="21" spans="1:7" x14ac:dyDescent="0.45">
      <c r="A21">
        <v>600</v>
      </c>
      <c r="B21">
        <f>(G8+G9)/2*(A9-A8)+B20</f>
        <v>605.78160740071019</v>
      </c>
      <c r="C21">
        <f t="shared" si="3"/>
        <v>605.98270626284966</v>
      </c>
      <c r="D21">
        <f t="shared" si="4"/>
        <v>606.09373934436246</v>
      </c>
      <c r="F21">
        <v>600</v>
      </c>
      <c r="G21">
        <f t="shared" si="5"/>
        <v>46.900000000000006</v>
      </c>
    </row>
    <row r="22" spans="1:7" x14ac:dyDescent="0.45">
      <c r="A22">
        <v>800</v>
      </c>
      <c r="B22">
        <f>(G9+G10)/2*(A10-A9)+B21</f>
        <v>819.46836830244888</v>
      </c>
      <c r="C22">
        <f t="shared" si="3"/>
        <v>818.555044387468</v>
      </c>
      <c r="D22">
        <f t="shared" si="4"/>
        <v>818.13506970228559</v>
      </c>
      <c r="F22">
        <v>800</v>
      </c>
      <c r="G22">
        <f>(3*C10-4*C9+C8)/2*200</f>
        <v>44.300000000000004</v>
      </c>
    </row>
    <row r="25" spans="1:7" x14ac:dyDescent="0.45">
      <c r="C25" t="s">
        <v>33</v>
      </c>
      <c r="D25" t="s">
        <v>34</v>
      </c>
    </row>
    <row r="26" spans="1:7" x14ac:dyDescent="0.45">
      <c r="C26">
        <v>0</v>
      </c>
      <c r="D26">
        <v>1</v>
      </c>
    </row>
    <row r="27" spans="1:7" x14ac:dyDescent="0.45">
      <c r="C27">
        <v>25</v>
      </c>
      <c r="D27">
        <v>1</v>
      </c>
    </row>
    <row r="28" spans="1:7" x14ac:dyDescent="0.45">
      <c r="C28">
        <v>50</v>
      </c>
      <c r="D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#1</vt:lpstr>
      <vt:lpstr>#2</vt:lpstr>
      <vt:lpstr>#3</vt:lpstr>
      <vt:lpstr>#4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Pabilic</dc:creator>
  <cp:lastModifiedBy>Sarah Pabilic</cp:lastModifiedBy>
  <dcterms:created xsi:type="dcterms:W3CDTF">2020-03-07T17:23:14Z</dcterms:created>
  <dcterms:modified xsi:type="dcterms:W3CDTF">2020-03-12T04:52:05Z</dcterms:modified>
</cp:coreProperties>
</file>