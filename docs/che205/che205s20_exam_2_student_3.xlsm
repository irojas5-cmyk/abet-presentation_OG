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abi\Documents\"/>
    </mc:Choice>
  </mc:AlternateContent>
  <xr:revisionPtr revIDLastSave="0" documentId="8_{98459417-2ED5-4EEA-AB52-1B1D937CC41C}" xr6:coauthVersionLast="45" xr6:coauthVersionMax="45" xr10:uidLastSave="{00000000-0000-0000-0000-000000000000}"/>
  <bookViews>
    <workbookView xWindow="-98" yWindow="-98" windowWidth="22695" windowHeight="14595" activeTab="4" xr2:uid="{D11EA98E-8EB6-44E9-8E36-670B8891B521}"/>
  </bookViews>
  <sheets>
    <sheet name="Question 1" sheetId="1" r:id="rId1"/>
    <sheet name="Question 2" sheetId="2" r:id="rId2"/>
    <sheet name="Euler VBA" sheetId="3" r:id="rId3"/>
    <sheet name="2nd RK" sheetId="4" r:id="rId4"/>
    <sheet name="Sheet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2" i="1" l="1"/>
  <c r="C64" i="1"/>
  <c r="C65" i="1"/>
  <c r="C66" i="1"/>
  <c r="C63" i="1"/>
  <c r="B59" i="1"/>
  <c r="C53" i="1"/>
  <c r="C54" i="1"/>
  <c r="C52" i="1"/>
  <c r="B49" i="1"/>
  <c r="C45" i="1"/>
  <c r="C44" i="1"/>
  <c r="AF13" i="2"/>
  <c r="AG13" i="2"/>
  <c r="AH13" i="2"/>
  <c r="AI13" i="2"/>
  <c r="AF14" i="2"/>
  <c r="AG14" i="2"/>
  <c r="AH14" i="2"/>
  <c r="AI14" i="2"/>
  <c r="AF15" i="2"/>
  <c r="AG15" i="2"/>
  <c r="AH15" i="2"/>
  <c r="AI15" i="2"/>
  <c r="AF16" i="2"/>
  <c r="AG16" i="2"/>
  <c r="AH16" i="2"/>
  <c r="AI16" i="2"/>
  <c r="AF17" i="2"/>
  <c r="AG17" i="2"/>
  <c r="AH17" i="2"/>
  <c r="AI17" i="2"/>
  <c r="AF18" i="2"/>
  <c r="AG18" i="2"/>
  <c r="AH18" i="2"/>
  <c r="AI18" i="2"/>
  <c r="AF19" i="2"/>
  <c r="AG19" i="2"/>
  <c r="AH19" i="2"/>
  <c r="AI19" i="2"/>
  <c r="AF20" i="2"/>
  <c r="AG20" i="2"/>
  <c r="AH20" i="2"/>
  <c r="AI20" i="2"/>
  <c r="AF21" i="2"/>
  <c r="AG21" i="2"/>
  <c r="AH21" i="2"/>
  <c r="AI21" i="2"/>
  <c r="AF22" i="2"/>
  <c r="AG22" i="2"/>
  <c r="AH22" i="2"/>
  <c r="AI22" i="2"/>
  <c r="AF23" i="2"/>
  <c r="AG23" i="2"/>
  <c r="AH23" i="2"/>
  <c r="AI23" i="2"/>
  <c r="AF24" i="2"/>
  <c r="AG24" i="2"/>
  <c r="AH24" i="2"/>
  <c r="AI24" i="2"/>
  <c r="AF25" i="2"/>
  <c r="AG25" i="2"/>
  <c r="AH25" i="2"/>
  <c r="AI25" i="2"/>
  <c r="AF26" i="2"/>
  <c r="AG26" i="2"/>
  <c r="AH26" i="2"/>
  <c r="AI26" i="2"/>
  <c r="AF27" i="2"/>
  <c r="AG27" i="2"/>
  <c r="AH27" i="2"/>
  <c r="AI27" i="2"/>
  <c r="AF28" i="2"/>
  <c r="AG28" i="2"/>
  <c r="AH28" i="2"/>
  <c r="AI28" i="2"/>
  <c r="AF29" i="2"/>
  <c r="AG29" i="2"/>
  <c r="AH29" i="2"/>
  <c r="AI29" i="2"/>
  <c r="AF30" i="2"/>
  <c r="AG30" i="2"/>
  <c r="AH30" i="2"/>
  <c r="AI30" i="2"/>
  <c r="AF31" i="2"/>
  <c r="AG31" i="2"/>
  <c r="AH31" i="2"/>
  <c r="AI31" i="2"/>
  <c r="AF32" i="2"/>
  <c r="AG32" i="2"/>
  <c r="AH32" i="2"/>
  <c r="AI32" i="2"/>
  <c r="AF33" i="2"/>
  <c r="AG33" i="2"/>
  <c r="AH33" i="2"/>
  <c r="AI33" i="2"/>
  <c r="AF34" i="2"/>
  <c r="AG34" i="2"/>
  <c r="AH34" i="2"/>
  <c r="AI34" i="2"/>
  <c r="AF35" i="2"/>
  <c r="AG35" i="2"/>
  <c r="AH35" i="2"/>
  <c r="AI35" i="2"/>
  <c r="AF36" i="2"/>
  <c r="AG36" i="2"/>
  <c r="AH36" i="2"/>
  <c r="AI36" i="2"/>
  <c r="AF37" i="2"/>
  <c r="AG37" i="2"/>
  <c r="AH37" i="2"/>
  <c r="AI37" i="2"/>
  <c r="AF38" i="2"/>
  <c r="AG38" i="2"/>
  <c r="AH38" i="2"/>
  <c r="AI38" i="2"/>
  <c r="AF39" i="2"/>
  <c r="AG39" i="2"/>
  <c r="AH39" i="2"/>
  <c r="AI39" i="2"/>
  <c r="AF40" i="2"/>
  <c r="AG40" i="2"/>
  <c r="AH40" i="2"/>
  <c r="AI40" i="2"/>
  <c r="AF41" i="2"/>
  <c r="AG41" i="2"/>
  <c r="AH41" i="2"/>
  <c r="AI41" i="2"/>
  <c r="AF42" i="2"/>
  <c r="AG42" i="2"/>
  <c r="AH42" i="2"/>
  <c r="AI42" i="2"/>
  <c r="AF43" i="2"/>
  <c r="AG43" i="2"/>
  <c r="AH43" i="2"/>
  <c r="AI43" i="2"/>
  <c r="AF44" i="2"/>
  <c r="AG44" i="2"/>
  <c r="AH44" i="2"/>
  <c r="AI44" i="2"/>
  <c r="AF45" i="2"/>
  <c r="AG45" i="2"/>
  <c r="AH45" i="2"/>
  <c r="AI45" i="2"/>
  <c r="AF46" i="2"/>
  <c r="AG46" i="2"/>
  <c r="AH46" i="2"/>
  <c r="AI46" i="2"/>
  <c r="AF47" i="2"/>
  <c r="AG47" i="2"/>
  <c r="AH47" i="2"/>
  <c r="AI47" i="2"/>
  <c r="AF48" i="2"/>
  <c r="AG48" i="2"/>
  <c r="AH48" i="2"/>
  <c r="AI48" i="2"/>
  <c r="AF49" i="2"/>
  <c r="AG49" i="2"/>
  <c r="AH49" i="2"/>
  <c r="AI49" i="2"/>
  <c r="AF50" i="2"/>
  <c r="AG50" i="2"/>
  <c r="AH50" i="2"/>
  <c r="AI50" i="2"/>
  <c r="AF51" i="2"/>
  <c r="AG51" i="2"/>
  <c r="AH51" i="2"/>
  <c r="AI51" i="2"/>
  <c r="AF52" i="2"/>
  <c r="AG52" i="2"/>
  <c r="AH52" i="2"/>
  <c r="AI52" i="2"/>
  <c r="AF53" i="2"/>
  <c r="AG53" i="2"/>
  <c r="AH53" i="2"/>
  <c r="AI53" i="2"/>
  <c r="AF54" i="2"/>
  <c r="AG54" i="2"/>
  <c r="AH54" i="2"/>
  <c r="AI54" i="2"/>
  <c r="AF55" i="2"/>
  <c r="AG55" i="2"/>
  <c r="AH55" i="2"/>
  <c r="AI55" i="2"/>
  <c r="AF56" i="2"/>
  <c r="AG56" i="2"/>
  <c r="AH56" i="2"/>
  <c r="AI56" i="2"/>
  <c r="AF57" i="2"/>
  <c r="AG57" i="2"/>
  <c r="AH57" i="2"/>
  <c r="AI57" i="2"/>
  <c r="AF58" i="2"/>
  <c r="AG58" i="2"/>
  <c r="AH58" i="2"/>
  <c r="AI58" i="2"/>
  <c r="AF59" i="2"/>
  <c r="AG59" i="2"/>
  <c r="AH59" i="2"/>
  <c r="AI59" i="2"/>
  <c r="AF60" i="2"/>
  <c r="AG60" i="2"/>
  <c r="AH60" i="2"/>
  <c r="AI60" i="2"/>
  <c r="AF61" i="2"/>
  <c r="AG61" i="2"/>
  <c r="AH61" i="2"/>
  <c r="AI61" i="2"/>
  <c r="AF62" i="2"/>
  <c r="AG62" i="2"/>
  <c r="AH62" i="2"/>
  <c r="AI62" i="2"/>
  <c r="AF63" i="2"/>
  <c r="AG63" i="2"/>
  <c r="AH63" i="2"/>
  <c r="AI63" i="2"/>
  <c r="AF64" i="2"/>
  <c r="AG64" i="2"/>
  <c r="AH64" i="2"/>
  <c r="AI64" i="2"/>
  <c r="AF65" i="2"/>
  <c r="AG65" i="2"/>
  <c r="AH65" i="2"/>
  <c r="AI65" i="2"/>
  <c r="AF66" i="2"/>
  <c r="AG66" i="2"/>
  <c r="AH66" i="2"/>
  <c r="AI66" i="2"/>
  <c r="AF67" i="2"/>
  <c r="AG67" i="2"/>
  <c r="AH67" i="2"/>
  <c r="AI67" i="2"/>
  <c r="AF68" i="2"/>
  <c r="AG68" i="2"/>
  <c r="AH68" i="2"/>
  <c r="AI68" i="2"/>
  <c r="AF69" i="2"/>
  <c r="AG69" i="2"/>
  <c r="AH69" i="2"/>
  <c r="AI69" i="2"/>
  <c r="AF70" i="2"/>
  <c r="AG70" i="2"/>
  <c r="AH70" i="2"/>
  <c r="AI70" i="2"/>
  <c r="AF71" i="2"/>
  <c r="AG71" i="2"/>
  <c r="AH71" i="2"/>
  <c r="AI71" i="2"/>
  <c r="AF72" i="2"/>
  <c r="AG72" i="2"/>
  <c r="AH72" i="2"/>
  <c r="AI72" i="2"/>
  <c r="AF73" i="2"/>
  <c r="AG73" i="2"/>
  <c r="AH73" i="2"/>
  <c r="AI73" i="2"/>
  <c r="AF74" i="2"/>
  <c r="AG74" i="2"/>
  <c r="AH74" i="2"/>
  <c r="AI74" i="2"/>
  <c r="AF75" i="2"/>
  <c r="AG75" i="2"/>
  <c r="AH75" i="2"/>
  <c r="AI75" i="2"/>
  <c r="AF76" i="2"/>
  <c r="AG76" i="2"/>
  <c r="AH76" i="2"/>
  <c r="AI76" i="2"/>
  <c r="AF77" i="2"/>
  <c r="AG77" i="2"/>
  <c r="AH77" i="2"/>
  <c r="AI77" i="2"/>
  <c r="AF78" i="2"/>
  <c r="AG78" i="2"/>
  <c r="AH78" i="2"/>
  <c r="AI78" i="2"/>
  <c r="AF79" i="2"/>
  <c r="AG79" i="2"/>
  <c r="AH79" i="2"/>
  <c r="AI79" i="2"/>
  <c r="AF80" i="2"/>
  <c r="AG80" i="2"/>
  <c r="AH80" i="2"/>
  <c r="AI80" i="2"/>
  <c r="AF81" i="2"/>
  <c r="AG81" i="2"/>
  <c r="AH81" i="2"/>
  <c r="AI81" i="2"/>
  <c r="AF82" i="2"/>
  <c r="AG82" i="2"/>
  <c r="AH82" i="2"/>
  <c r="AI82" i="2"/>
  <c r="AF83" i="2"/>
  <c r="AG83" i="2"/>
  <c r="AH83" i="2"/>
  <c r="AI83" i="2"/>
  <c r="AF84" i="2"/>
  <c r="AG84" i="2"/>
  <c r="AH84" i="2"/>
  <c r="AI84" i="2"/>
  <c r="AF85" i="2"/>
  <c r="AG85" i="2"/>
  <c r="AH85" i="2"/>
  <c r="AI85" i="2"/>
  <c r="AF86" i="2"/>
  <c r="AG86" i="2"/>
  <c r="AH86" i="2"/>
  <c r="AI86" i="2"/>
  <c r="AF87" i="2"/>
  <c r="AG87" i="2"/>
  <c r="AH87" i="2"/>
  <c r="AI87" i="2"/>
  <c r="AF88" i="2"/>
  <c r="AG88" i="2"/>
  <c r="AH88" i="2"/>
  <c r="AI88" i="2"/>
  <c r="AF89" i="2"/>
  <c r="AG89" i="2"/>
  <c r="AH89" i="2"/>
  <c r="AI89" i="2"/>
  <c r="AF90" i="2"/>
  <c r="AG90" i="2"/>
  <c r="AH90" i="2"/>
  <c r="AI90" i="2"/>
  <c r="AF91" i="2"/>
  <c r="AG91" i="2"/>
  <c r="AH91" i="2"/>
  <c r="AI91" i="2"/>
  <c r="AF92" i="2"/>
  <c r="AG92" i="2"/>
  <c r="AH92" i="2"/>
  <c r="AI92" i="2"/>
  <c r="AF93" i="2"/>
  <c r="AG93" i="2"/>
  <c r="AH93" i="2"/>
  <c r="AI93" i="2"/>
  <c r="AF94" i="2"/>
  <c r="AG94" i="2"/>
  <c r="AH94" i="2"/>
  <c r="AI94" i="2"/>
  <c r="AF95" i="2"/>
  <c r="AG95" i="2"/>
  <c r="AH95" i="2"/>
  <c r="AI95" i="2"/>
  <c r="AF96" i="2"/>
  <c r="AG96" i="2"/>
  <c r="AH96" i="2"/>
  <c r="AI96" i="2"/>
  <c r="AF97" i="2"/>
  <c r="AG97" i="2"/>
  <c r="AH97" i="2"/>
  <c r="AI97" i="2"/>
  <c r="AF98" i="2"/>
  <c r="AG98" i="2"/>
  <c r="AH98" i="2"/>
  <c r="AI98" i="2"/>
  <c r="AF99" i="2"/>
  <c r="AG99" i="2"/>
  <c r="AH99" i="2"/>
  <c r="AI99" i="2"/>
  <c r="AF100" i="2"/>
  <c r="AG100" i="2"/>
  <c r="AH100" i="2"/>
  <c r="AI100" i="2"/>
  <c r="AF101" i="2"/>
  <c r="AG101" i="2"/>
  <c r="AH101" i="2"/>
  <c r="AI101" i="2"/>
  <c r="AF102" i="2"/>
  <c r="AG102" i="2"/>
  <c r="AH102" i="2"/>
  <c r="AI102" i="2"/>
  <c r="AF103" i="2"/>
  <c r="AG103" i="2"/>
  <c r="AH103" i="2"/>
  <c r="AI103" i="2"/>
  <c r="AF104" i="2"/>
  <c r="AG104" i="2"/>
  <c r="AH104" i="2"/>
  <c r="AI104" i="2"/>
  <c r="AF105" i="2"/>
  <c r="AG105" i="2"/>
  <c r="AH105" i="2"/>
  <c r="AI105" i="2"/>
  <c r="AF106" i="2"/>
  <c r="AG106" i="2"/>
  <c r="AH106" i="2"/>
  <c r="AI106" i="2"/>
  <c r="AF107" i="2"/>
  <c r="AG107" i="2"/>
  <c r="AH107" i="2"/>
  <c r="AI107" i="2"/>
  <c r="AF108" i="2"/>
  <c r="AG108" i="2"/>
  <c r="AH108" i="2"/>
  <c r="AI108" i="2"/>
  <c r="AF109" i="2"/>
  <c r="AG109" i="2"/>
  <c r="AH109" i="2"/>
  <c r="AI109" i="2"/>
  <c r="AF110" i="2"/>
  <c r="AG110" i="2"/>
  <c r="AH110" i="2"/>
  <c r="AI110" i="2"/>
  <c r="AF111" i="2"/>
  <c r="AG111" i="2"/>
  <c r="AH111" i="2"/>
  <c r="AI111" i="2"/>
  <c r="AF112" i="2"/>
  <c r="AG112" i="2"/>
  <c r="AH112" i="2"/>
  <c r="AI112" i="2"/>
  <c r="AF113" i="2"/>
  <c r="AG113" i="2"/>
  <c r="AH113" i="2"/>
  <c r="AI113" i="2"/>
  <c r="AF114" i="2"/>
  <c r="AG114" i="2"/>
  <c r="AH114" i="2"/>
  <c r="AI114" i="2"/>
  <c r="AF115" i="2"/>
  <c r="AG115" i="2"/>
  <c r="AH115" i="2"/>
  <c r="AI115" i="2"/>
  <c r="AF116" i="2"/>
  <c r="AG116" i="2"/>
  <c r="AH116" i="2"/>
  <c r="AI116" i="2"/>
  <c r="AF117" i="2"/>
  <c r="AG117" i="2"/>
  <c r="AH117" i="2"/>
  <c r="AI117" i="2"/>
  <c r="AF118" i="2"/>
  <c r="AG118" i="2"/>
  <c r="AH118" i="2"/>
  <c r="AI118" i="2"/>
  <c r="AF119" i="2"/>
  <c r="AG119" i="2"/>
  <c r="AH119" i="2"/>
  <c r="AI119" i="2"/>
  <c r="AF120" i="2"/>
  <c r="AG120" i="2"/>
  <c r="AH120" i="2"/>
  <c r="AI120" i="2"/>
  <c r="AF121" i="2"/>
  <c r="AG121" i="2"/>
  <c r="AH121" i="2"/>
  <c r="AI121" i="2"/>
  <c r="AF122" i="2"/>
  <c r="AG122" i="2"/>
  <c r="AH122" i="2"/>
  <c r="AI122" i="2"/>
  <c r="AF123" i="2"/>
  <c r="AG123" i="2"/>
  <c r="AH123" i="2"/>
  <c r="AI123" i="2"/>
  <c r="AF124" i="2"/>
  <c r="AG124" i="2"/>
  <c r="AH124" i="2"/>
  <c r="AI124" i="2"/>
  <c r="AF125" i="2"/>
  <c r="AG125" i="2"/>
  <c r="AH125" i="2"/>
  <c r="AI125" i="2"/>
  <c r="AF126" i="2"/>
  <c r="AG126" i="2"/>
  <c r="AH126" i="2"/>
  <c r="AI126" i="2"/>
  <c r="AF127" i="2"/>
  <c r="AG127" i="2"/>
  <c r="AH127" i="2"/>
  <c r="AI127" i="2"/>
  <c r="AF128" i="2"/>
  <c r="AG128" i="2"/>
  <c r="AH128" i="2"/>
  <c r="AI128" i="2"/>
  <c r="AF129" i="2"/>
  <c r="AG129" i="2"/>
  <c r="AH129" i="2"/>
  <c r="AI129" i="2"/>
  <c r="AF130" i="2"/>
  <c r="AG130" i="2"/>
  <c r="AH130" i="2"/>
  <c r="AI130" i="2"/>
  <c r="AF131" i="2"/>
  <c r="AG131" i="2"/>
  <c r="AH131" i="2"/>
  <c r="AI131" i="2"/>
  <c r="AF132" i="2"/>
  <c r="AG132" i="2"/>
  <c r="AH132" i="2"/>
  <c r="AI132" i="2"/>
  <c r="AF133" i="2"/>
  <c r="AG133" i="2"/>
  <c r="AH133" i="2"/>
  <c r="AI133" i="2"/>
  <c r="AF134" i="2"/>
  <c r="AG134" i="2"/>
  <c r="AH134" i="2"/>
  <c r="AI134" i="2"/>
  <c r="AF135" i="2"/>
  <c r="AG135" i="2"/>
  <c r="AH135" i="2"/>
  <c r="AI135" i="2"/>
  <c r="AF136" i="2"/>
  <c r="AG136" i="2"/>
  <c r="AH136" i="2"/>
  <c r="AI136" i="2"/>
  <c r="AF137" i="2"/>
  <c r="AG137" i="2"/>
  <c r="AH137" i="2"/>
  <c r="AI137" i="2"/>
  <c r="AF138" i="2"/>
  <c r="AG138" i="2"/>
  <c r="AH138" i="2"/>
  <c r="AI138" i="2"/>
  <c r="AF139" i="2"/>
  <c r="AG139" i="2"/>
  <c r="AH139" i="2"/>
  <c r="AI139" i="2"/>
  <c r="AF140" i="2"/>
  <c r="AG140" i="2"/>
  <c r="AH140" i="2"/>
  <c r="AI140" i="2"/>
  <c r="AF141" i="2"/>
  <c r="AG141" i="2"/>
  <c r="AH141" i="2"/>
  <c r="AI141" i="2"/>
  <c r="AF142" i="2"/>
  <c r="AG142" i="2"/>
  <c r="AH142" i="2"/>
  <c r="AI142" i="2"/>
  <c r="AF143" i="2"/>
  <c r="AG143" i="2"/>
  <c r="AH143" i="2"/>
  <c r="AI143" i="2"/>
  <c r="AF144" i="2"/>
  <c r="AG144" i="2"/>
  <c r="AH144" i="2"/>
  <c r="AI144" i="2"/>
  <c r="AF145" i="2"/>
  <c r="AG145" i="2"/>
  <c r="AH145" i="2"/>
  <c r="AI145" i="2"/>
  <c r="AF146" i="2"/>
  <c r="AG146" i="2"/>
  <c r="AH146" i="2"/>
  <c r="AI146" i="2"/>
  <c r="AF147" i="2"/>
  <c r="AG147" i="2"/>
  <c r="AH147" i="2"/>
  <c r="AI147" i="2"/>
  <c r="AF148" i="2"/>
  <c r="AG148" i="2"/>
  <c r="AH148" i="2"/>
  <c r="AI148" i="2"/>
  <c r="AF149" i="2"/>
  <c r="AG149" i="2"/>
  <c r="AH149" i="2"/>
  <c r="AI149" i="2"/>
  <c r="AF150" i="2"/>
  <c r="AG150" i="2"/>
  <c r="AH150" i="2"/>
  <c r="AI150" i="2"/>
  <c r="AF151" i="2"/>
  <c r="AG151" i="2"/>
  <c r="AH151" i="2"/>
  <c r="AI151" i="2"/>
  <c r="AF152" i="2"/>
  <c r="AG152" i="2"/>
  <c r="AH152" i="2"/>
  <c r="AI152" i="2"/>
  <c r="AF153" i="2"/>
  <c r="AG153" i="2"/>
  <c r="AH153" i="2"/>
  <c r="AI153" i="2"/>
  <c r="AF154" i="2"/>
  <c r="AG154" i="2"/>
  <c r="AH154" i="2"/>
  <c r="AI154" i="2"/>
  <c r="AF155" i="2"/>
  <c r="AG155" i="2"/>
  <c r="AH155" i="2"/>
  <c r="AI155" i="2"/>
  <c r="AF156" i="2"/>
  <c r="AG156" i="2"/>
  <c r="AH156" i="2"/>
  <c r="AI156" i="2"/>
  <c r="AF157" i="2"/>
  <c r="AG157" i="2"/>
  <c r="AH157" i="2"/>
  <c r="AI157" i="2"/>
  <c r="AF158" i="2"/>
  <c r="AG158" i="2"/>
  <c r="AH158" i="2"/>
  <c r="AI158" i="2"/>
  <c r="AF159" i="2"/>
  <c r="AG159" i="2"/>
  <c r="AH159" i="2"/>
  <c r="AI159" i="2"/>
  <c r="AF160" i="2"/>
  <c r="AG160" i="2"/>
  <c r="AH160" i="2"/>
  <c r="AI160" i="2"/>
  <c r="AF161" i="2"/>
  <c r="AG161" i="2"/>
  <c r="AH161" i="2"/>
  <c r="AI161" i="2"/>
  <c r="AF162" i="2"/>
  <c r="AG162" i="2"/>
  <c r="AH162" i="2"/>
  <c r="AI162" i="2"/>
  <c r="AF163" i="2"/>
  <c r="AG163" i="2"/>
  <c r="AH163" i="2"/>
  <c r="AI163" i="2"/>
  <c r="AF164" i="2"/>
  <c r="AG164" i="2"/>
  <c r="AH164" i="2"/>
  <c r="AI164" i="2"/>
  <c r="AF165" i="2"/>
  <c r="AG165" i="2"/>
  <c r="AH165" i="2"/>
  <c r="AI165" i="2"/>
  <c r="AF166" i="2"/>
  <c r="AG166" i="2"/>
  <c r="AH166" i="2"/>
  <c r="AI166" i="2"/>
  <c r="AF167" i="2"/>
  <c r="AG167" i="2"/>
  <c r="AH167" i="2"/>
  <c r="AI167" i="2"/>
  <c r="AF168" i="2"/>
  <c r="AG168" i="2"/>
  <c r="AH168" i="2"/>
  <c r="AI168" i="2"/>
  <c r="AF169" i="2"/>
  <c r="AG169" i="2"/>
  <c r="AH169" i="2"/>
  <c r="AI169" i="2"/>
  <c r="AF170" i="2"/>
  <c r="AG170" i="2"/>
  <c r="AH170" i="2"/>
  <c r="AI170" i="2"/>
  <c r="AF171" i="2"/>
  <c r="AG171" i="2"/>
  <c r="AH171" i="2"/>
  <c r="AI171" i="2"/>
  <c r="AF172" i="2"/>
  <c r="AG172" i="2"/>
  <c r="AH172" i="2"/>
  <c r="AI172" i="2"/>
  <c r="AF173" i="2"/>
  <c r="AG173" i="2"/>
  <c r="AH173" i="2"/>
  <c r="AI173" i="2"/>
  <c r="AF174" i="2"/>
  <c r="AG174" i="2"/>
  <c r="AH174" i="2"/>
  <c r="AI174" i="2"/>
  <c r="AF175" i="2"/>
  <c r="AG175" i="2"/>
  <c r="AH175" i="2"/>
  <c r="AI175" i="2"/>
  <c r="AF176" i="2"/>
  <c r="AG176" i="2"/>
  <c r="AH176" i="2"/>
  <c r="AI176" i="2"/>
  <c r="AF177" i="2"/>
  <c r="AG177" i="2"/>
  <c r="AH177" i="2"/>
  <c r="AI177" i="2"/>
  <c r="AF178" i="2"/>
  <c r="AG178" i="2"/>
  <c r="AH178" i="2"/>
  <c r="AI178" i="2"/>
  <c r="AF179" i="2"/>
  <c r="AG179" i="2"/>
  <c r="AH179" i="2"/>
  <c r="AI179" i="2"/>
  <c r="AF180" i="2"/>
  <c r="AG180" i="2"/>
  <c r="AH180" i="2"/>
  <c r="AI180" i="2"/>
  <c r="AF181" i="2"/>
  <c r="AG181" i="2"/>
  <c r="AH181" i="2"/>
  <c r="AI181" i="2"/>
  <c r="AF182" i="2"/>
  <c r="AG182" i="2"/>
  <c r="AH182" i="2"/>
  <c r="AI182" i="2"/>
  <c r="AF183" i="2"/>
  <c r="AG183" i="2"/>
  <c r="AH183" i="2"/>
  <c r="AI183" i="2"/>
  <c r="AF184" i="2"/>
  <c r="AG184" i="2"/>
  <c r="AH184" i="2"/>
  <c r="AI184" i="2"/>
  <c r="AF185" i="2"/>
  <c r="AG185" i="2"/>
  <c r="AH185" i="2"/>
  <c r="AI185" i="2"/>
  <c r="AF186" i="2"/>
  <c r="AG186" i="2"/>
  <c r="AH186" i="2"/>
  <c r="AI186" i="2"/>
  <c r="AF187" i="2"/>
  <c r="AG187" i="2"/>
  <c r="AH187" i="2"/>
  <c r="AI187" i="2"/>
  <c r="AF188" i="2"/>
  <c r="AG188" i="2"/>
  <c r="AH188" i="2"/>
  <c r="AI188" i="2"/>
  <c r="AF189" i="2"/>
  <c r="AG189" i="2"/>
  <c r="AH189" i="2"/>
  <c r="AI189" i="2"/>
  <c r="AF190" i="2"/>
  <c r="AG190" i="2"/>
  <c r="AH190" i="2"/>
  <c r="AI190" i="2"/>
  <c r="AF191" i="2"/>
  <c r="AG191" i="2"/>
  <c r="AH191" i="2"/>
  <c r="AI191" i="2"/>
  <c r="AF192" i="2"/>
  <c r="AG192" i="2"/>
  <c r="AH192" i="2"/>
  <c r="AI192" i="2"/>
  <c r="AF193" i="2"/>
  <c r="AG193" i="2"/>
  <c r="AH193" i="2"/>
  <c r="AI193" i="2"/>
  <c r="AF194" i="2"/>
  <c r="AG194" i="2"/>
  <c r="AH194" i="2"/>
  <c r="AI194" i="2"/>
  <c r="AF195" i="2"/>
  <c r="AG195" i="2"/>
  <c r="AH195" i="2"/>
  <c r="AI195" i="2"/>
  <c r="AF196" i="2"/>
  <c r="AG196" i="2"/>
  <c r="AH196" i="2"/>
  <c r="AI196" i="2"/>
  <c r="AF197" i="2"/>
  <c r="AG197" i="2"/>
  <c r="AH197" i="2"/>
  <c r="AI197" i="2"/>
  <c r="AF198" i="2"/>
  <c r="AG198" i="2"/>
  <c r="AH198" i="2"/>
  <c r="AI198" i="2"/>
  <c r="AF199" i="2"/>
  <c r="AG199" i="2"/>
  <c r="AH199" i="2"/>
  <c r="AI199" i="2"/>
  <c r="AF200" i="2"/>
  <c r="AG200" i="2"/>
  <c r="AH200" i="2"/>
  <c r="AI200" i="2"/>
  <c r="AF201" i="2"/>
  <c r="AG201" i="2"/>
  <c r="AH201" i="2"/>
  <c r="AI201" i="2"/>
  <c r="AF202" i="2"/>
  <c r="AG202" i="2"/>
  <c r="AH202" i="2"/>
  <c r="AI202" i="2"/>
  <c r="AF203" i="2"/>
  <c r="AG203" i="2"/>
  <c r="AH203" i="2"/>
  <c r="AI203" i="2"/>
  <c r="AF204" i="2"/>
  <c r="AG204" i="2"/>
  <c r="AH204" i="2"/>
  <c r="AI204" i="2"/>
  <c r="AF205" i="2"/>
  <c r="AG205" i="2"/>
  <c r="AH205" i="2"/>
  <c r="AI205" i="2"/>
  <c r="AF206" i="2"/>
  <c r="AG206" i="2"/>
  <c r="AH206" i="2"/>
  <c r="AI206" i="2"/>
  <c r="AF207" i="2"/>
  <c r="AG207" i="2"/>
  <c r="AH207" i="2"/>
  <c r="AI207" i="2"/>
  <c r="AF208" i="2"/>
  <c r="AG208" i="2"/>
  <c r="AH208" i="2"/>
  <c r="AI208" i="2"/>
  <c r="AF209" i="2"/>
  <c r="AG209" i="2"/>
  <c r="AH209" i="2"/>
  <c r="AI209" i="2"/>
  <c r="AF210" i="2"/>
  <c r="AG210" i="2"/>
  <c r="AH210" i="2"/>
  <c r="AI210" i="2"/>
  <c r="AF211" i="2"/>
  <c r="AG211" i="2"/>
  <c r="AH211" i="2"/>
  <c r="AI211" i="2"/>
  <c r="AF212" i="2"/>
  <c r="AG212" i="2"/>
  <c r="AH212" i="2"/>
  <c r="AI212" i="2"/>
  <c r="AI12" i="2"/>
  <c r="AH12" i="2"/>
  <c r="AG12" i="2"/>
  <c r="AD211" i="2"/>
  <c r="Y211" i="2"/>
  <c r="AF12" i="2"/>
  <c r="U14" i="2"/>
  <c r="X14" i="2" s="1"/>
  <c r="U15" i="2" s="1"/>
  <c r="V14" i="2"/>
  <c r="Y14" i="2"/>
  <c r="Z14" i="2"/>
  <c r="AA14" i="2" s="1"/>
  <c r="AB14" i="2"/>
  <c r="X13" i="2"/>
  <c r="Y13" i="2" s="1"/>
  <c r="Z13" i="2" s="1"/>
  <c r="AA13" i="2" s="1"/>
  <c r="AB13" i="2"/>
  <c r="AC13" i="2"/>
  <c r="AD13" i="2"/>
  <c r="AE13" i="2"/>
  <c r="V13" i="2"/>
  <c r="U13" i="2"/>
  <c r="Q12" i="2"/>
  <c r="AE12" i="2"/>
  <c r="AD12" i="2"/>
  <c r="AC12" i="2"/>
  <c r="AB12" i="2"/>
  <c r="O12" i="2"/>
  <c r="AA12" i="2"/>
  <c r="Y12" i="2"/>
  <c r="Z12" i="2" s="1"/>
  <c r="X12" i="2"/>
  <c r="E12" i="2"/>
  <c r="J14" i="2"/>
  <c r="M14" i="2" s="1"/>
  <c r="K14" i="2"/>
  <c r="L14" i="2"/>
  <c r="Q14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M13" i="2"/>
  <c r="N13" i="2" s="1"/>
  <c r="O13" i="2"/>
  <c r="P13" i="2" s="1"/>
  <c r="Q13" i="2"/>
  <c r="R13" i="2"/>
  <c r="L13" i="2"/>
  <c r="K13" i="2"/>
  <c r="J13" i="2"/>
  <c r="R12" i="2"/>
  <c r="G12" i="2"/>
  <c r="P12" i="2"/>
  <c r="F12" i="2"/>
  <c r="M12" i="2"/>
  <c r="N12" i="2" s="1"/>
  <c r="B14" i="2"/>
  <c r="E14" i="2" s="1"/>
  <c r="C14" i="2"/>
  <c r="D14" i="2"/>
  <c r="F14" i="2"/>
  <c r="G14" i="2"/>
  <c r="C15" i="2"/>
  <c r="D15" i="2"/>
  <c r="G13" i="2"/>
  <c r="F13" i="2"/>
  <c r="E13" i="2"/>
  <c r="D13" i="2"/>
  <c r="C13" i="2"/>
  <c r="B13" i="2"/>
  <c r="B44" i="1"/>
  <c r="B42" i="1"/>
  <c r="B41" i="1"/>
  <c r="G7" i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6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5" i="1"/>
  <c r="C7" i="1"/>
  <c r="C8" i="1" s="1"/>
  <c r="C9" i="1" s="1"/>
  <c r="C10" i="1" s="1"/>
  <c r="C11" i="1" s="1"/>
  <c r="C6" i="1"/>
  <c r="B6" i="1"/>
  <c r="B7" i="1"/>
  <c r="B8" i="1"/>
  <c r="B9" i="1"/>
  <c r="B10" i="1"/>
  <c r="B11" i="1"/>
  <c r="B5" i="1"/>
  <c r="W13" i="2" l="1"/>
  <c r="W14" i="2" s="1"/>
  <c r="W15" i="2" s="1"/>
  <c r="AC14" i="2"/>
  <c r="AD14" i="2" s="1"/>
  <c r="AE14" i="2" s="1"/>
  <c r="L15" i="2"/>
  <c r="N14" i="2"/>
  <c r="J15" i="2" s="1"/>
  <c r="O14" i="2"/>
  <c r="G15" i="2"/>
  <c r="D16" i="2" s="1"/>
  <c r="B15" i="2"/>
  <c r="V15" i="2" l="1"/>
  <c r="K15" i="2"/>
  <c r="M15" i="2" s="1"/>
  <c r="P14" i="2"/>
  <c r="E15" i="2"/>
  <c r="B16" i="2" s="1"/>
  <c r="F15" i="2"/>
  <c r="C16" i="2" s="1"/>
  <c r="W16" i="2" l="1"/>
  <c r="W17" i="2" s="1"/>
  <c r="AB15" i="2"/>
  <c r="X15" i="2"/>
  <c r="N15" i="2"/>
  <c r="J16" i="2" s="1"/>
  <c r="O15" i="2"/>
  <c r="P15" i="2" s="1"/>
  <c r="Q15" i="2"/>
  <c r="L16" i="2" s="1"/>
  <c r="K16" i="2"/>
  <c r="F16" i="2"/>
  <c r="C17" i="2" s="1"/>
  <c r="E16" i="2"/>
  <c r="B17" i="2" s="1"/>
  <c r="G16" i="2"/>
  <c r="D17" i="2" s="1"/>
  <c r="V16" i="2" l="1"/>
  <c r="Y15" i="2"/>
  <c r="Z15" i="2" s="1"/>
  <c r="AA15" i="2" s="1"/>
  <c r="AC15" i="2"/>
  <c r="AD15" i="2" s="1"/>
  <c r="AE15" i="2" s="1"/>
  <c r="M16" i="2"/>
  <c r="N16" i="2" s="1"/>
  <c r="O16" i="2"/>
  <c r="P16" i="2" s="1"/>
  <c r="Q16" i="2"/>
  <c r="K17" i="2"/>
  <c r="L17" i="2"/>
  <c r="E17" i="2"/>
  <c r="B18" i="2" s="1"/>
  <c r="F17" i="2"/>
  <c r="C18" i="2" s="1"/>
  <c r="G17" i="2"/>
  <c r="D18" i="2"/>
  <c r="U16" i="2" l="1"/>
  <c r="Q17" i="2"/>
  <c r="L18" i="2" s="1"/>
  <c r="J17" i="2"/>
  <c r="E18" i="2"/>
  <c r="F18" i="2"/>
  <c r="B19" i="2"/>
  <c r="G18" i="2"/>
  <c r="C19" i="2"/>
  <c r="D19" i="2"/>
  <c r="X16" i="2" l="1"/>
  <c r="Y16" i="2"/>
  <c r="Z16" i="2" s="1"/>
  <c r="AA16" i="2" s="1"/>
  <c r="AB16" i="2"/>
  <c r="O17" i="2"/>
  <c r="M17" i="2"/>
  <c r="N17" i="2" s="1"/>
  <c r="D20" i="2"/>
  <c r="G19" i="2"/>
  <c r="E19" i="2"/>
  <c r="F19" i="2"/>
  <c r="C20" i="2" s="1"/>
  <c r="B20" i="2"/>
  <c r="U17" i="2" l="1"/>
  <c r="AC16" i="2"/>
  <c r="AD16" i="2" s="1"/>
  <c r="AE16" i="2" s="1"/>
  <c r="P17" i="2"/>
  <c r="K18" i="2" s="1"/>
  <c r="J18" i="2"/>
  <c r="G20" i="2"/>
  <c r="D21" i="2" s="1"/>
  <c r="F20" i="2"/>
  <c r="C21" i="2" s="1"/>
  <c r="E20" i="2"/>
  <c r="B21" i="2" s="1"/>
  <c r="V17" i="2" l="1"/>
  <c r="Q18" i="2"/>
  <c r="L19" i="2" s="1"/>
  <c r="O18" i="2"/>
  <c r="P18" i="2" s="1"/>
  <c r="M18" i="2"/>
  <c r="N18" i="2" s="1"/>
  <c r="E21" i="2"/>
  <c r="B22" i="2" s="1"/>
  <c r="F21" i="2"/>
  <c r="C22" i="2" s="1"/>
  <c r="G21" i="2"/>
  <c r="D22" i="2" s="1"/>
  <c r="AB17" i="2" l="1"/>
  <c r="AC17" i="2"/>
  <c r="AD17" i="2" s="1"/>
  <c r="AE17" i="2" s="1"/>
  <c r="W18" i="2"/>
  <c r="X17" i="2"/>
  <c r="K19" i="2"/>
  <c r="J19" i="2"/>
  <c r="G22" i="2"/>
  <c r="D23" i="2" s="1"/>
  <c r="E22" i="2"/>
  <c r="B23" i="2"/>
  <c r="F22" i="2"/>
  <c r="C23" i="2" s="1"/>
  <c r="V18" i="2" l="1"/>
  <c r="Y17" i="2"/>
  <c r="Z17" i="2" s="1"/>
  <c r="AA17" i="2" s="1"/>
  <c r="M19" i="2"/>
  <c r="N19" i="2" s="1"/>
  <c r="O19" i="2"/>
  <c r="P19" i="2" s="1"/>
  <c r="K20" i="2" s="1"/>
  <c r="J20" i="2"/>
  <c r="Q19" i="2"/>
  <c r="L20" i="2" s="1"/>
  <c r="G23" i="2"/>
  <c r="D24" i="2"/>
  <c r="E23" i="2"/>
  <c r="B24" i="2" s="1"/>
  <c r="F23" i="2"/>
  <c r="C24" i="2" s="1"/>
  <c r="U18" i="2" l="1"/>
  <c r="W19" i="2"/>
  <c r="Q20" i="2"/>
  <c r="L21" i="2"/>
  <c r="M20" i="2"/>
  <c r="N20" i="2" s="1"/>
  <c r="J21" i="2" s="1"/>
  <c r="O20" i="2"/>
  <c r="P20" i="2" s="1"/>
  <c r="G24" i="2"/>
  <c r="E24" i="2"/>
  <c r="B25" i="2" s="1"/>
  <c r="F24" i="2"/>
  <c r="C25" i="2" s="1"/>
  <c r="D25" i="2"/>
  <c r="AB18" i="2" l="1"/>
  <c r="X18" i="2"/>
  <c r="Y18" i="2" s="1"/>
  <c r="Z18" i="2" s="1"/>
  <c r="AA18" i="2" s="1"/>
  <c r="AC18" i="2"/>
  <c r="AD18" i="2" s="1"/>
  <c r="AE18" i="2" s="1"/>
  <c r="K21" i="2"/>
  <c r="G25" i="2"/>
  <c r="E25" i="2"/>
  <c r="F25" i="2"/>
  <c r="C26" i="2" s="1"/>
  <c r="B26" i="2"/>
  <c r="D26" i="2"/>
  <c r="V19" i="2" l="1"/>
  <c r="U19" i="2"/>
  <c r="Q21" i="2"/>
  <c r="L22" i="2" s="1"/>
  <c r="M21" i="2"/>
  <c r="O21" i="2"/>
  <c r="P21" i="2" s="1"/>
  <c r="G26" i="2"/>
  <c r="D27" i="2"/>
  <c r="E26" i="2"/>
  <c r="B27" i="2"/>
  <c r="F26" i="2"/>
  <c r="C27" i="2" s="1"/>
  <c r="W20" i="2" l="1"/>
  <c r="AB19" i="2"/>
  <c r="AC19" i="2"/>
  <c r="AD19" i="2" s="1"/>
  <c r="AE19" i="2" s="1"/>
  <c r="X19" i="2"/>
  <c r="Y19" i="2" s="1"/>
  <c r="Z19" i="2" s="1"/>
  <c r="AA19" i="2" s="1"/>
  <c r="N21" i="2"/>
  <c r="J22" i="2" s="1"/>
  <c r="K22" i="2"/>
  <c r="G27" i="2"/>
  <c r="E27" i="2"/>
  <c r="F27" i="2"/>
  <c r="C28" i="2" s="1"/>
  <c r="B28" i="2"/>
  <c r="D28" i="2"/>
  <c r="V20" i="2" l="1"/>
  <c r="U20" i="2"/>
  <c r="M22" i="2"/>
  <c r="N22" i="2" s="1"/>
  <c r="O22" i="2"/>
  <c r="P22" i="2" s="1"/>
  <c r="K23" i="2" s="1"/>
  <c r="Q22" i="2"/>
  <c r="L23" i="2" s="1"/>
  <c r="G28" i="2"/>
  <c r="D29" i="2"/>
  <c r="B29" i="2"/>
  <c r="E28" i="2"/>
  <c r="F28" i="2"/>
  <c r="C29" i="2" s="1"/>
  <c r="AB20" i="2" l="1"/>
  <c r="X20" i="2"/>
  <c r="W21" i="2"/>
  <c r="Q23" i="2"/>
  <c r="L24" i="2"/>
  <c r="J23" i="2"/>
  <c r="G29" i="2"/>
  <c r="E29" i="2"/>
  <c r="F29" i="2"/>
  <c r="C30" i="2" s="1"/>
  <c r="B30" i="2"/>
  <c r="D30" i="2"/>
  <c r="AC20" i="2" l="1"/>
  <c r="AD20" i="2" s="1"/>
  <c r="AE20" i="2" s="1"/>
  <c r="Y20" i="2"/>
  <c r="Z20" i="2" s="1"/>
  <c r="AA20" i="2" s="1"/>
  <c r="M23" i="2"/>
  <c r="N23" i="2" s="1"/>
  <c r="O23" i="2"/>
  <c r="J24" i="2"/>
  <c r="G30" i="2"/>
  <c r="D31" i="2" s="1"/>
  <c r="E30" i="2"/>
  <c r="B31" i="2" s="1"/>
  <c r="F30" i="2"/>
  <c r="C31" i="2" s="1"/>
  <c r="U21" i="2" l="1"/>
  <c r="V21" i="2"/>
  <c r="P23" i="2"/>
  <c r="K24" i="2"/>
  <c r="M24" i="2"/>
  <c r="N24" i="2" s="1"/>
  <c r="O24" i="2"/>
  <c r="P24" i="2" s="1"/>
  <c r="E31" i="2"/>
  <c r="F31" i="2"/>
  <c r="B32" i="2"/>
  <c r="G31" i="2"/>
  <c r="C32" i="2"/>
  <c r="D32" i="2"/>
  <c r="W22" i="2" l="1"/>
  <c r="AB21" i="2"/>
  <c r="AC21" i="2" s="1"/>
  <c r="X21" i="2"/>
  <c r="Y21" i="2" s="1"/>
  <c r="Z21" i="2" s="1"/>
  <c r="AA21" i="2" s="1"/>
  <c r="J25" i="2"/>
  <c r="Q24" i="2"/>
  <c r="L25" i="2" s="1"/>
  <c r="K25" i="2"/>
  <c r="F32" i="2"/>
  <c r="E32" i="2"/>
  <c r="B33" i="2" s="1"/>
  <c r="D33" i="2"/>
  <c r="G32" i="2"/>
  <c r="C33" i="2"/>
  <c r="AD21" i="2" l="1"/>
  <c r="AE21" i="2" s="1"/>
  <c r="U22" i="2"/>
  <c r="Q25" i="2"/>
  <c r="L26" i="2"/>
  <c r="O25" i="2"/>
  <c r="P25" i="2" s="1"/>
  <c r="M25" i="2"/>
  <c r="N25" i="2" s="1"/>
  <c r="E33" i="2"/>
  <c r="F33" i="2"/>
  <c r="B34" i="2"/>
  <c r="D34" i="2"/>
  <c r="C34" i="2"/>
  <c r="G33" i="2"/>
  <c r="X22" i="2" l="1"/>
  <c r="Y22" i="2" s="1"/>
  <c r="AB22" i="2"/>
  <c r="V22" i="2"/>
  <c r="J26" i="2"/>
  <c r="K26" i="2"/>
  <c r="G34" i="2"/>
  <c r="D35" i="2" s="1"/>
  <c r="E34" i="2"/>
  <c r="B35" i="2"/>
  <c r="F34" i="2"/>
  <c r="C35" i="2" s="1"/>
  <c r="Z22" i="2" l="1"/>
  <c r="AA22" i="2" s="1"/>
  <c r="W23" i="2"/>
  <c r="AC22" i="2"/>
  <c r="Q26" i="2"/>
  <c r="L27" i="2" s="1"/>
  <c r="O26" i="2"/>
  <c r="P26" i="2" s="1"/>
  <c r="M26" i="2"/>
  <c r="N26" i="2" s="1"/>
  <c r="G35" i="2"/>
  <c r="D36" i="2"/>
  <c r="E35" i="2"/>
  <c r="B36" i="2" s="1"/>
  <c r="F35" i="2"/>
  <c r="C36" i="2" s="1"/>
  <c r="AD22" i="2" l="1"/>
  <c r="AE22" i="2" s="1"/>
  <c r="U23" i="2"/>
  <c r="J27" i="2"/>
  <c r="K27" i="2"/>
  <c r="G36" i="2"/>
  <c r="F36" i="2"/>
  <c r="C37" i="2" s="1"/>
  <c r="E36" i="2"/>
  <c r="B37" i="2" s="1"/>
  <c r="D37" i="2"/>
  <c r="AB23" i="2" l="1"/>
  <c r="AC23" i="2"/>
  <c r="V23" i="2"/>
  <c r="X23" i="2" s="1"/>
  <c r="Q27" i="2"/>
  <c r="L28" i="2" s="1"/>
  <c r="M27" i="2"/>
  <c r="N27" i="2" s="1"/>
  <c r="O27" i="2"/>
  <c r="P27" i="2" s="1"/>
  <c r="E37" i="2"/>
  <c r="F37" i="2"/>
  <c r="B38" i="2"/>
  <c r="C38" i="2"/>
  <c r="G37" i="2"/>
  <c r="D38" i="2"/>
  <c r="Y23" i="2" l="1"/>
  <c r="Z23" i="2" s="1"/>
  <c r="AA23" i="2" s="1"/>
  <c r="W24" i="2"/>
  <c r="AD23" i="2"/>
  <c r="AE23" i="2" s="1"/>
  <c r="J28" i="2"/>
  <c r="K28" i="2"/>
  <c r="G38" i="2"/>
  <c r="D39" i="2"/>
  <c r="E38" i="2"/>
  <c r="B39" i="2" s="1"/>
  <c r="F38" i="2"/>
  <c r="C39" i="2" s="1"/>
  <c r="V24" i="2" l="1"/>
  <c r="U24" i="2"/>
  <c r="Q28" i="2"/>
  <c r="L29" i="2" s="1"/>
  <c r="O28" i="2"/>
  <c r="P28" i="2" s="1"/>
  <c r="M28" i="2"/>
  <c r="N28" i="2" s="1"/>
  <c r="J29" i="2" s="1"/>
  <c r="G39" i="2"/>
  <c r="E39" i="2"/>
  <c r="F39" i="2"/>
  <c r="C40" i="2" s="1"/>
  <c r="B40" i="2"/>
  <c r="D40" i="2"/>
  <c r="X24" i="2" l="1"/>
  <c r="U25" i="2" s="1"/>
  <c r="Y24" i="2"/>
  <c r="Z24" i="2" s="1"/>
  <c r="AA24" i="2" s="1"/>
  <c r="AB24" i="2"/>
  <c r="W25" i="2"/>
  <c r="K29" i="2"/>
  <c r="O29" i="2" s="1"/>
  <c r="P29" i="2" s="1"/>
  <c r="G40" i="2"/>
  <c r="D41" i="2"/>
  <c r="E40" i="2"/>
  <c r="B41" i="2" s="1"/>
  <c r="F40" i="2"/>
  <c r="C41" i="2" s="1"/>
  <c r="AC24" i="2" l="1"/>
  <c r="AD24" i="2" s="1"/>
  <c r="AE24" i="2" s="1"/>
  <c r="M29" i="2"/>
  <c r="Q29" i="2"/>
  <c r="L30" i="2" s="1"/>
  <c r="K30" i="2"/>
  <c r="G41" i="2"/>
  <c r="E41" i="2"/>
  <c r="F41" i="2"/>
  <c r="C42" i="2" s="1"/>
  <c r="B42" i="2"/>
  <c r="D42" i="2"/>
  <c r="V25" i="2" l="1"/>
  <c r="L31" i="2"/>
  <c r="Q30" i="2"/>
  <c r="N29" i="2"/>
  <c r="J30" i="2" s="1"/>
  <c r="G42" i="2"/>
  <c r="D43" i="2"/>
  <c r="E42" i="2"/>
  <c r="B43" i="2"/>
  <c r="F42" i="2"/>
  <c r="C43" i="2" s="1"/>
  <c r="W26" i="2" l="1"/>
  <c r="AB25" i="2"/>
  <c r="X25" i="2"/>
  <c r="AC25" i="2"/>
  <c r="AD25" i="2"/>
  <c r="AE25" i="2" s="1"/>
  <c r="M30" i="2"/>
  <c r="N30" i="2" s="1"/>
  <c r="O30" i="2"/>
  <c r="G43" i="2"/>
  <c r="E43" i="2"/>
  <c r="F43" i="2"/>
  <c r="C44" i="2" s="1"/>
  <c r="B44" i="2"/>
  <c r="D44" i="2"/>
  <c r="V26" i="2" l="1"/>
  <c r="Y25" i="2"/>
  <c r="Z25" i="2" s="1"/>
  <c r="AA25" i="2" s="1"/>
  <c r="J31" i="2"/>
  <c r="P30" i="2"/>
  <c r="K31" i="2" s="1"/>
  <c r="G44" i="2"/>
  <c r="D45" i="2"/>
  <c r="E44" i="2"/>
  <c r="B45" i="2" s="1"/>
  <c r="F44" i="2"/>
  <c r="C45" i="2" s="1"/>
  <c r="U26" i="2" l="1"/>
  <c r="W27" i="2"/>
  <c r="Q31" i="2"/>
  <c r="L32" i="2" s="1"/>
  <c r="M31" i="2"/>
  <c r="N31" i="2" s="1"/>
  <c r="J32" i="2" s="1"/>
  <c r="O31" i="2"/>
  <c r="P31" i="2" s="1"/>
  <c r="G45" i="2"/>
  <c r="E45" i="2"/>
  <c r="F45" i="2"/>
  <c r="C46" i="2" s="1"/>
  <c r="B46" i="2"/>
  <c r="D46" i="2"/>
  <c r="Y26" i="2" l="1"/>
  <c r="Z26" i="2" s="1"/>
  <c r="AA26" i="2" s="1"/>
  <c r="AB26" i="2"/>
  <c r="X26" i="2"/>
  <c r="K32" i="2"/>
  <c r="G46" i="2"/>
  <c r="D47" i="2"/>
  <c r="E46" i="2"/>
  <c r="B47" i="2" s="1"/>
  <c r="F46" i="2"/>
  <c r="C47" i="2" s="1"/>
  <c r="U27" i="2" l="1"/>
  <c r="AC26" i="2"/>
  <c r="AD26" i="2" s="1"/>
  <c r="AE26" i="2" s="1"/>
  <c r="Q32" i="2"/>
  <c r="L33" i="2" s="1"/>
  <c r="M32" i="2"/>
  <c r="O32" i="2"/>
  <c r="P32" i="2" s="1"/>
  <c r="G47" i="2"/>
  <c r="E47" i="2"/>
  <c r="F47" i="2"/>
  <c r="C48" i="2" s="1"/>
  <c r="B48" i="2"/>
  <c r="D48" i="2"/>
  <c r="V27" i="2" l="1"/>
  <c r="AB27" i="2"/>
  <c r="AC27" i="2" s="1"/>
  <c r="AD27" i="2" s="1"/>
  <c r="AE27" i="2" s="1"/>
  <c r="X27" i="2"/>
  <c r="Y27" i="2" s="1"/>
  <c r="Z27" i="2" s="1"/>
  <c r="AA27" i="2" s="1"/>
  <c r="N32" i="2"/>
  <c r="J33" i="2" s="1"/>
  <c r="K33" i="2"/>
  <c r="G48" i="2"/>
  <c r="E48" i="2"/>
  <c r="B49" i="2" s="1"/>
  <c r="F48" i="2"/>
  <c r="C49" i="2" s="1"/>
  <c r="D49" i="2"/>
  <c r="U28" i="2" l="1"/>
  <c r="V28" i="2"/>
  <c r="W28" i="2"/>
  <c r="O33" i="2"/>
  <c r="P33" i="2" s="1"/>
  <c r="M33" i="2"/>
  <c r="N33" i="2" s="1"/>
  <c r="K34" i="2"/>
  <c r="Q33" i="2"/>
  <c r="L34" i="2" s="1"/>
  <c r="G49" i="2"/>
  <c r="E49" i="2"/>
  <c r="F49" i="2"/>
  <c r="C50" i="2" s="1"/>
  <c r="B50" i="2"/>
  <c r="D50" i="2"/>
  <c r="W29" i="2" l="1"/>
  <c r="AB28" i="2"/>
  <c r="AC28" i="2"/>
  <c r="AD28" i="2" s="1"/>
  <c r="AE28" i="2" s="1"/>
  <c r="X28" i="2"/>
  <c r="Y28" i="2" s="1"/>
  <c r="J34" i="2"/>
  <c r="Q34" i="2"/>
  <c r="L35" i="2" s="1"/>
  <c r="G50" i="2"/>
  <c r="D51" i="2"/>
  <c r="E50" i="2"/>
  <c r="B51" i="2"/>
  <c r="F50" i="2"/>
  <c r="C51" i="2" s="1"/>
  <c r="Z28" i="2" l="1"/>
  <c r="AA28" i="2" s="1"/>
  <c r="U29" i="2"/>
  <c r="V29" i="2"/>
  <c r="J35" i="2"/>
  <c r="O34" i="2"/>
  <c r="M34" i="2"/>
  <c r="N34" i="2" s="1"/>
  <c r="G51" i="2"/>
  <c r="E51" i="2"/>
  <c r="F51" i="2"/>
  <c r="C52" i="2" s="1"/>
  <c r="B52" i="2"/>
  <c r="D52" i="2"/>
  <c r="W30" i="2" l="1"/>
  <c r="AB29" i="2"/>
  <c r="AC29" i="2"/>
  <c r="AD29" i="2" s="1"/>
  <c r="AE29" i="2" s="1"/>
  <c r="X29" i="2"/>
  <c r="Y29" i="2" s="1"/>
  <c r="P34" i="2"/>
  <c r="K35" i="2" s="1"/>
  <c r="G52" i="2"/>
  <c r="D53" i="2"/>
  <c r="F52" i="2"/>
  <c r="C53" i="2" s="1"/>
  <c r="E52" i="2"/>
  <c r="B53" i="2" s="1"/>
  <c r="Z29" i="2" l="1"/>
  <c r="AA29" i="2" s="1"/>
  <c r="U30" i="2"/>
  <c r="V30" i="2"/>
  <c r="Q35" i="2"/>
  <c r="L36" i="2" s="1"/>
  <c r="M35" i="2"/>
  <c r="O35" i="2"/>
  <c r="P35" i="2" s="1"/>
  <c r="E53" i="2"/>
  <c r="B54" i="2" s="1"/>
  <c r="F53" i="2"/>
  <c r="C54" i="2" s="1"/>
  <c r="G53" i="2"/>
  <c r="D54" i="2"/>
  <c r="W31" i="2" l="1"/>
  <c r="X30" i="2"/>
  <c r="Y30" i="2" s="1"/>
  <c r="AB30" i="2"/>
  <c r="N35" i="2"/>
  <c r="J36" i="2"/>
  <c r="K36" i="2"/>
  <c r="G54" i="2"/>
  <c r="E54" i="2"/>
  <c r="B55" i="2"/>
  <c r="F54" i="2"/>
  <c r="C55" i="2" s="1"/>
  <c r="D55" i="2"/>
  <c r="Z30" i="2" l="1"/>
  <c r="AA30" i="2" s="1"/>
  <c r="U31" i="2" s="1"/>
  <c r="AC30" i="2"/>
  <c r="AD30" i="2" s="1"/>
  <c r="AE30" i="2" s="1"/>
  <c r="Q36" i="2"/>
  <c r="L37" i="2" s="1"/>
  <c r="O36" i="2"/>
  <c r="P36" i="2" s="1"/>
  <c r="M36" i="2"/>
  <c r="N36" i="2" s="1"/>
  <c r="J37" i="2"/>
  <c r="G55" i="2"/>
  <c r="E55" i="2"/>
  <c r="F55" i="2"/>
  <c r="C56" i="2" s="1"/>
  <c r="B56" i="2"/>
  <c r="D56" i="2"/>
  <c r="X31" i="2" l="1"/>
  <c r="Y31" i="2"/>
  <c r="AB31" i="2"/>
  <c r="Z31" i="2"/>
  <c r="V31" i="2"/>
  <c r="K37" i="2"/>
  <c r="G56" i="2"/>
  <c r="D57" i="2"/>
  <c r="E56" i="2"/>
  <c r="B57" i="2" s="1"/>
  <c r="F56" i="2"/>
  <c r="C57" i="2" s="1"/>
  <c r="AA31" i="2" l="1"/>
  <c r="U32" i="2" s="1"/>
  <c r="W32" i="2"/>
  <c r="AC31" i="2"/>
  <c r="AD31" i="2"/>
  <c r="AE31" i="2" s="1"/>
  <c r="Q37" i="2"/>
  <c r="L38" i="2" s="1"/>
  <c r="M37" i="2"/>
  <c r="O37" i="2"/>
  <c r="P37" i="2" s="1"/>
  <c r="G57" i="2"/>
  <c r="E57" i="2"/>
  <c r="F57" i="2"/>
  <c r="C58" i="2" s="1"/>
  <c r="B58" i="2"/>
  <c r="D58" i="2"/>
  <c r="V32" i="2" l="1"/>
  <c r="X32" i="2"/>
  <c r="Y32" i="2" s="1"/>
  <c r="Z32" i="2" s="1"/>
  <c r="AA32" i="2" s="1"/>
  <c r="AC32" i="2"/>
  <c r="AD32" i="2" s="1"/>
  <c r="AE32" i="2" s="1"/>
  <c r="AB32" i="2"/>
  <c r="N37" i="2"/>
  <c r="J38" i="2"/>
  <c r="K38" i="2"/>
  <c r="G58" i="2"/>
  <c r="D59" i="2"/>
  <c r="E58" i="2"/>
  <c r="B59" i="2"/>
  <c r="F58" i="2"/>
  <c r="C59" i="2" s="1"/>
  <c r="U33" i="2" l="1"/>
  <c r="W33" i="2"/>
  <c r="V33" i="2"/>
  <c r="Q38" i="2"/>
  <c r="L39" i="2" s="1"/>
  <c r="M38" i="2"/>
  <c r="N38" i="2" s="1"/>
  <c r="J39" i="2" s="1"/>
  <c r="O38" i="2"/>
  <c r="P38" i="2" s="1"/>
  <c r="G59" i="2"/>
  <c r="D60" i="2"/>
  <c r="E59" i="2"/>
  <c r="F59" i="2"/>
  <c r="C60" i="2" s="1"/>
  <c r="B60" i="2"/>
  <c r="W34" i="2" l="1"/>
  <c r="X33" i="2"/>
  <c r="Y33" i="2"/>
  <c r="Z33" i="2" s="1"/>
  <c r="AA33" i="2" s="1"/>
  <c r="AB33" i="2"/>
  <c r="K39" i="2"/>
  <c r="G60" i="2"/>
  <c r="E60" i="2"/>
  <c r="B61" i="2" s="1"/>
  <c r="F60" i="2"/>
  <c r="C61" i="2" s="1"/>
  <c r="D61" i="2"/>
  <c r="U34" i="2" l="1"/>
  <c r="AC33" i="2"/>
  <c r="AD33" i="2" s="1"/>
  <c r="AE33" i="2" s="1"/>
  <c r="Q39" i="2"/>
  <c r="L40" i="2" s="1"/>
  <c r="O39" i="2"/>
  <c r="P39" i="2" s="1"/>
  <c r="M39" i="2"/>
  <c r="G61" i="2"/>
  <c r="E61" i="2"/>
  <c r="F61" i="2"/>
  <c r="C62" i="2" s="1"/>
  <c r="B62" i="2"/>
  <c r="D62" i="2"/>
  <c r="AB34" i="2" l="1"/>
  <c r="X34" i="2"/>
  <c r="Y34" i="2" s="1"/>
  <c r="Z34" i="2" s="1"/>
  <c r="AA34" i="2" s="1"/>
  <c r="AC34" i="2"/>
  <c r="V34" i="2"/>
  <c r="N39" i="2"/>
  <c r="J40" i="2"/>
  <c r="K40" i="2"/>
  <c r="G62" i="2"/>
  <c r="D63" i="2"/>
  <c r="E62" i="2"/>
  <c r="B63" i="2" s="1"/>
  <c r="F62" i="2"/>
  <c r="C63" i="2" s="1"/>
  <c r="U35" i="2" l="1"/>
  <c r="W35" i="2"/>
  <c r="AD34" i="2"/>
  <c r="AE34" i="2" s="1"/>
  <c r="Q40" i="2"/>
  <c r="L41" i="2" s="1"/>
  <c r="M40" i="2"/>
  <c r="N40" i="2" s="1"/>
  <c r="O40" i="2"/>
  <c r="P40" i="2" s="1"/>
  <c r="G63" i="2"/>
  <c r="E63" i="2"/>
  <c r="F63" i="2"/>
  <c r="C64" i="2" s="1"/>
  <c r="B64" i="2"/>
  <c r="D64" i="2"/>
  <c r="V35" i="2" l="1"/>
  <c r="AD35" i="2" s="1"/>
  <c r="AB35" i="2"/>
  <c r="AC35" i="2"/>
  <c r="X35" i="2"/>
  <c r="Y35" i="2" s="1"/>
  <c r="Z35" i="2" s="1"/>
  <c r="AA35" i="2" s="1"/>
  <c r="J41" i="2"/>
  <c r="K41" i="2"/>
  <c r="G64" i="2"/>
  <c r="D65" i="2"/>
  <c r="E64" i="2"/>
  <c r="B65" i="2" s="1"/>
  <c r="F64" i="2"/>
  <c r="C65" i="2" s="1"/>
  <c r="U36" i="2" l="1"/>
  <c r="AE35" i="2"/>
  <c r="V36" i="2"/>
  <c r="W36" i="2"/>
  <c r="Q41" i="2"/>
  <c r="L42" i="2" s="1"/>
  <c r="O41" i="2"/>
  <c r="P41" i="2" s="1"/>
  <c r="M41" i="2"/>
  <c r="N41" i="2" s="1"/>
  <c r="G65" i="2"/>
  <c r="E65" i="2"/>
  <c r="F65" i="2"/>
  <c r="C66" i="2" s="1"/>
  <c r="B66" i="2"/>
  <c r="D66" i="2"/>
  <c r="W37" i="2" l="1"/>
  <c r="AB36" i="2"/>
  <c r="AC36" i="2"/>
  <c r="AD36" i="2" s="1"/>
  <c r="AE36" i="2" s="1"/>
  <c r="X36" i="2"/>
  <c r="Y36" i="2" s="1"/>
  <c r="J42" i="2"/>
  <c r="K42" i="2"/>
  <c r="G66" i="2"/>
  <c r="D67" i="2"/>
  <c r="E66" i="2"/>
  <c r="B67" i="2" s="1"/>
  <c r="F66" i="2"/>
  <c r="C67" i="2" s="1"/>
  <c r="V37" i="2" l="1"/>
  <c r="Z36" i="2"/>
  <c r="AA36" i="2" s="1"/>
  <c r="Q42" i="2"/>
  <c r="L43" i="2" s="1"/>
  <c r="O42" i="2"/>
  <c r="P42" i="2" s="1"/>
  <c r="M42" i="2"/>
  <c r="N42" i="2" s="1"/>
  <c r="G67" i="2"/>
  <c r="E67" i="2"/>
  <c r="F67" i="2"/>
  <c r="C68" i="2" s="1"/>
  <c r="B68" i="2"/>
  <c r="D68" i="2"/>
  <c r="U37" i="2" l="1"/>
  <c r="W38" i="2"/>
  <c r="J43" i="2"/>
  <c r="K43" i="2"/>
  <c r="G68" i="2"/>
  <c r="F68" i="2"/>
  <c r="C69" i="2" s="1"/>
  <c r="E68" i="2"/>
  <c r="B69" i="2" s="1"/>
  <c r="D69" i="2"/>
  <c r="AB37" i="2" l="1"/>
  <c r="AC37" i="2" s="1"/>
  <c r="AD37" i="2" s="1"/>
  <c r="AE37" i="2" s="1"/>
  <c r="X37" i="2"/>
  <c r="Y37" i="2" s="1"/>
  <c r="Z37" i="2" s="1"/>
  <c r="AA37" i="2" s="1"/>
  <c r="Q43" i="2"/>
  <c r="L44" i="2" s="1"/>
  <c r="M43" i="2"/>
  <c r="N43" i="2" s="1"/>
  <c r="O43" i="2"/>
  <c r="P43" i="2" s="1"/>
  <c r="E69" i="2"/>
  <c r="F69" i="2"/>
  <c r="C70" i="2" s="1"/>
  <c r="B70" i="2"/>
  <c r="G69" i="2"/>
  <c r="D70" i="2" s="1"/>
  <c r="U38" i="2" l="1"/>
  <c r="V38" i="2"/>
  <c r="J44" i="2"/>
  <c r="K44" i="2"/>
  <c r="G70" i="2"/>
  <c r="D71" i="2" s="1"/>
  <c r="E70" i="2"/>
  <c r="B71" i="2"/>
  <c r="F70" i="2"/>
  <c r="C71" i="2" s="1"/>
  <c r="W39" i="2" l="1"/>
  <c r="AC38" i="2"/>
  <c r="AD38" i="2" s="1"/>
  <c r="AE38" i="2" s="1"/>
  <c r="X38" i="2"/>
  <c r="AB38" i="2"/>
  <c r="Q44" i="2"/>
  <c r="L45" i="2" s="1"/>
  <c r="O44" i="2"/>
  <c r="P44" i="2" s="1"/>
  <c r="M44" i="2"/>
  <c r="N44" i="2" s="1"/>
  <c r="J45" i="2"/>
  <c r="G71" i="2"/>
  <c r="D72" i="2"/>
  <c r="E71" i="2"/>
  <c r="F71" i="2"/>
  <c r="C72" i="2" s="1"/>
  <c r="B72" i="2"/>
  <c r="V39" i="2" l="1"/>
  <c r="Y38" i="2"/>
  <c r="Z38" i="2" s="1"/>
  <c r="AA38" i="2" s="1"/>
  <c r="K45" i="2"/>
  <c r="G72" i="2"/>
  <c r="E72" i="2"/>
  <c r="B73" i="2" s="1"/>
  <c r="F72" i="2"/>
  <c r="C73" i="2" s="1"/>
  <c r="D73" i="2"/>
  <c r="U39" i="2" l="1"/>
  <c r="W40" i="2"/>
  <c r="Q45" i="2"/>
  <c r="L46" i="2" s="1"/>
  <c r="M45" i="2"/>
  <c r="O45" i="2"/>
  <c r="P45" i="2" s="1"/>
  <c r="G73" i="2"/>
  <c r="E73" i="2"/>
  <c r="F73" i="2"/>
  <c r="C74" i="2" s="1"/>
  <c r="B74" i="2"/>
  <c r="D74" i="2"/>
  <c r="X39" i="2" l="1"/>
  <c r="Y39" i="2" s="1"/>
  <c r="Z39" i="2" s="1"/>
  <c r="AA39" i="2" s="1"/>
  <c r="AB39" i="2"/>
  <c r="K46" i="2"/>
  <c r="N45" i="2"/>
  <c r="J46" i="2"/>
  <c r="G74" i="2"/>
  <c r="E74" i="2"/>
  <c r="B75" i="2" s="1"/>
  <c r="F74" i="2"/>
  <c r="C75" i="2" s="1"/>
  <c r="D75" i="2"/>
  <c r="U40" i="2" l="1"/>
  <c r="AC39" i="2"/>
  <c r="AD39" i="2" s="1"/>
  <c r="AE39" i="2" s="1"/>
  <c r="M46" i="2"/>
  <c r="N46" i="2" s="1"/>
  <c r="O46" i="2"/>
  <c r="P46" i="2" s="1"/>
  <c r="J47" i="2"/>
  <c r="K47" i="2"/>
  <c r="Q46" i="2"/>
  <c r="L47" i="2" s="1"/>
  <c r="G75" i="2"/>
  <c r="E75" i="2"/>
  <c r="F75" i="2"/>
  <c r="C76" i="2" s="1"/>
  <c r="B76" i="2"/>
  <c r="D76" i="2"/>
  <c r="V40" i="2" l="1"/>
  <c r="X40" i="2" s="1"/>
  <c r="Q47" i="2"/>
  <c r="L48" i="2"/>
  <c r="M47" i="2"/>
  <c r="N47" i="2" s="1"/>
  <c r="J48" i="2" s="1"/>
  <c r="O47" i="2"/>
  <c r="P47" i="2" s="1"/>
  <c r="G76" i="2"/>
  <c r="D77" i="2"/>
  <c r="F76" i="2"/>
  <c r="C77" i="2" s="1"/>
  <c r="E76" i="2"/>
  <c r="B77" i="2" s="1"/>
  <c r="Y40" i="2" l="1"/>
  <c r="Z40" i="2" s="1"/>
  <c r="AA40" i="2" s="1"/>
  <c r="W41" i="2"/>
  <c r="AB40" i="2"/>
  <c r="AC40" i="2" s="1"/>
  <c r="AD40" i="2" s="1"/>
  <c r="AE40" i="2" s="1"/>
  <c r="K48" i="2"/>
  <c r="E77" i="2"/>
  <c r="F77" i="2"/>
  <c r="C78" i="2" s="1"/>
  <c r="B78" i="2"/>
  <c r="G77" i="2"/>
  <c r="D78" i="2"/>
  <c r="U41" i="2" l="1"/>
  <c r="V41" i="2"/>
  <c r="Q48" i="2"/>
  <c r="L49" i="2" s="1"/>
  <c r="O48" i="2"/>
  <c r="P48" i="2" s="1"/>
  <c r="M48" i="2"/>
  <c r="G78" i="2"/>
  <c r="D79" i="2"/>
  <c r="E78" i="2"/>
  <c r="B79" i="2" s="1"/>
  <c r="F78" i="2"/>
  <c r="C79" i="2" s="1"/>
  <c r="W42" i="2" l="1"/>
  <c r="X41" i="2"/>
  <c r="AB41" i="2"/>
  <c r="N48" i="2"/>
  <c r="J49" i="2"/>
  <c r="K49" i="2"/>
  <c r="G79" i="2"/>
  <c r="E79" i="2"/>
  <c r="F79" i="2"/>
  <c r="C80" i="2" s="1"/>
  <c r="B80" i="2"/>
  <c r="D80" i="2"/>
  <c r="Y41" i="2" l="1"/>
  <c r="Z41" i="2" s="1"/>
  <c r="AA41" i="2" s="1"/>
  <c r="AC41" i="2"/>
  <c r="AD41" i="2" s="1"/>
  <c r="AE41" i="2" s="1"/>
  <c r="O49" i="2"/>
  <c r="P49" i="2" s="1"/>
  <c r="M49" i="2"/>
  <c r="N49" i="2" s="1"/>
  <c r="K50" i="2"/>
  <c r="Q49" i="2"/>
  <c r="L50" i="2" s="1"/>
  <c r="G80" i="2"/>
  <c r="D81" i="2"/>
  <c r="F80" i="2"/>
  <c r="C81" i="2" s="1"/>
  <c r="E80" i="2"/>
  <c r="B81" i="2" s="1"/>
  <c r="U42" i="2" l="1"/>
  <c r="V42" i="2"/>
  <c r="Q50" i="2"/>
  <c r="L51" i="2" s="1"/>
  <c r="J50" i="2"/>
  <c r="E81" i="2"/>
  <c r="F81" i="2"/>
  <c r="B82" i="2"/>
  <c r="C82" i="2"/>
  <c r="G81" i="2"/>
  <c r="D82" i="2"/>
  <c r="W43" i="2" l="1"/>
  <c r="Y42" i="2"/>
  <c r="Z42" i="2" s="1"/>
  <c r="AB42" i="2"/>
  <c r="X42" i="2"/>
  <c r="O50" i="2"/>
  <c r="M50" i="2"/>
  <c r="N50" i="2" s="1"/>
  <c r="G82" i="2"/>
  <c r="D83" i="2" s="1"/>
  <c r="E82" i="2"/>
  <c r="B83" i="2"/>
  <c r="F82" i="2"/>
  <c r="C83" i="2" s="1"/>
  <c r="AA42" i="2" l="1"/>
  <c r="U43" i="2" s="1"/>
  <c r="AC42" i="2"/>
  <c r="AD42" i="2" s="1"/>
  <c r="AE42" i="2" s="1"/>
  <c r="P50" i="2"/>
  <c r="K51" i="2"/>
  <c r="J51" i="2"/>
  <c r="G83" i="2"/>
  <c r="D84" i="2"/>
  <c r="E83" i="2"/>
  <c r="F83" i="2"/>
  <c r="C84" i="2" s="1"/>
  <c r="B84" i="2"/>
  <c r="AB43" i="2" l="1"/>
  <c r="AC43" i="2"/>
  <c r="X43" i="2"/>
  <c r="AD43" i="2"/>
  <c r="AE43" i="2" s="1"/>
  <c r="V43" i="2"/>
  <c r="Q51" i="2"/>
  <c r="L52" i="2" s="1"/>
  <c r="M51" i="2"/>
  <c r="N51" i="2" s="1"/>
  <c r="J52" i="2"/>
  <c r="O51" i="2"/>
  <c r="P51" i="2" s="1"/>
  <c r="G84" i="2"/>
  <c r="F84" i="2"/>
  <c r="C85" i="2" s="1"/>
  <c r="E84" i="2"/>
  <c r="B85" i="2" s="1"/>
  <c r="D85" i="2"/>
  <c r="Y43" i="2" l="1"/>
  <c r="Z43" i="2" s="1"/>
  <c r="AA43" i="2" s="1"/>
  <c r="V44" i="2"/>
  <c r="W44" i="2"/>
  <c r="K52" i="2"/>
  <c r="E85" i="2"/>
  <c r="F85" i="2"/>
  <c r="B86" i="2"/>
  <c r="C86" i="2"/>
  <c r="G85" i="2"/>
  <c r="D86" i="2" s="1"/>
  <c r="W45" i="2" l="1"/>
  <c r="U44" i="2"/>
  <c r="Q52" i="2"/>
  <c r="L53" i="2" s="1"/>
  <c r="M52" i="2"/>
  <c r="O52" i="2"/>
  <c r="P52" i="2" s="1"/>
  <c r="E86" i="2"/>
  <c r="B87" i="2"/>
  <c r="F86" i="2"/>
  <c r="G86" i="2"/>
  <c r="D87" i="2" s="1"/>
  <c r="C87" i="2"/>
  <c r="AB44" i="2" l="1"/>
  <c r="AC44" i="2"/>
  <c r="AD44" i="2"/>
  <c r="AE44" i="2" s="1"/>
  <c r="X44" i="2"/>
  <c r="N52" i="2"/>
  <c r="J53" i="2" s="1"/>
  <c r="K53" i="2"/>
  <c r="G87" i="2"/>
  <c r="D88" i="2" s="1"/>
  <c r="E87" i="2"/>
  <c r="F87" i="2"/>
  <c r="C88" i="2" s="1"/>
  <c r="B88" i="2"/>
  <c r="Y44" i="2" l="1"/>
  <c r="Z44" i="2" s="1"/>
  <c r="AA44" i="2" s="1"/>
  <c r="V45" i="2"/>
  <c r="O53" i="2"/>
  <c r="P53" i="2" s="1"/>
  <c r="M53" i="2"/>
  <c r="N53" i="2" s="1"/>
  <c r="Q53" i="2"/>
  <c r="L54" i="2" s="1"/>
  <c r="K54" i="2"/>
  <c r="G88" i="2"/>
  <c r="D89" i="2"/>
  <c r="E88" i="2"/>
  <c r="B89" i="2" s="1"/>
  <c r="F88" i="2"/>
  <c r="C89" i="2" s="1"/>
  <c r="W46" i="2" l="1"/>
  <c r="U45" i="2"/>
  <c r="Q54" i="2"/>
  <c r="L55" i="2" s="1"/>
  <c r="J54" i="2"/>
  <c r="G89" i="2"/>
  <c r="E89" i="2"/>
  <c r="F89" i="2"/>
  <c r="C90" i="2" s="1"/>
  <c r="B90" i="2"/>
  <c r="D90" i="2"/>
  <c r="AB45" i="2" l="1"/>
  <c r="AC45" i="2"/>
  <c r="AD45" i="2"/>
  <c r="AE45" i="2" s="1"/>
  <c r="Y45" i="2"/>
  <c r="X45" i="2"/>
  <c r="M54" i="2"/>
  <c r="N54" i="2" s="1"/>
  <c r="O54" i="2"/>
  <c r="J55" i="2"/>
  <c r="G90" i="2"/>
  <c r="E90" i="2"/>
  <c r="B91" i="2" s="1"/>
  <c r="F90" i="2"/>
  <c r="C91" i="2" s="1"/>
  <c r="D91" i="2"/>
  <c r="Z45" i="2" l="1"/>
  <c r="AA45" i="2" s="1"/>
  <c r="V46" i="2"/>
  <c r="P54" i="2"/>
  <c r="K55" i="2"/>
  <c r="G91" i="2"/>
  <c r="E91" i="2"/>
  <c r="F91" i="2"/>
  <c r="C92" i="2" s="1"/>
  <c r="B92" i="2"/>
  <c r="D92" i="2"/>
  <c r="W47" i="2" l="1"/>
  <c r="U46" i="2"/>
  <c r="Q55" i="2"/>
  <c r="L56" i="2" s="1"/>
  <c r="O55" i="2"/>
  <c r="P55" i="2" s="1"/>
  <c r="M55" i="2"/>
  <c r="G92" i="2"/>
  <c r="D93" i="2"/>
  <c r="E92" i="2"/>
  <c r="B93" i="2" s="1"/>
  <c r="F92" i="2"/>
  <c r="C93" i="2" s="1"/>
  <c r="X46" i="2" l="1"/>
  <c r="Y46" i="2"/>
  <c r="Z46" i="2"/>
  <c r="AA46" i="2" s="1"/>
  <c r="AB46" i="2"/>
  <c r="N55" i="2"/>
  <c r="J56" i="2"/>
  <c r="K56" i="2"/>
  <c r="G93" i="2"/>
  <c r="E93" i="2"/>
  <c r="F93" i="2"/>
  <c r="C94" i="2" s="1"/>
  <c r="B94" i="2"/>
  <c r="D94" i="2"/>
  <c r="U47" i="2" l="1"/>
  <c r="AC46" i="2"/>
  <c r="AD46" i="2" s="1"/>
  <c r="AE46" i="2" s="1"/>
  <c r="Q56" i="2"/>
  <c r="L57" i="2" s="1"/>
  <c r="M56" i="2"/>
  <c r="N56" i="2" s="1"/>
  <c r="O56" i="2"/>
  <c r="P56" i="2" s="1"/>
  <c r="G94" i="2"/>
  <c r="E94" i="2"/>
  <c r="B95" i="2"/>
  <c r="F94" i="2"/>
  <c r="C95" i="2" s="1"/>
  <c r="D95" i="2"/>
  <c r="V47" i="2" l="1"/>
  <c r="X47" i="2"/>
  <c r="Y47" i="2"/>
  <c r="AB47" i="2"/>
  <c r="AC47" i="2" s="1"/>
  <c r="AD47" i="2" s="1"/>
  <c r="AE47" i="2" s="1"/>
  <c r="Z47" i="2"/>
  <c r="AA47" i="2" s="1"/>
  <c r="J57" i="2"/>
  <c r="K57" i="2"/>
  <c r="G95" i="2"/>
  <c r="D96" i="2"/>
  <c r="E95" i="2"/>
  <c r="F95" i="2"/>
  <c r="C96" i="2" s="1"/>
  <c r="B96" i="2"/>
  <c r="U48" i="2" l="1"/>
  <c r="W48" i="2"/>
  <c r="V48" i="2"/>
  <c r="Q57" i="2"/>
  <c r="L58" i="2" s="1"/>
  <c r="O57" i="2"/>
  <c r="P57" i="2" s="1"/>
  <c r="M57" i="2"/>
  <c r="N57" i="2" s="1"/>
  <c r="G96" i="2"/>
  <c r="F96" i="2"/>
  <c r="C97" i="2" s="1"/>
  <c r="E96" i="2"/>
  <c r="B97" i="2" s="1"/>
  <c r="D97" i="2"/>
  <c r="W49" i="2" l="1"/>
  <c r="X48" i="2"/>
  <c r="Y48" i="2"/>
  <c r="Z48" i="2" s="1"/>
  <c r="AA48" i="2" s="1"/>
  <c r="AC48" i="2"/>
  <c r="AD48" i="2" s="1"/>
  <c r="AE48" i="2" s="1"/>
  <c r="AB48" i="2"/>
  <c r="J58" i="2"/>
  <c r="K58" i="2"/>
  <c r="E97" i="2"/>
  <c r="B98" i="2" s="1"/>
  <c r="F97" i="2"/>
  <c r="C98" i="2"/>
  <c r="G97" i="2"/>
  <c r="D98" i="2" s="1"/>
  <c r="V49" i="2" l="1"/>
  <c r="U49" i="2"/>
  <c r="Q58" i="2"/>
  <c r="L59" i="2" s="1"/>
  <c r="O58" i="2"/>
  <c r="P58" i="2" s="1"/>
  <c r="M58" i="2"/>
  <c r="N58" i="2" s="1"/>
  <c r="E98" i="2"/>
  <c r="B99" i="2"/>
  <c r="F98" i="2"/>
  <c r="C99" i="2" s="1"/>
  <c r="G98" i="2"/>
  <c r="D99" i="2" s="1"/>
  <c r="X49" i="2" l="1"/>
  <c r="Y49" i="2"/>
  <c r="Z49" i="2" s="1"/>
  <c r="AB49" i="2"/>
  <c r="W50" i="2"/>
  <c r="J59" i="2"/>
  <c r="K59" i="2"/>
  <c r="G99" i="2"/>
  <c r="D100" i="2" s="1"/>
  <c r="E99" i="2"/>
  <c r="F99" i="2"/>
  <c r="C100" i="2" s="1"/>
  <c r="B100" i="2"/>
  <c r="AA49" i="2" l="1"/>
  <c r="U50" i="2"/>
  <c r="AC49" i="2"/>
  <c r="AD49" i="2" s="1"/>
  <c r="AE49" i="2" s="1"/>
  <c r="Q59" i="2"/>
  <c r="L60" i="2" s="1"/>
  <c r="M59" i="2"/>
  <c r="N59" i="2" s="1"/>
  <c r="J60" i="2"/>
  <c r="O59" i="2"/>
  <c r="P59" i="2" s="1"/>
  <c r="G100" i="2"/>
  <c r="D101" i="2"/>
  <c r="F100" i="2"/>
  <c r="C101" i="2" s="1"/>
  <c r="E100" i="2"/>
  <c r="B101" i="2" s="1"/>
  <c r="AB50" i="2" l="1"/>
  <c r="X50" i="2"/>
  <c r="Y50" i="2" s="1"/>
  <c r="Z50" i="2" s="1"/>
  <c r="AA50" i="2" s="1"/>
  <c r="AC50" i="2"/>
  <c r="V50" i="2"/>
  <c r="K60" i="2"/>
  <c r="E101" i="2"/>
  <c r="F101" i="2"/>
  <c r="C102" i="2" s="1"/>
  <c r="B102" i="2"/>
  <c r="G101" i="2"/>
  <c r="D102" i="2" s="1"/>
  <c r="U51" i="2" l="1"/>
  <c r="W51" i="2"/>
  <c r="AD50" i="2"/>
  <c r="AE50" i="2" s="1"/>
  <c r="Q60" i="2"/>
  <c r="L61" i="2" s="1"/>
  <c r="M60" i="2"/>
  <c r="O60" i="2"/>
  <c r="P60" i="2" s="1"/>
  <c r="D103" i="2"/>
  <c r="G102" i="2"/>
  <c r="E102" i="2"/>
  <c r="B103" i="2"/>
  <c r="F102" i="2"/>
  <c r="C103" i="2" s="1"/>
  <c r="V51" i="2" l="1"/>
  <c r="AB51" i="2"/>
  <c r="AC51" i="2"/>
  <c r="AD51" i="2" s="1"/>
  <c r="AE51" i="2" s="1"/>
  <c r="X51" i="2"/>
  <c r="Y51" i="2" s="1"/>
  <c r="Z51" i="2" s="1"/>
  <c r="AA51" i="2" s="1"/>
  <c r="N60" i="2"/>
  <c r="J61" i="2"/>
  <c r="K61" i="2"/>
  <c r="G103" i="2"/>
  <c r="D104" i="2"/>
  <c r="E103" i="2"/>
  <c r="F103" i="2"/>
  <c r="C104" i="2" s="1"/>
  <c r="B104" i="2"/>
  <c r="U52" i="2" l="1"/>
  <c r="V52" i="2"/>
  <c r="W52" i="2"/>
  <c r="Q61" i="2"/>
  <c r="L62" i="2" s="1"/>
  <c r="O61" i="2"/>
  <c r="P61" i="2" s="1"/>
  <c r="M61" i="2"/>
  <c r="N61" i="2" s="1"/>
  <c r="G104" i="2"/>
  <c r="E104" i="2"/>
  <c r="B105" i="2" s="1"/>
  <c r="F104" i="2"/>
  <c r="C105" i="2" s="1"/>
  <c r="D105" i="2"/>
  <c r="W53" i="2" l="1"/>
  <c r="AB52" i="2"/>
  <c r="AC52" i="2"/>
  <c r="AD52" i="2" s="1"/>
  <c r="AE52" i="2" s="1"/>
  <c r="X52" i="2"/>
  <c r="Y52" i="2" s="1"/>
  <c r="J62" i="2"/>
  <c r="K62" i="2"/>
  <c r="G105" i="2"/>
  <c r="E105" i="2"/>
  <c r="F105" i="2"/>
  <c r="C106" i="2" s="1"/>
  <c r="B106" i="2"/>
  <c r="D106" i="2"/>
  <c r="Z52" i="2" l="1"/>
  <c r="AA52" i="2" s="1"/>
  <c r="V53" i="2"/>
  <c r="Q62" i="2"/>
  <c r="L63" i="2" s="1"/>
  <c r="M62" i="2"/>
  <c r="N62" i="2" s="1"/>
  <c r="J63" i="2" s="1"/>
  <c r="O62" i="2"/>
  <c r="P62" i="2" s="1"/>
  <c r="G106" i="2"/>
  <c r="E106" i="2"/>
  <c r="B107" i="2" s="1"/>
  <c r="F106" i="2"/>
  <c r="C107" i="2" s="1"/>
  <c r="D107" i="2"/>
  <c r="W54" i="2" l="1"/>
  <c r="U53" i="2"/>
  <c r="K63" i="2"/>
  <c r="G107" i="2"/>
  <c r="E107" i="2"/>
  <c r="F107" i="2"/>
  <c r="C108" i="2" s="1"/>
  <c r="B108" i="2"/>
  <c r="D108" i="2"/>
  <c r="AB53" i="2" l="1"/>
  <c r="AC53" i="2"/>
  <c r="AD53" i="2" s="1"/>
  <c r="AE53" i="2" s="1"/>
  <c r="X53" i="2"/>
  <c r="Y53" i="2"/>
  <c r="Z53" i="2" s="1"/>
  <c r="AA53" i="2" s="1"/>
  <c r="Q63" i="2"/>
  <c r="L64" i="2" s="1"/>
  <c r="O63" i="2"/>
  <c r="P63" i="2" s="1"/>
  <c r="M63" i="2"/>
  <c r="G108" i="2"/>
  <c r="D109" i="2" s="1"/>
  <c r="E108" i="2"/>
  <c r="B109" i="2" s="1"/>
  <c r="F108" i="2"/>
  <c r="C109" i="2" s="1"/>
  <c r="U54" i="2" l="1"/>
  <c r="V54" i="2"/>
  <c r="K64" i="2"/>
  <c r="N63" i="2"/>
  <c r="J64" i="2"/>
  <c r="E109" i="2"/>
  <c r="F109" i="2"/>
  <c r="B110" i="2"/>
  <c r="C110" i="2"/>
  <c r="G109" i="2"/>
  <c r="D110" i="2"/>
  <c r="W55" i="2" l="1"/>
  <c r="AC54" i="2"/>
  <c r="AD54" i="2"/>
  <c r="AE54" i="2" s="1"/>
  <c r="X54" i="2"/>
  <c r="AB54" i="2"/>
  <c r="V55" i="2" s="1"/>
  <c r="M64" i="2"/>
  <c r="N64" i="2" s="1"/>
  <c r="O64" i="2"/>
  <c r="P64" i="2" s="1"/>
  <c r="Q64" i="2"/>
  <c r="L65" i="2" s="1"/>
  <c r="G110" i="2"/>
  <c r="D111" i="2"/>
  <c r="E110" i="2"/>
  <c r="B111" i="2" s="1"/>
  <c r="F110" i="2"/>
  <c r="C111" i="2" s="1"/>
  <c r="Y54" i="2" l="1"/>
  <c r="Z54" i="2" s="1"/>
  <c r="AA54" i="2" s="1"/>
  <c r="W56" i="2"/>
  <c r="K65" i="2"/>
  <c r="J65" i="2"/>
  <c r="G111" i="2"/>
  <c r="E111" i="2"/>
  <c r="F111" i="2"/>
  <c r="C112" i="2" s="1"/>
  <c r="B112" i="2"/>
  <c r="D112" i="2"/>
  <c r="U55" i="2" l="1"/>
  <c r="O65" i="2"/>
  <c r="P65" i="2" s="1"/>
  <c r="M65" i="2"/>
  <c r="N65" i="2" s="1"/>
  <c r="K66" i="2"/>
  <c r="Q65" i="2"/>
  <c r="L66" i="2" s="1"/>
  <c r="G112" i="2"/>
  <c r="D113" i="2"/>
  <c r="E112" i="2"/>
  <c r="B113" i="2" s="1"/>
  <c r="F112" i="2"/>
  <c r="C113" i="2" s="1"/>
  <c r="X55" i="2" l="1"/>
  <c r="Y55" i="2"/>
  <c r="Z55" i="2" s="1"/>
  <c r="AB55" i="2"/>
  <c r="AC55" i="2"/>
  <c r="AD55" i="2" s="1"/>
  <c r="AE55" i="2" s="1"/>
  <c r="Q66" i="2"/>
  <c r="J66" i="2"/>
  <c r="L67" i="2"/>
  <c r="G113" i="2"/>
  <c r="E113" i="2"/>
  <c r="F113" i="2"/>
  <c r="C114" i="2" s="1"/>
  <c r="B114" i="2"/>
  <c r="D114" i="2"/>
  <c r="AA55" i="2" l="1"/>
  <c r="U56" i="2" s="1"/>
  <c r="V56" i="2"/>
  <c r="O66" i="2"/>
  <c r="M66" i="2"/>
  <c r="N66" i="2" s="1"/>
  <c r="G114" i="2"/>
  <c r="D115" i="2"/>
  <c r="E114" i="2"/>
  <c r="B115" i="2"/>
  <c r="F114" i="2"/>
  <c r="C115" i="2" s="1"/>
  <c r="X56" i="2" l="1"/>
  <c r="U57" i="2" s="1"/>
  <c r="Y56" i="2"/>
  <c r="Z56" i="2"/>
  <c r="AA56" i="2"/>
  <c r="AB56" i="2"/>
  <c r="W57" i="2"/>
  <c r="P66" i="2"/>
  <c r="K67" i="2"/>
  <c r="J67" i="2"/>
  <c r="G115" i="2"/>
  <c r="E115" i="2"/>
  <c r="B116" i="2" s="1"/>
  <c r="F115" i="2"/>
  <c r="C116" i="2" s="1"/>
  <c r="D116" i="2"/>
  <c r="AC56" i="2" l="1"/>
  <c r="AD56" i="2" s="1"/>
  <c r="AE56" i="2" s="1"/>
  <c r="M67" i="2"/>
  <c r="N67" i="2" s="1"/>
  <c r="J68" i="2"/>
  <c r="O67" i="2"/>
  <c r="P67" i="2" s="1"/>
  <c r="Q67" i="2"/>
  <c r="L68" i="2" s="1"/>
  <c r="G116" i="2"/>
  <c r="F116" i="2"/>
  <c r="C117" i="2" s="1"/>
  <c r="E116" i="2"/>
  <c r="B117" i="2" s="1"/>
  <c r="D117" i="2"/>
  <c r="V57" i="2" l="1"/>
  <c r="K68" i="2"/>
  <c r="O68" i="2"/>
  <c r="P68" i="2" s="1"/>
  <c r="M68" i="2"/>
  <c r="N68" i="2" s="1"/>
  <c r="J69" i="2" s="1"/>
  <c r="E117" i="2"/>
  <c r="F117" i="2"/>
  <c r="B118" i="2"/>
  <c r="C118" i="2"/>
  <c r="G117" i="2"/>
  <c r="D118" i="2"/>
  <c r="W58" i="2" l="1"/>
  <c r="X57" i="2"/>
  <c r="AB57" i="2"/>
  <c r="AC57" i="2" s="1"/>
  <c r="AD57" i="2" s="1"/>
  <c r="AE57" i="2" s="1"/>
  <c r="K69" i="2"/>
  <c r="Q68" i="2"/>
  <c r="L69" i="2" s="1"/>
  <c r="G118" i="2"/>
  <c r="D119" i="2" s="1"/>
  <c r="E118" i="2"/>
  <c r="B119" i="2"/>
  <c r="F118" i="2"/>
  <c r="C119" i="2" s="1"/>
  <c r="V58" i="2" l="1"/>
  <c r="Y57" i="2"/>
  <c r="Z57" i="2" s="1"/>
  <c r="AA57" i="2" s="1"/>
  <c r="Q69" i="2"/>
  <c r="L70" i="2" s="1"/>
  <c r="M69" i="2"/>
  <c r="O69" i="2"/>
  <c r="P69" i="2" s="1"/>
  <c r="G119" i="2"/>
  <c r="D120" i="2"/>
  <c r="E119" i="2"/>
  <c r="F119" i="2"/>
  <c r="C120" i="2" s="1"/>
  <c r="B120" i="2"/>
  <c r="U58" i="2" l="1"/>
  <c r="W59" i="2"/>
  <c r="N69" i="2"/>
  <c r="J70" i="2"/>
  <c r="K70" i="2"/>
  <c r="G120" i="2"/>
  <c r="E120" i="2"/>
  <c r="B121" i="2" s="1"/>
  <c r="F120" i="2"/>
  <c r="C121" i="2" s="1"/>
  <c r="D121" i="2"/>
  <c r="AB58" i="2" l="1"/>
  <c r="AC58" i="2" s="1"/>
  <c r="AD58" i="2" s="1"/>
  <c r="AE58" i="2" s="1"/>
  <c r="X58" i="2"/>
  <c r="Y58" i="2" s="1"/>
  <c r="Q70" i="2"/>
  <c r="L71" i="2" s="1"/>
  <c r="M70" i="2"/>
  <c r="N70" i="2" s="1"/>
  <c r="J71" i="2" s="1"/>
  <c r="O70" i="2"/>
  <c r="P70" i="2" s="1"/>
  <c r="G121" i="2"/>
  <c r="E121" i="2"/>
  <c r="B122" i="2" s="1"/>
  <c r="F121" i="2"/>
  <c r="C122" i="2" s="1"/>
  <c r="D122" i="2"/>
  <c r="Z58" i="2" l="1"/>
  <c r="AA58" i="2" s="1"/>
  <c r="V59" i="2"/>
  <c r="K71" i="2"/>
  <c r="G122" i="2"/>
  <c r="E122" i="2"/>
  <c r="B123" i="2" s="1"/>
  <c r="F122" i="2"/>
  <c r="C123" i="2" s="1"/>
  <c r="D123" i="2"/>
  <c r="W60" i="2" l="1"/>
  <c r="U59" i="2"/>
  <c r="Q71" i="2"/>
  <c r="L72" i="2" s="1"/>
  <c r="O71" i="2"/>
  <c r="P71" i="2" s="1"/>
  <c r="M71" i="2"/>
  <c r="G123" i="2"/>
  <c r="E123" i="2"/>
  <c r="F123" i="2"/>
  <c r="C124" i="2" s="1"/>
  <c r="B124" i="2"/>
  <c r="D124" i="2"/>
  <c r="AB59" i="2" l="1"/>
  <c r="AC59" i="2"/>
  <c r="AD59" i="2" s="1"/>
  <c r="AE59" i="2" s="1"/>
  <c r="X59" i="2"/>
  <c r="Y59" i="2"/>
  <c r="Z59" i="2" s="1"/>
  <c r="AA59" i="2" s="1"/>
  <c r="N71" i="2"/>
  <c r="J72" i="2"/>
  <c r="K72" i="2"/>
  <c r="G124" i="2"/>
  <c r="E124" i="2"/>
  <c r="B125" i="2" s="1"/>
  <c r="F124" i="2"/>
  <c r="C125" i="2" s="1"/>
  <c r="D125" i="2"/>
  <c r="U60" i="2" l="1"/>
  <c r="V60" i="2"/>
  <c r="Q72" i="2"/>
  <c r="L73" i="2" s="1"/>
  <c r="M72" i="2"/>
  <c r="N72" i="2" s="1"/>
  <c r="O72" i="2"/>
  <c r="P72" i="2" s="1"/>
  <c r="G125" i="2"/>
  <c r="E125" i="2"/>
  <c r="F125" i="2"/>
  <c r="C126" i="2" s="1"/>
  <c r="B126" i="2"/>
  <c r="D126" i="2"/>
  <c r="W61" i="2" l="1"/>
  <c r="AB60" i="2"/>
  <c r="AC60" i="2"/>
  <c r="AD60" i="2" s="1"/>
  <c r="AE60" i="2" s="1"/>
  <c r="Y60" i="2"/>
  <c r="Z60" i="2" s="1"/>
  <c r="AA60" i="2" s="1"/>
  <c r="X60" i="2"/>
  <c r="J73" i="2"/>
  <c r="K73" i="2"/>
  <c r="G126" i="2"/>
  <c r="E126" i="2"/>
  <c r="B127" i="2" s="1"/>
  <c r="F126" i="2"/>
  <c r="C127" i="2" s="1"/>
  <c r="D127" i="2"/>
  <c r="U61" i="2" l="1"/>
  <c r="V61" i="2"/>
  <c r="Q73" i="2"/>
  <c r="L74" i="2" s="1"/>
  <c r="O73" i="2"/>
  <c r="P73" i="2" s="1"/>
  <c r="M73" i="2"/>
  <c r="N73" i="2" s="1"/>
  <c r="G127" i="2"/>
  <c r="F127" i="2"/>
  <c r="C128" i="2" s="1"/>
  <c r="E127" i="2"/>
  <c r="B128" i="2" s="1"/>
  <c r="D128" i="2"/>
  <c r="W62" i="2" l="1"/>
  <c r="AB61" i="2"/>
  <c r="X61" i="2"/>
  <c r="Y61" i="2"/>
  <c r="J74" i="2"/>
  <c r="K74" i="2"/>
  <c r="F128" i="2"/>
  <c r="E128" i="2"/>
  <c r="B129" i="2" s="1"/>
  <c r="G128" i="2"/>
  <c r="C129" i="2"/>
  <c r="D129" i="2"/>
  <c r="Z61" i="2" l="1"/>
  <c r="AA61" i="2" s="1"/>
  <c r="AC61" i="2"/>
  <c r="AD61" i="2" s="1"/>
  <c r="AE61" i="2" s="1"/>
  <c r="Q74" i="2"/>
  <c r="L75" i="2" s="1"/>
  <c r="O74" i="2"/>
  <c r="P74" i="2" s="1"/>
  <c r="M74" i="2"/>
  <c r="N74" i="2" s="1"/>
  <c r="E129" i="2"/>
  <c r="B130" i="2"/>
  <c r="F129" i="2"/>
  <c r="G129" i="2"/>
  <c r="D130" i="2" s="1"/>
  <c r="C130" i="2"/>
  <c r="V62" i="2" l="1"/>
  <c r="U62" i="2"/>
  <c r="K75" i="2"/>
  <c r="J75" i="2"/>
  <c r="G130" i="2"/>
  <c r="D131" i="2" s="1"/>
  <c r="F130" i="2"/>
  <c r="C131" i="2" s="1"/>
  <c r="E130" i="2"/>
  <c r="B131" i="2" s="1"/>
  <c r="X62" i="2" l="1"/>
  <c r="Y62" i="2" s="1"/>
  <c r="AB62" i="2"/>
  <c r="W63" i="2"/>
  <c r="M75" i="2"/>
  <c r="N75" i="2" s="1"/>
  <c r="J76" i="2" s="1"/>
  <c r="O75" i="2"/>
  <c r="P75" i="2" s="1"/>
  <c r="Q75" i="2"/>
  <c r="L76" i="2" s="1"/>
  <c r="F131" i="2"/>
  <c r="C132" i="2" s="1"/>
  <c r="E131" i="2"/>
  <c r="B132" i="2" s="1"/>
  <c r="G131" i="2"/>
  <c r="D132" i="2"/>
  <c r="Z62" i="2" l="1"/>
  <c r="AA62" i="2" s="1"/>
  <c r="AC62" i="2"/>
  <c r="AD62" i="2" s="1"/>
  <c r="AE62" i="2" s="1"/>
  <c r="K76" i="2"/>
  <c r="F132" i="2"/>
  <c r="E132" i="2"/>
  <c r="B133" i="2" s="1"/>
  <c r="C133" i="2"/>
  <c r="G132" i="2"/>
  <c r="D133" i="2" s="1"/>
  <c r="U63" i="2" l="1"/>
  <c r="V63" i="2"/>
  <c r="Q76" i="2"/>
  <c r="L77" i="2" s="1"/>
  <c r="M76" i="2"/>
  <c r="O76" i="2"/>
  <c r="P76" i="2" s="1"/>
  <c r="E133" i="2"/>
  <c r="B134" i="2" s="1"/>
  <c r="F133" i="2"/>
  <c r="G133" i="2"/>
  <c r="D134" i="2" s="1"/>
  <c r="C134" i="2"/>
  <c r="W64" i="2" l="1"/>
  <c r="X63" i="2"/>
  <c r="Y63" i="2" s="1"/>
  <c r="AB63" i="2"/>
  <c r="N76" i="2"/>
  <c r="J77" i="2" s="1"/>
  <c r="K77" i="2"/>
  <c r="F134" i="2"/>
  <c r="E134" i="2"/>
  <c r="B135" i="2" s="1"/>
  <c r="G134" i="2"/>
  <c r="D135" i="2" s="1"/>
  <c r="C135" i="2"/>
  <c r="Z63" i="2" l="1"/>
  <c r="AA63" i="2" s="1"/>
  <c r="AC63" i="2"/>
  <c r="AD63" i="2" s="1"/>
  <c r="AE63" i="2" s="1"/>
  <c r="O77" i="2"/>
  <c r="P77" i="2" s="1"/>
  <c r="M77" i="2"/>
  <c r="N77" i="2" s="1"/>
  <c r="Q77" i="2"/>
  <c r="L78" i="2" s="1"/>
  <c r="K78" i="2"/>
  <c r="E135" i="2"/>
  <c r="B136" i="2" s="1"/>
  <c r="F135" i="2"/>
  <c r="C136" i="2"/>
  <c r="G135" i="2"/>
  <c r="D136" i="2" s="1"/>
  <c r="U64" i="2" l="1"/>
  <c r="V64" i="2"/>
  <c r="Q78" i="2"/>
  <c r="L79" i="2"/>
  <c r="J78" i="2"/>
  <c r="F136" i="2"/>
  <c r="E136" i="2"/>
  <c r="B137" i="2"/>
  <c r="C137" i="2"/>
  <c r="G136" i="2"/>
  <c r="D137" i="2" s="1"/>
  <c r="W65" i="2" l="1"/>
  <c r="X64" i="2"/>
  <c r="Y64" i="2" s="1"/>
  <c r="AC64" i="2"/>
  <c r="AD64" i="2" s="1"/>
  <c r="AE64" i="2" s="1"/>
  <c r="AB64" i="2"/>
  <c r="M78" i="2"/>
  <c r="N78" i="2" s="1"/>
  <c r="J79" i="2" s="1"/>
  <c r="O78" i="2"/>
  <c r="E137" i="2"/>
  <c r="B138" i="2"/>
  <c r="F137" i="2"/>
  <c r="C138" i="2" s="1"/>
  <c r="G137" i="2"/>
  <c r="D138" i="2" s="1"/>
  <c r="V65" i="2" l="1"/>
  <c r="Z64" i="2"/>
  <c r="AA64" i="2" s="1"/>
  <c r="P78" i="2"/>
  <c r="K79" i="2" s="1"/>
  <c r="G138" i="2"/>
  <c r="D139" i="2" s="1"/>
  <c r="F138" i="2"/>
  <c r="C139" i="2" s="1"/>
  <c r="E138" i="2"/>
  <c r="B139" i="2" s="1"/>
  <c r="U65" i="2" l="1"/>
  <c r="W66" i="2"/>
  <c r="Q79" i="2"/>
  <c r="L80" i="2" s="1"/>
  <c r="O79" i="2"/>
  <c r="P79" i="2" s="1"/>
  <c r="M79" i="2"/>
  <c r="F139" i="2"/>
  <c r="E139" i="2"/>
  <c r="B140" i="2" s="1"/>
  <c r="C140" i="2"/>
  <c r="G139" i="2"/>
  <c r="D140" i="2"/>
  <c r="X65" i="2" l="1"/>
  <c r="Y65" i="2" s="1"/>
  <c r="Z65" i="2" s="1"/>
  <c r="AA65" i="2" s="1"/>
  <c r="AB65" i="2"/>
  <c r="AC65" i="2"/>
  <c r="AD65" i="2" s="1"/>
  <c r="AE65" i="2" s="1"/>
  <c r="K80" i="2"/>
  <c r="N79" i="2"/>
  <c r="J80" i="2"/>
  <c r="F140" i="2"/>
  <c r="E140" i="2"/>
  <c r="B141" i="2" s="1"/>
  <c r="G140" i="2"/>
  <c r="D141" i="2" s="1"/>
  <c r="C141" i="2"/>
  <c r="U66" i="2" l="1"/>
  <c r="V66" i="2"/>
  <c r="M80" i="2"/>
  <c r="N80" i="2" s="1"/>
  <c r="O80" i="2"/>
  <c r="P80" i="2" s="1"/>
  <c r="Q80" i="2"/>
  <c r="L81" i="2" s="1"/>
  <c r="E141" i="2"/>
  <c r="B142" i="2"/>
  <c r="F141" i="2"/>
  <c r="C142" i="2" s="1"/>
  <c r="G141" i="2"/>
  <c r="D142" i="2" s="1"/>
  <c r="W67" i="2" l="1"/>
  <c r="Z66" i="2"/>
  <c r="AA66" i="2"/>
  <c r="U67" i="2" s="1"/>
  <c r="AB66" i="2"/>
  <c r="X66" i="2"/>
  <c r="Y66" i="2"/>
  <c r="K81" i="2"/>
  <c r="J81" i="2"/>
  <c r="G142" i="2"/>
  <c r="D143" i="2" s="1"/>
  <c r="F142" i="2"/>
  <c r="C143" i="2" s="1"/>
  <c r="E142" i="2"/>
  <c r="B143" i="2" s="1"/>
  <c r="AC66" i="2" l="1"/>
  <c r="AD66" i="2" s="1"/>
  <c r="AE66" i="2" s="1"/>
  <c r="O81" i="2"/>
  <c r="P81" i="2" s="1"/>
  <c r="M81" i="2"/>
  <c r="N81" i="2" s="1"/>
  <c r="Q81" i="2"/>
  <c r="L82" i="2" s="1"/>
  <c r="K82" i="2"/>
  <c r="B144" i="2"/>
  <c r="E143" i="2"/>
  <c r="F143" i="2"/>
  <c r="C144" i="2" s="1"/>
  <c r="G143" i="2"/>
  <c r="D144" i="2"/>
  <c r="V67" i="2" l="1"/>
  <c r="J82" i="2"/>
  <c r="Q82" i="2"/>
  <c r="L83" i="2" s="1"/>
  <c r="G144" i="2"/>
  <c r="D145" i="2"/>
  <c r="F144" i="2"/>
  <c r="C145" i="2" s="1"/>
  <c r="E144" i="2"/>
  <c r="B145" i="2"/>
  <c r="W68" i="2" l="1"/>
  <c r="AB67" i="2"/>
  <c r="AC67" i="2"/>
  <c r="X67" i="2"/>
  <c r="AD67" i="2"/>
  <c r="AE67" i="2" s="1"/>
  <c r="M82" i="2"/>
  <c r="N82" i="2" s="1"/>
  <c r="O82" i="2"/>
  <c r="G145" i="2"/>
  <c r="D146" i="2" s="1"/>
  <c r="E145" i="2"/>
  <c r="B146" i="2" s="1"/>
  <c r="F145" i="2"/>
  <c r="C146" i="2" s="1"/>
  <c r="V68" i="2" l="1"/>
  <c r="Y67" i="2"/>
  <c r="Z67" i="2" s="1"/>
  <c r="AA67" i="2" s="1"/>
  <c r="U68" i="2" s="1"/>
  <c r="P82" i="2"/>
  <c r="K83" i="2" s="1"/>
  <c r="J83" i="2"/>
  <c r="G146" i="2"/>
  <c r="F146" i="2"/>
  <c r="C147" i="2" s="1"/>
  <c r="E146" i="2"/>
  <c r="B147" i="2" s="1"/>
  <c r="D147" i="2"/>
  <c r="AB68" i="2" l="1"/>
  <c r="AC68" i="2"/>
  <c r="Y68" i="2"/>
  <c r="Z68" i="2" s="1"/>
  <c r="AA68" i="2" s="1"/>
  <c r="X68" i="2"/>
  <c r="W69" i="2"/>
  <c r="Q83" i="2"/>
  <c r="L84" i="2" s="1"/>
  <c r="M83" i="2"/>
  <c r="N83" i="2" s="1"/>
  <c r="O83" i="2"/>
  <c r="P83" i="2" s="1"/>
  <c r="F147" i="2"/>
  <c r="E147" i="2"/>
  <c r="B148" i="2" s="1"/>
  <c r="C148" i="2"/>
  <c r="G147" i="2"/>
  <c r="D148" i="2" s="1"/>
  <c r="U69" i="2" l="1"/>
  <c r="AD68" i="2"/>
  <c r="AE68" i="2" s="1"/>
  <c r="K84" i="2"/>
  <c r="J84" i="2"/>
  <c r="F148" i="2"/>
  <c r="E148" i="2"/>
  <c r="B149" i="2" s="1"/>
  <c r="G148" i="2"/>
  <c r="D149" i="2" s="1"/>
  <c r="C149" i="2"/>
  <c r="V69" i="2" l="1"/>
  <c r="AB69" i="2"/>
  <c r="AC69" i="2"/>
  <c r="AD69" i="2" s="1"/>
  <c r="AE69" i="2" s="1"/>
  <c r="X69" i="2"/>
  <c r="Y69" i="2" s="1"/>
  <c r="Z69" i="2" s="1"/>
  <c r="AA69" i="2" s="1"/>
  <c r="O84" i="2"/>
  <c r="P84" i="2" s="1"/>
  <c r="M84" i="2"/>
  <c r="N84" i="2" s="1"/>
  <c r="Q84" i="2"/>
  <c r="L85" i="2" s="1"/>
  <c r="K85" i="2"/>
  <c r="E149" i="2"/>
  <c r="B150" i="2" s="1"/>
  <c r="F149" i="2"/>
  <c r="G149" i="2"/>
  <c r="D150" i="2" s="1"/>
  <c r="C150" i="2"/>
  <c r="U70" i="2" l="1"/>
  <c r="V70" i="2"/>
  <c r="W70" i="2"/>
  <c r="J85" i="2"/>
  <c r="Q85" i="2"/>
  <c r="L86" i="2" s="1"/>
  <c r="F150" i="2"/>
  <c r="E150" i="2"/>
  <c r="B151" i="2" s="1"/>
  <c r="G150" i="2"/>
  <c r="D151" i="2" s="1"/>
  <c r="C151" i="2"/>
  <c r="W71" i="2" l="1"/>
  <c r="X70" i="2"/>
  <c r="AC70" i="2"/>
  <c r="AB70" i="2"/>
  <c r="O85" i="2"/>
  <c r="M85" i="2"/>
  <c r="N85" i="2" s="1"/>
  <c r="E151" i="2"/>
  <c r="B152" i="2" s="1"/>
  <c r="F151" i="2"/>
  <c r="C152" i="2" s="1"/>
  <c r="G151" i="2"/>
  <c r="D152" i="2" s="1"/>
  <c r="AD70" i="2" l="1"/>
  <c r="AE70" i="2" s="1"/>
  <c r="Y70" i="2"/>
  <c r="Z70" i="2" s="1"/>
  <c r="AA70" i="2" s="1"/>
  <c r="J86" i="2"/>
  <c r="P85" i="2"/>
  <c r="K86" i="2"/>
  <c r="G152" i="2"/>
  <c r="D153" i="2" s="1"/>
  <c r="F152" i="2"/>
  <c r="C153" i="2" s="1"/>
  <c r="E152" i="2"/>
  <c r="B153" i="2"/>
  <c r="V71" i="2" l="1"/>
  <c r="U71" i="2"/>
  <c r="Q86" i="2"/>
  <c r="L87" i="2" s="1"/>
  <c r="M86" i="2"/>
  <c r="N86" i="2" s="1"/>
  <c r="O86" i="2"/>
  <c r="P86" i="2" s="1"/>
  <c r="G153" i="2"/>
  <c r="D154" i="2"/>
  <c r="E153" i="2"/>
  <c r="B154" i="2"/>
  <c r="F153" i="2"/>
  <c r="C154" i="2" s="1"/>
  <c r="X71" i="2" l="1"/>
  <c r="Y71" i="2"/>
  <c r="AB71" i="2"/>
  <c r="AC71" i="2" s="1"/>
  <c r="AD71" i="2" s="1"/>
  <c r="AE71" i="2" s="1"/>
  <c r="W72" i="2"/>
  <c r="K87" i="2"/>
  <c r="J87" i="2"/>
  <c r="G154" i="2"/>
  <c r="F154" i="2"/>
  <c r="C155" i="2" s="1"/>
  <c r="E154" i="2"/>
  <c r="B155" i="2"/>
  <c r="D155" i="2"/>
  <c r="V72" i="2" l="1"/>
  <c r="Z71" i="2"/>
  <c r="AA71" i="2" s="1"/>
  <c r="M87" i="2"/>
  <c r="N87" i="2" s="1"/>
  <c r="O87" i="2"/>
  <c r="P87" i="2" s="1"/>
  <c r="K88" i="2" s="1"/>
  <c r="J88" i="2"/>
  <c r="Q87" i="2"/>
  <c r="L88" i="2" s="1"/>
  <c r="G155" i="2"/>
  <c r="F155" i="2"/>
  <c r="C156" i="2" s="1"/>
  <c r="E155" i="2"/>
  <c r="B156" i="2" s="1"/>
  <c r="D156" i="2"/>
  <c r="W73" i="2" l="1"/>
  <c r="U72" i="2"/>
  <c r="Q88" i="2"/>
  <c r="M88" i="2"/>
  <c r="N88" i="2" s="1"/>
  <c r="O88" i="2"/>
  <c r="P88" i="2" s="1"/>
  <c r="L89" i="2"/>
  <c r="F156" i="2"/>
  <c r="E156" i="2"/>
  <c r="B157" i="2"/>
  <c r="G156" i="2"/>
  <c r="C157" i="2"/>
  <c r="D157" i="2"/>
  <c r="AB72" i="2" l="1"/>
  <c r="X72" i="2"/>
  <c r="Y72" i="2" s="1"/>
  <c r="Z72" i="2" s="1"/>
  <c r="AA72" i="2" s="1"/>
  <c r="AC72" i="2"/>
  <c r="AD72" i="2" s="1"/>
  <c r="AE72" i="2" s="1"/>
  <c r="J89" i="2"/>
  <c r="K89" i="2"/>
  <c r="G157" i="2"/>
  <c r="E157" i="2"/>
  <c r="B158" i="2" s="1"/>
  <c r="F157" i="2"/>
  <c r="C158" i="2" s="1"/>
  <c r="D158" i="2"/>
  <c r="U73" i="2" l="1"/>
  <c r="V73" i="2"/>
  <c r="Q89" i="2"/>
  <c r="L90" i="2" s="1"/>
  <c r="M89" i="2"/>
  <c r="N89" i="2" s="1"/>
  <c r="O89" i="2"/>
  <c r="P89" i="2" s="1"/>
  <c r="G158" i="2"/>
  <c r="F158" i="2"/>
  <c r="C159" i="2" s="1"/>
  <c r="E158" i="2"/>
  <c r="B159" i="2" s="1"/>
  <c r="D159" i="2"/>
  <c r="W74" i="2" l="1"/>
  <c r="AB73" i="2"/>
  <c r="X73" i="2"/>
  <c r="Y73" i="2" s="1"/>
  <c r="Z73" i="2" s="1"/>
  <c r="AA73" i="2" s="1"/>
  <c r="J90" i="2"/>
  <c r="K90" i="2"/>
  <c r="E159" i="2"/>
  <c r="B160" i="2" s="1"/>
  <c r="F159" i="2"/>
  <c r="C160" i="2" s="1"/>
  <c r="G159" i="2"/>
  <c r="D160" i="2" s="1"/>
  <c r="U74" i="2" l="1"/>
  <c r="AC73" i="2"/>
  <c r="AD73" i="2" s="1"/>
  <c r="AE73" i="2" s="1"/>
  <c r="Q90" i="2"/>
  <c r="L91" i="2" s="1"/>
  <c r="M90" i="2"/>
  <c r="N90" i="2" s="1"/>
  <c r="O90" i="2"/>
  <c r="P90" i="2" s="1"/>
  <c r="G160" i="2"/>
  <c r="D161" i="2" s="1"/>
  <c r="F160" i="2"/>
  <c r="C161" i="2" s="1"/>
  <c r="E160" i="2"/>
  <c r="B161" i="2" s="1"/>
  <c r="X74" i="2" l="1"/>
  <c r="V74" i="2"/>
  <c r="J91" i="2"/>
  <c r="K91" i="2"/>
  <c r="G161" i="2"/>
  <c r="E161" i="2"/>
  <c r="B162" i="2"/>
  <c r="F161" i="2"/>
  <c r="C162" i="2" s="1"/>
  <c r="D162" i="2"/>
  <c r="Y74" i="2" l="1"/>
  <c r="Z74" i="2" s="1"/>
  <c r="AA74" i="2" s="1"/>
  <c r="W75" i="2"/>
  <c r="AB74" i="2"/>
  <c r="AC74" i="2" s="1"/>
  <c r="AD74" i="2" s="1"/>
  <c r="AE74" i="2" s="1"/>
  <c r="Q91" i="2"/>
  <c r="L92" i="2" s="1"/>
  <c r="M91" i="2"/>
  <c r="N91" i="2" s="1"/>
  <c r="O91" i="2"/>
  <c r="P91" i="2" s="1"/>
  <c r="G162" i="2"/>
  <c r="D163" i="2"/>
  <c r="F162" i="2"/>
  <c r="C163" i="2" s="1"/>
  <c r="E162" i="2"/>
  <c r="B163" i="2"/>
  <c r="V75" i="2" l="1"/>
  <c r="U75" i="2"/>
  <c r="J92" i="2"/>
  <c r="K92" i="2"/>
  <c r="G163" i="2"/>
  <c r="F163" i="2"/>
  <c r="C164" i="2" s="1"/>
  <c r="E163" i="2"/>
  <c r="B164" i="2" s="1"/>
  <c r="D164" i="2"/>
  <c r="AB75" i="2" l="1"/>
  <c r="AC75" i="2"/>
  <c r="AD75" i="2"/>
  <c r="AE75" i="2" s="1"/>
  <c r="X75" i="2"/>
  <c r="Y75" i="2" s="1"/>
  <c r="Z75" i="2" s="1"/>
  <c r="AA75" i="2" s="1"/>
  <c r="W76" i="2"/>
  <c r="Q92" i="2"/>
  <c r="L93" i="2" s="1"/>
  <c r="O92" i="2"/>
  <c r="P92" i="2" s="1"/>
  <c r="M92" i="2"/>
  <c r="N92" i="2" s="1"/>
  <c r="F164" i="2"/>
  <c r="E164" i="2"/>
  <c r="B165" i="2" s="1"/>
  <c r="C165" i="2"/>
  <c r="G164" i="2"/>
  <c r="D165" i="2" s="1"/>
  <c r="V76" i="2" l="1"/>
  <c r="U76" i="2"/>
  <c r="K93" i="2"/>
  <c r="J93" i="2"/>
  <c r="E165" i="2"/>
  <c r="B166" i="2" s="1"/>
  <c r="F165" i="2"/>
  <c r="C166" i="2" s="1"/>
  <c r="G165" i="2"/>
  <c r="D166" i="2" s="1"/>
  <c r="X76" i="2" l="1"/>
  <c r="Y76" i="2"/>
  <c r="Z76" i="2" s="1"/>
  <c r="AA76" i="2" s="1"/>
  <c r="AB76" i="2"/>
  <c r="AC76" i="2" s="1"/>
  <c r="AD76" i="2" s="1"/>
  <c r="AE76" i="2" s="1"/>
  <c r="W77" i="2"/>
  <c r="O93" i="2"/>
  <c r="P93" i="2" s="1"/>
  <c r="M93" i="2"/>
  <c r="N93" i="2" s="1"/>
  <c r="J94" i="2" s="1"/>
  <c r="Q93" i="2"/>
  <c r="L94" i="2" s="1"/>
  <c r="K94" i="2"/>
  <c r="G166" i="2"/>
  <c r="D167" i="2" s="1"/>
  <c r="F166" i="2"/>
  <c r="C167" i="2" s="1"/>
  <c r="E166" i="2"/>
  <c r="B167" i="2" s="1"/>
  <c r="U77" i="2" l="1"/>
  <c r="V77" i="2"/>
  <c r="M94" i="2"/>
  <c r="N94" i="2" s="1"/>
  <c r="O94" i="2"/>
  <c r="P94" i="2" s="1"/>
  <c r="K95" i="2" s="1"/>
  <c r="Q94" i="2"/>
  <c r="L95" i="2"/>
  <c r="E167" i="2"/>
  <c r="B168" i="2" s="1"/>
  <c r="F167" i="2"/>
  <c r="C168" i="2"/>
  <c r="G167" i="2"/>
  <c r="D168" i="2"/>
  <c r="W78" i="2" l="1"/>
  <c r="X77" i="2"/>
  <c r="Y77" i="2" s="1"/>
  <c r="AB77" i="2"/>
  <c r="Q95" i="2"/>
  <c r="L96" i="2"/>
  <c r="J95" i="2"/>
  <c r="F168" i="2"/>
  <c r="E168" i="2"/>
  <c r="B169" i="2" s="1"/>
  <c r="C169" i="2"/>
  <c r="G168" i="2"/>
  <c r="D169" i="2" s="1"/>
  <c r="Z77" i="2" l="1"/>
  <c r="AA77" i="2" s="1"/>
  <c r="U78" i="2"/>
  <c r="AC77" i="2"/>
  <c r="AD77" i="2" s="1"/>
  <c r="AE77" i="2" s="1"/>
  <c r="M95" i="2"/>
  <c r="N95" i="2" s="1"/>
  <c r="O95" i="2"/>
  <c r="J96" i="2"/>
  <c r="E169" i="2"/>
  <c r="B170" i="2"/>
  <c r="F169" i="2"/>
  <c r="C170" i="2" s="1"/>
  <c r="G169" i="2"/>
  <c r="D170" i="2" s="1"/>
  <c r="AB78" i="2" l="1"/>
  <c r="AC78" i="2" s="1"/>
  <c r="V78" i="2"/>
  <c r="P95" i="2"/>
  <c r="K96" i="2" s="1"/>
  <c r="G170" i="2"/>
  <c r="D171" i="2" s="1"/>
  <c r="F170" i="2"/>
  <c r="C171" i="2" s="1"/>
  <c r="E170" i="2"/>
  <c r="B171" i="2"/>
  <c r="W79" i="2" l="1"/>
  <c r="X78" i="2"/>
  <c r="AD78" i="2"/>
  <c r="Q96" i="2"/>
  <c r="L97" i="2" s="1"/>
  <c r="O96" i="2"/>
  <c r="P96" i="2" s="1"/>
  <c r="M96" i="2"/>
  <c r="G171" i="2"/>
  <c r="D172" i="2" s="1"/>
  <c r="F171" i="2"/>
  <c r="C172" i="2" s="1"/>
  <c r="E171" i="2"/>
  <c r="B172" i="2" s="1"/>
  <c r="AE78" i="2" l="1"/>
  <c r="V79" i="2" s="1"/>
  <c r="Y78" i="2"/>
  <c r="Z78" i="2" s="1"/>
  <c r="AA78" i="2" s="1"/>
  <c r="N96" i="2"/>
  <c r="J97" i="2"/>
  <c r="K97" i="2"/>
  <c r="G172" i="2"/>
  <c r="E172" i="2"/>
  <c r="F172" i="2"/>
  <c r="C173" i="2" s="1"/>
  <c r="B173" i="2"/>
  <c r="D173" i="2"/>
  <c r="W80" i="2" l="1"/>
  <c r="U79" i="2"/>
  <c r="Q97" i="2"/>
  <c r="L98" i="2" s="1"/>
  <c r="M97" i="2"/>
  <c r="N97" i="2" s="1"/>
  <c r="O97" i="2"/>
  <c r="P97" i="2" s="1"/>
  <c r="G173" i="2"/>
  <c r="E173" i="2"/>
  <c r="F173" i="2"/>
  <c r="C174" i="2" s="1"/>
  <c r="B174" i="2"/>
  <c r="D174" i="2"/>
  <c r="X79" i="2" l="1"/>
  <c r="Y79" i="2"/>
  <c r="Z79" i="2"/>
  <c r="AA79" i="2" s="1"/>
  <c r="AB79" i="2"/>
  <c r="AC79" i="2"/>
  <c r="AD79" i="2" s="1"/>
  <c r="AE79" i="2" s="1"/>
  <c r="J98" i="2"/>
  <c r="K98" i="2"/>
  <c r="G174" i="2"/>
  <c r="D175" i="2" s="1"/>
  <c r="F174" i="2"/>
  <c r="C175" i="2" s="1"/>
  <c r="E174" i="2"/>
  <c r="B175" i="2" s="1"/>
  <c r="V80" i="2" l="1"/>
  <c r="U80" i="2"/>
  <c r="Q98" i="2"/>
  <c r="L99" i="2" s="1"/>
  <c r="M98" i="2"/>
  <c r="N98" i="2" s="1"/>
  <c r="O98" i="2"/>
  <c r="P98" i="2" s="1"/>
  <c r="F175" i="2"/>
  <c r="E175" i="2"/>
  <c r="B176" i="2" s="1"/>
  <c r="C176" i="2"/>
  <c r="G175" i="2"/>
  <c r="D176" i="2" s="1"/>
  <c r="AB80" i="2" l="1"/>
  <c r="X80" i="2"/>
  <c r="Y80" i="2" s="1"/>
  <c r="Z80" i="2" s="1"/>
  <c r="AA80" i="2" s="1"/>
  <c r="AC80" i="2"/>
  <c r="AD80" i="2" s="1"/>
  <c r="AE80" i="2" s="1"/>
  <c r="W81" i="2"/>
  <c r="J99" i="2"/>
  <c r="K99" i="2"/>
  <c r="F176" i="2"/>
  <c r="E176" i="2"/>
  <c r="B177" i="2"/>
  <c r="G176" i="2"/>
  <c r="D177" i="2" s="1"/>
  <c r="C177" i="2"/>
  <c r="V81" i="2" l="1"/>
  <c r="U81" i="2"/>
  <c r="Q99" i="2"/>
  <c r="L100" i="2" s="1"/>
  <c r="M99" i="2"/>
  <c r="N99" i="2" s="1"/>
  <c r="J100" i="2" s="1"/>
  <c r="O99" i="2"/>
  <c r="P99" i="2" s="1"/>
  <c r="G177" i="2"/>
  <c r="D178" i="2" s="1"/>
  <c r="E177" i="2"/>
  <c r="F177" i="2"/>
  <c r="C178" i="2" s="1"/>
  <c r="B178" i="2"/>
  <c r="AB81" i="2" l="1"/>
  <c r="X81" i="2"/>
  <c r="Y81" i="2" s="1"/>
  <c r="Z81" i="2" s="1"/>
  <c r="AA81" i="2" s="1"/>
  <c r="W82" i="2"/>
  <c r="K100" i="2"/>
  <c r="G178" i="2"/>
  <c r="D179" i="2"/>
  <c r="F178" i="2"/>
  <c r="C179" i="2" s="1"/>
  <c r="E178" i="2"/>
  <c r="B179" i="2" s="1"/>
  <c r="AC81" i="2" l="1"/>
  <c r="AD81" i="2" s="1"/>
  <c r="AE81" i="2" s="1"/>
  <c r="U82" i="2"/>
  <c r="Q100" i="2"/>
  <c r="L101" i="2" s="1"/>
  <c r="M100" i="2"/>
  <c r="O100" i="2"/>
  <c r="P100" i="2" s="1"/>
  <c r="F179" i="2"/>
  <c r="E179" i="2"/>
  <c r="B180" i="2" s="1"/>
  <c r="C180" i="2"/>
  <c r="G179" i="2"/>
  <c r="D180" i="2" s="1"/>
  <c r="X82" i="2" l="1"/>
  <c r="Y82" i="2" s="1"/>
  <c r="Z82" i="2" s="1"/>
  <c r="AA82" i="2" s="1"/>
  <c r="V82" i="2"/>
  <c r="AB82" i="2" s="1"/>
  <c r="AC82" i="2" s="1"/>
  <c r="AD82" i="2" s="1"/>
  <c r="N100" i="2"/>
  <c r="J101" i="2"/>
  <c r="K101" i="2"/>
  <c r="F180" i="2"/>
  <c r="E180" i="2"/>
  <c r="B181" i="2" s="1"/>
  <c r="C181" i="2"/>
  <c r="G180" i="2"/>
  <c r="D181" i="2" s="1"/>
  <c r="U83" i="2" l="1"/>
  <c r="W83" i="2"/>
  <c r="AE82" i="2"/>
  <c r="V83" i="2" s="1"/>
  <c r="Q101" i="2"/>
  <c r="L102" i="2" s="1"/>
  <c r="M101" i="2"/>
  <c r="N101" i="2" s="1"/>
  <c r="O101" i="2"/>
  <c r="P101" i="2" s="1"/>
  <c r="E181" i="2"/>
  <c r="F181" i="2"/>
  <c r="B182" i="2"/>
  <c r="G181" i="2"/>
  <c r="D182" i="2" s="1"/>
  <c r="C182" i="2"/>
  <c r="W84" i="2" l="1"/>
  <c r="AB83" i="2"/>
  <c r="AC83" i="2"/>
  <c r="AD83" i="2" s="1"/>
  <c r="AE83" i="2" s="1"/>
  <c r="X83" i="2"/>
  <c r="Y83" i="2"/>
  <c r="Z83" i="2" s="1"/>
  <c r="K102" i="2"/>
  <c r="J102" i="2"/>
  <c r="G182" i="2"/>
  <c r="D183" i="2" s="1"/>
  <c r="F182" i="2"/>
  <c r="C183" i="2" s="1"/>
  <c r="E182" i="2"/>
  <c r="B183" i="2" s="1"/>
  <c r="AA83" i="2" l="1"/>
  <c r="U84" i="2"/>
  <c r="V84" i="2"/>
  <c r="M102" i="2"/>
  <c r="N102" i="2" s="1"/>
  <c r="O102" i="2"/>
  <c r="P102" i="2" s="1"/>
  <c r="K103" i="2" s="1"/>
  <c r="J103" i="2"/>
  <c r="Q102" i="2"/>
  <c r="L103" i="2" s="1"/>
  <c r="G183" i="2"/>
  <c r="F183" i="2"/>
  <c r="C184" i="2" s="1"/>
  <c r="E183" i="2"/>
  <c r="B184" i="2" s="1"/>
  <c r="D184" i="2"/>
  <c r="X84" i="2" l="1"/>
  <c r="Y84" i="2"/>
  <c r="AB84" i="2"/>
  <c r="AC84" i="2" s="1"/>
  <c r="AD84" i="2" s="1"/>
  <c r="AE84" i="2" s="1"/>
  <c r="W85" i="2"/>
  <c r="Q103" i="2"/>
  <c r="L104" i="2"/>
  <c r="M103" i="2"/>
  <c r="N103" i="2" s="1"/>
  <c r="O103" i="2"/>
  <c r="P103" i="2" s="1"/>
  <c r="F184" i="2"/>
  <c r="E184" i="2"/>
  <c r="B185" i="2" s="1"/>
  <c r="G184" i="2"/>
  <c r="D185" i="2" s="1"/>
  <c r="C185" i="2"/>
  <c r="Z84" i="2" l="1"/>
  <c r="AA84" i="2" s="1"/>
  <c r="V85" i="2"/>
  <c r="J104" i="2"/>
  <c r="K104" i="2"/>
  <c r="E185" i="2"/>
  <c r="F185" i="2"/>
  <c r="B186" i="2"/>
  <c r="C186" i="2"/>
  <c r="G185" i="2"/>
  <c r="D186" i="2" s="1"/>
  <c r="W86" i="2" l="1"/>
  <c r="U85" i="2"/>
  <c r="Q104" i="2"/>
  <c r="L105" i="2" s="1"/>
  <c r="O104" i="2"/>
  <c r="P104" i="2" s="1"/>
  <c r="M104" i="2"/>
  <c r="N104" i="2" s="1"/>
  <c r="G186" i="2"/>
  <c r="D187" i="2" s="1"/>
  <c r="F186" i="2"/>
  <c r="C187" i="2" s="1"/>
  <c r="E186" i="2"/>
  <c r="B187" i="2"/>
  <c r="X85" i="2" l="1"/>
  <c r="Y85" i="2" s="1"/>
  <c r="AB85" i="2"/>
  <c r="J105" i="2"/>
  <c r="K105" i="2"/>
  <c r="G187" i="2"/>
  <c r="D188" i="2" s="1"/>
  <c r="E187" i="2"/>
  <c r="B188" i="2" s="1"/>
  <c r="F187" i="2"/>
  <c r="C188" i="2" s="1"/>
  <c r="Z85" i="2" l="1"/>
  <c r="AA85" i="2" s="1"/>
  <c r="AC85" i="2"/>
  <c r="AD85" i="2" s="1"/>
  <c r="AE85" i="2" s="1"/>
  <c r="Q105" i="2"/>
  <c r="L106" i="2" s="1"/>
  <c r="M105" i="2"/>
  <c r="N105" i="2" s="1"/>
  <c r="O105" i="2"/>
  <c r="P105" i="2" s="1"/>
  <c r="G188" i="2"/>
  <c r="F188" i="2"/>
  <c r="C189" i="2" s="1"/>
  <c r="E188" i="2"/>
  <c r="B189" i="2"/>
  <c r="D189" i="2"/>
  <c r="V86" i="2" l="1"/>
  <c r="U86" i="2"/>
  <c r="J106" i="2"/>
  <c r="K106" i="2"/>
  <c r="G189" i="2"/>
  <c r="E189" i="2"/>
  <c r="B190" i="2"/>
  <c r="F189" i="2"/>
  <c r="C190" i="2" s="1"/>
  <c r="D190" i="2"/>
  <c r="X86" i="2" l="1"/>
  <c r="Y86" i="2"/>
  <c r="Z86" i="2"/>
  <c r="AA86" i="2" s="1"/>
  <c r="U87" i="2" s="1"/>
  <c r="AB86" i="2"/>
  <c r="W87" i="2"/>
  <c r="Q106" i="2"/>
  <c r="L107" i="2" s="1"/>
  <c r="O106" i="2"/>
  <c r="P106" i="2" s="1"/>
  <c r="M106" i="2"/>
  <c r="N106" i="2" s="1"/>
  <c r="G190" i="2"/>
  <c r="D191" i="2"/>
  <c r="F190" i="2"/>
  <c r="C191" i="2" s="1"/>
  <c r="E190" i="2"/>
  <c r="B191" i="2" s="1"/>
  <c r="AC86" i="2" l="1"/>
  <c r="AD86" i="2" s="1"/>
  <c r="AE86" i="2" s="1"/>
  <c r="J107" i="2"/>
  <c r="K107" i="2"/>
  <c r="F191" i="2"/>
  <c r="E191" i="2"/>
  <c r="B192" i="2" s="1"/>
  <c r="G191" i="2"/>
  <c r="D192" i="2" s="1"/>
  <c r="C192" i="2"/>
  <c r="V87" i="2" l="1"/>
  <c r="Q107" i="2"/>
  <c r="L108" i="2" s="1"/>
  <c r="O107" i="2"/>
  <c r="P107" i="2" s="1"/>
  <c r="M107" i="2"/>
  <c r="N107" i="2" s="1"/>
  <c r="E192" i="2"/>
  <c r="B193" i="2"/>
  <c r="F192" i="2"/>
  <c r="C193" i="2" s="1"/>
  <c r="G192" i="2"/>
  <c r="D193" i="2" s="1"/>
  <c r="W88" i="2" l="1"/>
  <c r="X87" i="2"/>
  <c r="AB87" i="2"/>
  <c r="K108" i="2"/>
  <c r="J108" i="2"/>
  <c r="G193" i="2"/>
  <c r="D194" i="2" s="1"/>
  <c r="F193" i="2"/>
  <c r="C194" i="2" s="1"/>
  <c r="E193" i="2"/>
  <c r="B194" i="2" s="1"/>
  <c r="AC87" i="2" l="1"/>
  <c r="AD87" i="2" s="1"/>
  <c r="AE87" i="2" s="1"/>
  <c r="Y87" i="2"/>
  <c r="Z87" i="2" s="1"/>
  <c r="AA87" i="2" s="1"/>
  <c r="M108" i="2"/>
  <c r="N108" i="2" s="1"/>
  <c r="O108" i="2"/>
  <c r="P108" i="2" s="1"/>
  <c r="K109" i="2" s="1"/>
  <c r="Q108" i="2"/>
  <c r="L109" i="2" s="1"/>
  <c r="F194" i="2"/>
  <c r="E194" i="2"/>
  <c r="B195" i="2" s="1"/>
  <c r="G194" i="2"/>
  <c r="C195" i="2"/>
  <c r="D195" i="2"/>
  <c r="U88" i="2" l="1"/>
  <c r="V88" i="2"/>
  <c r="Q109" i="2"/>
  <c r="L110" i="2"/>
  <c r="J109" i="2"/>
  <c r="E195" i="2"/>
  <c r="B196" i="2" s="1"/>
  <c r="F195" i="2"/>
  <c r="C196" i="2" s="1"/>
  <c r="G195" i="2"/>
  <c r="D196" i="2"/>
  <c r="AB88" i="2" l="1"/>
  <c r="X88" i="2"/>
  <c r="Y88" i="2" s="1"/>
  <c r="Z88" i="2" s="1"/>
  <c r="AA88" i="2" s="1"/>
  <c r="AC88" i="2"/>
  <c r="AD88" i="2" s="1"/>
  <c r="AE88" i="2" s="1"/>
  <c r="W89" i="2"/>
  <c r="M109" i="2"/>
  <c r="N109" i="2" s="1"/>
  <c r="O109" i="2"/>
  <c r="J110" i="2"/>
  <c r="G196" i="2"/>
  <c r="E196" i="2"/>
  <c r="F196" i="2"/>
  <c r="C197" i="2" s="1"/>
  <c r="B197" i="2"/>
  <c r="D197" i="2"/>
  <c r="V89" i="2" l="1"/>
  <c r="U89" i="2"/>
  <c r="P109" i="2"/>
  <c r="K110" i="2" s="1"/>
  <c r="G197" i="2"/>
  <c r="D198" i="2" s="1"/>
  <c r="F197" i="2"/>
  <c r="C198" i="2" s="1"/>
  <c r="E197" i="2"/>
  <c r="B198" i="2" s="1"/>
  <c r="AB89" i="2" l="1"/>
  <c r="AC89" i="2"/>
  <c r="X89" i="2"/>
  <c r="Y89" i="2"/>
  <c r="Z89" i="2" s="1"/>
  <c r="AA89" i="2" s="1"/>
  <c r="AD89" i="2"/>
  <c r="AE89" i="2" s="1"/>
  <c r="W90" i="2"/>
  <c r="Q110" i="2"/>
  <c r="L111" i="2" s="1"/>
  <c r="M110" i="2"/>
  <c r="O110" i="2"/>
  <c r="P110" i="2" s="1"/>
  <c r="F198" i="2"/>
  <c r="E198" i="2"/>
  <c r="B199" i="2"/>
  <c r="C199" i="2"/>
  <c r="G198" i="2"/>
  <c r="D199" i="2"/>
  <c r="U90" i="2" l="1"/>
  <c r="V90" i="2"/>
  <c r="N110" i="2"/>
  <c r="J111" i="2"/>
  <c r="K111" i="2"/>
  <c r="G199" i="2"/>
  <c r="E199" i="2"/>
  <c r="B200" i="2" s="1"/>
  <c r="F199" i="2"/>
  <c r="C200" i="2" s="1"/>
  <c r="D200" i="2"/>
  <c r="W91" i="2" l="1"/>
  <c r="AB90" i="2"/>
  <c r="Y90" i="2"/>
  <c r="Z90" i="2" s="1"/>
  <c r="AA90" i="2" s="1"/>
  <c r="X90" i="2"/>
  <c r="Q111" i="2"/>
  <c r="L112" i="2" s="1"/>
  <c r="M111" i="2"/>
  <c r="N111" i="2" s="1"/>
  <c r="O111" i="2"/>
  <c r="P111" i="2" s="1"/>
  <c r="G200" i="2"/>
  <c r="F200" i="2"/>
  <c r="C201" i="2" s="1"/>
  <c r="E200" i="2"/>
  <c r="B201" i="2" s="1"/>
  <c r="D201" i="2"/>
  <c r="AC90" i="2" l="1"/>
  <c r="AD90" i="2" s="1"/>
  <c r="AE90" i="2" s="1"/>
  <c r="U91" i="2"/>
  <c r="J112" i="2"/>
  <c r="K112" i="2"/>
  <c r="E201" i="2"/>
  <c r="B202" i="2" s="1"/>
  <c r="F201" i="2"/>
  <c r="C202" i="2" s="1"/>
  <c r="G201" i="2"/>
  <c r="D202" i="2"/>
  <c r="X91" i="2" l="1"/>
  <c r="Y91" i="2" s="1"/>
  <c r="Z91" i="2" s="1"/>
  <c r="AA91" i="2" s="1"/>
  <c r="V91" i="2"/>
  <c r="Q112" i="2"/>
  <c r="L113" i="2" s="1"/>
  <c r="O112" i="2"/>
  <c r="P112" i="2" s="1"/>
  <c r="M112" i="2"/>
  <c r="N112" i="2" s="1"/>
  <c r="G202" i="2"/>
  <c r="F202" i="2"/>
  <c r="C203" i="2" s="1"/>
  <c r="E202" i="2"/>
  <c r="B203" i="2"/>
  <c r="D203" i="2"/>
  <c r="W92" i="2" l="1"/>
  <c r="U92" i="2"/>
  <c r="AB91" i="2"/>
  <c r="J113" i="2"/>
  <c r="K113" i="2"/>
  <c r="G203" i="2"/>
  <c r="D204" i="2"/>
  <c r="E203" i="2"/>
  <c r="F203" i="2"/>
  <c r="C204" i="2" s="1"/>
  <c r="B204" i="2"/>
  <c r="AC91" i="2" l="1"/>
  <c r="AD91" i="2" s="1"/>
  <c r="AE91" i="2" s="1"/>
  <c r="Q113" i="2"/>
  <c r="L114" i="2" s="1"/>
  <c r="M113" i="2"/>
  <c r="N113" i="2" s="1"/>
  <c r="O113" i="2"/>
  <c r="P113" i="2" s="1"/>
  <c r="G204" i="2"/>
  <c r="F204" i="2"/>
  <c r="C205" i="2" s="1"/>
  <c r="B205" i="2"/>
  <c r="E204" i="2"/>
  <c r="D205" i="2"/>
  <c r="V92" i="2" l="1"/>
  <c r="K114" i="2"/>
  <c r="J114" i="2"/>
  <c r="G205" i="2"/>
  <c r="D206" i="2"/>
  <c r="F205" i="2"/>
  <c r="C206" i="2" s="1"/>
  <c r="E205" i="2"/>
  <c r="B206" i="2" s="1"/>
  <c r="W93" i="2" l="1"/>
  <c r="AB92" i="2"/>
  <c r="AC92" i="2"/>
  <c r="AD92" i="2" s="1"/>
  <c r="X92" i="2"/>
  <c r="O114" i="2"/>
  <c r="P114" i="2" s="1"/>
  <c r="M114" i="2"/>
  <c r="N114" i="2" s="1"/>
  <c r="J115" i="2" s="1"/>
  <c r="K115" i="2"/>
  <c r="Q114" i="2"/>
  <c r="L115" i="2" s="1"/>
  <c r="F206" i="2"/>
  <c r="E206" i="2"/>
  <c r="B207" i="2" s="1"/>
  <c r="C207" i="2"/>
  <c r="G206" i="2"/>
  <c r="D207" i="2" s="1"/>
  <c r="AE92" i="2" l="1"/>
  <c r="V93" i="2" s="1"/>
  <c r="Y92" i="2"/>
  <c r="Z92" i="2" s="1"/>
  <c r="AA92" i="2" s="1"/>
  <c r="O115" i="2"/>
  <c r="P115" i="2" s="1"/>
  <c r="M115" i="2"/>
  <c r="N115" i="2" s="1"/>
  <c r="Q115" i="2"/>
  <c r="L116" i="2" s="1"/>
  <c r="K116" i="2"/>
  <c r="E207" i="2"/>
  <c r="F207" i="2"/>
  <c r="C208" i="2" s="1"/>
  <c r="B208" i="2"/>
  <c r="G207" i="2"/>
  <c r="D208" i="2" s="1"/>
  <c r="W94" i="2" l="1"/>
  <c r="U93" i="2"/>
  <c r="Q116" i="2"/>
  <c r="L117" i="2" s="1"/>
  <c r="J116" i="2"/>
  <c r="G208" i="2"/>
  <c r="D209" i="2" s="1"/>
  <c r="F208" i="2"/>
  <c r="C209" i="2" s="1"/>
  <c r="E208" i="2"/>
  <c r="B209" i="2" s="1"/>
  <c r="X93" i="2" l="1"/>
  <c r="Y93" i="2"/>
  <c r="Z93" i="2" s="1"/>
  <c r="AA93" i="2" s="1"/>
  <c r="AB93" i="2"/>
  <c r="M116" i="2"/>
  <c r="N116" i="2" s="1"/>
  <c r="O116" i="2"/>
  <c r="B210" i="2"/>
  <c r="E209" i="2"/>
  <c r="F209" i="2"/>
  <c r="C210" i="2"/>
  <c r="G209" i="2"/>
  <c r="D210" i="2"/>
  <c r="U94" i="2" l="1"/>
  <c r="AC93" i="2"/>
  <c r="AD93" i="2" s="1"/>
  <c r="AE93" i="2" s="1"/>
  <c r="P116" i="2"/>
  <c r="K117" i="2"/>
  <c r="J117" i="2"/>
  <c r="F210" i="2"/>
  <c r="E210" i="2"/>
  <c r="B211" i="2" s="1"/>
  <c r="C211" i="2"/>
  <c r="G210" i="2"/>
  <c r="D211" i="2"/>
  <c r="V94" i="2" l="1"/>
  <c r="X94" i="2"/>
  <c r="Y94" i="2"/>
  <c r="Z94" i="2" s="1"/>
  <c r="AA94" i="2" s="1"/>
  <c r="AC94" i="2"/>
  <c r="AD94" i="2" s="1"/>
  <c r="AE94" i="2" s="1"/>
  <c r="AB94" i="2"/>
  <c r="M117" i="2"/>
  <c r="N117" i="2" s="1"/>
  <c r="O117" i="2"/>
  <c r="P117" i="2" s="1"/>
  <c r="J118" i="2"/>
  <c r="Q117" i="2"/>
  <c r="L118" i="2" s="1"/>
  <c r="K118" i="2"/>
  <c r="E211" i="2"/>
  <c r="B212" i="2" s="1"/>
  <c r="F211" i="2"/>
  <c r="G211" i="2"/>
  <c r="C212" i="2"/>
  <c r="G212" i="2" s="1"/>
  <c r="D212" i="2"/>
  <c r="U95" i="2" l="1"/>
  <c r="W95" i="2"/>
  <c r="V95" i="2"/>
  <c r="Q118" i="2"/>
  <c r="M118" i="2"/>
  <c r="N118" i="2" s="1"/>
  <c r="J119" i="2" s="1"/>
  <c r="O118" i="2"/>
  <c r="P118" i="2" s="1"/>
  <c r="L119" i="2"/>
  <c r="F212" i="2"/>
  <c r="E212" i="2"/>
  <c r="W96" i="2" l="1"/>
  <c r="X95" i="2"/>
  <c r="Y95" i="2"/>
  <c r="Z95" i="2" s="1"/>
  <c r="AA95" i="2" s="1"/>
  <c r="AD95" i="2"/>
  <c r="AE95" i="2" s="1"/>
  <c r="AB95" i="2"/>
  <c r="V96" i="2" s="1"/>
  <c r="AC95" i="2"/>
  <c r="K119" i="2"/>
  <c r="U96" i="2" l="1"/>
  <c r="W97" i="2"/>
  <c r="Q119" i="2"/>
  <c r="L120" i="2" s="1"/>
  <c r="O119" i="2"/>
  <c r="P119" i="2" s="1"/>
  <c r="M119" i="2"/>
  <c r="AB96" i="2" l="1"/>
  <c r="X96" i="2"/>
  <c r="Y96" i="2" s="1"/>
  <c r="Z96" i="2" s="1"/>
  <c r="AA96" i="2" s="1"/>
  <c r="K120" i="2"/>
  <c r="N119" i="2"/>
  <c r="J120" i="2" s="1"/>
  <c r="U97" i="2" l="1"/>
  <c r="AC96" i="2"/>
  <c r="AD96" i="2" s="1"/>
  <c r="AE96" i="2" s="1"/>
  <c r="O120" i="2"/>
  <c r="P120" i="2" s="1"/>
  <c r="K121" i="2" s="1"/>
  <c r="M120" i="2"/>
  <c r="N120" i="2" s="1"/>
  <c r="Q120" i="2"/>
  <c r="L121" i="2" s="1"/>
  <c r="AB97" i="2" l="1"/>
  <c r="AC97" i="2" s="1"/>
  <c r="AD97" i="2" s="1"/>
  <c r="X97" i="2"/>
  <c r="Y97" i="2"/>
  <c r="Z97" i="2" s="1"/>
  <c r="AA97" i="2" s="1"/>
  <c r="V97" i="2"/>
  <c r="Q121" i="2"/>
  <c r="L122" i="2"/>
  <c r="J121" i="2"/>
  <c r="U98" i="2" l="1"/>
  <c r="W98" i="2"/>
  <c r="AE97" i="2"/>
  <c r="V98" i="2" s="1"/>
  <c r="M121" i="2"/>
  <c r="N121" i="2" s="1"/>
  <c r="O121" i="2"/>
  <c r="W99" i="2" l="1"/>
  <c r="AB98" i="2"/>
  <c r="X98" i="2"/>
  <c r="Y98" i="2" s="1"/>
  <c r="P121" i="2"/>
  <c r="K122" i="2"/>
  <c r="J122" i="2"/>
  <c r="Z98" i="2" l="1"/>
  <c r="AA98" i="2" s="1"/>
  <c r="U99" i="2"/>
  <c r="AC98" i="2"/>
  <c r="AD98" i="2" s="1"/>
  <c r="AE98" i="2" s="1"/>
  <c r="Q122" i="2"/>
  <c r="L123" i="2" s="1"/>
  <c r="O122" i="2"/>
  <c r="P122" i="2" s="1"/>
  <c r="M122" i="2"/>
  <c r="N122" i="2" s="1"/>
  <c r="V99" i="2" l="1"/>
  <c r="X99" i="2"/>
  <c r="Y99" i="2"/>
  <c r="Z99" i="2" s="1"/>
  <c r="AA99" i="2" s="1"/>
  <c r="AB99" i="2"/>
  <c r="AC99" i="2" s="1"/>
  <c r="AD99" i="2" s="1"/>
  <c r="AE99" i="2" s="1"/>
  <c r="J123" i="2"/>
  <c r="K123" i="2"/>
  <c r="U100" i="2" l="1"/>
  <c r="V100" i="2"/>
  <c r="W100" i="2"/>
  <c r="Q123" i="2"/>
  <c r="L124" i="2" s="1"/>
  <c r="O123" i="2"/>
  <c r="P123" i="2" s="1"/>
  <c r="M123" i="2"/>
  <c r="N123" i="2" s="1"/>
  <c r="W101" i="2" l="1"/>
  <c r="X100" i="2"/>
  <c r="AC100" i="2"/>
  <c r="AD100" i="2" s="1"/>
  <c r="AE100" i="2" s="1"/>
  <c r="AB100" i="2"/>
  <c r="V101" i="2" s="1"/>
  <c r="K124" i="2"/>
  <c r="J124" i="2"/>
  <c r="Y100" i="2" l="1"/>
  <c r="Z100" i="2" s="1"/>
  <c r="AA100" i="2" s="1"/>
  <c r="W102" i="2"/>
  <c r="M124" i="2"/>
  <c r="N124" i="2" s="1"/>
  <c r="O124" i="2"/>
  <c r="P124" i="2" s="1"/>
  <c r="K125" i="2" s="1"/>
  <c r="Q124" i="2"/>
  <c r="L125" i="2" s="1"/>
  <c r="U101" i="2" l="1"/>
  <c r="Q125" i="2"/>
  <c r="L126" i="2"/>
  <c r="J125" i="2"/>
  <c r="X101" i="2" l="1"/>
  <c r="AB101" i="2"/>
  <c r="AC101" i="2"/>
  <c r="AD101" i="2" s="1"/>
  <c r="AE101" i="2" s="1"/>
  <c r="Y101" i="2"/>
  <c r="M125" i="2"/>
  <c r="N125" i="2" s="1"/>
  <c r="O125" i="2"/>
  <c r="J126" i="2"/>
  <c r="V102" i="2" l="1"/>
  <c r="Z101" i="2"/>
  <c r="AA101" i="2" s="1"/>
  <c r="P125" i="2"/>
  <c r="K126" i="2"/>
  <c r="M126" i="2" s="1"/>
  <c r="W103" i="2" l="1"/>
  <c r="U102" i="2"/>
  <c r="N126" i="2"/>
  <c r="J127" i="2"/>
  <c r="O126" i="2"/>
  <c r="P126" i="2" s="1"/>
  <c r="Q126" i="2"/>
  <c r="L127" i="2" s="1"/>
  <c r="X102" i="2" l="1"/>
  <c r="Y102" i="2"/>
  <c r="Z102" i="2"/>
  <c r="AA102" i="2" s="1"/>
  <c r="AB102" i="2"/>
  <c r="AC102" i="2"/>
  <c r="AD102" i="2" s="1"/>
  <c r="AE102" i="2" s="1"/>
  <c r="K127" i="2"/>
  <c r="M127" i="2"/>
  <c r="N127" i="2" s="1"/>
  <c r="O127" i="2"/>
  <c r="P127" i="2" s="1"/>
  <c r="U103" i="2" l="1"/>
  <c r="V103" i="2"/>
  <c r="J128" i="2"/>
  <c r="Q127" i="2"/>
  <c r="L128" i="2" s="1"/>
  <c r="K128" i="2"/>
  <c r="W104" i="2" l="1"/>
  <c r="AB103" i="2"/>
  <c r="AC103" i="2"/>
  <c r="AD103" i="2" s="1"/>
  <c r="AE103" i="2" s="1"/>
  <c r="X103" i="2"/>
  <c r="Y103" i="2" s="1"/>
  <c r="Q128" i="2"/>
  <c r="L129" i="2"/>
  <c r="O128" i="2"/>
  <c r="P128" i="2" s="1"/>
  <c r="M128" i="2"/>
  <c r="N128" i="2" s="1"/>
  <c r="Z103" i="2" l="1"/>
  <c r="AA103" i="2" s="1"/>
  <c r="V104" i="2"/>
  <c r="J129" i="2"/>
  <c r="K129" i="2"/>
  <c r="W105" i="2" l="1"/>
  <c r="U104" i="2"/>
  <c r="Q129" i="2"/>
  <c r="L130" i="2" s="1"/>
  <c r="M129" i="2"/>
  <c r="N129" i="2" s="1"/>
  <c r="O129" i="2"/>
  <c r="P129" i="2" s="1"/>
  <c r="AB104" i="2" l="1"/>
  <c r="AC104" i="2"/>
  <c r="AD104" i="2" s="1"/>
  <c r="AE104" i="2" s="1"/>
  <c r="X104" i="2"/>
  <c r="Y104" i="2" s="1"/>
  <c r="Z104" i="2" s="1"/>
  <c r="AA104" i="2" s="1"/>
  <c r="J130" i="2"/>
  <c r="K130" i="2"/>
  <c r="U105" i="2" l="1"/>
  <c r="V105" i="2"/>
  <c r="Q130" i="2"/>
  <c r="L131" i="2" s="1"/>
  <c r="O130" i="2"/>
  <c r="P130" i="2" s="1"/>
  <c r="M130" i="2"/>
  <c r="N130" i="2" s="1"/>
  <c r="J131" i="2"/>
  <c r="W106" i="2" l="1"/>
  <c r="X105" i="2"/>
  <c r="Y105" i="2" s="1"/>
  <c r="Z105" i="2" s="1"/>
  <c r="AA105" i="2" s="1"/>
  <c r="AB105" i="2"/>
  <c r="K131" i="2"/>
  <c r="U106" i="2" l="1"/>
  <c r="AC105" i="2"/>
  <c r="AD105" i="2" s="1"/>
  <c r="AE105" i="2" s="1"/>
  <c r="Q131" i="2"/>
  <c r="L132" i="2" s="1"/>
  <c r="M131" i="2"/>
  <c r="O131" i="2"/>
  <c r="P131" i="2" s="1"/>
  <c r="AB106" i="2" l="1"/>
  <c r="AC106" i="2" s="1"/>
  <c r="V106" i="2"/>
  <c r="X106" i="2" s="1"/>
  <c r="N131" i="2"/>
  <c r="J132" i="2"/>
  <c r="K132" i="2"/>
  <c r="Y106" i="2" l="1"/>
  <c r="Z106" i="2" s="1"/>
  <c r="AA106" i="2" s="1"/>
  <c r="U107" i="2" s="1"/>
  <c r="W107" i="2"/>
  <c r="AD106" i="2"/>
  <c r="AE106" i="2" s="1"/>
  <c r="M132" i="2"/>
  <c r="N132" i="2" s="1"/>
  <c r="O132" i="2"/>
  <c r="P132" i="2" s="1"/>
  <c r="Q132" i="2"/>
  <c r="L133" i="2" s="1"/>
  <c r="AB107" i="2" l="1"/>
  <c r="AC107" i="2" s="1"/>
  <c r="AD107" i="2" s="1"/>
  <c r="V107" i="2"/>
  <c r="K133" i="2"/>
  <c r="J133" i="2"/>
  <c r="W108" i="2" l="1"/>
  <c r="X107" i="2"/>
  <c r="AE107" i="2"/>
  <c r="V108" i="2" s="1"/>
  <c r="M133" i="2"/>
  <c r="N133" i="2" s="1"/>
  <c r="O133" i="2"/>
  <c r="P133" i="2" s="1"/>
  <c r="K134" i="2" s="1"/>
  <c r="J134" i="2"/>
  <c r="Q133" i="2"/>
  <c r="L134" i="2" s="1"/>
  <c r="Y107" i="2" l="1"/>
  <c r="Z107" i="2" s="1"/>
  <c r="AA107" i="2" s="1"/>
  <c r="W109" i="2"/>
  <c r="Q134" i="2"/>
  <c r="L135" i="2"/>
  <c r="M134" i="2"/>
  <c r="N134" i="2" s="1"/>
  <c r="O134" i="2"/>
  <c r="P134" i="2" s="1"/>
  <c r="J135" i="2"/>
  <c r="U108" i="2" l="1"/>
  <c r="K135" i="2"/>
  <c r="X108" i="2" l="1"/>
  <c r="Y108" i="2"/>
  <c r="Z108" i="2" s="1"/>
  <c r="AA108" i="2" s="1"/>
  <c r="AB108" i="2"/>
  <c r="AC108" i="2" s="1"/>
  <c r="AD108" i="2" s="1"/>
  <c r="AE108" i="2" s="1"/>
  <c r="Q135" i="2"/>
  <c r="L136" i="2" s="1"/>
  <c r="O135" i="2"/>
  <c r="P135" i="2" s="1"/>
  <c r="M135" i="2"/>
  <c r="V109" i="2" l="1"/>
  <c r="U109" i="2"/>
  <c r="N135" i="2"/>
  <c r="J136" i="2"/>
  <c r="K136" i="2"/>
  <c r="AB109" i="2" l="1"/>
  <c r="AC109" i="2" s="1"/>
  <c r="AD109" i="2" s="1"/>
  <c r="AE109" i="2" s="1"/>
  <c r="X109" i="2"/>
  <c r="Y109" i="2" s="1"/>
  <c r="Z109" i="2" s="1"/>
  <c r="AA109" i="2" s="1"/>
  <c r="W110" i="2"/>
  <c r="O136" i="2"/>
  <c r="P136" i="2" s="1"/>
  <c r="M136" i="2"/>
  <c r="N136" i="2" s="1"/>
  <c r="K137" i="2"/>
  <c r="Q136" i="2"/>
  <c r="L137" i="2" s="1"/>
  <c r="U110" i="2" l="1"/>
  <c r="V110" i="2"/>
  <c r="Q137" i="2"/>
  <c r="L138" i="2" s="1"/>
  <c r="J137" i="2"/>
  <c r="W111" i="2" l="1"/>
  <c r="AB110" i="2"/>
  <c r="AC110" i="2"/>
  <c r="AD110" i="2" s="1"/>
  <c r="AE110" i="2" s="1"/>
  <c r="X110" i="2"/>
  <c r="Y110" i="2" s="1"/>
  <c r="M137" i="2"/>
  <c r="N137" i="2" s="1"/>
  <c r="O137" i="2"/>
  <c r="Z110" i="2" l="1"/>
  <c r="AA110" i="2" s="1"/>
  <c r="U111" i="2"/>
  <c r="V111" i="2"/>
  <c r="P137" i="2"/>
  <c r="K138" i="2"/>
  <c r="J138" i="2"/>
  <c r="W112" i="2" l="1"/>
  <c r="AB111" i="2"/>
  <c r="AC111" i="2"/>
  <c r="AD111" i="2" s="1"/>
  <c r="AE111" i="2" s="1"/>
  <c r="X111" i="2"/>
  <c r="Y111" i="2" s="1"/>
  <c r="Z111" i="2" s="1"/>
  <c r="AA111" i="2" s="1"/>
  <c r="O138" i="2"/>
  <c r="P138" i="2" s="1"/>
  <c r="M138" i="2"/>
  <c r="N138" i="2" s="1"/>
  <c r="K139" i="2"/>
  <c r="Q138" i="2"/>
  <c r="L139" i="2" s="1"/>
  <c r="V112" i="2" l="1"/>
  <c r="U112" i="2"/>
  <c r="Q139" i="2"/>
  <c r="L140" i="2" s="1"/>
  <c r="J139" i="2"/>
  <c r="AB112" i="2" l="1"/>
  <c r="AC112" i="2"/>
  <c r="AD112" i="2"/>
  <c r="X112" i="2"/>
  <c r="Y112" i="2" s="1"/>
  <c r="Z112" i="2" s="1"/>
  <c r="AA112" i="2" s="1"/>
  <c r="W113" i="2"/>
  <c r="O139" i="2"/>
  <c r="M139" i="2"/>
  <c r="N139" i="2" s="1"/>
  <c r="AE112" i="2" l="1"/>
  <c r="V113" i="2" s="1"/>
  <c r="U113" i="2"/>
  <c r="J140" i="2"/>
  <c r="P139" i="2"/>
  <c r="K140" i="2" s="1"/>
  <c r="W114" i="2" l="1"/>
  <c r="X113" i="2"/>
  <c r="Y113" i="2" s="1"/>
  <c r="Z113" i="2" s="1"/>
  <c r="AA113" i="2" s="1"/>
  <c r="AB113" i="2"/>
  <c r="Q140" i="2"/>
  <c r="L141" i="2" s="1"/>
  <c r="M140" i="2"/>
  <c r="N140" i="2" s="1"/>
  <c r="O140" i="2"/>
  <c r="P140" i="2" s="1"/>
  <c r="AC113" i="2" l="1"/>
  <c r="AD113" i="2" s="1"/>
  <c r="AE113" i="2" s="1"/>
  <c r="U114" i="2"/>
  <c r="J141" i="2"/>
  <c r="K141" i="2"/>
  <c r="AB114" i="2" l="1"/>
  <c r="AC114" i="2" s="1"/>
  <c r="AD114" i="2" s="1"/>
  <c r="V114" i="2"/>
  <c r="X114" i="2" s="1"/>
  <c r="Q141" i="2"/>
  <c r="L142" i="2" s="1"/>
  <c r="M141" i="2"/>
  <c r="N141" i="2" s="1"/>
  <c r="O141" i="2"/>
  <c r="P141" i="2" s="1"/>
  <c r="Y114" i="2" l="1"/>
  <c r="Z114" i="2" s="1"/>
  <c r="AA114" i="2" s="1"/>
  <c r="W115" i="2"/>
  <c r="AE114" i="2"/>
  <c r="V115" i="2" s="1"/>
  <c r="K142" i="2"/>
  <c r="J142" i="2"/>
  <c r="W116" i="2" l="1"/>
  <c r="U115" i="2"/>
  <c r="M142" i="2"/>
  <c r="N142" i="2" s="1"/>
  <c r="O142" i="2"/>
  <c r="P142" i="2" s="1"/>
  <c r="J143" i="2"/>
  <c r="Q142" i="2"/>
  <c r="L143" i="2" s="1"/>
  <c r="X115" i="2" l="1"/>
  <c r="U116" i="2" s="1"/>
  <c r="Y115" i="2"/>
  <c r="Z115" i="2"/>
  <c r="AA115" i="2"/>
  <c r="AB115" i="2"/>
  <c r="K143" i="2"/>
  <c r="AC115" i="2" l="1"/>
  <c r="AD115" i="2" s="1"/>
  <c r="AE115" i="2" s="1"/>
  <c r="Q143" i="2"/>
  <c r="L144" i="2" s="1"/>
  <c r="O143" i="2"/>
  <c r="P143" i="2" s="1"/>
  <c r="M143" i="2"/>
  <c r="V116" i="2" l="1"/>
  <c r="K144" i="2"/>
  <c r="N143" i="2"/>
  <c r="J144" i="2"/>
  <c r="W117" i="2" l="1"/>
  <c r="X116" i="2"/>
  <c r="AB116" i="2"/>
  <c r="O144" i="2"/>
  <c r="P144" i="2" s="1"/>
  <c r="K145" i="2" s="1"/>
  <c r="M144" i="2"/>
  <c r="N144" i="2" s="1"/>
  <c r="Q144" i="2"/>
  <c r="L145" i="2" s="1"/>
  <c r="AC116" i="2" l="1"/>
  <c r="AD116" i="2" s="1"/>
  <c r="AE116" i="2" s="1"/>
  <c r="Y116" i="2"/>
  <c r="Z116" i="2" s="1"/>
  <c r="AA116" i="2" s="1"/>
  <c r="Q145" i="2"/>
  <c r="L146" i="2"/>
  <c r="J145" i="2"/>
  <c r="U117" i="2" l="1"/>
  <c r="V117" i="2"/>
  <c r="M145" i="2"/>
  <c r="N145" i="2" s="1"/>
  <c r="O145" i="2"/>
  <c r="W118" i="2" l="1"/>
  <c r="AB117" i="2"/>
  <c r="X117" i="2"/>
  <c r="P145" i="2"/>
  <c r="K146" i="2" s="1"/>
  <c r="J146" i="2"/>
  <c r="Y117" i="2" l="1"/>
  <c r="Z117" i="2" s="1"/>
  <c r="AA117" i="2" s="1"/>
  <c r="AC117" i="2"/>
  <c r="AD117" i="2" s="1"/>
  <c r="AE117" i="2" s="1"/>
  <c r="Q146" i="2"/>
  <c r="L147" i="2" s="1"/>
  <c r="O146" i="2"/>
  <c r="P146" i="2" s="1"/>
  <c r="M146" i="2"/>
  <c r="N146" i="2" s="1"/>
  <c r="J147" i="2" s="1"/>
  <c r="V118" i="2" l="1"/>
  <c r="U118" i="2"/>
  <c r="O147" i="2"/>
  <c r="P147" i="2" s="1"/>
  <c r="K147" i="2"/>
  <c r="M147" i="2" s="1"/>
  <c r="AB118" i="2" l="1"/>
  <c r="AC118" i="2"/>
  <c r="AD118" i="2" s="1"/>
  <c r="AE118" i="2" s="1"/>
  <c r="X118" i="2"/>
  <c r="W119" i="2"/>
  <c r="N147" i="2"/>
  <c r="J148" i="2" s="1"/>
  <c r="Q147" i="2"/>
  <c r="L148" i="2" s="1"/>
  <c r="K148" i="2"/>
  <c r="V119" i="2" l="1"/>
  <c r="Y118" i="2"/>
  <c r="Z118" i="2" s="1"/>
  <c r="AA118" i="2" s="1"/>
  <c r="M148" i="2"/>
  <c r="N148" i="2" s="1"/>
  <c r="O148" i="2"/>
  <c r="P148" i="2" s="1"/>
  <c r="K149" i="2" s="1"/>
  <c r="Q148" i="2"/>
  <c r="L149" i="2" s="1"/>
  <c r="W120" i="2" l="1"/>
  <c r="U119" i="2"/>
  <c r="Q149" i="2"/>
  <c r="L150" i="2" s="1"/>
  <c r="J149" i="2"/>
  <c r="AB119" i="2" l="1"/>
  <c r="AC119" i="2"/>
  <c r="AD119" i="2"/>
  <c r="AE119" i="2" s="1"/>
  <c r="X119" i="2"/>
  <c r="Y119" i="2" s="1"/>
  <c r="Z119" i="2" s="1"/>
  <c r="AA119" i="2" s="1"/>
  <c r="M149" i="2"/>
  <c r="N149" i="2" s="1"/>
  <c r="J150" i="2" s="1"/>
  <c r="O149" i="2"/>
  <c r="U120" i="2" l="1"/>
  <c r="V120" i="2"/>
  <c r="P149" i="2"/>
  <c r="K150" i="2" s="1"/>
  <c r="W121" i="2" l="1"/>
  <c r="AB120" i="2"/>
  <c r="AC120" i="2"/>
  <c r="AD120" i="2" s="1"/>
  <c r="AE120" i="2" s="1"/>
  <c r="X120" i="2"/>
  <c r="Y120" i="2"/>
  <c r="Q150" i="2"/>
  <c r="L151" i="2" s="1"/>
  <c r="O150" i="2"/>
  <c r="P150" i="2" s="1"/>
  <c r="K151" i="2" s="1"/>
  <c r="M150" i="2"/>
  <c r="V121" i="2" l="1"/>
  <c r="Z120" i="2"/>
  <c r="AA120" i="2" s="1"/>
  <c r="Q151" i="2"/>
  <c r="N150" i="2"/>
  <c r="J151" i="2" s="1"/>
  <c r="L152" i="2"/>
  <c r="W122" i="2" l="1"/>
  <c r="U121" i="2"/>
  <c r="O151" i="2"/>
  <c r="M151" i="2"/>
  <c r="N151" i="2" s="1"/>
  <c r="X121" i="2" l="1"/>
  <c r="AB121" i="2"/>
  <c r="Y121" i="2"/>
  <c r="Z121" i="2" s="1"/>
  <c r="AA121" i="2" s="1"/>
  <c r="J152" i="2"/>
  <c r="P151" i="2"/>
  <c r="K152" i="2" s="1"/>
  <c r="U122" i="2" l="1"/>
  <c r="AC121" i="2"/>
  <c r="AD121" i="2" s="1"/>
  <c r="AE121" i="2" s="1"/>
  <c r="Q152" i="2"/>
  <c r="L153" i="2" s="1"/>
  <c r="O152" i="2"/>
  <c r="P152" i="2" s="1"/>
  <c r="M152" i="2"/>
  <c r="N152" i="2" s="1"/>
  <c r="J153" i="2" s="1"/>
  <c r="V122" i="2" l="1"/>
  <c r="X122" i="2"/>
  <c r="Y122" i="2"/>
  <c r="Z122" i="2" s="1"/>
  <c r="AA122" i="2" s="1"/>
  <c r="AB122" i="2"/>
  <c r="AC122" i="2"/>
  <c r="AD122" i="2" s="1"/>
  <c r="AE122" i="2" s="1"/>
  <c r="K153" i="2"/>
  <c r="U123" i="2" l="1"/>
  <c r="W123" i="2"/>
  <c r="V123" i="2"/>
  <c r="Q153" i="2"/>
  <c r="L154" i="2" s="1"/>
  <c r="O153" i="2"/>
  <c r="P153" i="2" s="1"/>
  <c r="M153" i="2"/>
  <c r="W124" i="2" l="1"/>
  <c r="AE123" i="2"/>
  <c r="X123" i="2"/>
  <c r="Y123" i="2"/>
  <c r="Z123" i="2"/>
  <c r="AA123" i="2" s="1"/>
  <c r="AB123" i="2"/>
  <c r="AC123" i="2"/>
  <c r="V124" i="2" s="1"/>
  <c r="AD123" i="2"/>
  <c r="N153" i="2"/>
  <c r="J154" i="2" s="1"/>
  <c r="K154" i="2"/>
  <c r="U124" i="2" l="1"/>
  <c r="W125" i="2"/>
  <c r="M154" i="2"/>
  <c r="N154" i="2" s="1"/>
  <c r="O154" i="2"/>
  <c r="P154" i="2" s="1"/>
  <c r="K155" i="2" s="1"/>
  <c r="Q154" i="2"/>
  <c r="L155" i="2" s="1"/>
  <c r="X124" i="2" l="1"/>
  <c r="Y124" i="2"/>
  <c r="Z124" i="2"/>
  <c r="AA124" i="2" s="1"/>
  <c r="AB124" i="2"/>
  <c r="Q155" i="2"/>
  <c r="L156" i="2" s="1"/>
  <c r="J155" i="2"/>
  <c r="AC124" i="2" l="1"/>
  <c r="AD124" i="2" s="1"/>
  <c r="AE124" i="2" s="1"/>
  <c r="U125" i="2"/>
  <c r="O155" i="2"/>
  <c r="M155" i="2"/>
  <c r="N155" i="2" s="1"/>
  <c r="J156" i="2" s="1"/>
  <c r="X125" i="2" l="1"/>
  <c r="Y125" i="2" s="1"/>
  <c r="Z125" i="2" s="1"/>
  <c r="AA125" i="2" s="1"/>
  <c r="V125" i="2"/>
  <c r="AB125" i="2" s="1"/>
  <c r="P155" i="2"/>
  <c r="K156" i="2"/>
  <c r="U126" i="2" l="1"/>
  <c r="W126" i="2"/>
  <c r="AC125" i="2"/>
  <c r="AD125" i="2" s="1"/>
  <c r="AE125" i="2" s="1"/>
  <c r="Q156" i="2"/>
  <c r="L157" i="2" s="1"/>
  <c r="O156" i="2"/>
  <c r="P156" i="2" s="1"/>
  <c r="M156" i="2"/>
  <c r="V126" i="2" l="1"/>
  <c r="AB126" i="2"/>
  <c r="AC126" i="2"/>
  <c r="AD126" i="2" s="1"/>
  <c r="AE126" i="2" s="1"/>
  <c r="X126" i="2"/>
  <c r="Y126" i="2" s="1"/>
  <c r="N156" i="2"/>
  <c r="J157" i="2"/>
  <c r="K157" i="2"/>
  <c r="Z126" i="2" l="1"/>
  <c r="AA126" i="2" s="1"/>
  <c r="U127" i="2"/>
  <c r="V127" i="2"/>
  <c r="W127" i="2"/>
  <c r="Q157" i="2"/>
  <c r="L158" i="2" s="1"/>
  <c r="M157" i="2"/>
  <c r="N157" i="2" s="1"/>
  <c r="O157" i="2"/>
  <c r="P157" i="2" s="1"/>
  <c r="AB127" i="2" l="1"/>
  <c r="AC127" i="2"/>
  <c r="AD127" i="2"/>
  <c r="AE127" i="2" s="1"/>
  <c r="X127" i="2"/>
  <c r="Y127" i="2" s="1"/>
  <c r="Z127" i="2" s="1"/>
  <c r="AA127" i="2" s="1"/>
  <c r="W128" i="2"/>
  <c r="J158" i="2"/>
  <c r="K158" i="2"/>
  <c r="V128" i="2" l="1"/>
  <c r="U128" i="2"/>
  <c r="Q158" i="2"/>
  <c r="L159" i="2" s="1"/>
  <c r="O158" i="2"/>
  <c r="P158" i="2" s="1"/>
  <c r="M158" i="2"/>
  <c r="N158" i="2" s="1"/>
  <c r="AB128" i="2" l="1"/>
  <c r="AC128" i="2"/>
  <c r="X128" i="2"/>
  <c r="Y128" i="2" s="1"/>
  <c r="Z128" i="2" s="1"/>
  <c r="AA128" i="2" s="1"/>
  <c r="W129" i="2"/>
  <c r="J159" i="2"/>
  <c r="K159" i="2"/>
  <c r="AD128" i="2" l="1"/>
  <c r="AE128" i="2" s="1"/>
  <c r="U129" i="2"/>
  <c r="Q159" i="2"/>
  <c r="L160" i="2" s="1"/>
  <c r="O159" i="2"/>
  <c r="P159" i="2" s="1"/>
  <c r="M159" i="2"/>
  <c r="N159" i="2" s="1"/>
  <c r="X129" i="2" l="1"/>
  <c r="AB129" i="2"/>
  <c r="Y129" i="2"/>
  <c r="Z129" i="2" s="1"/>
  <c r="AA129" i="2" s="1"/>
  <c r="V129" i="2"/>
  <c r="J160" i="2"/>
  <c r="K160" i="2"/>
  <c r="U130" i="2" l="1"/>
  <c r="W130" i="2"/>
  <c r="AC129" i="2"/>
  <c r="Q160" i="2"/>
  <c r="L161" i="2" s="1"/>
  <c r="O160" i="2"/>
  <c r="P160" i="2" s="1"/>
  <c r="M160" i="2"/>
  <c r="N160" i="2" s="1"/>
  <c r="AD129" i="2" l="1"/>
  <c r="AE129" i="2" s="1"/>
  <c r="J161" i="2"/>
  <c r="K161" i="2"/>
  <c r="V130" i="2" l="1"/>
  <c r="Q161" i="2"/>
  <c r="L162" i="2" s="1"/>
  <c r="M161" i="2"/>
  <c r="N161" i="2" s="1"/>
  <c r="O161" i="2"/>
  <c r="P161" i="2" s="1"/>
  <c r="W131" i="2" l="1"/>
  <c r="AB130" i="2"/>
  <c r="AC130" i="2" s="1"/>
  <c r="AD130" i="2" s="1"/>
  <c r="AE130" i="2" s="1"/>
  <c r="X130" i="2"/>
  <c r="J162" i="2"/>
  <c r="K162" i="2"/>
  <c r="V131" i="2" l="1"/>
  <c r="Y130" i="2"/>
  <c r="Z130" i="2" s="1"/>
  <c r="AA130" i="2" s="1"/>
  <c r="U131" i="2" s="1"/>
  <c r="Q162" i="2"/>
  <c r="L163" i="2" s="1"/>
  <c r="M162" i="2"/>
  <c r="N162" i="2" s="1"/>
  <c r="J163" i="2" s="1"/>
  <c r="O162" i="2"/>
  <c r="P162" i="2" s="1"/>
  <c r="X131" i="2" l="1"/>
  <c r="Y131" i="2" s="1"/>
  <c r="AB131" i="2"/>
  <c r="AC131" i="2" s="1"/>
  <c r="AD131" i="2" s="1"/>
  <c r="AE131" i="2" s="1"/>
  <c r="W132" i="2"/>
  <c r="K163" i="2"/>
  <c r="Z131" i="2" l="1"/>
  <c r="AA131" i="2" s="1"/>
  <c r="V132" i="2"/>
  <c r="Q163" i="2"/>
  <c r="L164" i="2" s="1"/>
  <c r="M163" i="2"/>
  <c r="O163" i="2"/>
  <c r="P163" i="2" s="1"/>
  <c r="W133" i="2" l="1"/>
  <c r="U132" i="2"/>
  <c r="K164" i="2"/>
  <c r="N163" i="2"/>
  <c r="J164" i="2" s="1"/>
  <c r="X132" i="2" l="1"/>
  <c r="AC132" i="2"/>
  <c r="Y132" i="2"/>
  <c r="Z132" i="2" s="1"/>
  <c r="AA132" i="2" s="1"/>
  <c r="AD132" i="2"/>
  <c r="AE132" i="2" s="1"/>
  <c r="AB132" i="2"/>
  <c r="M164" i="2"/>
  <c r="N164" i="2" s="1"/>
  <c r="O164" i="2"/>
  <c r="P164" i="2" s="1"/>
  <c r="J165" i="2"/>
  <c r="K165" i="2"/>
  <c r="Q164" i="2"/>
  <c r="L165" i="2" s="1"/>
  <c r="U133" i="2" l="1"/>
  <c r="V133" i="2"/>
  <c r="M165" i="2"/>
  <c r="N165" i="2" s="1"/>
  <c r="O165" i="2"/>
  <c r="P165" i="2" s="1"/>
  <c r="J166" i="2"/>
  <c r="Q165" i="2"/>
  <c r="L166" i="2" s="1"/>
  <c r="K166" i="2"/>
  <c r="W134" i="2" l="1"/>
  <c r="X133" i="2"/>
  <c r="Y133" i="2" s="1"/>
  <c r="AB133" i="2"/>
  <c r="AC133" i="2" s="1"/>
  <c r="AD133" i="2" s="1"/>
  <c r="AE133" i="2" s="1"/>
  <c r="M166" i="2"/>
  <c r="N166" i="2" s="1"/>
  <c r="O166" i="2"/>
  <c r="P166" i="2" s="1"/>
  <c r="J167" i="2"/>
  <c r="Q166" i="2"/>
  <c r="L167" i="2" s="1"/>
  <c r="K167" i="2"/>
  <c r="Z133" i="2" l="1"/>
  <c r="AA133" i="2" s="1"/>
  <c r="V134" i="2"/>
  <c r="Q167" i="2"/>
  <c r="L168" i="2" s="1"/>
  <c r="M167" i="2"/>
  <c r="N167" i="2" s="1"/>
  <c r="J168" i="2"/>
  <c r="O167" i="2"/>
  <c r="P167" i="2" s="1"/>
  <c r="W135" i="2" l="1"/>
  <c r="U134" i="2"/>
  <c r="K168" i="2"/>
  <c r="AB134" i="2" l="1"/>
  <c r="AC134" i="2"/>
  <c r="AD134" i="2" s="1"/>
  <c r="AE134" i="2" s="1"/>
  <c r="X134" i="2"/>
  <c r="Y134" i="2" s="1"/>
  <c r="Z134" i="2" s="1"/>
  <c r="AA134" i="2" s="1"/>
  <c r="Q168" i="2"/>
  <c r="L169" i="2" s="1"/>
  <c r="O168" i="2"/>
  <c r="P168" i="2" s="1"/>
  <c r="M168" i="2"/>
  <c r="U135" i="2" l="1"/>
  <c r="V135" i="2"/>
  <c r="N168" i="2"/>
  <c r="J169" i="2"/>
  <c r="K169" i="2"/>
  <c r="W136" i="2" l="1"/>
  <c r="Y135" i="2"/>
  <c r="Z135" i="2" s="1"/>
  <c r="AA135" i="2" s="1"/>
  <c r="AB135" i="2"/>
  <c r="X135" i="2"/>
  <c r="Q169" i="2"/>
  <c r="L170" i="2" s="1"/>
  <c r="M169" i="2"/>
  <c r="N169" i="2" s="1"/>
  <c r="O169" i="2"/>
  <c r="P169" i="2" s="1"/>
  <c r="U136" i="2" l="1"/>
  <c r="AC135" i="2"/>
  <c r="AD135" i="2" s="1"/>
  <c r="AE135" i="2" s="1"/>
  <c r="J170" i="2"/>
  <c r="K170" i="2"/>
  <c r="X136" i="2" l="1"/>
  <c r="V136" i="2"/>
  <c r="Q170" i="2"/>
  <c r="L171" i="2" s="1"/>
  <c r="M170" i="2"/>
  <c r="N170" i="2" s="1"/>
  <c r="O170" i="2"/>
  <c r="P170" i="2" s="1"/>
  <c r="Y136" i="2" l="1"/>
  <c r="Z136" i="2" s="1"/>
  <c r="AA136" i="2" s="1"/>
  <c r="W137" i="2"/>
  <c r="AB136" i="2"/>
  <c r="AC136" i="2" s="1"/>
  <c r="AD136" i="2" s="1"/>
  <c r="AE136" i="2" s="1"/>
  <c r="K171" i="2"/>
  <c r="J171" i="2"/>
  <c r="V137" i="2" l="1"/>
  <c r="U137" i="2"/>
  <c r="O171" i="2"/>
  <c r="P171" i="2" s="1"/>
  <c r="M171" i="2"/>
  <c r="N171" i="2" s="1"/>
  <c r="Q171" i="2"/>
  <c r="L172" i="2" s="1"/>
  <c r="K172" i="2"/>
  <c r="X137" i="2" l="1"/>
  <c r="Y137" i="2"/>
  <c r="Z137" i="2" s="1"/>
  <c r="AB137" i="2"/>
  <c r="AC137" i="2"/>
  <c r="AD137" i="2" s="1"/>
  <c r="AE137" i="2" s="1"/>
  <c r="W138" i="2"/>
  <c r="J172" i="2"/>
  <c r="Q172" i="2"/>
  <c r="L173" i="2" s="1"/>
  <c r="V138" i="2" l="1"/>
  <c r="AA137" i="2"/>
  <c r="U138" i="2"/>
  <c r="O172" i="2"/>
  <c r="M172" i="2"/>
  <c r="N172" i="2" s="1"/>
  <c r="X138" i="2" l="1"/>
  <c r="Y138" i="2"/>
  <c r="Z138" i="2"/>
  <c r="AA138" i="2" s="1"/>
  <c r="U139" i="2" s="1"/>
  <c r="AB138" i="2"/>
  <c r="AC138" i="2"/>
  <c r="AD138" i="2" s="1"/>
  <c r="AE138" i="2" s="1"/>
  <c r="W139" i="2"/>
  <c r="J173" i="2"/>
  <c r="P172" i="2"/>
  <c r="K173" i="2" s="1"/>
  <c r="V139" i="2" l="1"/>
  <c r="X139" i="2"/>
  <c r="AB139" i="2"/>
  <c r="AC139" i="2" s="1"/>
  <c r="AD139" i="2" s="1"/>
  <c r="AE139" i="2" s="1"/>
  <c r="Q173" i="2"/>
  <c r="L174" i="2" s="1"/>
  <c r="O173" i="2"/>
  <c r="P173" i="2" s="1"/>
  <c r="M173" i="2"/>
  <c r="N173" i="2" s="1"/>
  <c r="Y139" i="2" l="1"/>
  <c r="Z139" i="2" s="1"/>
  <c r="AA139" i="2" s="1"/>
  <c r="W140" i="2"/>
  <c r="V140" i="2"/>
  <c r="J174" i="2"/>
  <c r="K174" i="2"/>
  <c r="W141" i="2" l="1"/>
  <c r="U140" i="2"/>
  <c r="Q174" i="2"/>
  <c r="L175" i="2" s="1"/>
  <c r="M174" i="2"/>
  <c r="N174" i="2" s="1"/>
  <c r="O174" i="2"/>
  <c r="P174" i="2" s="1"/>
  <c r="AB140" i="2" l="1"/>
  <c r="X140" i="2"/>
  <c r="AC140" i="2"/>
  <c r="AD140" i="2" s="1"/>
  <c r="AE140" i="2" s="1"/>
  <c r="J175" i="2"/>
  <c r="K175" i="2"/>
  <c r="V141" i="2" l="1"/>
  <c r="Y140" i="2"/>
  <c r="Z140" i="2" s="1"/>
  <c r="AA140" i="2" s="1"/>
  <c r="Q175" i="2"/>
  <c r="L176" i="2" s="1"/>
  <c r="M175" i="2"/>
  <c r="N175" i="2" s="1"/>
  <c r="O175" i="2"/>
  <c r="P175" i="2" s="1"/>
  <c r="W142" i="2" l="1"/>
  <c r="U141" i="2"/>
  <c r="J176" i="2"/>
  <c r="K176" i="2"/>
  <c r="AB141" i="2" l="1"/>
  <c r="AC141" i="2"/>
  <c r="AD141" i="2" s="1"/>
  <c r="AE141" i="2" s="1"/>
  <c r="X141" i="2"/>
  <c r="Q176" i="2"/>
  <c r="L177" i="2" s="1"/>
  <c r="M176" i="2"/>
  <c r="N176" i="2" s="1"/>
  <c r="O176" i="2"/>
  <c r="P176" i="2" s="1"/>
  <c r="V142" i="2" l="1"/>
  <c r="Y141" i="2"/>
  <c r="Z141" i="2" s="1"/>
  <c r="AA141" i="2" s="1"/>
  <c r="J177" i="2"/>
  <c r="K177" i="2"/>
  <c r="W143" i="2" l="1"/>
  <c r="U142" i="2"/>
  <c r="Q177" i="2"/>
  <c r="L178" i="2" s="1"/>
  <c r="M177" i="2"/>
  <c r="N177" i="2" s="1"/>
  <c r="O177" i="2"/>
  <c r="P177" i="2" s="1"/>
  <c r="AB142" i="2" l="1"/>
  <c r="AC142" i="2"/>
  <c r="AD142" i="2"/>
  <c r="X142" i="2"/>
  <c r="AE142" i="2"/>
  <c r="J178" i="2"/>
  <c r="K178" i="2"/>
  <c r="Y142" i="2" l="1"/>
  <c r="Z142" i="2" s="1"/>
  <c r="AA142" i="2" s="1"/>
  <c r="V143" i="2"/>
  <c r="Q178" i="2"/>
  <c r="L179" i="2" s="1"/>
  <c r="M178" i="2"/>
  <c r="N178" i="2" s="1"/>
  <c r="O178" i="2"/>
  <c r="P178" i="2" s="1"/>
  <c r="W144" i="2" l="1"/>
  <c r="U143" i="2"/>
  <c r="J179" i="2"/>
  <c r="K179" i="2"/>
  <c r="Y143" i="2" l="1"/>
  <c r="AB143" i="2"/>
  <c r="Z143" i="2"/>
  <c r="AA143" i="2"/>
  <c r="U144" i="2" s="1"/>
  <c r="X143" i="2"/>
  <c r="Q179" i="2"/>
  <c r="L180" i="2" s="1"/>
  <c r="O179" i="2"/>
  <c r="P179" i="2" s="1"/>
  <c r="M179" i="2"/>
  <c r="N179" i="2" s="1"/>
  <c r="AC143" i="2" l="1"/>
  <c r="AD143" i="2" s="1"/>
  <c r="AE143" i="2" s="1"/>
  <c r="J180" i="2"/>
  <c r="K180" i="2"/>
  <c r="V144" i="2" l="1"/>
  <c r="Q180" i="2"/>
  <c r="L181" i="2" s="1"/>
  <c r="O180" i="2"/>
  <c r="P180" i="2" s="1"/>
  <c r="M180" i="2"/>
  <c r="N180" i="2" s="1"/>
  <c r="W145" i="2" l="1"/>
  <c r="AB144" i="2"/>
  <c r="X144" i="2"/>
  <c r="AC144" i="2"/>
  <c r="AD144" i="2" s="1"/>
  <c r="AE144" i="2" s="1"/>
  <c r="J181" i="2"/>
  <c r="K181" i="2"/>
  <c r="V145" i="2" l="1"/>
  <c r="Y144" i="2"/>
  <c r="Z144" i="2" s="1"/>
  <c r="AA144" i="2" s="1"/>
  <c r="Q181" i="2"/>
  <c r="L182" i="2" s="1"/>
  <c r="O181" i="2"/>
  <c r="P181" i="2" s="1"/>
  <c r="M181" i="2"/>
  <c r="N181" i="2" s="1"/>
  <c r="U145" i="2" l="1"/>
  <c r="W146" i="2"/>
  <c r="J182" i="2"/>
  <c r="K182" i="2"/>
  <c r="X145" i="2" l="1"/>
  <c r="Y145" i="2"/>
  <c r="Z145" i="2" s="1"/>
  <c r="AA145" i="2" s="1"/>
  <c r="AB145" i="2"/>
  <c r="Q182" i="2"/>
  <c r="L183" i="2" s="1"/>
  <c r="M182" i="2"/>
  <c r="N182" i="2" s="1"/>
  <c r="O182" i="2"/>
  <c r="P182" i="2" s="1"/>
  <c r="U146" i="2" l="1"/>
  <c r="AC145" i="2"/>
  <c r="AD145" i="2" s="1"/>
  <c r="AE145" i="2" s="1"/>
  <c r="J183" i="2"/>
  <c r="K183" i="2"/>
  <c r="V146" i="2" l="1"/>
  <c r="X146" i="2"/>
  <c r="Y146" i="2"/>
  <c r="Z146" i="2"/>
  <c r="AA146" i="2" s="1"/>
  <c r="U147" i="2" s="1"/>
  <c r="AB146" i="2"/>
  <c r="AC146" i="2"/>
  <c r="AD146" i="2" s="1"/>
  <c r="AE146" i="2" s="1"/>
  <c r="Q183" i="2"/>
  <c r="L184" i="2" s="1"/>
  <c r="O183" i="2"/>
  <c r="P183" i="2" s="1"/>
  <c r="M183" i="2"/>
  <c r="N183" i="2" s="1"/>
  <c r="X147" i="2" l="1"/>
  <c r="Y147" i="2" s="1"/>
  <c r="Z147" i="2" s="1"/>
  <c r="AA147" i="2" s="1"/>
  <c r="AB147" i="2"/>
  <c r="AC147" i="2" s="1"/>
  <c r="AD147" i="2" s="1"/>
  <c r="AE147" i="2" s="1"/>
  <c r="W147" i="2"/>
  <c r="V147" i="2"/>
  <c r="J184" i="2"/>
  <c r="K184" i="2"/>
  <c r="V148" i="2" l="1"/>
  <c r="W148" i="2"/>
  <c r="U148" i="2"/>
  <c r="Q184" i="2"/>
  <c r="L185" i="2" s="1"/>
  <c r="O184" i="2"/>
  <c r="P184" i="2" s="1"/>
  <c r="M184" i="2"/>
  <c r="N184" i="2" s="1"/>
  <c r="AB148" i="2" l="1"/>
  <c r="X148" i="2"/>
  <c r="AC148" i="2"/>
  <c r="W149" i="2"/>
  <c r="J185" i="2"/>
  <c r="K185" i="2"/>
  <c r="Y148" i="2" l="1"/>
  <c r="Z148" i="2" s="1"/>
  <c r="AA148" i="2" s="1"/>
  <c r="AD148" i="2"/>
  <c r="AE148" i="2" s="1"/>
  <c r="Q185" i="2"/>
  <c r="L186" i="2" s="1"/>
  <c r="M185" i="2"/>
  <c r="N185" i="2" s="1"/>
  <c r="O185" i="2"/>
  <c r="P185" i="2" s="1"/>
  <c r="U149" i="2" l="1"/>
  <c r="V149" i="2"/>
  <c r="J186" i="2"/>
  <c r="K186" i="2"/>
  <c r="W150" i="2" l="1"/>
  <c r="AB149" i="2"/>
  <c r="AC149" i="2"/>
  <c r="AD149" i="2" s="1"/>
  <c r="AE149" i="2" s="1"/>
  <c r="X149" i="2"/>
  <c r="Y149" i="2" s="1"/>
  <c r="Z149" i="2" s="1"/>
  <c r="AA149" i="2" s="1"/>
  <c r="Q186" i="2"/>
  <c r="L187" i="2" s="1"/>
  <c r="M186" i="2"/>
  <c r="N186" i="2" s="1"/>
  <c r="O186" i="2"/>
  <c r="P186" i="2" s="1"/>
  <c r="J187" i="2"/>
  <c r="V150" i="2" l="1"/>
  <c r="U150" i="2"/>
  <c r="K187" i="2"/>
  <c r="AB150" i="2" l="1"/>
  <c r="AC150" i="2"/>
  <c r="V151" i="2" s="1"/>
  <c r="AD150" i="2"/>
  <c r="X150" i="2"/>
  <c r="AE150" i="2"/>
  <c r="W151" i="2"/>
  <c r="Q187" i="2"/>
  <c r="L188" i="2" s="1"/>
  <c r="M187" i="2"/>
  <c r="O187" i="2"/>
  <c r="P187" i="2" s="1"/>
  <c r="Y150" i="2" l="1"/>
  <c r="Z150" i="2" s="1"/>
  <c r="AA150" i="2" s="1"/>
  <c r="W152" i="2"/>
  <c r="N187" i="2"/>
  <c r="J188" i="2"/>
  <c r="K188" i="2"/>
  <c r="U151" i="2" l="1"/>
  <c r="O188" i="2"/>
  <c r="P188" i="2" s="1"/>
  <c r="M188" i="2"/>
  <c r="N188" i="2" s="1"/>
  <c r="Q188" i="2"/>
  <c r="L189" i="2" s="1"/>
  <c r="K189" i="2"/>
  <c r="AB151" i="2" l="1"/>
  <c r="X151" i="2"/>
  <c r="Y151" i="2" s="1"/>
  <c r="Z151" i="2" s="1"/>
  <c r="AA151" i="2" s="1"/>
  <c r="Q189" i="2"/>
  <c r="J189" i="2"/>
  <c r="L190" i="2"/>
  <c r="U152" i="2" l="1"/>
  <c r="AC151" i="2"/>
  <c r="AD151" i="2" s="1"/>
  <c r="AE151" i="2" s="1"/>
  <c r="O189" i="2"/>
  <c r="M189" i="2"/>
  <c r="N189" i="2" s="1"/>
  <c r="V152" i="2" l="1"/>
  <c r="X152" i="2"/>
  <c r="Y152" i="2" s="1"/>
  <c r="AB152" i="2"/>
  <c r="AC152" i="2" s="1"/>
  <c r="AD152" i="2" s="1"/>
  <c r="AE152" i="2" s="1"/>
  <c r="J190" i="2"/>
  <c r="P189" i="2"/>
  <c r="K190" i="2"/>
  <c r="Z152" i="2" l="1"/>
  <c r="AA152" i="2" s="1"/>
  <c r="U153" i="2"/>
  <c r="W153" i="2"/>
  <c r="V153" i="2"/>
  <c r="Q190" i="2"/>
  <c r="L191" i="2" s="1"/>
  <c r="M190" i="2"/>
  <c r="N190" i="2" s="1"/>
  <c r="J191" i="2" s="1"/>
  <c r="O190" i="2"/>
  <c r="P190" i="2" s="1"/>
  <c r="W154" i="2" l="1"/>
  <c r="X153" i="2"/>
  <c r="Y153" i="2" s="1"/>
  <c r="Z153" i="2" s="1"/>
  <c r="AA153" i="2" s="1"/>
  <c r="AB153" i="2"/>
  <c r="K191" i="2"/>
  <c r="U154" i="2" l="1"/>
  <c r="AC153" i="2"/>
  <c r="AD153" i="2" s="1"/>
  <c r="AE153" i="2" s="1"/>
  <c r="Q191" i="2"/>
  <c r="L192" i="2" s="1"/>
  <c r="O191" i="2"/>
  <c r="P191" i="2" s="1"/>
  <c r="M191" i="2"/>
  <c r="AB154" i="2" l="1"/>
  <c r="AC154" i="2" s="1"/>
  <c r="AD154" i="2" s="1"/>
  <c r="AE154" i="2" s="1"/>
  <c r="V154" i="2"/>
  <c r="N191" i="2"/>
  <c r="J192" i="2"/>
  <c r="K192" i="2"/>
  <c r="W155" i="2" l="1"/>
  <c r="V155" i="2"/>
  <c r="X154" i="2"/>
  <c r="Q192" i="2"/>
  <c r="L193" i="2" s="1"/>
  <c r="M192" i="2"/>
  <c r="N192" i="2" s="1"/>
  <c r="O192" i="2"/>
  <c r="P192" i="2" s="1"/>
  <c r="Y154" i="2" l="1"/>
  <c r="Z154" i="2" s="1"/>
  <c r="AA154" i="2" s="1"/>
  <c r="U155" i="2" s="1"/>
  <c r="W156" i="2"/>
  <c r="J193" i="2"/>
  <c r="K193" i="2"/>
  <c r="X155" i="2" l="1"/>
  <c r="AB155" i="2"/>
  <c r="Q193" i="2"/>
  <c r="L194" i="2" s="1"/>
  <c r="O193" i="2"/>
  <c r="P193" i="2" s="1"/>
  <c r="M193" i="2"/>
  <c r="N193" i="2" s="1"/>
  <c r="Y155" i="2" l="1"/>
  <c r="Z155" i="2" s="1"/>
  <c r="AA155" i="2" s="1"/>
  <c r="AC155" i="2"/>
  <c r="AD155" i="2" s="1"/>
  <c r="AE155" i="2" s="1"/>
  <c r="J194" i="2"/>
  <c r="K194" i="2"/>
  <c r="V156" i="2" l="1"/>
  <c r="U156" i="2"/>
  <c r="Q194" i="2"/>
  <c r="L195" i="2" s="1"/>
  <c r="M194" i="2"/>
  <c r="N194" i="2" s="1"/>
  <c r="O194" i="2"/>
  <c r="P194" i="2" s="1"/>
  <c r="X156" i="2" l="1"/>
  <c r="Y156" i="2" s="1"/>
  <c r="AB156" i="2"/>
  <c r="AC156" i="2"/>
  <c r="AD156" i="2" s="1"/>
  <c r="AE156" i="2" s="1"/>
  <c r="W157" i="2"/>
  <c r="K195" i="2"/>
  <c r="J195" i="2"/>
  <c r="V157" i="2" l="1"/>
  <c r="Z156" i="2"/>
  <c r="AA156" i="2" s="1"/>
  <c r="O195" i="2"/>
  <c r="P195" i="2" s="1"/>
  <c r="M195" i="2"/>
  <c r="N195" i="2" s="1"/>
  <c r="Q195" i="2"/>
  <c r="L196" i="2" s="1"/>
  <c r="K196" i="2"/>
  <c r="U157" i="2" l="1"/>
  <c r="W158" i="2"/>
  <c r="J196" i="2"/>
  <c r="Q196" i="2"/>
  <c r="L197" i="2" s="1"/>
  <c r="AB157" i="2" l="1"/>
  <c r="Y157" i="2"/>
  <c r="Z157" i="2" s="1"/>
  <c r="AA157" i="2" s="1"/>
  <c r="AC157" i="2"/>
  <c r="AD157" i="2"/>
  <c r="AE157" i="2" s="1"/>
  <c r="X157" i="2"/>
  <c r="O196" i="2"/>
  <c r="M196" i="2"/>
  <c r="N196" i="2" s="1"/>
  <c r="U158" i="2" l="1"/>
  <c r="V158" i="2"/>
  <c r="J197" i="2"/>
  <c r="P196" i="2"/>
  <c r="K197" i="2"/>
  <c r="W159" i="2" l="1"/>
  <c r="AB158" i="2"/>
  <c r="AC158" i="2"/>
  <c r="AD158" i="2" s="1"/>
  <c r="AE158" i="2" s="1"/>
  <c r="X158" i="2"/>
  <c r="Y158" i="2" s="1"/>
  <c r="Z158" i="2" s="1"/>
  <c r="AA158" i="2" s="1"/>
  <c r="Q197" i="2"/>
  <c r="L198" i="2" s="1"/>
  <c r="O197" i="2"/>
  <c r="P197" i="2" s="1"/>
  <c r="M197" i="2"/>
  <c r="N197" i="2" s="1"/>
  <c r="V159" i="2" l="1"/>
  <c r="U159" i="2"/>
  <c r="J198" i="2"/>
  <c r="K198" i="2"/>
  <c r="X159" i="2" l="1"/>
  <c r="Y159" i="2" s="1"/>
  <c r="AB159" i="2"/>
  <c r="AC159" i="2" s="1"/>
  <c r="AD159" i="2" s="1"/>
  <c r="AE159" i="2" s="1"/>
  <c r="W160" i="2"/>
  <c r="Q198" i="2"/>
  <c r="L199" i="2" s="1"/>
  <c r="M198" i="2"/>
  <c r="N198" i="2" s="1"/>
  <c r="O198" i="2"/>
  <c r="P198" i="2" s="1"/>
  <c r="J199" i="2"/>
  <c r="Z159" i="2" l="1"/>
  <c r="AA159" i="2" s="1"/>
  <c r="U160" i="2" s="1"/>
  <c r="V160" i="2"/>
  <c r="K199" i="2"/>
  <c r="AB160" i="2" l="1"/>
  <c r="AC160" i="2" s="1"/>
  <c r="AD160" i="2" s="1"/>
  <c r="AE160" i="2" s="1"/>
  <c r="X160" i="2"/>
  <c r="Y160" i="2" s="1"/>
  <c r="Z160" i="2" s="1"/>
  <c r="AA160" i="2" s="1"/>
  <c r="W161" i="2"/>
  <c r="Q199" i="2"/>
  <c r="L200" i="2" s="1"/>
  <c r="O199" i="2"/>
  <c r="P199" i="2" s="1"/>
  <c r="M199" i="2"/>
  <c r="U161" i="2" l="1"/>
  <c r="V161" i="2"/>
  <c r="N199" i="2"/>
  <c r="J200" i="2"/>
  <c r="K200" i="2"/>
  <c r="W162" i="2" l="1"/>
  <c r="X161" i="2"/>
  <c r="AB161" i="2"/>
  <c r="Q200" i="2"/>
  <c r="L201" i="2" s="1"/>
  <c r="M200" i="2"/>
  <c r="N200" i="2" s="1"/>
  <c r="O200" i="2"/>
  <c r="P200" i="2" s="1"/>
  <c r="AC161" i="2" l="1"/>
  <c r="AD161" i="2" s="1"/>
  <c r="AE161" i="2" s="1"/>
  <c r="Y161" i="2"/>
  <c r="Z161" i="2" s="1"/>
  <c r="AA161" i="2" s="1"/>
  <c r="J201" i="2"/>
  <c r="K201" i="2"/>
  <c r="U162" i="2" l="1"/>
  <c r="V162" i="2"/>
  <c r="M201" i="2"/>
  <c r="N201" i="2" s="1"/>
  <c r="O201" i="2"/>
  <c r="P201" i="2" s="1"/>
  <c r="K202" i="2"/>
  <c r="Q201" i="2"/>
  <c r="L202" i="2" s="1"/>
  <c r="W163" i="2" l="1"/>
  <c r="X162" i="2"/>
  <c r="Y162" i="2" s="1"/>
  <c r="Z162" i="2" s="1"/>
  <c r="AA162" i="2" s="1"/>
  <c r="AB162" i="2"/>
  <c r="L203" i="2"/>
  <c r="Q202" i="2"/>
  <c r="J202" i="2"/>
  <c r="AC162" i="2" l="1"/>
  <c r="AD162" i="2" s="1"/>
  <c r="AE162" i="2" s="1"/>
  <c r="U163" i="2"/>
  <c r="J203" i="2"/>
  <c r="M202" i="2"/>
  <c r="N202" i="2" s="1"/>
  <c r="O202" i="2"/>
  <c r="AB163" i="2" l="1"/>
  <c r="AC163" i="2" s="1"/>
  <c r="AD163" i="2" s="1"/>
  <c r="AE163" i="2" s="1"/>
  <c r="V163" i="2"/>
  <c r="P202" i="2"/>
  <c r="K203" i="2" s="1"/>
  <c r="W164" i="2" l="1"/>
  <c r="V164" i="2"/>
  <c r="X163" i="2"/>
  <c r="Q203" i="2"/>
  <c r="L204" i="2" s="1"/>
  <c r="M203" i="2"/>
  <c r="O203" i="2"/>
  <c r="P203" i="2" s="1"/>
  <c r="Y163" i="2" l="1"/>
  <c r="Z163" i="2" s="1"/>
  <c r="AA163" i="2" s="1"/>
  <c r="W165" i="2"/>
  <c r="K204" i="2"/>
  <c r="N203" i="2"/>
  <c r="J204" i="2"/>
  <c r="U164" i="2" l="1"/>
  <c r="O204" i="2"/>
  <c r="P204" i="2" s="1"/>
  <c r="M204" i="2"/>
  <c r="N204" i="2" s="1"/>
  <c r="Q204" i="2"/>
  <c r="L205" i="2" s="1"/>
  <c r="K205" i="2"/>
  <c r="X164" i="2" l="1"/>
  <c r="Y164" i="2" s="1"/>
  <c r="AB164" i="2"/>
  <c r="AC164" i="2"/>
  <c r="AD164" i="2" s="1"/>
  <c r="AE164" i="2" s="1"/>
  <c r="Q205" i="2"/>
  <c r="L206" i="2"/>
  <c r="J205" i="2"/>
  <c r="Z164" i="2" l="1"/>
  <c r="AA164" i="2" s="1"/>
  <c r="U165" i="2" s="1"/>
  <c r="V165" i="2"/>
  <c r="O205" i="2"/>
  <c r="M205" i="2"/>
  <c r="N205" i="2" s="1"/>
  <c r="AB165" i="2" l="1"/>
  <c r="AC165" i="2" s="1"/>
  <c r="X165" i="2"/>
  <c r="Y165" i="2"/>
  <c r="Z165" i="2" s="1"/>
  <c r="AA165" i="2" s="1"/>
  <c r="W166" i="2"/>
  <c r="J206" i="2"/>
  <c r="P205" i="2"/>
  <c r="K206" i="2"/>
  <c r="U166" i="2" l="1"/>
  <c r="AD165" i="2"/>
  <c r="AE165" i="2" s="1"/>
  <c r="Q206" i="2"/>
  <c r="L207" i="2" s="1"/>
  <c r="M206" i="2"/>
  <c r="N206" i="2" s="1"/>
  <c r="O206" i="2"/>
  <c r="P206" i="2" s="1"/>
  <c r="J207" i="2"/>
  <c r="V166" i="2" l="1"/>
  <c r="AB166" i="2"/>
  <c r="AC166" i="2"/>
  <c r="X166" i="2"/>
  <c r="Y166" i="2" s="1"/>
  <c r="Z166" i="2" s="1"/>
  <c r="AA166" i="2" s="1"/>
  <c r="AD166" i="2"/>
  <c r="AE166" i="2" s="1"/>
  <c r="K207" i="2"/>
  <c r="U167" i="2" l="1"/>
  <c r="V167" i="2"/>
  <c r="W167" i="2"/>
  <c r="Q207" i="2"/>
  <c r="L208" i="2" s="1"/>
  <c r="O207" i="2"/>
  <c r="P207" i="2" s="1"/>
  <c r="M207" i="2"/>
  <c r="W168" i="2" l="1"/>
  <c r="X167" i="2"/>
  <c r="AB167" i="2"/>
  <c r="N207" i="2"/>
  <c r="J208" i="2"/>
  <c r="K208" i="2"/>
  <c r="AC167" i="2" l="1"/>
  <c r="AD167" i="2" s="1"/>
  <c r="AE167" i="2" s="1"/>
  <c r="Y167" i="2"/>
  <c r="Z167" i="2" s="1"/>
  <c r="AA167" i="2" s="1"/>
  <c r="Q208" i="2"/>
  <c r="L209" i="2" s="1"/>
  <c r="M208" i="2"/>
  <c r="N208" i="2" s="1"/>
  <c r="O208" i="2"/>
  <c r="P208" i="2" s="1"/>
  <c r="U168" i="2" l="1"/>
  <c r="V168" i="2"/>
  <c r="J209" i="2"/>
  <c r="K209" i="2"/>
  <c r="W169" i="2" l="1"/>
  <c r="Y168" i="2"/>
  <c r="Z168" i="2" s="1"/>
  <c r="X168" i="2"/>
  <c r="AB168" i="2"/>
  <c r="Q209" i="2"/>
  <c r="L210" i="2" s="1"/>
  <c r="O209" i="2"/>
  <c r="P209" i="2" s="1"/>
  <c r="M209" i="2"/>
  <c r="N209" i="2" s="1"/>
  <c r="AA168" i="2" l="1"/>
  <c r="U169" i="2" s="1"/>
  <c r="AC168" i="2"/>
  <c r="AD168" i="2" s="1"/>
  <c r="AE168" i="2" s="1"/>
  <c r="J210" i="2"/>
  <c r="K210" i="2"/>
  <c r="V169" i="2" l="1"/>
  <c r="AB169" i="2" s="1"/>
  <c r="AC169" i="2" s="1"/>
  <c r="AD169" i="2" s="1"/>
  <c r="AE169" i="2" s="1"/>
  <c r="Q210" i="2"/>
  <c r="L211" i="2" s="1"/>
  <c r="M210" i="2"/>
  <c r="N210" i="2" s="1"/>
  <c r="O210" i="2"/>
  <c r="P210" i="2" s="1"/>
  <c r="W170" i="2" l="1"/>
  <c r="V170" i="2"/>
  <c r="X169" i="2"/>
  <c r="J211" i="2"/>
  <c r="K211" i="2"/>
  <c r="Y169" i="2" l="1"/>
  <c r="Z169" i="2" s="1"/>
  <c r="AA169" i="2" s="1"/>
  <c r="W171" i="2"/>
  <c r="Q211" i="2"/>
  <c r="L212" i="2" s="1"/>
  <c r="M211" i="2"/>
  <c r="N211" i="2" s="1"/>
  <c r="O211" i="2"/>
  <c r="P211" i="2" s="1"/>
  <c r="J212" i="2"/>
  <c r="U170" i="2" l="1"/>
  <c r="K212" i="2"/>
  <c r="Q212" i="2" s="1"/>
  <c r="O212" i="2"/>
  <c r="P212" i="2" s="1"/>
  <c r="M212" i="2"/>
  <c r="N212" i="2" s="1"/>
  <c r="X170" i="2" l="1"/>
  <c r="Y170" i="2" s="1"/>
  <c r="Z170" i="2" s="1"/>
  <c r="AA170" i="2" s="1"/>
  <c r="AB170" i="2"/>
  <c r="U171" i="2" l="1"/>
  <c r="AC170" i="2"/>
  <c r="AD170" i="2" s="1"/>
  <c r="AE170" i="2" s="1"/>
  <c r="X171" i="2" l="1"/>
  <c r="Y171" i="2"/>
  <c r="Z171" i="2" s="1"/>
  <c r="AA171" i="2" s="1"/>
  <c r="V171" i="2"/>
  <c r="AB171" i="2" s="1"/>
  <c r="U172" i="2" l="1"/>
  <c r="W172" i="2"/>
  <c r="AC171" i="2"/>
  <c r="AD171" i="2" s="1"/>
  <c r="AE171" i="2" s="1"/>
  <c r="V172" i="2" l="1"/>
  <c r="X172" i="2"/>
  <c r="Y172" i="2"/>
  <c r="Z172" i="2"/>
  <c r="AA172" i="2" s="1"/>
  <c r="U173" i="2" s="1"/>
  <c r="AB172" i="2"/>
  <c r="AC172" i="2" s="1"/>
  <c r="AD172" i="2" s="1"/>
  <c r="AE172" i="2" s="1"/>
  <c r="AB173" i="2" l="1"/>
  <c r="AC173" i="2" s="1"/>
  <c r="AD173" i="2" s="1"/>
  <c r="AE173" i="2" s="1"/>
  <c r="X173" i="2"/>
  <c r="V173" i="2"/>
  <c r="W173" i="2"/>
  <c r="U174" i="2" l="1"/>
  <c r="Y173" i="2"/>
  <c r="Z173" i="2" s="1"/>
  <c r="AA173" i="2" s="1"/>
  <c r="W174" i="2"/>
  <c r="V174" i="2"/>
  <c r="W175" i="2" l="1"/>
  <c r="Y174" i="2"/>
  <c r="Z174" i="2" s="1"/>
  <c r="AA174" i="2" s="1"/>
  <c r="AB174" i="2"/>
  <c r="AC174" i="2" s="1"/>
  <c r="AD174" i="2" s="1"/>
  <c r="AE174" i="2" s="1"/>
  <c r="X174" i="2"/>
  <c r="U175" i="2" l="1"/>
  <c r="V175" i="2"/>
  <c r="W176" i="2" l="1"/>
  <c r="AD175" i="2"/>
  <c r="AE175" i="2" s="1"/>
  <c r="X175" i="2"/>
  <c r="Y175" i="2"/>
  <c r="Z175" i="2" s="1"/>
  <c r="AA175" i="2" s="1"/>
  <c r="AB175" i="2"/>
  <c r="V176" i="2" s="1"/>
  <c r="AC175" i="2"/>
  <c r="U176" i="2" l="1"/>
  <c r="W177" i="2"/>
  <c r="AB176" i="2" l="1"/>
  <c r="AC176" i="2" s="1"/>
  <c r="AD176" i="2" s="1"/>
  <c r="AE176" i="2" s="1"/>
  <c r="X176" i="2"/>
  <c r="Y176" i="2" s="1"/>
  <c r="Z176" i="2" s="1"/>
  <c r="AA176" i="2" s="1"/>
  <c r="V177" i="2" l="1"/>
  <c r="U177" i="2"/>
  <c r="X177" i="2" l="1"/>
  <c r="Y177" i="2"/>
  <c r="Z177" i="2" s="1"/>
  <c r="AA177" i="2" s="1"/>
  <c r="AB177" i="2"/>
  <c r="AC177" i="2" s="1"/>
  <c r="AD177" i="2" s="1"/>
  <c r="AE177" i="2" s="1"/>
  <c r="W178" i="2"/>
  <c r="V178" i="2" l="1"/>
  <c r="U178" i="2"/>
  <c r="X178" i="2" l="1"/>
  <c r="Y178" i="2" s="1"/>
  <c r="AB178" i="2"/>
  <c r="W179" i="2"/>
  <c r="Z178" i="2" l="1"/>
  <c r="AA178" i="2" s="1"/>
  <c r="U179" i="2" s="1"/>
  <c r="AC178" i="2"/>
  <c r="AD178" i="2" s="1"/>
  <c r="AE178" i="2" s="1"/>
  <c r="X179" i="2" l="1"/>
  <c r="Y179" i="2" s="1"/>
  <c r="Z179" i="2" s="1"/>
  <c r="AA179" i="2" s="1"/>
  <c r="V179" i="2"/>
  <c r="U180" i="2" l="1"/>
  <c r="W180" i="2"/>
  <c r="AB179" i="2"/>
  <c r="V180" i="2" s="1"/>
  <c r="AC179" i="2"/>
  <c r="AD179" i="2" s="1"/>
  <c r="AE179" i="2" s="1"/>
  <c r="W181" i="2" l="1"/>
  <c r="AC180" i="2"/>
  <c r="AD180" i="2" s="1"/>
  <c r="AE180" i="2" s="1"/>
  <c r="X180" i="2"/>
  <c r="AB180" i="2"/>
  <c r="V181" i="2" s="1"/>
  <c r="Y180" i="2" l="1"/>
  <c r="Z180" i="2" s="1"/>
  <c r="AA180" i="2" s="1"/>
  <c r="W182" i="2"/>
  <c r="U181" i="2" l="1"/>
  <c r="AB181" i="2" l="1"/>
  <c r="AC181" i="2"/>
  <c r="AD181" i="2" s="1"/>
  <c r="AE181" i="2" s="1"/>
  <c r="X181" i="2"/>
  <c r="Y181" i="2"/>
  <c r="Z181" i="2" s="1"/>
  <c r="AA181" i="2" s="1"/>
  <c r="U182" i="2" l="1"/>
  <c r="V182" i="2"/>
  <c r="W183" i="2" l="1"/>
  <c r="AB182" i="2"/>
  <c r="X182" i="2"/>
  <c r="Y182" i="2" s="1"/>
  <c r="Z182" i="2" l="1"/>
  <c r="AA182" i="2" s="1"/>
  <c r="U183" i="2"/>
  <c r="AC182" i="2"/>
  <c r="AD182" i="2" s="1"/>
  <c r="AE182" i="2" s="1"/>
  <c r="AB183" i="2" l="1"/>
  <c r="V183" i="2"/>
  <c r="W184" i="2" l="1"/>
  <c r="X183" i="2"/>
  <c r="AC183" i="2"/>
  <c r="AD183" i="2" s="1"/>
  <c r="AE183" i="2" s="1"/>
  <c r="V184" i="2" l="1"/>
  <c r="Y183" i="2"/>
  <c r="Z183" i="2" s="1"/>
  <c r="AA183" i="2" s="1"/>
  <c r="U184" i="2" l="1"/>
  <c r="W185" i="2"/>
  <c r="Y184" i="2" l="1"/>
  <c r="Z184" i="2"/>
  <c r="AA184" i="2" s="1"/>
  <c r="AB184" i="2"/>
  <c r="X184" i="2"/>
  <c r="U185" i="2" l="1"/>
  <c r="AC184" i="2"/>
  <c r="AD184" i="2" s="1"/>
  <c r="AE184" i="2" s="1"/>
  <c r="V185" i="2" l="1"/>
  <c r="X185" i="2"/>
  <c r="AB185" i="2"/>
  <c r="AC185" i="2"/>
  <c r="AD185" i="2" s="1"/>
  <c r="AE185" i="2" s="1"/>
  <c r="Y185" i="2"/>
  <c r="Z185" i="2" s="1"/>
  <c r="AA185" i="2" s="1"/>
  <c r="U186" i="2" l="1"/>
  <c r="V186" i="2"/>
  <c r="W186" i="2"/>
  <c r="W187" i="2" l="1"/>
  <c r="AD186" i="2"/>
  <c r="AE186" i="2" s="1"/>
  <c r="X186" i="2"/>
  <c r="Y186" i="2" s="1"/>
  <c r="Z186" i="2" s="1"/>
  <c r="AA186" i="2" s="1"/>
  <c r="AB186" i="2"/>
  <c r="V187" i="2" s="1"/>
  <c r="AC186" i="2"/>
  <c r="W188" i="2" l="1"/>
  <c r="U187" i="2"/>
  <c r="X187" i="2" l="1"/>
  <c r="Y187" i="2"/>
  <c r="Z187" i="2" s="1"/>
  <c r="AB187" i="2"/>
  <c r="AC187" i="2"/>
  <c r="AD187" i="2" s="1"/>
  <c r="AE187" i="2" s="1"/>
  <c r="AA187" i="2" l="1"/>
  <c r="U188" i="2"/>
  <c r="V188" i="2"/>
  <c r="W189" i="2" l="1"/>
  <c r="AB188" i="2"/>
  <c r="AC188" i="2"/>
  <c r="AD188" i="2" s="1"/>
  <c r="AE188" i="2" s="1"/>
  <c r="X188" i="2"/>
  <c r="Y188" i="2" s="1"/>
  <c r="Z188" i="2" s="1"/>
  <c r="AA188" i="2" s="1"/>
  <c r="V189" i="2" l="1"/>
  <c r="U189" i="2"/>
  <c r="AB189" i="2" l="1"/>
  <c r="AC189" i="2"/>
  <c r="AD189" i="2"/>
  <c r="V190" i="2" s="1"/>
  <c r="AE189" i="2"/>
  <c r="X189" i="2"/>
  <c r="W190" i="2"/>
  <c r="Y189" i="2" l="1"/>
  <c r="Z189" i="2" s="1"/>
  <c r="AA189" i="2" s="1"/>
  <c r="W191" i="2"/>
  <c r="U190" i="2" l="1"/>
  <c r="X190" i="2" l="1"/>
  <c r="Y190" i="2"/>
  <c r="Z190" i="2" s="1"/>
  <c r="AA190" i="2" s="1"/>
  <c r="AB190" i="2"/>
  <c r="U191" i="2" l="1"/>
  <c r="AC190" i="2"/>
  <c r="AD190" i="2" s="1"/>
  <c r="AE190" i="2" s="1"/>
  <c r="AB191" i="2" l="1"/>
  <c r="AC191" i="2"/>
  <c r="AD191" i="2" s="1"/>
  <c r="X191" i="2"/>
  <c r="Y191" i="2"/>
  <c r="Z191" i="2" s="1"/>
  <c r="AA191" i="2" s="1"/>
  <c r="V191" i="2"/>
  <c r="U192" i="2" l="1"/>
  <c r="W192" i="2"/>
  <c r="AE191" i="2"/>
  <c r="V192" i="2" s="1"/>
  <c r="W193" i="2" l="1"/>
  <c r="AB192" i="2"/>
  <c r="X192" i="2"/>
  <c r="Y192" i="2" s="1"/>
  <c r="Z192" i="2" l="1"/>
  <c r="AA192" i="2" s="1"/>
  <c r="AC192" i="2"/>
  <c r="AD192" i="2" s="1"/>
  <c r="AE192" i="2" s="1"/>
  <c r="V193" i="2" l="1"/>
  <c r="U193" i="2"/>
  <c r="AB193" i="2" l="1"/>
  <c r="AC193" i="2"/>
  <c r="AD193" i="2"/>
  <c r="AE193" i="2" s="1"/>
  <c r="X193" i="2"/>
  <c r="Z193" i="2"/>
  <c r="AA193" i="2" s="1"/>
  <c r="Y193" i="2"/>
  <c r="W194" i="2"/>
  <c r="U194" i="2" l="1"/>
  <c r="V194" i="2"/>
  <c r="W195" i="2" l="1"/>
  <c r="AC194" i="2"/>
  <c r="AD194" i="2" s="1"/>
  <c r="AE194" i="2" s="1"/>
  <c r="X194" i="2"/>
  <c r="AB194" i="2"/>
  <c r="V195" i="2" l="1"/>
  <c r="Y194" i="2"/>
  <c r="Z194" i="2" s="1"/>
  <c r="AA194" i="2" s="1"/>
  <c r="U195" i="2" l="1"/>
  <c r="W196" i="2"/>
  <c r="X195" i="2" l="1"/>
  <c r="Y195" i="2" s="1"/>
  <c r="AB195" i="2"/>
  <c r="Z195" i="2" l="1"/>
  <c r="AA195" i="2" s="1"/>
  <c r="U196" i="2"/>
  <c r="AC195" i="2"/>
  <c r="AD195" i="2" s="1"/>
  <c r="AE195" i="2" s="1"/>
  <c r="AB196" i="2" l="1"/>
  <c r="AC196" i="2" s="1"/>
  <c r="V196" i="2"/>
  <c r="W197" i="2" l="1"/>
  <c r="X196" i="2"/>
  <c r="AD196" i="2"/>
  <c r="AE196" i="2" s="1"/>
  <c r="V197" i="2" l="1"/>
  <c r="Y196" i="2"/>
  <c r="Z196" i="2" s="1"/>
  <c r="AA196" i="2" s="1"/>
  <c r="U197" i="2" l="1"/>
  <c r="W198" i="2"/>
  <c r="X197" i="2" l="1"/>
  <c r="Y197" i="2"/>
  <c r="Z197" i="2"/>
  <c r="AA197" i="2" s="1"/>
  <c r="U198" i="2" s="1"/>
  <c r="AB197" i="2"/>
  <c r="AC197" i="2" l="1"/>
  <c r="AD197" i="2" s="1"/>
  <c r="AE197" i="2" s="1"/>
  <c r="V198" i="2" l="1"/>
  <c r="W199" i="2" l="1"/>
  <c r="AB198" i="2"/>
  <c r="AC198" i="2" s="1"/>
  <c r="AD198" i="2" s="1"/>
  <c r="AE198" i="2" s="1"/>
  <c r="X198" i="2"/>
  <c r="V199" i="2" l="1"/>
  <c r="Y198" i="2"/>
  <c r="Z198" i="2" s="1"/>
  <c r="AA198" i="2" s="1"/>
  <c r="U199" i="2" l="1"/>
  <c r="W200" i="2"/>
  <c r="AB199" i="2" l="1"/>
  <c r="AC199" i="2"/>
  <c r="AD199" i="2" s="1"/>
  <c r="AE199" i="2" s="1"/>
  <c r="X199" i="2"/>
  <c r="Y199" i="2" s="1"/>
  <c r="Z199" i="2" s="1"/>
  <c r="AA199" i="2" s="1"/>
  <c r="U200" i="2" l="1"/>
  <c r="V200" i="2"/>
  <c r="W201" i="2" l="1"/>
  <c r="AB200" i="2"/>
  <c r="AC200" i="2" s="1"/>
  <c r="Y200" i="2"/>
  <c r="Z200" i="2"/>
  <c r="AA200" i="2" s="1"/>
  <c r="X200" i="2"/>
  <c r="U201" i="2" l="1"/>
  <c r="AD200" i="2"/>
  <c r="AE200" i="2" s="1"/>
  <c r="V201" i="2"/>
  <c r="W202" i="2" l="1"/>
  <c r="AB201" i="2"/>
  <c r="AC201" i="2"/>
  <c r="AD201" i="2" s="1"/>
  <c r="AE201" i="2" s="1"/>
  <c r="X201" i="2"/>
  <c r="V202" i="2" l="1"/>
  <c r="Y201" i="2"/>
  <c r="Z201" i="2" s="1"/>
  <c r="AA201" i="2" s="1"/>
  <c r="W203" i="2" l="1"/>
  <c r="U202" i="2"/>
  <c r="X202" i="2" l="1"/>
  <c r="Y202" i="2"/>
  <c r="AB202" i="2"/>
  <c r="Z202" i="2" l="1"/>
  <c r="AA202" i="2" s="1"/>
  <c r="U203" i="2" s="1"/>
  <c r="AC202" i="2"/>
  <c r="AD202" i="2" s="1"/>
  <c r="AE202" i="2" s="1"/>
  <c r="AB203" i="2" l="1"/>
  <c r="AC203" i="2" s="1"/>
  <c r="V203" i="2"/>
  <c r="X203" i="2" s="1"/>
  <c r="Y203" i="2" l="1"/>
  <c r="Z203" i="2" s="1"/>
  <c r="AA203" i="2" s="1"/>
  <c r="W204" i="2"/>
  <c r="AD203" i="2"/>
  <c r="AE203" i="2" l="1"/>
  <c r="V204" i="2" s="1"/>
  <c r="U204" i="2"/>
  <c r="W205" i="2" l="1"/>
  <c r="X204" i="2"/>
  <c r="AC204" i="2"/>
  <c r="AD204" i="2" s="1"/>
  <c r="AE204" i="2" s="1"/>
  <c r="AB204" i="2"/>
  <c r="V205" i="2" l="1"/>
  <c r="Y204" i="2"/>
  <c r="Z204" i="2" s="1"/>
  <c r="AA204" i="2" s="1"/>
  <c r="U205" i="2" l="1"/>
  <c r="W206" i="2"/>
  <c r="X205" i="2" l="1"/>
  <c r="Y205" i="2" s="1"/>
  <c r="AB205" i="2"/>
  <c r="Z205" i="2" l="1"/>
  <c r="AA205" i="2" s="1"/>
  <c r="AC205" i="2"/>
  <c r="AD205" i="2" s="1"/>
  <c r="AE205" i="2" s="1"/>
  <c r="V206" i="2" l="1"/>
  <c r="U206" i="2"/>
  <c r="AB206" i="2" l="1"/>
  <c r="X206" i="2"/>
  <c r="Y206" i="2" s="1"/>
  <c r="Z206" i="2" s="1"/>
  <c r="AA206" i="2" s="1"/>
  <c r="W207" i="2"/>
  <c r="AC206" i="2" l="1"/>
  <c r="AD206" i="2" s="1"/>
  <c r="AE206" i="2" s="1"/>
  <c r="U207" i="2"/>
  <c r="X207" i="2" l="1"/>
  <c r="V207" i="2"/>
  <c r="AB207" i="2" s="1"/>
  <c r="Y207" i="2" l="1"/>
  <c r="Z207" i="2" s="1"/>
  <c r="AA207" i="2" s="1"/>
  <c r="AC207" i="2"/>
  <c r="AD207" i="2" s="1"/>
  <c r="AE207" i="2" s="1"/>
  <c r="W208" i="2"/>
  <c r="V208" i="2" l="1"/>
  <c r="U208" i="2"/>
  <c r="AB208" i="2" l="1"/>
  <c r="AC208" i="2"/>
  <c r="AD208" i="2" s="1"/>
  <c r="AE208" i="2" s="1"/>
  <c r="X208" i="2"/>
  <c r="W209" i="2"/>
  <c r="V209" i="2" l="1"/>
  <c r="Y208" i="2"/>
  <c r="Z208" i="2" s="1"/>
  <c r="AA208" i="2" s="1"/>
  <c r="W210" i="2" l="1"/>
  <c r="U209" i="2"/>
  <c r="AB209" i="2" l="1"/>
  <c r="AC209" i="2"/>
  <c r="AD209" i="2" s="1"/>
  <c r="AE209" i="2" s="1"/>
  <c r="X209" i="2"/>
  <c r="Y209" i="2" l="1"/>
  <c r="Z209" i="2" s="1"/>
  <c r="AA209" i="2" s="1"/>
  <c r="V210" i="2"/>
  <c r="W211" i="2" l="1"/>
  <c r="U210" i="2"/>
  <c r="X210" i="2" l="1"/>
  <c r="AB210" i="2"/>
  <c r="Y210" i="2" l="1"/>
  <c r="Z210" i="2" s="1"/>
  <c r="AA210" i="2" s="1"/>
  <c r="AC210" i="2"/>
  <c r="AD210" i="2" s="1"/>
  <c r="AE210" i="2" s="1"/>
  <c r="V211" i="2" l="1"/>
  <c r="U211" i="2"/>
  <c r="X211" i="2" l="1"/>
  <c r="Z211" i="2"/>
  <c r="AB211" i="2"/>
  <c r="AC211" i="2"/>
  <c r="AE211" i="2" s="1"/>
  <c r="W212" i="2"/>
  <c r="V212" i="2" l="1"/>
  <c r="AA211" i="2"/>
  <c r="U212" i="2"/>
  <c r="X212" i="2" l="1"/>
  <c r="Y212" i="2" s="1"/>
  <c r="Z212" i="2" s="1"/>
  <c r="AA212" i="2" s="1"/>
  <c r="AB212" i="2"/>
  <c r="AC212" i="2" s="1"/>
  <c r="AD212" i="2" s="1"/>
  <c r="AE212" i="2" s="1"/>
</calcChain>
</file>

<file path=xl/sharedStrings.xml><?xml version="1.0" encoding="utf-8"?>
<sst xmlns="http://schemas.openxmlformats.org/spreadsheetml/2006/main" count="112" uniqueCount="50">
  <si>
    <t>Trapezoidal</t>
  </si>
  <si>
    <t>f(x) = (2+3x)^2</t>
  </si>
  <si>
    <t>x</t>
  </si>
  <si>
    <t>f(x)</t>
  </si>
  <si>
    <t>I</t>
  </si>
  <si>
    <t>h = 0.5</t>
  </si>
  <si>
    <t>h = 0.1</t>
  </si>
  <si>
    <t>Gauss Quad.</t>
  </si>
  <si>
    <t>n = 2</t>
  </si>
  <si>
    <t>a = 0</t>
  </si>
  <si>
    <t>b = 3</t>
  </si>
  <si>
    <t xml:space="preserve">(b-a)/2 = </t>
  </si>
  <si>
    <t xml:space="preserve">(b+a)/2 = </t>
  </si>
  <si>
    <t>x1</t>
  </si>
  <si>
    <t>x2</t>
  </si>
  <si>
    <t>w1</t>
  </si>
  <si>
    <t>w2</t>
  </si>
  <si>
    <t xml:space="preserve">I = </t>
  </si>
  <si>
    <t>n = 3</t>
  </si>
  <si>
    <t>x3</t>
  </si>
  <si>
    <t>w3</t>
  </si>
  <si>
    <t>n = 4</t>
  </si>
  <si>
    <t>dCa/dt = -k1Ca + k2Cb</t>
  </si>
  <si>
    <t>dCb/dt = k1Ca - k2Cb - k3Cb</t>
  </si>
  <si>
    <t>dCc/dt = 2*k3Cb</t>
  </si>
  <si>
    <t>k1</t>
  </si>
  <si>
    <t>k2</t>
  </si>
  <si>
    <t>k3</t>
  </si>
  <si>
    <t xml:space="preserve">Ca(0) </t>
  </si>
  <si>
    <t>Cb(0) = Cc(0)</t>
  </si>
  <si>
    <t>h</t>
  </si>
  <si>
    <t>t</t>
  </si>
  <si>
    <t>Ca</t>
  </si>
  <si>
    <t>Cb</t>
  </si>
  <si>
    <t>Cc</t>
  </si>
  <si>
    <t>dCa/dt</t>
  </si>
  <si>
    <t>dCb/dt</t>
  </si>
  <si>
    <t>dCc/dt</t>
  </si>
  <si>
    <t>0 &lt; t &lt; 2</t>
  </si>
  <si>
    <t>Euler</t>
  </si>
  <si>
    <t>N</t>
  </si>
  <si>
    <t>TimeMax</t>
  </si>
  <si>
    <t>2nd RK</t>
  </si>
  <si>
    <t>K1</t>
  </si>
  <si>
    <t>K2</t>
  </si>
  <si>
    <t>4th RK</t>
  </si>
  <si>
    <t>K3</t>
  </si>
  <si>
    <t>K4</t>
  </si>
  <si>
    <t>x4</t>
  </si>
  <si>
    <t>w4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</si>
</sst>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FF520-FB50-45AA-9E80-77EF48C6EC03}">
  <sheetPr codeName="Sheet1"/>
  <dimension ref="A1:G72"/>
  <sheetViews>
    <sheetView topLeftCell="A28" workbookViewId="0">
      <selection activeCell="B73" sqref="B73"/>
    </sheetView>
  </sheetViews>
  <sheetFormatPr defaultRowHeight="14.25" x14ac:dyDescent="0.45"/>
  <sheetData>
    <row r="1" spans="1:7" x14ac:dyDescent="0.45">
      <c r="A1" t="s">
        <v>0</v>
      </c>
    </row>
    <row r="2" spans="1:7" x14ac:dyDescent="0.45">
      <c r="A2" t="s">
        <v>1</v>
      </c>
    </row>
    <row r="3" spans="1:7" x14ac:dyDescent="0.45">
      <c r="A3" t="s">
        <v>5</v>
      </c>
      <c r="E3" t="s">
        <v>6</v>
      </c>
    </row>
    <row r="4" spans="1:7" x14ac:dyDescent="0.45">
      <c r="A4" t="s">
        <v>2</v>
      </c>
      <c r="B4" t="s">
        <v>3</v>
      </c>
      <c r="C4" t="s">
        <v>4</v>
      </c>
      <c r="E4" t="s">
        <v>2</v>
      </c>
      <c r="F4" t="s">
        <v>3</v>
      </c>
      <c r="G4" t="s">
        <v>4</v>
      </c>
    </row>
    <row r="5" spans="1:7" x14ac:dyDescent="0.45">
      <c r="A5">
        <v>0</v>
      </c>
      <c r="B5">
        <f>(2+3*A5)^2</f>
        <v>4</v>
      </c>
      <c r="C5">
        <v>0</v>
      </c>
      <c r="E5">
        <v>0</v>
      </c>
      <c r="F5">
        <f>(2+3*E5)^2</f>
        <v>4</v>
      </c>
      <c r="G5">
        <v>0</v>
      </c>
    </row>
    <row r="6" spans="1:7" x14ac:dyDescent="0.45">
      <c r="A6">
        <v>0.5</v>
      </c>
      <c r="B6">
        <f t="shared" ref="B6:B11" si="0">(2+3*A6)^2</f>
        <v>12.25</v>
      </c>
      <c r="C6">
        <f>(B5+B6)*(A6-A5)/2+C5</f>
        <v>4.0625</v>
      </c>
      <c r="E6">
        <v>0.1</v>
      </c>
      <c r="F6">
        <f t="shared" ref="F6:F35" si="1">(2+3*E6)^2</f>
        <v>5.2899999999999991</v>
      </c>
      <c r="G6">
        <f>((F5+F6)*(E6-E5)/2)+G5</f>
        <v>0.46449999999999997</v>
      </c>
    </row>
    <row r="7" spans="1:7" x14ac:dyDescent="0.45">
      <c r="A7">
        <v>1</v>
      </c>
      <c r="B7">
        <f t="shared" si="0"/>
        <v>25</v>
      </c>
      <c r="C7">
        <f t="shared" ref="C7:C11" si="2">(B6+B7)*(A7-A6)/2+C6</f>
        <v>13.375</v>
      </c>
      <c r="E7">
        <v>0.2</v>
      </c>
      <c r="F7">
        <f t="shared" si="1"/>
        <v>6.7600000000000007</v>
      </c>
      <c r="G7">
        <f t="shared" ref="G7:G35" si="3">((F6+F7)*(E7-E6)/2)+G6</f>
        <v>1.0669999999999999</v>
      </c>
    </row>
    <row r="8" spans="1:7" x14ac:dyDescent="0.45">
      <c r="A8">
        <v>1.5</v>
      </c>
      <c r="B8">
        <f t="shared" si="0"/>
        <v>42.25</v>
      </c>
      <c r="C8">
        <f t="shared" si="2"/>
        <v>30.1875</v>
      </c>
      <c r="E8">
        <v>0.3</v>
      </c>
      <c r="F8">
        <f t="shared" si="1"/>
        <v>8.41</v>
      </c>
      <c r="G8">
        <f t="shared" si="3"/>
        <v>1.8254999999999999</v>
      </c>
    </row>
    <row r="9" spans="1:7" x14ac:dyDescent="0.45">
      <c r="A9">
        <v>2</v>
      </c>
      <c r="B9">
        <f t="shared" si="0"/>
        <v>64</v>
      </c>
      <c r="C9">
        <f t="shared" si="2"/>
        <v>56.75</v>
      </c>
      <c r="E9">
        <v>0.4</v>
      </c>
      <c r="F9">
        <f t="shared" si="1"/>
        <v>10.240000000000002</v>
      </c>
      <c r="G9">
        <f t="shared" si="3"/>
        <v>2.7580000000000005</v>
      </c>
    </row>
    <row r="10" spans="1:7" x14ac:dyDescent="0.45">
      <c r="A10">
        <v>2.5</v>
      </c>
      <c r="B10">
        <f t="shared" si="0"/>
        <v>90.25</v>
      </c>
      <c r="C10">
        <f t="shared" si="2"/>
        <v>95.3125</v>
      </c>
      <c r="E10">
        <v>0.5</v>
      </c>
      <c r="F10">
        <f t="shared" si="1"/>
        <v>12.25</v>
      </c>
      <c r="G10">
        <f t="shared" si="3"/>
        <v>3.8825000000000003</v>
      </c>
    </row>
    <row r="11" spans="1:7" x14ac:dyDescent="0.45">
      <c r="A11">
        <v>3</v>
      </c>
      <c r="B11">
        <f t="shared" si="0"/>
        <v>121</v>
      </c>
      <c r="C11">
        <f t="shared" si="2"/>
        <v>148.125</v>
      </c>
      <c r="E11">
        <v>0.6</v>
      </c>
      <c r="F11">
        <f t="shared" si="1"/>
        <v>14.44</v>
      </c>
      <c r="G11">
        <f t="shared" si="3"/>
        <v>5.2169999999999996</v>
      </c>
    </row>
    <row r="12" spans="1:7" x14ac:dyDescent="0.45">
      <c r="E12">
        <v>0.7</v>
      </c>
      <c r="F12">
        <f t="shared" si="1"/>
        <v>16.809999999999999</v>
      </c>
      <c r="G12">
        <f t="shared" si="3"/>
        <v>6.7794999999999987</v>
      </c>
    </row>
    <row r="13" spans="1:7" x14ac:dyDescent="0.45">
      <c r="E13">
        <v>0.8</v>
      </c>
      <c r="F13">
        <f t="shared" si="1"/>
        <v>19.360000000000003</v>
      </c>
      <c r="G13">
        <f t="shared" si="3"/>
        <v>8.588000000000001</v>
      </c>
    </row>
    <row r="14" spans="1:7" x14ac:dyDescent="0.45">
      <c r="E14">
        <v>0.9</v>
      </c>
      <c r="F14">
        <f t="shared" si="1"/>
        <v>22.090000000000003</v>
      </c>
      <c r="G14">
        <f t="shared" si="3"/>
        <v>10.660500000000001</v>
      </c>
    </row>
    <row r="15" spans="1:7" x14ac:dyDescent="0.45">
      <c r="E15">
        <v>1</v>
      </c>
      <c r="F15">
        <f t="shared" si="1"/>
        <v>25</v>
      </c>
      <c r="G15">
        <f t="shared" si="3"/>
        <v>13.015000000000001</v>
      </c>
    </row>
    <row r="16" spans="1:7" x14ac:dyDescent="0.45">
      <c r="E16">
        <v>1.1000000000000001</v>
      </c>
      <c r="F16">
        <f t="shared" si="1"/>
        <v>28.090000000000007</v>
      </c>
      <c r="G16">
        <f t="shared" si="3"/>
        <v>15.669500000000003</v>
      </c>
    </row>
    <row r="17" spans="5:7" x14ac:dyDescent="0.45">
      <c r="E17">
        <v>1.2</v>
      </c>
      <c r="F17">
        <f t="shared" si="1"/>
        <v>31.359999999999996</v>
      </c>
      <c r="G17">
        <f t="shared" si="3"/>
        <v>18.641999999999999</v>
      </c>
    </row>
    <row r="18" spans="5:7" x14ac:dyDescent="0.45">
      <c r="E18">
        <v>1.3</v>
      </c>
      <c r="F18">
        <f t="shared" si="1"/>
        <v>34.81</v>
      </c>
      <c r="G18">
        <f t="shared" si="3"/>
        <v>21.950500000000002</v>
      </c>
    </row>
    <row r="19" spans="5:7" x14ac:dyDescent="0.45">
      <c r="E19">
        <v>1.4</v>
      </c>
      <c r="F19">
        <f t="shared" si="1"/>
        <v>38.439999999999991</v>
      </c>
      <c r="G19">
        <f t="shared" si="3"/>
        <v>25.612999999999996</v>
      </c>
    </row>
    <row r="20" spans="5:7" x14ac:dyDescent="0.45">
      <c r="E20">
        <v>1.5</v>
      </c>
      <c r="F20">
        <f t="shared" si="1"/>
        <v>42.25</v>
      </c>
      <c r="G20">
        <f t="shared" si="3"/>
        <v>29.647500000000001</v>
      </c>
    </row>
    <row r="21" spans="5:7" x14ac:dyDescent="0.45">
      <c r="E21">
        <v>1.6</v>
      </c>
      <c r="F21">
        <f t="shared" si="1"/>
        <v>46.240000000000009</v>
      </c>
      <c r="G21">
        <f t="shared" si="3"/>
        <v>34.072000000000003</v>
      </c>
    </row>
    <row r="22" spans="5:7" x14ac:dyDescent="0.45">
      <c r="E22">
        <v>1.7</v>
      </c>
      <c r="F22">
        <f t="shared" si="1"/>
        <v>50.41</v>
      </c>
      <c r="G22">
        <f t="shared" si="3"/>
        <v>38.904499999999999</v>
      </c>
    </row>
    <row r="23" spans="5:7" x14ac:dyDescent="0.45">
      <c r="E23">
        <v>1.8</v>
      </c>
      <c r="F23">
        <f t="shared" si="1"/>
        <v>54.760000000000005</v>
      </c>
      <c r="G23">
        <f t="shared" si="3"/>
        <v>44.163000000000004</v>
      </c>
    </row>
    <row r="24" spans="5:7" x14ac:dyDescent="0.45">
      <c r="E24">
        <v>1.9</v>
      </c>
      <c r="F24">
        <f t="shared" si="1"/>
        <v>59.289999999999992</v>
      </c>
      <c r="G24">
        <f t="shared" si="3"/>
        <v>49.865499999999997</v>
      </c>
    </row>
    <row r="25" spans="5:7" x14ac:dyDescent="0.45">
      <c r="E25">
        <v>2</v>
      </c>
      <c r="F25">
        <f t="shared" si="1"/>
        <v>64</v>
      </c>
      <c r="G25">
        <f t="shared" si="3"/>
        <v>56.03</v>
      </c>
    </row>
    <row r="26" spans="5:7" x14ac:dyDescent="0.45">
      <c r="E26">
        <v>2.1</v>
      </c>
      <c r="F26">
        <f t="shared" si="1"/>
        <v>68.890000000000015</v>
      </c>
      <c r="G26">
        <f t="shared" si="3"/>
        <v>62.674500000000009</v>
      </c>
    </row>
    <row r="27" spans="5:7" x14ac:dyDescent="0.45">
      <c r="E27">
        <v>2.2000000000000002</v>
      </c>
      <c r="F27">
        <f t="shared" si="1"/>
        <v>73.960000000000022</v>
      </c>
      <c r="G27">
        <f t="shared" si="3"/>
        <v>69.817000000000021</v>
      </c>
    </row>
    <row r="28" spans="5:7" x14ac:dyDescent="0.45">
      <c r="E28">
        <v>2.2999999999999998</v>
      </c>
      <c r="F28">
        <f t="shared" si="1"/>
        <v>79.20999999999998</v>
      </c>
      <c r="G28">
        <f t="shared" si="3"/>
        <v>77.475499999999997</v>
      </c>
    </row>
    <row r="29" spans="5:7" x14ac:dyDescent="0.45">
      <c r="E29">
        <v>2.4</v>
      </c>
      <c r="F29">
        <f t="shared" si="1"/>
        <v>84.639999999999986</v>
      </c>
      <c r="G29">
        <f t="shared" si="3"/>
        <v>85.668000000000006</v>
      </c>
    </row>
    <row r="30" spans="5:7" x14ac:dyDescent="0.45">
      <c r="E30">
        <v>2.5</v>
      </c>
      <c r="F30">
        <f t="shared" si="1"/>
        <v>90.25</v>
      </c>
      <c r="G30">
        <f t="shared" si="3"/>
        <v>94.412500000000009</v>
      </c>
    </row>
    <row r="31" spans="5:7" x14ac:dyDescent="0.45">
      <c r="E31">
        <v>2.6</v>
      </c>
      <c r="F31">
        <f t="shared" si="1"/>
        <v>96.04000000000002</v>
      </c>
      <c r="G31">
        <f t="shared" si="3"/>
        <v>103.72700000000002</v>
      </c>
    </row>
    <row r="32" spans="5:7" x14ac:dyDescent="0.45">
      <c r="E32">
        <v>2.7</v>
      </c>
      <c r="F32">
        <f t="shared" si="1"/>
        <v>102.01000000000003</v>
      </c>
      <c r="G32">
        <f t="shared" si="3"/>
        <v>113.62950000000004</v>
      </c>
    </row>
    <row r="33" spans="1:7" x14ac:dyDescent="0.45">
      <c r="E33">
        <v>2.8</v>
      </c>
      <c r="F33">
        <f t="shared" si="1"/>
        <v>108.15999999999997</v>
      </c>
      <c r="G33">
        <f t="shared" si="3"/>
        <v>124.13800000000001</v>
      </c>
    </row>
    <row r="34" spans="1:7" x14ac:dyDescent="0.45">
      <c r="E34">
        <v>2.9</v>
      </c>
      <c r="F34">
        <f t="shared" si="1"/>
        <v>114.48999999999998</v>
      </c>
      <c r="G34">
        <f t="shared" si="3"/>
        <v>135.27050000000003</v>
      </c>
    </row>
    <row r="35" spans="1:7" x14ac:dyDescent="0.45">
      <c r="E35">
        <v>3</v>
      </c>
      <c r="F35">
        <f t="shared" si="1"/>
        <v>121</v>
      </c>
      <c r="G35">
        <f t="shared" si="3"/>
        <v>147.04500000000004</v>
      </c>
    </row>
    <row r="37" spans="1:7" x14ac:dyDescent="0.45">
      <c r="A37" t="s">
        <v>7</v>
      </c>
    </row>
    <row r="38" spans="1:7" x14ac:dyDescent="0.45">
      <c r="A38" t="s">
        <v>8</v>
      </c>
    </row>
    <row r="39" spans="1:7" x14ac:dyDescent="0.45">
      <c r="A39" t="s">
        <v>9</v>
      </c>
    </row>
    <row r="40" spans="1:7" x14ac:dyDescent="0.45">
      <c r="A40" t="s">
        <v>10</v>
      </c>
    </row>
    <row r="41" spans="1:7" x14ac:dyDescent="0.45">
      <c r="A41" t="s">
        <v>11</v>
      </c>
      <c r="B41">
        <f>(3-0)/2</f>
        <v>1.5</v>
      </c>
    </row>
    <row r="42" spans="1:7" x14ac:dyDescent="0.45">
      <c r="A42" t="s">
        <v>12</v>
      </c>
      <c r="B42">
        <f>(3+0)/2</f>
        <v>1.5</v>
      </c>
    </row>
    <row r="44" spans="1:7" x14ac:dyDescent="0.45">
      <c r="A44" t="s">
        <v>13</v>
      </c>
      <c r="B44">
        <f>-0.57735</f>
        <v>-0.57735000000000003</v>
      </c>
      <c r="C44">
        <f>($B$41*B44)+$B$42</f>
        <v>0.63397499999999996</v>
      </c>
    </row>
    <row r="45" spans="1:7" x14ac:dyDescent="0.45">
      <c r="A45" t="s">
        <v>14</v>
      </c>
      <c r="B45">
        <v>0.57735000000000003</v>
      </c>
      <c r="C45">
        <f>($B$41*B45)+$B$42</f>
        <v>2.366025</v>
      </c>
    </row>
    <row r="46" spans="1:7" x14ac:dyDescent="0.45">
      <c r="A46" t="s">
        <v>15</v>
      </c>
      <c r="B46">
        <v>1</v>
      </c>
    </row>
    <row r="47" spans="1:7" x14ac:dyDescent="0.45">
      <c r="A47" t="s">
        <v>16</v>
      </c>
      <c r="B47">
        <v>1</v>
      </c>
    </row>
    <row r="49" spans="1:3" x14ac:dyDescent="0.45">
      <c r="A49" t="s">
        <v>17</v>
      </c>
      <c r="B49">
        <f>$B$41*(B46*(2+3*C44)^2+B47*(2+3*C45)^2)</f>
        <v>146.99998111687501</v>
      </c>
    </row>
    <row r="51" spans="1:3" x14ac:dyDescent="0.45">
      <c r="A51" t="s">
        <v>18</v>
      </c>
    </row>
    <row r="52" spans="1:3" x14ac:dyDescent="0.45">
      <c r="A52" t="s">
        <v>13</v>
      </c>
      <c r="B52">
        <v>0</v>
      </c>
      <c r="C52">
        <f>$B$41*B52+$B$42</f>
        <v>1.5</v>
      </c>
    </row>
    <row r="53" spans="1:3" x14ac:dyDescent="0.45">
      <c r="A53" t="s">
        <v>14</v>
      </c>
      <c r="B53">
        <v>-0.77459999999999996</v>
      </c>
      <c r="C53">
        <f>$B$41*B53+$B$42</f>
        <v>0.33810000000000007</v>
      </c>
    </row>
    <row r="54" spans="1:3" x14ac:dyDescent="0.45">
      <c r="A54" t="s">
        <v>19</v>
      </c>
      <c r="B54">
        <v>0.77459999999999996</v>
      </c>
      <c r="C54">
        <f t="shared" ref="C53:C54" si="4">$B$41*B54+$B$42</f>
        <v>2.6619000000000002</v>
      </c>
    </row>
    <row r="55" spans="1:3" x14ac:dyDescent="0.45">
      <c r="A55" t="s">
        <v>15</v>
      </c>
      <c r="B55">
        <v>0.88888999999999996</v>
      </c>
    </row>
    <row r="56" spans="1:3" x14ac:dyDescent="0.45">
      <c r="A56" t="s">
        <v>16</v>
      </c>
      <c r="B56">
        <v>0.55556000000000005</v>
      </c>
    </row>
    <row r="57" spans="1:3" x14ac:dyDescent="0.45">
      <c r="A57" t="s">
        <v>20</v>
      </c>
      <c r="B57">
        <v>0.55556000000000005</v>
      </c>
    </row>
    <row r="59" spans="1:3" x14ac:dyDescent="0.45">
      <c r="A59" t="s">
        <v>17</v>
      </c>
      <c r="B59">
        <f>B41*(B55*(2+3*C52)^2+B56*(2+3*C53)^2+B57*(2+3*C54)^2)</f>
        <v>147.00096990139326</v>
      </c>
    </row>
    <row r="62" spans="1:3" x14ac:dyDescent="0.45">
      <c r="A62" t="s">
        <v>21</v>
      </c>
    </row>
    <row r="63" spans="1:3" x14ac:dyDescent="0.45">
      <c r="A63" t="s">
        <v>13</v>
      </c>
      <c r="B63">
        <v>-0.33998</v>
      </c>
      <c r="C63">
        <f>$B$41*B63+$B$42</f>
        <v>0.99002999999999997</v>
      </c>
    </row>
    <row r="64" spans="1:3" x14ac:dyDescent="0.45">
      <c r="A64" t="s">
        <v>14</v>
      </c>
      <c r="B64">
        <v>0.33998</v>
      </c>
      <c r="C64">
        <f t="shared" ref="C64:C66" si="5">$B$41*B64+$B$42</f>
        <v>2.00997</v>
      </c>
    </row>
    <row r="65" spans="1:3" x14ac:dyDescent="0.45">
      <c r="A65" t="s">
        <v>19</v>
      </c>
      <c r="B65">
        <v>-0.86114000000000002</v>
      </c>
      <c r="C65">
        <f t="shared" si="5"/>
        <v>0.20828999999999986</v>
      </c>
    </row>
    <row r="66" spans="1:3" x14ac:dyDescent="0.45">
      <c r="A66" t="s">
        <v>48</v>
      </c>
      <c r="B66">
        <v>0.86114000000000002</v>
      </c>
      <c r="C66">
        <f t="shared" si="5"/>
        <v>2.7917100000000001</v>
      </c>
    </row>
    <row r="67" spans="1:3" x14ac:dyDescent="0.45">
      <c r="A67" t="s">
        <v>15</v>
      </c>
      <c r="B67">
        <v>0.65215000000000001</v>
      </c>
    </row>
    <row r="68" spans="1:3" x14ac:dyDescent="0.45">
      <c r="A68" t="s">
        <v>16</v>
      </c>
      <c r="B68">
        <v>0.65215000000000001</v>
      </c>
    </row>
    <row r="69" spans="1:3" x14ac:dyDescent="0.45">
      <c r="A69" t="s">
        <v>20</v>
      </c>
      <c r="B69">
        <v>0.34784999999999999</v>
      </c>
    </row>
    <row r="70" spans="1:3" x14ac:dyDescent="0.45">
      <c r="A70" t="s">
        <v>49</v>
      </c>
      <c r="B70">
        <v>0.34784999999999999</v>
      </c>
    </row>
    <row r="72" spans="1:3" x14ac:dyDescent="0.45">
      <c r="A72" t="s">
        <v>17</v>
      </c>
      <c r="B72">
        <f>B41*(B67*(2+3*C63)^2+B68*(2+3*C64)^2+B69*(2+3*C65)^2+B70*(2+3*C66)^2)</f>
        <v>146.99992187752824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FA58-13CF-436F-96A7-7E5E214057C4}">
  <sheetPr codeName="Sheet2"/>
  <dimension ref="A1:AI212"/>
  <sheetViews>
    <sheetView topLeftCell="Z1" zoomScale="85" workbookViewId="0">
      <selection activeCell="AF8" sqref="AF8"/>
    </sheetView>
  </sheetViews>
  <sheetFormatPr defaultRowHeight="14.25" x14ac:dyDescent="0.45"/>
  <sheetData>
    <row r="1" spans="1:35" x14ac:dyDescent="0.45">
      <c r="A1" t="s">
        <v>22</v>
      </c>
    </row>
    <row r="2" spans="1:35" x14ac:dyDescent="0.45">
      <c r="A2" t="s">
        <v>23</v>
      </c>
      <c r="D2" t="s">
        <v>38</v>
      </c>
    </row>
    <row r="3" spans="1:35" x14ac:dyDescent="0.45">
      <c r="A3" t="s">
        <v>24</v>
      </c>
    </row>
    <row r="4" spans="1:35" x14ac:dyDescent="0.45">
      <c r="A4" t="s">
        <v>25</v>
      </c>
      <c r="B4">
        <v>1</v>
      </c>
    </row>
    <row r="5" spans="1:35" x14ac:dyDescent="0.45">
      <c r="A5" t="s">
        <v>26</v>
      </c>
      <c r="B5">
        <v>0.5</v>
      </c>
    </row>
    <row r="6" spans="1:35" x14ac:dyDescent="0.45">
      <c r="A6" t="s">
        <v>27</v>
      </c>
      <c r="B6">
        <v>2</v>
      </c>
    </row>
    <row r="7" spans="1:35" x14ac:dyDescent="0.45">
      <c r="A7" t="s">
        <v>28</v>
      </c>
      <c r="B7">
        <v>10</v>
      </c>
    </row>
    <row r="8" spans="1:35" x14ac:dyDescent="0.45">
      <c r="A8" t="s">
        <v>29</v>
      </c>
      <c r="B8">
        <v>0</v>
      </c>
    </row>
    <row r="9" spans="1:35" x14ac:dyDescent="0.45">
      <c r="A9" t="s">
        <v>30</v>
      </c>
      <c r="B9">
        <v>0.01</v>
      </c>
    </row>
    <row r="10" spans="1:35" x14ac:dyDescent="0.45">
      <c r="A10" t="s">
        <v>39</v>
      </c>
      <c r="I10" t="s">
        <v>42</v>
      </c>
      <c r="M10" t="s">
        <v>32</v>
      </c>
      <c r="O10" t="s">
        <v>33</v>
      </c>
      <c r="Q10" t="s">
        <v>34</v>
      </c>
      <c r="T10" t="s">
        <v>45</v>
      </c>
      <c r="X10" t="s">
        <v>32</v>
      </c>
      <c r="AB10" t="s">
        <v>33</v>
      </c>
      <c r="AF10" t="s">
        <v>34</v>
      </c>
    </row>
    <row r="11" spans="1:35" x14ac:dyDescent="0.45">
      <c r="A11" t="s">
        <v>31</v>
      </c>
      <c r="B11" t="s">
        <v>32</v>
      </c>
      <c r="C11" t="s">
        <v>33</v>
      </c>
      <c r="D11" t="s">
        <v>34</v>
      </c>
      <c r="E11" t="s">
        <v>35</v>
      </c>
      <c r="F11" t="s">
        <v>36</v>
      </c>
      <c r="G11" t="s">
        <v>37</v>
      </c>
      <c r="I11" t="s">
        <v>31</v>
      </c>
      <c r="J11" t="s">
        <v>32</v>
      </c>
      <c r="K11" t="s">
        <v>33</v>
      </c>
      <c r="L11" t="s">
        <v>34</v>
      </c>
      <c r="M11" t="s">
        <v>43</v>
      </c>
      <c r="N11" t="s">
        <v>44</v>
      </c>
      <c r="O11" t="s">
        <v>43</v>
      </c>
      <c r="P11" t="s">
        <v>44</v>
      </c>
      <c r="Q11" t="s">
        <v>43</v>
      </c>
      <c r="R11" t="s">
        <v>44</v>
      </c>
      <c r="T11" t="s">
        <v>31</v>
      </c>
      <c r="U11" t="s">
        <v>32</v>
      </c>
      <c r="V11" t="s">
        <v>33</v>
      </c>
      <c r="W11" t="s">
        <v>34</v>
      </c>
      <c r="X11" t="s">
        <v>43</v>
      </c>
      <c r="Y11" t="s">
        <v>44</v>
      </c>
      <c r="Z11" t="s">
        <v>46</v>
      </c>
      <c r="AA11" t="s">
        <v>47</v>
      </c>
      <c r="AB11" t="s">
        <v>43</v>
      </c>
      <c r="AC11" t="s">
        <v>44</v>
      </c>
      <c r="AD11" t="s">
        <v>46</v>
      </c>
      <c r="AE11" t="s">
        <v>47</v>
      </c>
      <c r="AF11" t="s">
        <v>43</v>
      </c>
      <c r="AG11" t="s">
        <v>44</v>
      </c>
      <c r="AH11" t="s">
        <v>46</v>
      </c>
      <c r="AI11" t="s">
        <v>47</v>
      </c>
    </row>
    <row r="12" spans="1:35" x14ac:dyDescent="0.45">
      <c r="A12">
        <v>0</v>
      </c>
      <c r="B12">
        <v>10</v>
      </c>
      <c r="C12">
        <v>0</v>
      </c>
      <c r="D12">
        <v>0</v>
      </c>
      <c r="E12">
        <f>-$B$4*B12+$B$5*C12</f>
        <v>-10</v>
      </c>
      <c r="F12">
        <f>$B$4*B12-$B$5*C12-$B$6*C12</f>
        <v>10</v>
      </c>
      <c r="G12">
        <f>2*$B$6*C12</f>
        <v>0</v>
      </c>
      <c r="I12">
        <v>0</v>
      </c>
      <c r="J12">
        <v>10</v>
      </c>
      <c r="K12">
        <v>0</v>
      </c>
      <c r="L12">
        <v>0</v>
      </c>
      <c r="M12">
        <f>0.01*(-$B$4*J12+$B$5*K12)</f>
        <v>-0.1</v>
      </c>
      <c r="N12">
        <f>0.01*(-$B$4*(B12+M12)+$B$5*C12)</f>
        <v>-9.9000000000000005E-2</v>
      </c>
      <c r="O12">
        <f>0.01*($B$4*J12-$B$5*K12-$B$6*K12)</f>
        <v>0.1</v>
      </c>
      <c r="P12">
        <f>0.01*($B$4*B12-$B$5*(C12+O12)-$B$6*(C12+O12))</f>
        <v>9.7500000000000003E-2</v>
      </c>
      <c r="Q12">
        <f>0.01*2*$B$6*K12</f>
        <v>0</v>
      </c>
      <c r="R12">
        <f>0.01*2*$B$6*C12</f>
        <v>0</v>
      </c>
      <c r="T12">
        <v>0</v>
      </c>
      <c r="U12">
        <v>10</v>
      </c>
      <c r="V12">
        <v>0</v>
      </c>
      <c r="W12">
        <v>0</v>
      </c>
      <c r="X12">
        <f>0.01*(-$B$4*U12+$B$5*V12)</f>
        <v>-0.1</v>
      </c>
      <c r="Y12">
        <f>0.01*(-$B$4*(U12+(X12/2))+$B$5*V12)</f>
        <v>-9.9499999999999991E-2</v>
      </c>
      <c r="Z12">
        <f>0.01*(-$B$4*(U12+(Y12/2))+$B$5*V12)</f>
        <v>-9.9502500000000008E-2</v>
      </c>
      <c r="AA12">
        <f>0.01*(-$B$4*(U12+Z12)+$B$5*V12)</f>
        <v>-9.9004975000000009E-2</v>
      </c>
      <c r="AB12">
        <f>0.01*($B$4*U12-$B$5*V12-$B$6*V12)</f>
        <v>0.1</v>
      </c>
      <c r="AC12">
        <f>0.01*($B$4*U12-$B$5*(V12+AB12/2)-$B$6*(V12+AB12/2))</f>
        <v>9.8750000000000004E-2</v>
      </c>
      <c r="AD12">
        <f>0.01*($B$4*U12-$B$5*(V12+AC12/2)-$B$6*(V12+AC12/2))</f>
        <v>9.8765624999999982E-2</v>
      </c>
      <c r="AE12">
        <f>0.01*($B$4*U12-$B$5*(V12+AD12)-$B$6*(V12+AD12))</f>
        <v>9.7530859375000001E-2</v>
      </c>
      <c r="AF12">
        <f>0.01*2*$B$6*V12</f>
        <v>0</v>
      </c>
      <c r="AG12">
        <f>0.01*(2*$B$6*V12)</f>
        <v>0</v>
      </c>
      <c r="AH12">
        <f>0.01*(2*$B$6*V12)</f>
        <v>0</v>
      </c>
      <c r="AI12">
        <f>0.01*(2*$B$6*V12)</f>
        <v>0</v>
      </c>
    </row>
    <row r="13" spans="1:35" x14ac:dyDescent="0.45">
      <c r="A13">
        <v>0.01</v>
      </c>
      <c r="B13">
        <f>B12+0.01*E12</f>
        <v>9.9</v>
      </c>
      <c r="C13">
        <f>C12+0.01*F12</f>
        <v>0.1</v>
      </c>
      <c r="D13">
        <f>D12+0.01*G12</f>
        <v>0</v>
      </c>
      <c r="E13">
        <f>-$B$4*B13+$B$5*C13</f>
        <v>-9.85</v>
      </c>
      <c r="F13">
        <f>$B$4*B13-$B$5*C13-$B$6*C13</f>
        <v>9.65</v>
      </c>
      <c r="G13">
        <f>2*$B$6*C13</f>
        <v>0.4</v>
      </c>
      <c r="I13">
        <v>0.01</v>
      </c>
      <c r="J13">
        <f>J12+0.5*(M12+N12)</f>
        <v>9.9004999999999992</v>
      </c>
      <c r="K13">
        <f>K12+0.5*(O12+P12)</f>
        <v>9.8750000000000004E-2</v>
      </c>
      <c r="L13">
        <f>L12+0.5*(Q12+R12)</f>
        <v>0</v>
      </c>
      <c r="M13">
        <f>0.01*(-$B$4*J13+$B$5*K13)</f>
        <v>-9.8511249999999995E-2</v>
      </c>
      <c r="N13">
        <f>0.01*(-$B$4*(B13+M13)+$B$5*C13)</f>
        <v>-9.7514887500000008E-2</v>
      </c>
      <c r="O13">
        <f>0.01*($B$4*J13-$B$5*K13-$B$6*K13)</f>
        <v>9.6536250000000004E-2</v>
      </c>
      <c r="P13">
        <f>0.01*($B$4*B13-$B$5*(C13+O13)-$B$6*(C13+O13))</f>
        <v>9.4086593749999989E-2</v>
      </c>
      <c r="Q13">
        <f>0.01*2*$B$6*K13</f>
        <v>3.9500000000000004E-3</v>
      </c>
      <c r="R13">
        <f>0.01*2*$B$6*C13</f>
        <v>4.0000000000000001E-3</v>
      </c>
      <c r="T13">
        <v>0.01</v>
      </c>
      <c r="U13">
        <f>U12+(1/6)*(X12+2*Y12+2*Z12+AA12)</f>
        <v>9.9004983375000002</v>
      </c>
      <c r="V13">
        <f>V12+(1/6)*(AB12+2*AC12+2*AD12+AE12)</f>
        <v>9.8760351562499987E-2</v>
      </c>
      <c r="W13">
        <f>W12+(1/6)*(AF12+2*AG12+2*AH12+AI12)</f>
        <v>0</v>
      </c>
      <c r="X13">
        <f>0.01*(-$B$4*U13+$B$5*V13)</f>
        <v>-9.8511181617187499E-2</v>
      </c>
      <c r="Y13">
        <f>0.01*(-$B$4*(U13+(X13/2))+$B$5*V13)</f>
        <v>-9.8018625709101567E-2</v>
      </c>
      <c r="Z13">
        <f>0.01*(-$B$4*(U13+(Y13/2))+$B$5*V13)</f>
        <v>-9.8021088488641994E-2</v>
      </c>
      <c r="AA13">
        <f>0.01*(-$B$4*(U13+Z13)+$B$5*V13)</f>
        <v>-9.7530970732301089E-2</v>
      </c>
      <c r="AB13">
        <f>0.01*($B$4*U13-$B$5*V13-$B$6*V13)</f>
        <v>9.653597458593749E-2</v>
      </c>
      <c r="AC13">
        <f>0.01*($B$4*U13-$B$5*(V13+AB13/2)-$B$6*(V13+AB13/2))</f>
        <v>9.5329274903613273E-2</v>
      </c>
      <c r="AD13">
        <f>0.01*($B$4*U13-$B$5*(V13+AC13/2)-$B$6*(V13+AC13/2))</f>
        <v>9.5344358649642344E-2</v>
      </c>
      <c r="AE13">
        <f>0.01*($B$4*U13-$B$5*(V13+AD13)-$B$6*(V13+AD13))</f>
        <v>9.4152365619696449E-2</v>
      </c>
      <c r="AF13">
        <f t="shared" ref="AF13:AF76" si="0">0.01*2*$B$6*V13</f>
        <v>3.9504140624999993E-3</v>
      </c>
      <c r="AG13">
        <f t="shared" ref="AG13:AG76" si="1">0.01*(2*$B$6*V13)</f>
        <v>3.9504140624999993E-3</v>
      </c>
      <c r="AH13">
        <f t="shared" ref="AH13:AH76" si="2">0.01*(2*$B$6*V13)</f>
        <v>3.9504140624999993E-3</v>
      </c>
      <c r="AI13">
        <f t="shared" ref="AI13:AI76" si="3">0.01*(2*$B$6*V13)</f>
        <v>3.9504140624999993E-3</v>
      </c>
    </row>
    <row r="14" spans="1:35" x14ac:dyDescent="0.45">
      <c r="A14">
        <v>0.02</v>
      </c>
      <c r="B14">
        <f t="shared" ref="B14:B77" si="4">B13+0.01*E13</f>
        <v>9.8015000000000008</v>
      </c>
      <c r="C14">
        <f t="shared" ref="C14:C77" si="5">C13+0.01*F13</f>
        <v>0.19650000000000001</v>
      </c>
      <c r="D14">
        <f t="shared" ref="D14:D77" si="6">D13+0.01*G13</f>
        <v>4.0000000000000001E-3</v>
      </c>
      <c r="E14">
        <f t="shared" ref="E14:E77" si="7">-$B$4*B14+$B$5*C14</f>
        <v>-9.7032500000000006</v>
      </c>
      <c r="F14">
        <f t="shared" ref="F14:F77" si="8">$B$4*B14-$B$5*C14-$B$6*C14</f>
        <v>9.3102499999999999</v>
      </c>
      <c r="G14">
        <f t="shared" ref="G14:G77" si="9">2*$B$6*C14</f>
        <v>0.78600000000000003</v>
      </c>
      <c r="I14">
        <v>0.02</v>
      </c>
      <c r="J14">
        <f t="shared" ref="J14:J77" si="10">J13+0.5*(M13+N13)</f>
        <v>9.8024869312499998</v>
      </c>
      <c r="K14">
        <f t="shared" ref="K14:K77" si="11">K13+0.5*(O13+P13)</f>
        <v>0.194061421875</v>
      </c>
      <c r="L14">
        <f t="shared" ref="L14:L77" si="12">L13+0.5*(Q13+R13)</f>
        <v>3.9750000000000002E-3</v>
      </c>
      <c r="M14">
        <f t="shared" ref="M14:M77" si="13">0.01*(-$B$4*J14+$B$5*K14)</f>
        <v>-9.7054562203125014E-2</v>
      </c>
      <c r="N14">
        <f t="shared" ref="N14:N77" si="14">0.01*(-$B$4*(B14+M14)+$B$5*C14)</f>
        <v>-9.6061954377968758E-2</v>
      </c>
      <c r="O14">
        <f t="shared" ref="O14:O77" si="15">0.01*($B$4*J14-$B$5*K14-$B$6*K14)</f>
        <v>9.3173333765625005E-2</v>
      </c>
      <c r="P14">
        <f t="shared" ref="P14:P77" si="16">0.01*($B$4*B14-$B$5*(C14+O14)-$B$6*(C14+O14))</f>
        <v>9.0773166655859397E-2</v>
      </c>
      <c r="Q14">
        <f t="shared" ref="Q14:Q77" si="17">0.01*2*$B$6*K14</f>
        <v>7.7624568750000005E-3</v>
      </c>
      <c r="R14">
        <f t="shared" ref="R14:R77" si="18">0.01*2*$B$6*C14</f>
        <v>7.8600000000000007E-3</v>
      </c>
      <c r="T14">
        <v>0.02</v>
      </c>
      <c r="U14">
        <f t="shared" ref="U14:U77" si="19">U13+(1/6)*(X13+2*Y13+2*Z13+AA13)</f>
        <v>9.8024780740425044</v>
      </c>
      <c r="V14">
        <f t="shared" ref="V14:V77" si="20">V13+(1/6)*(AB13+2*AC13+2*AD13+AE13)</f>
        <v>0.19409961944785753</v>
      </c>
      <c r="W14">
        <f t="shared" ref="W14:W77" si="21">W13+(1/6)*(AF13+2*AG13+2*AH13+AI13)</f>
        <v>3.9504140624999984E-3</v>
      </c>
      <c r="X14">
        <f t="shared" ref="X14:X77" si="22">0.01*(-$B$4*U14+$B$5*V14)</f>
        <v>-9.705428264318576E-2</v>
      </c>
      <c r="Y14">
        <f t="shared" ref="Y14:Y77" si="23">0.01*(-$B$4*(U14+(X14/2))+$B$5*V14)</f>
        <v>-9.6569011229969831E-2</v>
      </c>
      <c r="Z14">
        <f t="shared" ref="Z14:Z77" si="24">0.01*(-$B$4*(U14+(Y14/2))+$B$5*V14)</f>
        <v>-9.6571437587035902E-2</v>
      </c>
      <c r="AA14">
        <f t="shared" ref="AA14:AA77" si="25">0.01*(-$B$4*(U14+Z14)+$B$5*V14)</f>
        <v>-9.6088568267315391E-2</v>
      </c>
      <c r="AB14">
        <f t="shared" ref="AB14:AB77" si="26">0.01*($B$4*U14-$B$5*V14-$B$6*V14)</f>
        <v>9.3172290254228601E-2</v>
      </c>
      <c r="AC14">
        <f t="shared" ref="AC14:AC77" si="27">0.01*($B$4*U14-$B$5*(V14+AB14/2)-$B$6*(V14+AB14/2))</f>
        <v>9.2007636626050729E-2</v>
      </c>
      <c r="AD14">
        <f t="shared" ref="AD14:AD77" si="28">0.01*($B$4*U14-$B$5*(V14+AC14/2)-$B$6*(V14+AC14/2))</f>
        <v>9.2022194796402973E-2</v>
      </c>
      <c r="AE14">
        <f t="shared" ref="AE14:AE77" si="29">0.01*($B$4*U14-$B$5*(V14+AD14)-$B$6*(V14+AD14))</f>
        <v>9.0871735384318517E-2</v>
      </c>
      <c r="AF14">
        <f t="shared" si="0"/>
        <v>7.7639847779143014E-3</v>
      </c>
      <c r="AG14">
        <f t="shared" si="1"/>
        <v>7.7639847779143014E-3</v>
      </c>
      <c r="AH14">
        <f t="shared" si="2"/>
        <v>7.7639847779143014E-3</v>
      </c>
      <c r="AI14">
        <f t="shared" si="3"/>
        <v>7.7639847779143014E-3</v>
      </c>
    </row>
    <row r="15" spans="1:35" x14ac:dyDescent="0.45">
      <c r="A15">
        <v>0.03</v>
      </c>
      <c r="B15">
        <f t="shared" si="4"/>
        <v>9.7044675000000016</v>
      </c>
      <c r="C15">
        <f t="shared" si="5"/>
        <v>0.28960249999999998</v>
      </c>
      <c r="D15">
        <f t="shared" si="6"/>
        <v>1.1860000000000001E-2</v>
      </c>
      <c r="E15">
        <f t="shared" si="7"/>
        <v>-9.5596662500000011</v>
      </c>
      <c r="F15">
        <f t="shared" si="8"/>
        <v>8.9804612500000012</v>
      </c>
      <c r="G15">
        <f t="shared" si="9"/>
        <v>1.1584099999999999</v>
      </c>
      <c r="I15">
        <v>0.03</v>
      </c>
      <c r="J15">
        <f t="shared" si="10"/>
        <v>9.7059286729594536</v>
      </c>
      <c r="K15">
        <f t="shared" si="11"/>
        <v>0.28603467208574218</v>
      </c>
      <c r="L15">
        <f t="shared" si="12"/>
        <v>1.1786228437500001E-2</v>
      </c>
      <c r="M15">
        <f t="shared" si="13"/>
        <v>-9.5629113369165838E-2</v>
      </c>
      <c r="N15">
        <f t="shared" si="14"/>
        <v>-9.464037136630836E-2</v>
      </c>
      <c r="O15">
        <f t="shared" si="15"/>
        <v>8.990841992745098E-2</v>
      </c>
      <c r="P15">
        <f t="shared" si="16"/>
        <v>8.7556902001813736E-2</v>
      </c>
      <c r="Q15">
        <f t="shared" si="17"/>
        <v>1.1441386883429687E-2</v>
      </c>
      <c r="R15">
        <f t="shared" si="18"/>
        <v>1.15841E-2</v>
      </c>
      <c r="T15">
        <v>0.03</v>
      </c>
      <c r="U15">
        <f t="shared" si="19"/>
        <v>9.7059074492850854</v>
      </c>
      <c r="V15">
        <f t="shared" si="20"/>
        <v>0.28611690086176661</v>
      </c>
      <c r="W15">
        <f t="shared" si="21"/>
        <v>1.17143988404143E-2</v>
      </c>
      <c r="X15">
        <f t="shared" si="22"/>
        <v>-9.5628489988542023E-2</v>
      </c>
      <c r="Y15">
        <f t="shared" si="23"/>
        <v>-9.5150347538599314E-2</v>
      </c>
      <c r="Z15">
        <f t="shared" si="24"/>
        <v>-9.5152738250849023E-2</v>
      </c>
      <c r="AA15">
        <f t="shared" si="25"/>
        <v>-9.4676962606033532E-2</v>
      </c>
      <c r="AB15">
        <f t="shared" si="26"/>
        <v>8.9906151971306691E-2</v>
      </c>
      <c r="AC15">
        <f t="shared" si="27"/>
        <v>8.8782325071665349E-2</v>
      </c>
      <c r="AD15">
        <f t="shared" si="28"/>
        <v>8.8796372907910884E-2</v>
      </c>
      <c r="AE15">
        <f t="shared" si="29"/>
        <v>8.7686242648608914E-2</v>
      </c>
      <c r="AF15">
        <f t="shared" si="0"/>
        <v>1.1444676034470665E-2</v>
      </c>
      <c r="AG15">
        <f t="shared" si="1"/>
        <v>1.1444676034470665E-2</v>
      </c>
      <c r="AH15">
        <f t="shared" si="2"/>
        <v>1.1444676034470665E-2</v>
      </c>
      <c r="AI15">
        <f t="shared" si="3"/>
        <v>1.1444676034470665E-2</v>
      </c>
    </row>
    <row r="16" spans="1:35" x14ac:dyDescent="0.45">
      <c r="A16">
        <v>0.04</v>
      </c>
      <c r="B16">
        <f t="shared" si="4"/>
        <v>9.6088708375000014</v>
      </c>
      <c r="C16">
        <f t="shared" si="5"/>
        <v>0.37940711250000003</v>
      </c>
      <c r="D16">
        <f t="shared" si="6"/>
        <v>2.3444100000000002E-2</v>
      </c>
      <c r="E16">
        <f t="shared" si="7"/>
        <v>-9.4191672812500009</v>
      </c>
      <c r="F16">
        <f t="shared" si="8"/>
        <v>8.6603530562500008</v>
      </c>
      <c r="G16">
        <f t="shared" si="9"/>
        <v>1.5176284500000001</v>
      </c>
      <c r="I16">
        <v>0.04</v>
      </c>
      <c r="J16">
        <f t="shared" si="10"/>
        <v>9.6107939305917167</v>
      </c>
      <c r="K16">
        <f t="shared" si="11"/>
        <v>0.37476733305037457</v>
      </c>
      <c r="L16">
        <f t="shared" si="12"/>
        <v>2.3298971879214845E-2</v>
      </c>
      <c r="M16">
        <f t="shared" si="13"/>
        <v>-9.4234102640665299E-2</v>
      </c>
      <c r="N16">
        <f t="shared" si="14"/>
        <v>-9.3249331786093348E-2</v>
      </c>
      <c r="O16">
        <f t="shared" si="15"/>
        <v>8.6738755979657814E-2</v>
      </c>
      <c r="P16">
        <f t="shared" si="16"/>
        <v>8.443506166300857E-2</v>
      </c>
      <c r="Q16">
        <f t="shared" si="17"/>
        <v>1.4990693322014984E-2</v>
      </c>
      <c r="R16">
        <f t="shared" si="18"/>
        <v>1.5176284500000001E-2</v>
      </c>
      <c r="T16">
        <v>0.04</v>
      </c>
      <c r="U16">
        <f t="shared" si="19"/>
        <v>9.6107555119228394</v>
      </c>
      <c r="V16">
        <f t="shared" si="20"/>
        <v>0.37490853262494461</v>
      </c>
      <c r="W16">
        <f t="shared" si="21"/>
        <v>2.3159074874884965E-2</v>
      </c>
      <c r="X16">
        <f t="shared" si="22"/>
        <v>-9.4233012456103687E-2</v>
      </c>
      <c r="Y16">
        <f t="shared" si="23"/>
        <v>-9.3761847393823136E-2</v>
      </c>
      <c r="Z16">
        <f t="shared" si="24"/>
        <v>-9.3764203219134576E-2</v>
      </c>
      <c r="AA16">
        <f t="shared" si="25"/>
        <v>-9.3295370423912338E-2</v>
      </c>
      <c r="AB16">
        <f t="shared" si="26"/>
        <v>8.6734841803604787E-2</v>
      </c>
      <c r="AC16">
        <f t="shared" si="27"/>
        <v>8.5650656281059709E-2</v>
      </c>
      <c r="AD16">
        <f t="shared" si="28"/>
        <v>8.5664208600091551E-2</v>
      </c>
      <c r="AE16">
        <f t="shared" si="29"/>
        <v>8.4593236588602502E-2</v>
      </c>
      <c r="AF16">
        <f t="shared" si="0"/>
        <v>1.4996341304997786E-2</v>
      </c>
      <c r="AG16">
        <f t="shared" si="1"/>
        <v>1.4996341304997786E-2</v>
      </c>
      <c r="AH16">
        <f t="shared" si="2"/>
        <v>1.4996341304997786E-2</v>
      </c>
      <c r="AI16">
        <f t="shared" si="3"/>
        <v>1.4996341304997786E-2</v>
      </c>
    </row>
    <row r="17" spans="1:35" x14ac:dyDescent="0.45">
      <c r="A17">
        <v>0.05</v>
      </c>
      <c r="B17">
        <f t="shared" si="4"/>
        <v>9.514679164687502</v>
      </c>
      <c r="C17">
        <f t="shared" si="5"/>
        <v>0.46601064306250006</v>
      </c>
      <c r="D17">
        <f t="shared" si="6"/>
        <v>3.8620384500000007E-2</v>
      </c>
      <c r="E17">
        <f t="shared" si="7"/>
        <v>-9.281673843156252</v>
      </c>
      <c r="F17">
        <f t="shared" si="8"/>
        <v>8.3496525570312521</v>
      </c>
      <c r="G17">
        <f t="shared" si="9"/>
        <v>1.8640425722500003</v>
      </c>
      <c r="I17">
        <v>0.05</v>
      </c>
      <c r="J17">
        <f t="shared" si="10"/>
        <v>9.5170522133783368</v>
      </c>
      <c r="K17">
        <f t="shared" si="11"/>
        <v>0.46035424187170776</v>
      </c>
      <c r="L17">
        <f t="shared" si="12"/>
        <v>3.8382460790222339E-2</v>
      </c>
      <c r="M17">
        <f t="shared" si="13"/>
        <v>-9.2868750924424828E-2</v>
      </c>
      <c r="N17">
        <f t="shared" si="14"/>
        <v>-9.1888050922318276E-2</v>
      </c>
      <c r="O17">
        <f t="shared" si="15"/>
        <v>8.366166608699066E-2</v>
      </c>
      <c r="P17">
        <f t="shared" si="16"/>
        <v>8.140498391813776E-2</v>
      </c>
      <c r="Q17">
        <f t="shared" si="17"/>
        <v>1.8414169674868312E-2</v>
      </c>
      <c r="R17">
        <f t="shared" si="18"/>
        <v>1.8640425722500003E-2</v>
      </c>
      <c r="T17">
        <v>0.05</v>
      </c>
      <c r="U17">
        <f t="shared" si="19"/>
        <v>9.5169920979051845</v>
      </c>
      <c r="V17">
        <f t="shared" si="20"/>
        <v>0.46056816731736289</v>
      </c>
      <c r="W17">
        <f>W16+(1/6)*(AF16+2*AG16+2*AH16+AI16)</f>
        <v>3.8155416179882745E-2</v>
      </c>
      <c r="X17">
        <f t="shared" si="22"/>
        <v>-9.2867080142465031E-2</v>
      </c>
      <c r="Y17">
        <f t="shared" si="23"/>
        <v>-9.240274474175271E-2</v>
      </c>
      <c r="Z17">
        <f t="shared" si="24"/>
        <v>-9.240506641875626E-2</v>
      </c>
      <c r="AA17">
        <f t="shared" si="25"/>
        <v>-9.1943029478277469E-2</v>
      </c>
      <c r="AB17">
        <f t="shared" si="26"/>
        <v>8.3655716796117774E-2</v>
      </c>
      <c r="AC17">
        <f t="shared" si="27"/>
        <v>8.2610020336166309E-2</v>
      </c>
      <c r="AD17">
        <f t="shared" si="28"/>
        <v>8.2623091541915702E-2</v>
      </c>
      <c r="AE17">
        <f t="shared" si="29"/>
        <v>8.1590139507569895E-2</v>
      </c>
      <c r="AF17">
        <f t="shared" si="0"/>
        <v>1.8422726692694517E-2</v>
      </c>
      <c r="AG17">
        <f t="shared" si="1"/>
        <v>1.8422726692694517E-2</v>
      </c>
      <c r="AH17">
        <f t="shared" si="2"/>
        <v>1.8422726692694517E-2</v>
      </c>
      <c r="AI17">
        <f t="shared" si="3"/>
        <v>1.8422726692694517E-2</v>
      </c>
    </row>
    <row r="18" spans="1:35" x14ac:dyDescent="0.45">
      <c r="A18">
        <v>0.06</v>
      </c>
      <c r="B18">
        <f t="shared" si="4"/>
        <v>9.4218624262559398</v>
      </c>
      <c r="C18">
        <f t="shared" si="5"/>
        <v>0.54950716863281257</v>
      </c>
      <c r="D18">
        <f t="shared" si="6"/>
        <v>5.7260810222500014E-2</v>
      </c>
      <c r="E18">
        <f t="shared" si="7"/>
        <v>-9.1471088419395343</v>
      </c>
      <c r="F18">
        <f t="shared" si="8"/>
        <v>8.0480945046739087</v>
      </c>
      <c r="G18">
        <f t="shared" si="9"/>
        <v>2.1980286745312503</v>
      </c>
      <c r="I18">
        <v>0.06</v>
      </c>
      <c r="J18">
        <f t="shared" si="10"/>
        <v>9.4246738124549658</v>
      </c>
      <c r="K18">
        <f t="shared" si="11"/>
        <v>0.54288756687427198</v>
      </c>
      <c r="L18">
        <f t="shared" si="12"/>
        <v>5.6909758488906496E-2</v>
      </c>
      <c r="M18">
        <f t="shared" si="13"/>
        <v>-9.1532300290178309E-2</v>
      </c>
      <c r="N18">
        <f t="shared" si="14"/>
        <v>-9.0555765416493572E-2</v>
      </c>
      <c r="O18">
        <f t="shared" si="15"/>
        <v>8.0674548952692868E-2</v>
      </c>
      <c r="P18">
        <f t="shared" si="16"/>
        <v>7.8464081322921764E-2</v>
      </c>
      <c r="Q18">
        <f t="shared" si="17"/>
        <v>2.1715502674970879E-2</v>
      </c>
      <c r="R18">
        <f t="shared" si="18"/>
        <v>2.1980286745312504E-2</v>
      </c>
      <c r="T18">
        <v>0.06</v>
      </c>
      <c r="U18">
        <f t="shared" si="19"/>
        <v>9.4245878092482247</v>
      </c>
      <c r="V18">
        <f t="shared" si="20"/>
        <v>0.54318684732733813</v>
      </c>
      <c r="W18">
        <f t="shared" si="21"/>
        <v>5.6578142872577258E-2</v>
      </c>
      <c r="X18">
        <f t="shared" si="22"/>
        <v>-9.1529943855845564E-2</v>
      </c>
      <c r="Y18">
        <f t="shared" si="23"/>
        <v>-9.1072294136566326E-2</v>
      </c>
      <c r="Z18">
        <f t="shared" si="24"/>
        <v>-9.1074582385162736E-2</v>
      </c>
      <c r="AA18">
        <f t="shared" si="25"/>
        <v>-9.0619198031993933E-2</v>
      </c>
      <c r="AB18">
        <f t="shared" si="26"/>
        <v>8.0666206909298793E-2</v>
      </c>
      <c r="AC18">
        <f t="shared" si="27"/>
        <v>7.965787932293257E-2</v>
      </c>
      <c r="AD18">
        <f t="shared" si="28"/>
        <v>7.9670483417762131E-2</v>
      </c>
      <c r="AE18">
        <f t="shared" si="29"/>
        <v>7.8674444823854744E-2</v>
      </c>
      <c r="AF18">
        <f t="shared" si="0"/>
        <v>2.1727473893093527E-2</v>
      </c>
      <c r="AG18">
        <f t="shared" si="1"/>
        <v>2.1727473893093527E-2</v>
      </c>
      <c r="AH18">
        <f t="shared" si="2"/>
        <v>2.1727473893093527E-2</v>
      </c>
      <c r="AI18">
        <f t="shared" si="3"/>
        <v>2.1727473893093527E-2</v>
      </c>
    </row>
    <row r="19" spans="1:35" x14ac:dyDescent="0.45">
      <c r="A19">
        <v>7.0000000000000007E-2</v>
      </c>
      <c r="B19">
        <f t="shared" si="4"/>
        <v>9.3303913378365451</v>
      </c>
      <c r="C19">
        <f t="shared" si="5"/>
        <v>0.62998811367955165</v>
      </c>
      <c r="D19">
        <f t="shared" si="6"/>
        <v>7.9241096967812522E-2</v>
      </c>
      <c r="E19">
        <f t="shared" si="7"/>
        <v>-9.0153972809967691</v>
      </c>
      <c r="F19">
        <f t="shared" si="8"/>
        <v>7.755421053637666</v>
      </c>
      <c r="G19">
        <f t="shared" si="9"/>
        <v>2.5199524547182066</v>
      </c>
      <c r="I19">
        <v>7.0000000000000007E-2</v>
      </c>
      <c r="J19">
        <f t="shared" si="10"/>
        <v>9.3336297796016297</v>
      </c>
      <c r="K19">
        <f t="shared" si="11"/>
        <v>0.62245688201207927</v>
      </c>
      <c r="L19">
        <f t="shared" si="12"/>
        <v>7.8757653199048192E-2</v>
      </c>
      <c r="M19">
        <f t="shared" si="13"/>
        <v>-9.0224013385955898E-2</v>
      </c>
      <c r="N19">
        <f t="shared" si="14"/>
        <v>-8.9251732676108128E-2</v>
      </c>
      <c r="O19">
        <f t="shared" si="15"/>
        <v>7.7774875745714317E-2</v>
      </c>
      <c r="P19">
        <f t="shared" si="16"/>
        <v>7.5609838642733809E-2</v>
      </c>
      <c r="Q19">
        <f t="shared" si="17"/>
        <v>2.4898275280483172E-2</v>
      </c>
      <c r="R19">
        <f t="shared" si="18"/>
        <v>2.5199524547182068E-2</v>
      </c>
      <c r="T19">
        <v>7.0000000000000007E-2</v>
      </c>
      <c r="U19">
        <f t="shared" si="19"/>
        <v>9.333513993426342</v>
      </c>
      <c r="V19">
        <f t="shared" si="20"/>
        <v>0.62285307686309532</v>
      </c>
      <c r="W19">
        <f t="shared" si="21"/>
        <v>7.8305616765670785E-2</v>
      </c>
      <c r="X19">
        <f t="shared" si="22"/>
        <v>-9.0220874549947955E-2</v>
      </c>
      <c r="Y19">
        <f t="shared" si="23"/>
        <v>-8.9769770177198199E-2</v>
      </c>
      <c r="Z19">
        <f t="shared" si="24"/>
        <v>-8.9772025699061953E-2</v>
      </c>
      <c r="AA19">
        <f t="shared" si="25"/>
        <v>-8.9323154292957327E-2</v>
      </c>
      <c r="AB19">
        <f t="shared" si="26"/>
        <v>7.7763813012686034E-2</v>
      </c>
      <c r="AC19">
        <f t="shared" si="27"/>
        <v>7.6791765350027463E-2</v>
      </c>
      <c r="AD19">
        <f t="shared" si="28"/>
        <v>7.6803915945810694E-2</v>
      </c>
      <c r="AE19">
        <f t="shared" si="29"/>
        <v>7.5843715114040769E-2</v>
      </c>
      <c r="AF19">
        <f t="shared" si="0"/>
        <v>2.4914123074523814E-2</v>
      </c>
      <c r="AG19">
        <f t="shared" si="1"/>
        <v>2.4914123074523814E-2</v>
      </c>
      <c r="AH19">
        <f t="shared" si="2"/>
        <v>2.4914123074523814E-2</v>
      </c>
      <c r="AI19">
        <f t="shared" si="3"/>
        <v>2.4914123074523814E-2</v>
      </c>
    </row>
    <row r="20" spans="1:35" x14ac:dyDescent="0.45">
      <c r="A20">
        <v>0.08</v>
      </c>
      <c r="B20">
        <f t="shared" si="4"/>
        <v>9.2402373650265766</v>
      </c>
      <c r="C20">
        <f t="shared" si="5"/>
        <v>0.70754232421592833</v>
      </c>
      <c r="D20">
        <f t="shared" si="6"/>
        <v>0.10444062151499459</v>
      </c>
      <c r="E20">
        <f t="shared" si="7"/>
        <v>-8.8864662029186121</v>
      </c>
      <c r="F20">
        <f t="shared" si="8"/>
        <v>7.4713815544867552</v>
      </c>
      <c r="G20">
        <f t="shared" si="9"/>
        <v>2.8301692968637133</v>
      </c>
      <c r="I20">
        <v>0.08</v>
      </c>
      <c r="J20">
        <f t="shared" si="10"/>
        <v>9.2438919065705978</v>
      </c>
      <c r="K20">
        <f t="shared" si="11"/>
        <v>0.69914923920630334</v>
      </c>
      <c r="L20">
        <f t="shared" si="12"/>
        <v>0.10380655311288081</v>
      </c>
      <c r="M20">
        <f t="shared" si="13"/>
        <v>-8.8943172869674458E-2</v>
      </c>
      <c r="N20">
        <f t="shared" si="14"/>
        <v>-8.7975230300489371E-2</v>
      </c>
      <c r="O20">
        <f t="shared" si="15"/>
        <v>7.4960188085548399E-2</v>
      </c>
      <c r="P20">
        <f t="shared" si="16"/>
        <v>7.283981084272885E-2</v>
      </c>
      <c r="Q20">
        <f t="shared" si="17"/>
        <v>2.7965969568252133E-2</v>
      </c>
      <c r="R20">
        <f t="shared" si="18"/>
        <v>2.8301692968637132E-2</v>
      </c>
      <c r="T20">
        <v>0.08</v>
      </c>
      <c r="U20">
        <f t="shared" si="19"/>
        <v>9.2437427233271041</v>
      </c>
      <c r="V20">
        <f t="shared" si="20"/>
        <v>0.69965289198282921</v>
      </c>
      <c r="W20">
        <f t="shared" si="21"/>
        <v>0.1032197398401946</v>
      </c>
      <c r="X20">
        <f t="shared" si="22"/>
        <v>-8.8939162773356895E-2</v>
      </c>
      <c r="Y20">
        <f t="shared" si="23"/>
        <v>-8.8494466959490106E-2</v>
      </c>
      <c r="Z20">
        <f t="shared" si="24"/>
        <v>-8.8496690438559455E-2</v>
      </c>
      <c r="AA20">
        <f t="shared" si="25"/>
        <v>-8.8054195868971313E-2</v>
      </c>
      <c r="AB20">
        <f t="shared" si="26"/>
        <v>7.4946104933700311E-2</v>
      </c>
      <c r="AC20">
        <f t="shared" si="27"/>
        <v>7.4009278622029065E-2</v>
      </c>
      <c r="AD20">
        <f t="shared" si="28"/>
        <v>7.4020988950924946E-2</v>
      </c>
      <c r="AE20">
        <f t="shared" si="29"/>
        <v>7.3095580209927194E-2</v>
      </c>
      <c r="AF20">
        <f t="shared" si="0"/>
        <v>2.7986115679313167E-2</v>
      </c>
      <c r="AG20">
        <f t="shared" si="1"/>
        <v>2.7986115679313167E-2</v>
      </c>
      <c r="AH20">
        <f t="shared" si="2"/>
        <v>2.7986115679313167E-2</v>
      </c>
      <c r="AI20">
        <f t="shared" si="3"/>
        <v>2.7986115679313167E-2</v>
      </c>
    </row>
    <row r="21" spans="1:35" x14ac:dyDescent="0.45">
      <c r="A21">
        <v>0.09</v>
      </c>
      <c r="B21">
        <f t="shared" si="4"/>
        <v>9.1513727029973904</v>
      </c>
      <c r="C21">
        <f t="shared" si="5"/>
        <v>0.78225613976079589</v>
      </c>
      <c r="D21">
        <f t="shared" si="6"/>
        <v>0.13274231448363172</v>
      </c>
      <c r="E21">
        <f t="shared" si="7"/>
        <v>-8.7602446331169919</v>
      </c>
      <c r="F21">
        <f t="shared" si="8"/>
        <v>7.1957323535953996</v>
      </c>
      <c r="G21">
        <f t="shared" si="9"/>
        <v>3.1290245590431836</v>
      </c>
      <c r="I21">
        <v>0.09</v>
      </c>
      <c r="J21">
        <f t="shared" si="10"/>
        <v>9.1554327049855164</v>
      </c>
      <c r="K21">
        <f t="shared" si="11"/>
        <v>0.77304923867044195</v>
      </c>
      <c r="L21">
        <f t="shared" si="12"/>
        <v>0.13194038438132544</v>
      </c>
      <c r="M21">
        <f t="shared" si="13"/>
        <v>-8.7689080856502954E-2</v>
      </c>
      <c r="N21">
        <f t="shared" si="14"/>
        <v>-8.6725555522604886E-2</v>
      </c>
      <c r="O21">
        <f t="shared" si="15"/>
        <v>7.222809608309412E-2</v>
      </c>
      <c r="P21">
        <f t="shared" si="16"/>
        <v>7.0151621133876643E-2</v>
      </c>
      <c r="Q21">
        <f t="shared" si="17"/>
        <v>3.0921969546817678E-2</v>
      </c>
      <c r="R21">
        <f t="shared" si="18"/>
        <v>3.1290245590431837E-2</v>
      </c>
      <c r="T21">
        <v>0.09</v>
      </c>
      <c r="U21">
        <f t="shared" si="19"/>
        <v>9.1552467777540336</v>
      </c>
      <c r="V21">
        <f t="shared" si="20"/>
        <v>0.77366992869775175</v>
      </c>
      <c r="W21">
        <f t="shared" si="21"/>
        <v>0.13120585551950775</v>
      </c>
      <c r="X21">
        <f t="shared" si="22"/>
        <v>-8.7684118134051567E-2</v>
      </c>
      <c r="Y21">
        <f t="shared" si="23"/>
        <v>-8.7245697543381309E-2</v>
      </c>
      <c r="Z21">
        <f t="shared" si="24"/>
        <v>-8.7247889646334661E-2</v>
      </c>
      <c r="AA21">
        <f t="shared" si="25"/>
        <v>-8.6811639237588223E-2</v>
      </c>
      <c r="AB21">
        <f t="shared" si="26"/>
        <v>7.2210719560096545E-2</v>
      </c>
      <c r="AC21">
        <f t="shared" si="27"/>
        <v>7.1308085565595328E-2</v>
      </c>
      <c r="AD21">
        <f t="shared" si="28"/>
        <v>7.1319368490526613E-2</v>
      </c>
      <c r="AE21">
        <f t="shared" si="29"/>
        <v>7.0427735347833378E-2</v>
      </c>
      <c r="AF21">
        <f t="shared" si="0"/>
        <v>3.0946797147910071E-2</v>
      </c>
      <c r="AG21">
        <f t="shared" si="1"/>
        <v>3.0946797147910071E-2</v>
      </c>
      <c r="AH21">
        <f t="shared" si="2"/>
        <v>3.0946797147910071E-2</v>
      </c>
      <c r="AI21">
        <f t="shared" si="3"/>
        <v>3.0946797147910071E-2</v>
      </c>
    </row>
    <row r="22" spans="1:35" x14ac:dyDescent="0.45">
      <c r="A22">
        <v>0.1</v>
      </c>
      <c r="B22">
        <f t="shared" si="4"/>
        <v>9.0637702566662206</v>
      </c>
      <c r="C22">
        <f t="shared" si="5"/>
        <v>0.85421346329674985</v>
      </c>
      <c r="D22">
        <f t="shared" si="6"/>
        <v>0.16403256007406355</v>
      </c>
      <c r="E22">
        <f t="shared" si="7"/>
        <v>-8.6366635250178465</v>
      </c>
      <c r="F22">
        <f t="shared" si="8"/>
        <v>6.9282365984243466</v>
      </c>
      <c r="G22">
        <f t="shared" si="9"/>
        <v>3.4168538531869994</v>
      </c>
      <c r="I22">
        <v>0.1</v>
      </c>
      <c r="J22">
        <f t="shared" si="10"/>
        <v>9.0682253867959624</v>
      </c>
      <c r="K22">
        <f t="shared" si="11"/>
        <v>0.84423909727892732</v>
      </c>
      <c r="L22">
        <f t="shared" si="12"/>
        <v>0.16304649194995019</v>
      </c>
      <c r="M22">
        <f t="shared" si="13"/>
        <v>-8.6461058381564995E-2</v>
      </c>
      <c r="N22">
        <f t="shared" si="14"/>
        <v>-8.5502024666362822E-2</v>
      </c>
      <c r="O22">
        <f t="shared" si="15"/>
        <v>6.9576276435986448E-2</v>
      </c>
      <c r="P22">
        <f t="shared" si="16"/>
        <v>6.7542959073343803E-2</v>
      </c>
      <c r="Q22">
        <f t="shared" si="17"/>
        <v>3.3769563891157095E-2</v>
      </c>
      <c r="R22">
        <f t="shared" si="18"/>
        <v>3.4168538531869998E-2</v>
      </c>
      <c r="T22">
        <v>0.1</v>
      </c>
      <c r="U22">
        <f t="shared" si="19"/>
        <v>9.0679996224621888</v>
      </c>
      <c r="V22">
        <f t="shared" si="20"/>
        <v>0.84498548920111405</v>
      </c>
      <c r="W22">
        <f t="shared" si="21"/>
        <v>0.16215265266741782</v>
      </c>
      <c r="X22">
        <f t="shared" si="22"/>
        <v>-8.645506877861632E-2</v>
      </c>
      <c r="Y22">
        <f t="shared" si="23"/>
        <v>-8.6022793434723244E-2</v>
      </c>
      <c r="Z22">
        <f t="shared" si="24"/>
        <v>-8.6024954811442705E-2</v>
      </c>
      <c r="AA22">
        <f t="shared" si="25"/>
        <v>-8.5594819230501898E-2</v>
      </c>
      <c r="AB22">
        <f t="shared" si="26"/>
        <v>6.955535899459403E-2</v>
      </c>
      <c r="AC22">
        <f t="shared" si="27"/>
        <v>6.8685917007161618E-2</v>
      </c>
      <c r="AD22">
        <f t="shared" si="28"/>
        <v>6.869678503200452E-2</v>
      </c>
      <c r="AE22">
        <f t="shared" si="29"/>
        <v>6.7837939368793926E-2</v>
      </c>
      <c r="AF22">
        <f t="shared" si="0"/>
        <v>3.379941956804456E-2</v>
      </c>
      <c r="AG22">
        <f t="shared" si="1"/>
        <v>3.379941956804456E-2</v>
      </c>
      <c r="AH22">
        <f t="shared" si="2"/>
        <v>3.379941956804456E-2</v>
      </c>
      <c r="AI22">
        <f t="shared" si="3"/>
        <v>3.379941956804456E-2</v>
      </c>
    </row>
    <row r="23" spans="1:35" x14ac:dyDescent="0.45">
      <c r="A23">
        <v>0.11</v>
      </c>
      <c r="B23">
        <f t="shared" si="4"/>
        <v>8.9774036214160429</v>
      </c>
      <c r="C23">
        <f t="shared" si="5"/>
        <v>0.92349582928099327</v>
      </c>
      <c r="D23">
        <f t="shared" si="6"/>
        <v>0.19820109860593355</v>
      </c>
      <c r="E23">
        <f t="shared" si="7"/>
        <v>-8.5156557067755454</v>
      </c>
      <c r="F23">
        <f t="shared" si="8"/>
        <v>6.6686640482135591</v>
      </c>
      <c r="G23">
        <f t="shared" si="9"/>
        <v>3.6939833171239731</v>
      </c>
      <c r="I23">
        <v>0.11</v>
      </c>
      <c r="J23">
        <f t="shared" si="10"/>
        <v>8.9822438452719986</v>
      </c>
      <c r="K23">
        <f t="shared" si="11"/>
        <v>0.91279871503359244</v>
      </c>
      <c r="L23">
        <f t="shared" si="12"/>
        <v>0.19701554316146375</v>
      </c>
      <c r="M23">
        <f t="shared" si="13"/>
        <v>-8.5258444877552034E-2</v>
      </c>
      <c r="N23">
        <f t="shared" si="14"/>
        <v>-8.4303972618979942E-2</v>
      </c>
      <c r="O23">
        <f t="shared" si="15"/>
        <v>6.7002470576880177E-2</v>
      </c>
      <c r="P23">
        <f t="shared" si="16"/>
        <v>6.5011578717713597E-2</v>
      </c>
      <c r="Q23">
        <f t="shared" si="17"/>
        <v>3.6511948601343699E-2</v>
      </c>
      <c r="R23">
        <f t="shared" si="18"/>
        <v>3.6939833171239729E-2</v>
      </c>
      <c r="T23">
        <v>0.11</v>
      </c>
      <c r="U23">
        <f t="shared" si="19"/>
        <v>8.9819753917119467</v>
      </c>
      <c r="V23">
        <f t="shared" si="20"/>
        <v>0.91367860627473407</v>
      </c>
      <c r="W23">
        <f t="shared" si="21"/>
        <v>0.19595207223546238</v>
      </c>
      <c r="X23">
        <f t="shared" si="22"/>
        <v>-8.5251360885745808E-2</v>
      </c>
      <c r="Y23">
        <f t="shared" si="23"/>
        <v>-8.4825104081317076E-2</v>
      </c>
      <c r="Z23">
        <f t="shared" si="24"/>
        <v>-8.4827235365339218E-2</v>
      </c>
      <c r="AA23">
        <f t="shared" si="25"/>
        <v>-8.4403088532092427E-2</v>
      </c>
      <c r="AB23">
        <f t="shared" si="26"/>
        <v>6.6977788760251122E-2</v>
      </c>
      <c r="AC23">
        <f t="shared" si="27"/>
        <v>6.6140566400747974E-2</v>
      </c>
      <c r="AD23">
        <f t="shared" si="28"/>
        <v>6.6151031680241779E-2</v>
      </c>
      <c r="AE23">
        <f t="shared" si="29"/>
        <v>6.5324012968245082E-2</v>
      </c>
      <c r="AF23">
        <f t="shared" si="0"/>
        <v>3.6547144250989365E-2</v>
      </c>
      <c r="AG23">
        <f t="shared" si="1"/>
        <v>3.6547144250989365E-2</v>
      </c>
      <c r="AH23">
        <f t="shared" si="2"/>
        <v>3.6547144250989365E-2</v>
      </c>
      <c r="AI23">
        <f t="shared" si="3"/>
        <v>3.6547144250989365E-2</v>
      </c>
    </row>
    <row r="24" spans="1:35" x14ac:dyDescent="0.45">
      <c r="A24">
        <v>0.12</v>
      </c>
      <c r="B24">
        <f t="shared" si="4"/>
        <v>8.8922470643482878</v>
      </c>
      <c r="C24">
        <f t="shared" si="5"/>
        <v>0.99018246976312885</v>
      </c>
      <c r="D24">
        <f t="shared" si="6"/>
        <v>0.23514093177717327</v>
      </c>
      <c r="E24">
        <f t="shared" si="7"/>
        <v>-8.3971558294667226</v>
      </c>
      <c r="F24">
        <f t="shared" si="8"/>
        <v>6.4167908899404651</v>
      </c>
      <c r="G24">
        <f t="shared" si="9"/>
        <v>3.9607298790525154</v>
      </c>
      <c r="I24">
        <v>0.12</v>
      </c>
      <c r="J24">
        <f t="shared" si="10"/>
        <v>8.8974626365237324</v>
      </c>
      <c r="K24">
        <f t="shared" si="11"/>
        <v>0.97880573968088935</v>
      </c>
      <c r="L24">
        <f t="shared" si="12"/>
        <v>0.23374143404775546</v>
      </c>
      <c r="M24">
        <f t="shared" si="13"/>
        <v>-8.4080597666832874E-2</v>
      </c>
      <c r="N24">
        <f t="shared" si="14"/>
        <v>-8.3130752317998893E-2</v>
      </c>
      <c r="O24">
        <f t="shared" si="15"/>
        <v>6.4504482873215085E-2</v>
      </c>
      <c r="P24">
        <f t="shared" si="16"/>
        <v>6.2555296827574283E-2</v>
      </c>
      <c r="Q24">
        <f t="shared" si="17"/>
        <v>3.9152229587235576E-2</v>
      </c>
      <c r="R24">
        <f t="shared" si="18"/>
        <v>3.9607298790525151E-2</v>
      </c>
      <c r="T24">
        <v>0.12</v>
      </c>
      <c r="U24">
        <f t="shared" si="19"/>
        <v>8.8971488703267543</v>
      </c>
      <c r="V24">
        <f t="shared" si="20"/>
        <v>0.97982610592314667</v>
      </c>
      <c r="W24">
        <f t="shared" si="21"/>
        <v>0.23249921648645172</v>
      </c>
      <c r="X24">
        <f t="shared" si="22"/>
        <v>-8.4072358173651815E-2</v>
      </c>
      <c r="Y24">
        <f t="shared" si="23"/>
        <v>-8.3651996382783547E-2</v>
      </c>
      <c r="Z24">
        <f t="shared" si="24"/>
        <v>-8.36540981917379E-2</v>
      </c>
      <c r="AA24">
        <f t="shared" si="25"/>
        <v>-8.3235817191734437E-2</v>
      </c>
      <c r="AB24">
        <f t="shared" si="26"/>
        <v>6.447583605518889E-2</v>
      </c>
      <c r="AC24">
        <f t="shared" si="27"/>
        <v>6.3669888104499014E-2</v>
      </c>
      <c r="AD24">
        <f t="shared" si="28"/>
        <v>6.3679962453882646E-2</v>
      </c>
      <c r="AE24">
        <f t="shared" si="29"/>
        <v>6.2883836993841799E-2</v>
      </c>
      <c r="AF24">
        <f t="shared" si="0"/>
        <v>3.9193044236925871E-2</v>
      </c>
      <c r="AG24">
        <f t="shared" si="1"/>
        <v>3.9193044236925871E-2</v>
      </c>
      <c r="AH24">
        <f t="shared" si="2"/>
        <v>3.9193044236925871E-2</v>
      </c>
      <c r="AI24">
        <f t="shared" si="3"/>
        <v>3.9193044236925871E-2</v>
      </c>
    </row>
    <row r="25" spans="1:35" x14ac:dyDescent="0.45">
      <c r="A25">
        <v>0.13</v>
      </c>
      <c r="B25">
        <f t="shared" si="4"/>
        <v>8.8082755060536204</v>
      </c>
      <c r="C25">
        <f t="shared" si="5"/>
        <v>1.0543503786625334</v>
      </c>
      <c r="D25">
        <f t="shared" si="6"/>
        <v>0.27474823056769843</v>
      </c>
      <c r="E25">
        <f t="shared" si="7"/>
        <v>-8.2811003167223536</v>
      </c>
      <c r="F25">
        <f t="shared" si="8"/>
        <v>6.1723995593972862</v>
      </c>
      <c r="G25">
        <f t="shared" si="9"/>
        <v>4.2174015146501338</v>
      </c>
      <c r="I25">
        <v>0.13</v>
      </c>
      <c r="J25">
        <f t="shared" si="10"/>
        <v>8.8138569615313163</v>
      </c>
      <c r="K25">
        <f t="shared" si="11"/>
        <v>1.042335629531284</v>
      </c>
      <c r="L25">
        <f t="shared" si="12"/>
        <v>0.27312119823663583</v>
      </c>
      <c r="M25">
        <f t="shared" si="13"/>
        <v>-8.2926891467656749E-2</v>
      </c>
      <c r="N25">
        <f t="shared" si="14"/>
        <v>-8.1981734252546956E-2</v>
      </c>
      <c r="O25">
        <f t="shared" si="15"/>
        <v>6.2080178877031066E-2</v>
      </c>
      <c r="P25">
        <f t="shared" si="16"/>
        <v>6.0171991122047082E-2</v>
      </c>
      <c r="Q25">
        <f t="shared" si="17"/>
        <v>4.169342518125136E-2</v>
      </c>
      <c r="R25">
        <f t="shared" si="18"/>
        <v>4.2174015146501341E-2</v>
      </c>
      <c r="T25">
        <v>0.13</v>
      </c>
      <c r="U25">
        <f t="shared" si="19"/>
        <v>8.813495476241016</v>
      </c>
      <c r="V25">
        <f t="shared" si="20"/>
        <v>1.0435026682841124</v>
      </c>
      <c r="W25">
        <f t="shared" si="21"/>
        <v>0.2716922607233776</v>
      </c>
      <c r="X25">
        <f t="shared" si="22"/>
        <v>-8.2917441420989599E-2</v>
      </c>
      <c r="Y25">
        <f t="shared" si="23"/>
        <v>-8.250285421388466E-2</v>
      </c>
      <c r="Z25">
        <f t="shared" si="24"/>
        <v>-8.2504927149920179E-2</v>
      </c>
      <c r="AA25">
        <f t="shared" si="25"/>
        <v>-8.2092392149490406E-2</v>
      </c>
      <c r="AB25">
        <f t="shared" si="26"/>
        <v>6.2047388055307344E-2</v>
      </c>
      <c r="AC25">
        <f t="shared" si="27"/>
        <v>6.1271795704616015E-2</v>
      </c>
      <c r="AD25">
        <f t="shared" si="28"/>
        <v>6.1281490608999657E-2</v>
      </c>
      <c r="AE25">
        <f t="shared" si="29"/>
        <v>6.051535079008237E-2</v>
      </c>
      <c r="AF25">
        <f t="shared" si="0"/>
        <v>4.1740106731364496E-2</v>
      </c>
      <c r="AG25">
        <f t="shared" si="1"/>
        <v>4.1740106731364496E-2</v>
      </c>
      <c r="AH25">
        <f t="shared" si="2"/>
        <v>4.1740106731364496E-2</v>
      </c>
      <c r="AI25">
        <f t="shared" si="3"/>
        <v>4.1740106731364496E-2</v>
      </c>
    </row>
    <row r="26" spans="1:35" x14ac:dyDescent="0.45">
      <c r="A26">
        <v>0.14000000000000001</v>
      </c>
      <c r="B26">
        <f t="shared" si="4"/>
        <v>8.7254645028863962</v>
      </c>
      <c r="C26">
        <f t="shared" si="5"/>
        <v>1.1160743742565062</v>
      </c>
      <c r="D26">
        <f t="shared" si="6"/>
        <v>0.31692224571419975</v>
      </c>
      <c r="E26">
        <f t="shared" si="7"/>
        <v>-8.1674273157581432</v>
      </c>
      <c r="F26">
        <f t="shared" si="8"/>
        <v>5.9352785672451311</v>
      </c>
      <c r="G26">
        <f t="shared" si="9"/>
        <v>4.464297497026025</v>
      </c>
      <c r="I26">
        <v>0.14000000000000001</v>
      </c>
      <c r="J26">
        <f t="shared" si="10"/>
        <v>8.7314026486712137</v>
      </c>
      <c r="K26">
        <f t="shared" si="11"/>
        <v>1.103461714530823</v>
      </c>
      <c r="L26">
        <f t="shared" si="12"/>
        <v>0.3150549184005122</v>
      </c>
      <c r="M26">
        <f t="shared" si="13"/>
        <v>-8.1796717914058029E-2</v>
      </c>
      <c r="N26">
        <f t="shared" si="14"/>
        <v>-8.0856305978440859E-2</v>
      </c>
      <c r="O26">
        <f t="shared" si="15"/>
        <v>5.972748362344156E-2</v>
      </c>
      <c r="P26">
        <f t="shared" si="16"/>
        <v>5.7859598581865276E-2</v>
      </c>
      <c r="Q26">
        <f t="shared" si="17"/>
        <v>4.4138468581232923E-2</v>
      </c>
      <c r="R26">
        <f t="shared" si="18"/>
        <v>4.4642974970260249E-2</v>
      </c>
      <c r="T26">
        <v>0.14000000000000001</v>
      </c>
      <c r="U26">
        <f t="shared" si="19"/>
        <v>8.7309912435246684</v>
      </c>
      <c r="V26">
        <f t="shared" si="20"/>
        <v>1.1047808868628826</v>
      </c>
      <c r="W26">
        <f t="shared" si="21"/>
        <v>0.31343236745474212</v>
      </c>
      <c r="X26">
        <f t="shared" si="22"/>
        <v>-8.1786008000932262E-2</v>
      </c>
      <c r="Y26">
        <f t="shared" si="23"/>
        <v>-8.1377077960927607E-2</v>
      </c>
      <c r="Z26">
        <f t="shared" si="24"/>
        <v>-8.1379122611127633E-2</v>
      </c>
      <c r="AA26">
        <f t="shared" si="25"/>
        <v>-8.0972216774820985E-2</v>
      </c>
      <c r="AB26">
        <f t="shared" si="26"/>
        <v>5.969039026367462E-2</v>
      </c>
      <c r="AC26">
        <f t="shared" si="27"/>
        <v>5.8944260385378686E-2</v>
      </c>
      <c r="AD26">
        <f t="shared" si="28"/>
        <v>5.8953587008857396E-2</v>
      </c>
      <c r="AE26">
        <f t="shared" si="29"/>
        <v>5.8216550588453195E-2</v>
      </c>
      <c r="AF26">
        <f t="shared" si="0"/>
        <v>4.4191235474515304E-2</v>
      </c>
      <c r="AG26">
        <f t="shared" si="1"/>
        <v>4.4191235474515304E-2</v>
      </c>
      <c r="AH26">
        <f t="shared" si="2"/>
        <v>4.4191235474515304E-2</v>
      </c>
      <c r="AI26">
        <f t="shared" si="3"/>
        <v>4.4191235474515304E-2</v>
      </c>
    </row>
    <row r="27" spans="1:35" x14ac:dyDescent="0.45">
      <c r="A27">
        <v>0.15</v>
      </c>
      <c r="B27">
        <f t="shared" si="4"/>
        <v>8.6437902297288147</v>
      </c>
      <c r="C27">
        <f t="shared" si="5"/>
        <v>1.1754271599289576</v>
      </c>
      <c r="D27">
        <f t="shared" si="6"/>
        <v>0.36156522068446001</v>
      </c>
      <c r="E27">
        <f t="shared" si="7"/>
        <v>-8.0560766497643357</v>
      </c>
      <c r="F27">
        <f t="shared" si="8"/>
        <v>5.7052223299064204</v>
      </c>
      <c r="G27">
        <f t="shared" si="9"/>
        <v>4.7017086397158305</v>
      </c>
      <c r="I27">
        <v>0.15</v>
      </c>
      <c r="J27">
        <f t="shared" si="10"/>
        <v>8.6500761367249641</v>
      </c>
      <c r="K27">
        <f t="shared" si="11"/>
        <v>1.1622552556334764</v>
      </c>
      <c r="L27">
        <f t="shared" si="12"/>
        <v>0.3594456401762588</v>
      </c>
      <c r="M27">
        <f t="shared" si="13"/>
        <v>-8.0689485089082261E-2</v>
      </c>
      <c r="N27">
        <f t="shared" si="14"/>
        <v>-7.975387164675253E-2</v>
      </c>
      <c r="O27">
        <f t="shared" si="15"/>
        <v>5.7444379976412739E-2</v>
      </c>
      <c r="P27">
        <f t="shared" si="16"/>
        <v>5.561611379965388E-2</v>
      </c>
      <c r="Q27">
        <f t="shared" si="17"/>
        <v>4.6490210225339057E-2</v>
      </c>
      <c r="R27">
        <f t="shared" si="18"/>
        <v>4.7017086397158306E-2</v>
      </c>
      <c r="T27">
        <v>0.15</v>
      </c>
      <c r="U27">
        <f t="shared" si="19"/>
        <v>8.6496128058713584</v>
      </c>
      <c r="V27">
        <f t="shared" si="20"/>
        <v>1.1637313261363158</v>
      </c>
      <c r="W27">
        <f t="shared" si="21"/>
        <v>0.35762360292925743</v>
      </c>
      <c r="X27">
        <f t="shared" si="22"/>
        <v>-8.0677471428032013E-2</v>
      </c>
      <c r="Y27">
        <f t="shared" si="23"/>
        <v>-8.0274084070891857E-2</v>
      </c>
      <c r="Z27">
        <f t="shared" si="24"/>
        <v>-8.0276101007677542E-2</v>
      </c>
      <c r="AA27">
        <f t="shared" si="25"/>
        <v>-7.9874710417955228E-2</v>
      </c>
      <c r="AB27">
        <f t="shared" si="26"/>
        <v>5.74028449053057E-2</v>
      </c>
      <c r="AC27">
        <f t="shared" si="27"/>
        <v>5.6685309343989375E-2</v>
      </c>
      <c r="AD27">
        <f t="shared" si="28"/>
        <v>5.6694278538505824E-2</v>
      </c>
      <c r="AE27">
        <f t="shared" si="29"/>
        <v>5.5985487941843035E-2</v>
      </c>
      <c r="AF27">
        <f t="shared" si="0"/>
        <v>4.6549253045452633E-2</v>
      </c>
      <c r="AG27">
        <f t="shared" si="1"/>
        <v>4.6549253045452633E-2</v>
      </c>
      <c r="AH27">
        <f t="shared" si="2"/>
        <v>4.6549253045452633E-2</v>
      </c>
      <c r="AI27">
        <f t="shared" si="3"/>
        <v>4.6549253045452633E-2</v>
      </c>
    </row>
    <row r="28" spans="1:35" x14ac:dyDescent="0.45">
      <c r="A28">
        <v>0.16</v>
      </c>
      <c r="B28">
        <f t="shared" si="4"/>
        <v>8.5632294632311705</v>
      </c>
      <c r="C28">
        <f t="shared" si="5"/>
        <v>1.2324793832280219</v>
      </c>
      <c r="D28">
        <f t="shared" si="6"/>
        <v>0.4085823070816183</v>
      </c>
      <c r="E28">
        <f t="shared" si="7"/>
        <v>-7.9469897716171598</v>
      </c>
      <c r="F28">
        <f t="shared" si="8"/>
        <v>5.4820310051611161</v>
      </c>
      <c r="G28">
        <f t="shared" si="9"/>
        <v>4.9299175329120875</v>
      </c>
      <c r="I28">
        <v>0.16</v>
      </c>
      <c r="J28">
        <f t="shared" si="10"/>
        <v>8.569854458357046</v>
      </c>
      <c r="K28">
        <f t="shared" si="11"/>
        <v>1.2187855025215097</v>
      </c>
      <c r="L28">
        <f t="shared" si="12"/>
        <v>0.40619928848750747</v>
      </c>
      <c r="M28">
        <f t="shared" si="13"/>
        <v>-7.9604617070962919E-2</v>
      </c>
      <c r="N28">
        <f t="shared" si="14"/>
        <v>-7.867385154546197E-2</v>
      </c>
      <c r="O28">
        <f t="shared" si="15"/>
        <v>5.5228907020532722E-2</v>
      </c>
      <c r="P28">
        <f t="shared" si="16"/>
        <v>5.3439587376097837E-2</v>
      </c>
      <c r="Q28">
        <f t="shared" si="17"/>
        <v>4.8751420100860393E-2</v>
      </c>
      <c r="R28">
        <f t="shared" si="18"/>
        <v>4.9299175329120877E-2</v>
      </c>
      <c r="T28">
        <v>0.16</v>
      </c>
      <c r="U28">
        <f t="shared" si="19"/>
        <v>8.5693373805375046</v>
      </c>
      <c r="V28">
        <f t="shared" si="20"/>
        <v>1.2204225775716724</v>
      </c>
      <c r="W28">
        <f t="shared" si="21"/>
        <v>0.40417285597471009</v>
      </c>
      <c r="X28">
        <f t="shared" si="22"/>
        <v>-7.9591260917516685E-2</v>
      </c>
      <c r="Y28">
        <f t="shared" si="23"/>
        <v>-7.9193304612929102E-2</v>
      </c>
      <c r="Z28">
        <f t="shared" si="24"/>
        <v>-7.919529439445204E-2</v>
      </c>
      <c r="AA28">
        <f t="shared" si="25"/>
        <v>-7.8799307973572166E-2</v>
      </c>
      <c r="AB28">
        <f t="shared" si="26"/>
        <v>5.5182809366083239E-2</v>
      </c>
      <c r="AC28">
        <f t="shared" si="27"/>
        <v>5.4493024249007205E-2</v>
      </c>
      <c r="AD28">
        <f t="shared" si="28"/>
        <v>5.450164656297065E-2</v>
      </c>
      <c r="AE28">
        <f t="shared" si="29"/>
        <v>5.382026820200897E-2</v>
      </c>
      <c r="AF28">
        <f t="shared" si="0"/>
        <v>4.8816903102866897E-2</v>
      </c>
      <c r="AG28">
        <f t="shared" si="1"/>
        <v>4.8816903102866897E-2</v>
      </c>
      <c r="AH28">
        <f t="shared" si="2"/>
        <v>4.8816903102866897E-2</v>
      </c>
      <c r="AI28">
        <f t="shared" si="3"/>
        <v>4.8816903102866897E-2</v>
      </c>
    </row>
    <row r="29" spans="1:35" x14ac:dyDescent="0.45">
      <c r="A29">
        <v>0.17</v>
      </c>
      <c r="B29">
        <f t="shared" si="4"/>
        <v>8.4837595655149993</v>
      </c>
      <c r="C29">
        <f t="shared" si="5"/>
        <v>1.287299693279633</v>
      </c>
      <c r="D29">
        <f t="shared" si="6"/>
        <v>0.45788148241073917</v>
      </c>
      <c r="E29">
        <f t="shared" si="7"/>
        <v>-7.8401097188751825</v>
      </c>
      <c r="F29">
        <f t="shared" si="8"/>
        <v>5.265510332315916</v>
      </c>
      <c r="G29">
        <f t="shared" si="9"/>
        <v>5.149198773118532</v>
      </c>
      <c r="I29">
        <v>0.17</v>
      </c>
      <c r="J29">
        <f t="shared" si="10"/>
        <v>8.4907152240488344</v>
      </c>
      <c r="K29">
        <f t="shared" si="11"/>
        <v>1.273119749719825</v>
      </c>
      <c r="L29">
        <f t="shared" si="12"/>
        <v>0.45522458620249812</v>
      </c>
      <c r="M29">
        <f t="shared" si="13"/>
        <v>-7.8541553491889224E-2</v>
      </c>
      <c r="N29">
        <f t="shared" si="14"/>
        <v>-7.7615681653832924E-2</v>
      </c>
      <c r="O29">
        <f t="shared" si="15"/>
        <v>5.3079158497492715E-2</v>
      </c>
      <c r="P29">
        <f t="shared" si="16"/>
        <v>5.1328124360721844E-2</v>
      </c>
      <c r="Q29">
        <f t="shared" si="17"/>
        <v>5.0924789988793004E-2</v>
      </c>
      <c r="R29">
        <f t="shared" si="18"/>
        <v>5.1491987731185324E-2</v>
      </c>
      <c r="T29">
        <v>0.17</v>
      </c>
      <c r="U29">
        <f t="shared" si="19"/>
        <v>8.4901427527198621</v>
      </c>
      <c r="V29">
        <f t="shared" si="20"/>
        <v>1.2749213141036804</v>
      </c>
      <c r="W29">
        <f t="shared" si="21"/>
        <v>0.45298975907757699</v>
      </c>
      <c r="X29">
        <f t="shared" si="22"/>
        <v>-7.8526820956680218E-2</v>
      </c>
      <c r="Y29">
        <f t="shared" si="23"/>
        <v>-7.8134186851896825E-2</v>
      </c>
      <c r="Z29">
        <f t="shared" si="24"/>
        <v>-7.8136150022420733E-2</v>
      </c>
      <c r="AA29">
        <f t="shared" si="25"/>
        <v>-7.7745459456456015E-2</v>
      </c>
      <c r="AB29">
        <f t="shared" si="26"/>
        <v>5.3028394674606613E-2</v>
      </c>
      <c r="AC29">
        <f t="shared" si="27"/>
        <v>5.2365539741174028E-2</v>
      </c>
      <c r="AD29">
        <f t="shared" si="28"/>
        <v>5.2373825427841927E-2</v>
      </c>
      <c r="AE29">
        <f t="shared" si="29"/>
        <v>5.1719049038910565E-2</v>
      </c>
      <c r="AF29">
        <f t="shared" si="0"/>
        <v>5.0996852564147217E-2</v>
      </c>
      <c r="AG29">
        <f t="shared" si="1"/>
        <v>5.0996852564147217E-2</v>
      </c>
      <c r="AH29">
        <f t="shared" si="2"/>
        <v>5.0996852564147217E-2</v>
      </c>
      <c r="AI29">
        <f t="shared" si="3"/>
        <v>5.0996852564147217E-2</v>
      </c>
    </row>
    <row r="30" spans="1:35" x14ac:dyDescent="0.45">
      <c r="A30">
        <v>0.18</v>
      </c>
      <c r="B30">
        <f t="shared" si="4"/>
        <v>8.4053584683262468</v>
      </c>
      <c r="C30">
        <f t="shared" si="5"/>
        <v>1.3399547966027923</v>
      </c>
      <c r="D30">
        <f t="shared" si="6"/>
        <v>0.50937347014192447</v>
      </c>
      <c r="E30">
        <f t="shared" si="7"/>
        <v>-7.7353810700248502</v>
      </c>
      <c r="F30">
        <f t="shared" si="8"/>
        <v>5.0554714768192657</v>
      </c>
      <c r="G30">
        <f t="shared" si="9"/>
        <v>5.3598191864111691</v>
      </c>
      <c r="I30">
        <v>0.18</v>
      </c>
      <c r="J30">
        <f t="shared" si="10"/>
        <v>8.4126366064759726</v>
      </c>
      <c r="K30">
        <f t="shared" si="11"/>
        <v>1.3253233911489324</v>
      </c>
      <c r="L30">
        <f t="shared" si="12"/>
        <v>0.5064329750624873</v>
      </c>
      <c r="M30">
        <f t="shared" si="13"/>
        <v>-7.7499749109015068E-2</v>
      </c>
      <c r="N30">
        <f t="shared" si="14"/>
        <v>-7.6578813209158367E-2</v>
      </c>
      <c r="O30">
        <f t="shared" si="15"/>
        <v>5.0993281286036418E-2</v>
      </c>
      <c r="P30">
        <f t="shared" si="16"/>
        <v>4.9279882736041752E-2</v>
      </c>
      <c r="Q30">
        <f t="shared" si="17"/>
        <v>5.3012935645957299E-2</v>
      </c>
      <c r="R30">
        <f t="shared" si="18"/>
        <v>5.3598191864111688E-2</v>
      </c>
      <c r="T30">
        <v>0.18</v>
      </c>
      <c r="U30">
        <f t="shared" si="19"/>
        <v>8.4120072603595677</v>
      </c>
      <c r="V30">
        <f t="shared" si="20"/>
        <v>1.3272923431122718</v>
      </c>
      <c r="W30">
        <f t="shared" si="21"/>
        <v>0.5039866116417242</v>
      </c>
      <c r="X30">
        <f t="shared" si="22"/>
        <v>-7.7483610888034321E-2</v>
      </c>
      <c r="Y30">
        <f t="shared" si="23"/>
        <v>-7.7096192833594146E-2</v>
      </c>
      <c r="Z30">
        <f t="shared" si="24"/>
        <v>-7.7098129923866346E-2</v>
      </c>
      <c r="AA30">
        <f t="shared" si="25"/>
        <v>-7.6712629588795642E-2</v>
      </c>
      <c r="AB30">
        <f t="shared" si="26"/>
        <v>5.0937764025788874E-2</v>
      </c>
      <c r="AC30">
        <f t="shared" si="27"/>
        <v>5.0301041975466525E-2</v>
      </c>
      <c r="AD30">
        <f t="shared" si="28"/>
        <v>5.0309001001095553E-2</v>
      </c>
      <c r="AE30">
        <f t="shared" si="29"/>
        <v>4.968003900076149E-2</v>
      </c>
      <c r="AF30">
        <f t="shared" si="0"/>
        <v>5.3091693724490872E-2</v>
      </c>
      <c r="AG30">
        <f t="shared" si="1"/>
        <v>5.3091693724490872E-2</v>
      </c>
      <c r="AH30">
        <f t="shared" si="2"/>
        <v>5.3091693724490872E-2</v>
      </c>
      <c r="AI30">
        <f t="shared" si="3"/>
        <v>5.3091693724490872E-2</v>
      </c>
    </row>
    <row r="31" spans="1:35" x14ac:dyDescent="0.45">
      <c r="A31">
        <v>0.19</v>
      </c>
      <c r="B31">
        <f t="shared" si="4"/>
        <v>8.3280046576259981</v>
      </c>
      <c r="C31">
        <f t="shared" si="5"/>
        <v>1.3905095113709849</v>
      </c>
      <c r="D31">
        <f t="shared" si="6"/>
        <v>0.5629716620060361</v>
      </c>
      <c r="E31">
        <f t="shared" si="7"/>
        <v>-7.6327499019405058</v>
      </c>
      <c r="F31">
        <f t="shared" si="8"/>
        <v>4.8517308791985361</v>
      </c>
      <c r="G31">
        <f t="shared" si="9"/>
        <v>5.5620380454839395</v>
      </c>
      <c r="I31">
        <v>0.19</v>
      </c>
      <c r="J31">
        <f t="shared" si="10"/>
        <v>8.3355973253168862</v>
      </c>
      <c r="K31">
        <f t="shared" si="11"/>
        <v>1.3754599731599715</v>
      </c>
      <c r="L31">
        <f t="shared" si="12"/>
        <v>0.55973853881752178</v>
      </c>
      <c r="M31">
        <f t="shared" si="13"/>
        <v>-7.6478673387369009E-2</v>
      </c>
      <c r="N31">
        <f t="shared" si="14"/>
        <v>-7.5562712285531367E-2</v>
      </c>
      <c r="O31">
        <f t="shared" si="15"/>
        <v>4.8969473924169574E-2</v>
      </c>
      <c r="P31">
        <f t="shared" si="16"/>
        <v>4.7293071943881111E-2</v>
      </c>
      <c r="Q31">
        <f t="shared" si="17"/>
        <v>5.5018398926398863E-2</v>
      </c>
      <c r="R31">
        <f t="shared" si="18"/>
        <v>5.5620380454839399E-2</v>
      </c>
      <c r="T31">
        <v>0.19</v>
      </c>
      <c r="U31">
        <f t="shared" si="19"/>
        <v>8.3349097793609417</v>
      </c>
      <c r="V31">
        <f t="shared" si="20"/>
        <v>1.3775986579422177</v>
      </c>
      <c r="W31">
        <f t="shared" si="21"/>
        <v>0.55707830536621505</v>
      </c>
      <c r="X31">
        <f t="shared" si="22"/>
        <v>-7.6461104503898328E-2</v>
      </c>
      <c r="Y31">
        <f t="shared" si="23"/>
        <v>-7.6078798981378842E-2</v>
      </c>
      <c r="Z31">
        <f t="shared" si="24"/>
        <v>-7.6080710508991442E-2</v>
      </c>
      <c r="AA31">
        <f t="shared" si="25"/>
        <v>-7.5700297398808417E-2</v>
      </c>
      <c r="AB31">
        <f t="shared" si="26"/>
        <v>4.890913134505398E-2</v>
      </c>
      <c r="AC31">
        <f t="shared" si="27"/>
        <v>4.8297767203240805E-2</v>
      </c>
      <c r="AD31">
        <f t="shared" si="28"/>
        <v>4.8305409255013469E-2</v>
      </c>
      <c r="AE31">
        <f t="shared" si="29"/>
        <v>4.7701496113678632E-2</v>
      </c>
      <c r="AF31">
        <f t="shared" si="0"/>
        <v>5.510394631768871E-2</v>
      </c>
      <c r="AG31">
        <f t="shared" si="1"/>
        <v>5.510394631768871E-2</v>
      </c>
      <c r="AH31">
        <f t="shared" si="2"/>
        <v>5.510394631768871E-2</v>
      </c>
      <c r="AI31">
        <f t="shared" si="3"/>
        <v>5.510394631768871E-2</v>
      </c>
    </row>
    <row r="32" spans="1:35" x14ac:dyDescent="0.45">
      <c r="A32">
        <v>0.2</v>
      </c>
      <c r="B32">
        <f t="shared" si="4"/>
        <v>8.2516771586065936</v>
      </c>
      <c r="C32">
        <f t="shared" si="5"/>
        <v>1.4390268201629703</v>
      </c>
      <c r="D32">
        <f t="shared" si="6"/>
        <v>0.61859204246087551</v>
      </c>
      <c r="E32">
        <f t="shared" si="7"/>
        <v>-7.5321637485251083</v>
      </c>
      <c r="F32">
        <f t="shared" si="8"/>
        <v>4.654110108199168</v>
      </c>
      <c r="G32">
        <f t="shared" si="9"/>
        <v>5.7561072806518814</v>
      </c>
      <c r="I32">
        <v>0.2</v>
      </c>
      <c r="J32">
        <f t="shared" si="10"/>
        <v>8.2595766324804352</v>
      </c>
      <c r="K32">
        <f t="shared" si="11"/>
        <v>1.4235912460939968</v>
      </c>
      <c r="L32">
        <f t="shared" si="12"/>
        <v>0.61505792850814089</v>
      </c>
      <c r="M32">
        <f t="shared" si="13"/>
        <v>-7.5477810094334366E-2</v>
      </c>
      <c r="N32">
        <f t="shared" si="14"/>
        <v>-7.4566859384307738E-2</v>
      </c>
      <c r="O32">
        <f t="shared" si="15"/>
        <v>4.7005985172454433E-2</v>
      </c>
      <c r="P32">
        <f t="shared" si="16"/>
        <v>4.5365951452680318E-2</v>
      </c>
      <c r="Q32">
        <f t="shared" si="17"/>
        <v>5.6943649843759873E-2</v>
      </c>
      <c r="R32">
        <f t="shared" si="18"/>
        <v>5.7561072806518815E-2</v>
      </c>
      <c r="T32">
        <v>0.2</v>
      </c>
      <c r="U32">
        <f t="shared" si="19"/>
        <v>8.2588297092136997</v>
      </c>
      <c r="V32">
        <f t="shared" si="20"/>
        <v>1.4259014880047578</v>
      </c>
      <c r="W32">
        <f t="shared" si="21"/>
        <v>0.61218225168390372</v>
      </c>
      <c r="X32">
        <f t="shared" si="22"/>
        <v>-7.5458789652113209E-2</v>
      </c>
      <c r="Y32">
        <f t="shared" si="23"/>
        <v>-7.5081495703852641E-2</v>
      </c>
      <c r="Z32">
        <f t="shared" si="24"/>
        <v>-7.5083382173593949E-2</v>
      </c>
      <c r="AA32">
        <f t="shared" si="25"/>
        <v>-7.4707955830377273E-2</v>
      </c>
      <c r="AB32">
        <f t="shared" si="26"/>
        <v>4.6940759892018048E-2</v>
      </c>
      <c r="AC32">
        <f t="shared" si="27"/>
        <v>4.6354000393367838E-2</v>
      </c>
      <c r="AD32">
        <f t="shared" si="28"/>
        <v>4.6361334887100959E-2</v>
      </c>
      <c r="AE32">
        <f t="shared" si="29"/>
        <v>4.5781726519840527E-2</v>
      </c>
      <c r="AF32">
        <f t="shared" si="0"/>
        <v>5.7036059520190314E-2</v>
      </c>
      <c r="AG32">
        <f t="shared" si="1"/>
        <v>5.7036059520190314E-2</v>
      </c>
      <c r="AH32">
        <f t="shared" si="2"/>
        <v>5.7036059520190314E-2</v>
      </c>
      <c r="AI32">
        <f t="shared" si="3"/>
        <v>5.7036059520190314E-2</v>
      </c>
    </row>
    <row r="33" spans="1:35" x14ac:dyDescent="0.45">
      <c r="A33">
        <v>0.21</v>
      </c>
      <c r="B33">
        <f t="shared" si="4"/>
        <v>8.1763555211213426</v>
      </c>
      <c r="C33">
        <f t="shared" si="5"/>
        <v>1.485567921244962</v>
      </c>
      <c r="D33">
        <f t="shared" si="6"/>
        <v>0.6761531152673943</v>
      </c>
      <c r="E33">
        <f t="shared" si="7"/>
        <v>-7.4335715604988613</v>
      </c>
      <c r="F33">
        <f t="shared" si="8"/>
        <v>4.4624357180089369</v>
      </c>
      <c r="G33">
        <f t="shared" si="9"/>
        <v>5.9422716849798478</v>
      </c>
      <c r="I33">
        <v>0.21</v>
      </c>
      <c r="J33">
        <f t="shared" si="10"/>
        <v>8.1845542977411139</v>
      </c>
      <c r="K33">
        <f t="shared" si="11"/>
        <v>1.4697772144065642</v>
      </c>
      <c r="L33">
        <f t="shared" si="12"/>
        <v>0.67231028983328023</v>
      </c>
      <c r="M33">
        <f t="shared" si="13"/>
        <v>-7.4496656905378322E-2</v>
      </c>
      <c r="N33">
        <f t="shared" si="14"/>
        <v>-7.3590749035934835E-2</v>
      </c>
      <c r="O33">
        <f t="shared" si="15"/>
        <v>4.5101112617247037E-2</v>
      </c>
      <c r="P33">
        <f t="shared" si="16"/>
        <v>4.34968293646582E-2</v>
      </c>
      <c r="Q33">
        <f t="shared" si="17"/>
        <v>5.8791088576262571E-2</v>
      </c>
      <c r="R33">
        <f t="shared" si="18"/>
        <v>5.9422716849798482E-2</v>
      </c>
      <c r="T33">
        <v>0.21</v>
      </c>
      <c r="U33">
        <f t="shared" si="19"/>
        <v>8.1837469590074683</v>
      </c>
      <c r="V33">
        <f t="shared" si="20"/>
        <v>1.4722603475002238</v>
      </c>
      <c r="W33">
        <f t="shared" si="21"/>
        <v>0.66921831120409403</v>
      </c>
      <c r="X33">
        <f t="shared" si="22"/>
        <v>-7.4476167852573563E-2</v>
      </c>
      <c r="Y33">
        <f t="shared" si="23"/>
        <v>-7.410378701331069E-2</v>
      </c>
      <c r="Z33">
        <f t="shared" si="24"/>
        <v>-7.4105648917507011E-2</v>
      </c>
      <c r="AA33">
        <f t="shared" si="25"/>
        <v>-7.3735111363398484E-2</v>
      </c>
      <c r="AB33">
        <f t="shared" si="26"/>
        <v>4.5030960902569091E-2</v>
      </c>
      <c r="AC33">
        <f t="shared" si="27"/>
        <v>4.4468073891286972E-2</v>
      </c>
      <c r="AD33">
        <f t="shared" si="28"/>
        <v>4.4475109978928007E-2</v>
      </c>
      <c r="AE33">
        <f t="shared" si="29"/>
        <v>4.3919083153095888E-2</v>
      </c>
      <c r="AF33">
        <f t="shared" si="0"/>
        <v>5.8890413900008952E-2</v>
      </c>
      <c r="AG33">
        <f t="shared" si="1"/>
        <v>5.8890413900008952E-2</v>
      </c>
      <c r="AH33">
        <f t="shared" si="2"/>
        <v>5.8890413900008952E-2</v>
      </c>
      <c r="AI33">
        <f t="shared" si="3"/>
        <v>5.8890413900008952E-2</v>
      </c>
    </row>
    <row r="34" spans="1:35" x14ac:dyDescent="0.45">
      <c r="A34">
        <v>0.22</v>
      </c>
      <c r="B34">
        <f t="shared" si="4"/>
        <v>8.1020198055163544</v>
      </c>
      <c r="C34">
        <f t="shared" si="5"/>
        <v>1.5301922784250512</v>
      </c>
      <c r="D34">
        <f t="shared" si="6"/>
        <v>0.7355758321171928</v>
      </c>
      <c r="E34">
        <f t="shared" si="7"/>
        <v>-7.3369236663038286</v>
      </c>
      <c r="F34">
        <f t="shared" si="8"/>
        <v>4.2765391094537257</v>
      </c>
      <c r="G34">
        <f t="shared" si="9"/>
        <v>6.1207691137002049</v>
      </c>
      <c r="I34">
        <v>0.22</v>
      </c>
      <c r="J34">
        <f t="shared" si="10"/>
        <v>8.1105105947704565</v>
      </c>
      <c r="K34">
        <f t="shared" si="11"/>
        <v>1.5140761853975169</v>
      </c>
      <c r="L34">
        <f t="shared" si="12"/>
        <v>0.73141719254631077</v>
      </c>
      <c r="M34">
        <f t="shared" si="13"/>
        <v>-7.3534725020716979E-2</v>
      </c>
      <c r="N34">
        <f t="shared" si="14"/>
        <v>-7.263388941283111E-2</v>
      </c>
      <c r="O34">
        <f t="shared" si="15"/>
        <v>4.3253201312766637E-2</v>
      </c>
      <c r="P34">
        <f t="shared" si="16"/>
        <v>4.1684061061718104E-2</v>
      </c>
      <c r="Q34">
        <f t="shared" si="17"/>
        <v>6.0563047415900677E-2</v>
      </c>
      <c r="R34">
        <f t="shared" si="18"/>
        <v>6.120769113700205E-2</v>
      </c>
      <c r="T34">
        <v>0.22</v>
      </c>
      <c r="U34">
        <f t="shared" si="19"/>
        <v>8.1096419338278665</v>
      </c>
      <c r="V34">
        <f t="shared" si="20"/>
        <v>1.5167330827995731</v>
      </c>
      <c r="W34">
        <f t="shared" si="21"/>
        <v>0.72810872510410296</v>
      </c>
      <c r="X34">
        <f t="shared" si="22"/>
        <v>-7.3512753924280791E-2</v>
      </c>
      <c r="Y34">
        <f t="shared" si="23"/>
        <v>-7.3145190154659395E-2</v>
      </c>
      <c r="Z34">
        <f t="shared" si="24"/>
        <v>-7.31470279735075E-2</v>
      </c>
      <c r="AA34">
        <f t="shared" si="25"/>
        <v>-7.2781283644545725E-2</v>
      </c>
      <c r="AB34">
        <f t="shared" si="26"/>
        <v>4.317809226828933E-2</v>
      </c>
      <c r="AC34">
        <f t="shared" si="27"/>
        <v>4.2638366114935718E-2</v>
      </c>
      <c r="AD34">
        <f t="shared" si="28"/>
        <v>4.264511269185263E-2</v>
      </c>
      <c r="AE34">
        <f t="shared" si="29"/>
        <v>4.2111964450993022E-2</v>
      </c>
      <c r="AF34">
        <f t="shared" si="0"/>
        <v>6.0669323311982923E-2</v>
      </c>
      <c r="AG34">
        <f t="shared" si="1"/>
        <v>6.0669323311982923E-2</v>
      </c>
      <c r="AH34">
        <f t="shared" si="2"/>
        <v>6.0669323311982923E-2</v>
      </c>
      <c r="AI34">
        <f t="shared" si="3"/>
        <v>6.0669323311982923E-2</v>
      </c>
    </row>
    <row r="35" spans="1:35" x14ac:dyDescent="0.45">
      <c r="A35">
        <v>0.23</v>
      </c>
      <c r="B35">
        <f t="shared" si="4"/>
        <v>8.0286505688533154</v>
      </c>
      <c r="C35">
        <f t="shared" si="5"/>
        <v>1.5729576695195886</v>
      </c>
      <c r="D35">
        <f t="shared" si="6"/>
        <v>0.79678352325419488</v>
      </c>
      <c r="E35">
        <f t="shared" si="7"/>
        <v>-7.242171734093521</v>
      </c>
      <c r="F35">
        <f t="shared" si="8"/>
        <v>4.0962563950543434</v>
      </c>
      <c r="G35">
        <f t="shared" si="9"/>
        <v>6.2918306780783544</v>
      </c>
      <c r="I35">
        <v>0.23</v>
      </c>
      <c r="J35">
        <f t="shared" si="10"/>
        <v>8.0374262875536822</v>
      </c>
      <c r="K35">
        <f t="shared" si="11"/>
        <v>1.5565448165847593</v>
      </c>
      <c r="L35">
        <f t="shared" si="12"/>
        <v>0.79230256182276215</v>
      </c>
      <c r="M35">
        <f t="shared" si="13"/>
        <v>-7.2591538792613028E-2</v>
      </c>
      <c r="N35">
        <f t="shared" si="14"/>
        <v>-7.1695801953009078E-2</v>
      </c>
      <c r="O35">
        <f t="shared" si="15"/>
        <v>4.1460642460917844E-2</v>
      </c>
      <c r="P35">
        <f t="shared" si="16"/>
        <v>3.9926047889020495E-2</v>
      </c>
      <c r="Q35">
        <f t="shared" si="17"/>
        <v>6.2261792663390374E-2</v>
      </c>
      <c r="R35">
        <f t="shared" si="18"/>
        <v>6.2918306780783542E-2</v>
      </c>
      <c r="T35">
        <v>0.23</v>
      </c>
      <c r="U35">
        <f t="shared" si="19"/>
        <v>8.0364955215236726</v>
      </c>
      <c r="V35">
        <f t="shared" si="20"/>
        <v>1.5593759185217162</v>
      </c>
      <c r="W35">
        <f t="shared" si="21"/>
        <v>0.7887780484160859</v>
      </c>
      <c r="X35">
        <f t="shared" si="22"/>
        <v>-7.2568075622628139E-2</v>
      </c>
      <c r="Y35">
        <f t="shared" si="23"/>
        <v>-7.2205235244515012E-2</v>
      </c>
      <c r="Z35">
        <f t="shared" si="24"/>
        <v>-7.2207049446405575E-2</v>
      </c>
      <c r="AA35">
        <f t="shared" si="25"/>
        <v>-7.1846005128164081E-2</v>
      </c>
      <c r="AB35">
        <f t="shared" si="26"/>
        <v>4.138055725219382E-2</v>
      </c>
      <c r="AC35">
        <f t="shared" si="27"/>
        <v>4.08633002865414E-2</v>
      </c>
      <c r="AD35">
        <f t="shared" si="28"/>
        <v>4.0869765998612063E-2</v>
      </c>
      <c r="AE35">
        <f t="shared" si="29"/>
        <v>4.0358813102228518E-2</v>
      </c>
      <c r="AF35">
        <f t="shared" si="0"/>
        <v>6.2375036740868646E-2</v>
      </c>
      <c r="AG35">
        <f t="shared" si="1"/>
        <v>6.2375036740868646E-2</v>
      </c>
      <c r="AH35">
        <f t="shared" si="2"/>
        <v>6.2375036740868646E-2</v>
      </c>
      <c r="AI35">
        <f t="shared" si="3"/>
        <v>6.2375036740868646E-2</v>
      </c>
    </row>
    <row r="36" spans="1:35" x14ac:dyDescent="0.45">
      <c r="A36">
        <v>0.24</v>
      </c>
      <c r="B36">
        <f t="shared" si="4"/>
        <v>7.95622885151238</v>
      </c>
      <c r="C36">
        <f t="shared" si="5"/>
        <v>1.6139202334701321</v>
      </c>
      <c r="D36">
        <f t="shared" si="6"/>
        <v>0.85970183003497846</v>
      </c>
      <c r="E36">
        <f t="shared" si="7"/>
        <v>-7.1492687347773138</v>
      </c>
      <c r="F36">
        <f t="shared" si="8"/>
        <v>3.9214282678370496</v>
      </c>
      <c r="G36">
        <f t="shared" si="9"/>
        <v>6.4556809338805285</v>
      </c>
      <c r="I36">
        <v>0.24</v>
      </c>
      <c r="J36">
        <f t="shared" si="10"/>
        <v>7.965282617180871</v>
      </c>
      <c r="K36">
        <f t="shared" si="11"/>
        <v>1.5972381617597284</v>
      </c>
      <c r="L36">
        <f t="shared" si="12"/>
        <v>0.85489261154484908</v>
      </c>
      <c r="M36">
        <f t="shared" si="13"/>
        <v>-7.1666635363010073E-2</v>
      </c>
      <c r="N36">
        <f t="shared" si="14"/>
        <v>-7.0776020994143041E-2</v>
      </c>
      <c r="O36">
        <f t="shared" si="15"/>
        <v>3.97218721278155E-2</v>
      </c>
      <c r="P36">
        <f t="shared" si="16"/>
        <v>3.8221235875175112E-2</v>
      </c>
      <c r="Q36">
        <f t="shared" si="17"/>
        <v>6.3889526470389132E-2</v>
      </c>
      <c r="R36">
        <f t="shared" si="18"/>
        <v>6.4556809338805282E-2</v>
      </c>
      <c r="T36">
        <v>0.24</v>
      </c>
      <c r="U36">
        <f t="shared" si="19"/>
        <v>7.9642890798349004</v>
      </c>
      <c r="V36">
        <f t="shared" si="20"/>
        <v>1.6002435023425043</v>
      </c>
      <c r="W36">
        <f t="shared" si="21"/>
        <v>0.85115308515695454</v>
      </c>
      <c r="X36">
        <f t="shared" si="22"/>
        <v>-7.1641673286636481E-2</v>
      </c>
      <c r="Y36">
        <f t="shared" si="23"/>
        <v>-7.1283464920203307E-2</v>
      </c>
      <c r="Z36">
        <f t="shared" si="24"/>
        <v>-7.1285255962035471E-2</v>
      </c>
      <c r="AA36">
        <f t="shared" si="25"/>
        <v>-7.0928820727016131E-2</v>
      </c>
      <c r="AB36">
        <f t="shared" si="26"/>
        <v>3.9636803239786397E-2</v>
      </c>
      <c r="AC36">
        <f t="shared" si="27"/>
        <v>3.9141343199289066E-2</v>
      </c>
      <c r="AD36">
        <f t="shared" si="28"/>
        <v>3.9147536449795281E-2</v>
      </c>
      <c r="AE36">
        <f t="shared" si="29"/>
        <v>3.865811482854152E-2</v>
      </c>
      <c r="AF36">
        <f t="shared" si="0"/>
        <v>6.4009740093700168E-2</v>
      </c>
      <c r="AG36">
        <f t="shared" si="1"/>
        <v>6.4009740093700168E-2</v>
      </c>
      <c r="AH36">
        <f t="shared" si="2"/>
        <v>6.4009740093700168E-2</v>
      </c>
      <c r="AI36">
        <f t="shared" si="3"/>
        <v>6.4009740093700168E-2</v>
      </c>
    </row>
    <row r="37" spans="1:35" x14ac:dyDescent="0.45">
      <c r="A37">
        <v>0.25</v>
      </c>
      <c r="B37">
        <f t="shared" si="4"/>
        <v>7.8847361641646065</v>
      </c>
      <c r="C37">
        <f t="shared" si="5"/>
        <v>1.6531345161485027</v>
      </c>
      <c r="D37">
        <f t="shared" si="6"/>
        <v>0.92425863937378372</v>
      </c>
      <c r="E37">
        <f t="shared" si="7"/>
        <v>-7.058168906090355</v>
      </c>
      <c r="F37">
        <f t="shared" si="8"/>
        <v>3.7518998737933495</v>
      </c>
      <c r="G37">
        <f t="shared" si="9"/>
        <v>6.6125380645940108</v>
      </c>
      <c r="I37">
        <v>0.25</v>
      </c>
      <c r="J37">
        <f t="shared" si="10"/>
        <v>7.8940612890022948</v>
      </c>
      <c r="K37">
        <f t="shared" si="11"/>
        <v>1.6362097157612236</v>
      </c>
      <c r="L37">
        <f t="shared" si="12"/>
        <v>0.91911577944944622</v>
      </c>
      <c r="M37">
        <f t="shared" si="13"/>
        <v>-7.0759564311216827E-2</v>
      </c>
      <c r="N37">
        <f t="shared" si="14"/>
        <v>-6.9874093417791383E-2</v>
      </c>
      <c r="O37">
        <f t="shared" si="15"/>
        <v>3.8035369995992357E-2</v>
      </c>
      <c r="P37">
        <f t="shared" si="16"/>
        <v>3.6568114488033689E-2</v>
      </c>
      <c r="Q37">
        <f t="shared" si="17"/>
        <v>6.5448388630448953E-2</v>
      </c>
      <c r="R37">
        <f t="shared" si="18"/>
        <v>6.6125380645940104E-2</v>
      </c>
      <c r="T37">
        <v>0.25</v>
      </c>
      <c r="U37">
        <f t="shared" si="19"/>
        <v>7.8930044238718784</v>
      </c>
      <c r="V37">
        <f t="shared" si="20"/>
        <v>1.6393889485702537</v>
      </c>
      <c r="W37">
        <f t="shared" si="21"/>
        <v>0.91516282525065473</v>
      </c>
      <c r="X37">
        <f t="shared" si="22"/>
        <v>-7.0733099495867521E-2</v>
      </c>
      <c r="Y37">
        <f t="shared" si="23"/>
        <v>-7.0379433998388183E-2</v>
      </c>
      <c r="Z37">
        <f t="shared" si="24"/>
        <v>-7.038120232587558E-2</v>
      </c>
      <c r="AA37">
        <f t="shared" si="25"/>
        <v>-7.0029287472608767E-2</v>
      </c>
      <c r="AB37">
        <f t="shared" si="26"/>
        <v>3.7945320524462443E-2</v>
      </c>
      <c r="AC37">
        <f t="shared" si="27"/>
        <v>3.7471004017906664E-2</v>
      </c>
      <c r="AD37">
        <f t="shared" si="28"/>
        <v>3.7476932974238611E-2</v>
      </c>
      <c r="AE37">
        <f t="shared" si="29"/>
        <v>3.7008397200106478E-2</v>
      </c>
      <c r="AF37">
        <f t="shared" si="0"/>
        <v>6.5575557942810156E-2</v>
      </c>
      <c r="AG37">
        <f t="shared" si="1"/>
        <v>6.5575557942810156E-2</v>
      </c>
      <c r="AH37">
        <f t="shared" si="2"/>
        <v>6.5575557942810156E-2</v>
      </c>
      <c r="AI37">
        <f t="shared" si="3"/>
        <v>6.5575557942810156E-2</v>
      </c>
    </row>
    <row r="38" spans="1:35" x14ac:dyDescent="0.45">
      <c r="A38">
        <v>0.26</v>
      </c>
      <c r="B38">
        <f t="shared" si="4"/>
        <v>7.8141544751037033</v>
      </c>
      <c r="C38">
        <f t="shared" si="5"/>
        <v>1.6906535148864361</v>
      </c>
      <c r="D38">
        <f t="shared" si="6"/>
        <v>0.99038402001972381</v>
      </c>
      <c r="E38">
        <f t="shared" si="7"/>
        <v>-6.9688277176604849</v>
      </c>
      <c r="F38">
        <f t="shared" si="8"/>
        <v>3.5875206878876127</v>
      </c>
      <c r="G38">
        <f t="shared" si="9"/>
        <v>6.7626140595457445</v>
      </c>
      <c r="I38">
        <v>0.26</v>
      </c>
      <c r="J38">
        <f t="shared" si="10"/>
        <v>7.8237444601377906</v>
      </c>
      <c r="K38">
        <f t="shared" si="11"/>
        <v>1.6735114580032366</v>
      </c>
      <c r="L38">
        <f t="shared" si="12"/>
        <v>0.98490266408764071</v>
      </c>
      <c r="M38">
        <f t="shared" si="13"/>
        <v>-6.986988731136172E-2</v>
      </c>
      <c r="N38">
        <f t="shared" si="14"/>
        <v>-6.8989578303491228E-2</v>
      </c>
      <c r="O38">
        <f t="shared" si="15"/>
        <v>3.639965815129699E-2</v>
      </c>
      <c r="P38">
        <f t="shared" si="16"/>
        <v>3.4965215425093704E-2</v>
      </c>
      <c r="Q38">
        <f t="shared" si="17"/>
        <v>6.6940458320129473E-2</v>
      </c>
      <c r="R38">
        <f t="shared" si="18"/>
        <v>6.7626140595457448E-2</v>
      </c>
      <c r="T38">
        <v>0.26</v>
      </c>
      <c r="U38">
        <f t="shared" si="19"/>
        <v>7.8226238139357109</v>
      </c>
      <c r="V38">
        <f t="shared" si="20"/>
        <v>1.6768638805217304</v>
      </c>
      <c r="W38">
        <f t="shared" si="21"/>
        <v>0.98073838319346485</v>
      </c>
      <c r="X38">
        <f t="shared" si="22"/>
        <v>-6.9841918736748457E-2</v>
      </c>
      <c r="Y38">
        <f t="shared" si="23"/>
        <v>-6.9492709143064713E-2</v>
      </c>
      <c r="Z38">
        <f t="shared" si="24"/>
        <v>-6.949445519103313E-2</v>
      </c>
      <c r="AA38">
        <f t="shared" si="25"/>
        <v>-6.9146974184838131E-2</v>
      </c>
      <c r="AB38">
        <f t="shared" si="26"/>
        <v>3.6304641126313847E-2</v>
      </c>
      <c r="AC38">
        <f t="shared" si="27"/>
        <v>3.5850833112234921E-2</v>
      </c>
      <c r="AD38">
        <f t="shared" si="28"/>
        <v>3.5856505712410905E-2</v>
      </c>
      <c r="AE38">
        <f t="shared" si="29"/>
        <v>3.5408228483503577E-2</v>
      </c>
      <c r="AF38">
        <f t="shared" si="0"/>
        <v>6.707455522086922E-2</v>
      </c>
      <c r="AG38">
        <f t="shared" si="1"/>
        <v>6.707455522086922E-2</v>
      </c>
      <c r="AH38">
        <f t="shared" si="2"/>
        <v>6.707455522086922E-2</v>
      </c>
      <c r="AI38">
        <f t="shared" si="3"/>
        <v>6.707455522086922E-2</v>
      </c>
    </row>
    <row r="39" spans="1:35" x14ac:dyDescent="0.45">
      <c r="A39">
        <v>0.27</v>
      </c>
      <c r="B39">
        <f t="shared" si="4"/>
        <v>7.7444661979270988</v>
      </c>
      <c r="C39">
        <f t="shared" si="5"/>
        <v>1.7265287217653122</v>
      </c>
      <c r="D39">
        <f t="shared" si="6"/>
        <v>1.0580101606151813</v>
      </c>
      <c r="E39">
        <f t="shared" si="7"/>
        <v>-6.8812018370444425</v>
      </c>
      <c r="F39">
        <f t="shared" si="8"/>
        <v>3.4281443935138181</v>
      </c>
      <c r="G39">
        <f t="shared" si="9"/>
        <v>6.906114887061249</v>
      </c>
      <c r="I39">
        <v>0.27</v>
      </c>
      <c r="J39">
        <f t="shared" si="10"/>
        <v>7.7543147273303639</v>
      </c>
      <c r="K39">
        <f t="shared" si="11"/>
        <v>1.709193894791432</v>
      </c>
      <c r="L39">
        <f t="shared" si="12"/>
        <v>1.0521859635454343</v>
      </c>
      <c r="M39">
        <f t="shared" si="13"/>
        <v>-6.8997177799346471E-2</v>
      </c>
      <c r="N39">
        <f t="shared" si="14"/>
        <v>-6.8122046592450969E-2</v>
      </c>
      <c r="O39">
        <f t="shared" si="15"/>
        <v>3.4813299903517836E-2</v>
      </c>
      <c r="P39">
        <f t="shared" si="16"/>
        <v>3.3411111437550239E-2</v>
      </c>
      <c r="Q39">
        <f t="shared" si="17"/>
        <v>6.8367755791657284E-2</v>
      </c>
      <c r="R39">
        <f t="shared" si="18"/>
        <v>6.9061148870612488E-2</v>
      </c>
      <c r="T39">
        <v>0.27</v>
      </c>
      <c r="U39">
        <f t="shared" si="19"/>
        <v>7.7531299436707473</v>
      </c>
      <c r="V39">
        <f t="shared" si="20"/>
        <v>1.712718471731582</v>
      </c>
      <c r="W39">
        <f t="shared" si="21"/>
        <v>1.047812938414334</v>
      </c>
      <c r="X39">
        <f t="shared" si="22"/>
        <v>-6.8967707078049556E-2</v>
      </c>
      <c r="Y39">
        <f t="shared" si="23"/>
        <v>-6.862286854265931E-2</v>
      </c>
      <c r="Z39">
        <f t="shared" si="24"/>
        <v>-6.8624592735336262E-2</v>
      </c>
      <c r="AA39">
        <f t="shared" si="25"/>
        <v>-6.8281461150696207E-2</v>
      </c>
      <c r="AB39">
        <f t="shared" si="26"/>
        <v>3.471333764341792E-2</v>
      </c>
      <c r="AC39">
        <f t="shared" si="27"/>
        <v>3.4279420922875198E-2</v>
      </c>
      <c r="AD39">
        <f t="shared" si="28"/>
        <v>3.4284844881881979E-2</v>
      </c>
      <c r="AE39">
        <f t="shared" si="29"/>
        <v>3.3856216521370879E-2</v>
      </c>
      <c r="AF39">
        <f t="shared" si="0"/>
        <v>6.8508738869263286E-2</v>
      </c>
      <c r="AG39">
        <f t="shared" si="1"/>
        <v>6.8508738869263286E-2</v>
      </c>
      <c r="AH39">
        <f t="shared" si="2"/>
        <v>6.8508738869263286E-2</v>
      </c>
      <c r="AI39">
        <f t="shared" si="3"/>
        <v>6.8508738869263286E-2</v>
      </c>
    </row>
    <row r="40" spans="1:35" x14ac:dyDescent="0.45">
      <c r="A40">
        <v>0.28000000000000003</v>
      </c>
      <c r="B40">
        <f t="shared" si="4"/>
        <v>7.6756541795566546</v>
      </c>
      <c r="C40">
        <f t="shared" si="5"/>
        <v>1.7608101657004505</v>
      </c>
      <c r="D40">
        <f t="shared" si="6"/>
        <v>1.1270713094857938</v>
      </c>
      <c r="E40">
        <f t="shared" si="7"/>
        <v>-6.7952490967064296</v>
      </c>
      <c r="F40">
        <f t="shared" si="8"/>
        <v>3.2736287653055287</v>
      </c>
      <c r="G40">
        <f t="shared" si="9"/>
        <v>7.0432406628018018</v>
      </c>
      <c r="I40">
        <v>0.28000000000000003</v>
      </c>
      <c r="J40">
        <f t="shared" si="10"/>
        <v>7.685755115134465</v>
      </c>
      <c r="K40">
        <f t="shared" si="11"/>
        <v>1.7433061004619661</v>
      </c>
      <c r="L40">
        <f t="shared" si="12"/>
        <v>1.1209004158765692</v>
      </c>
      <c r="M40">
        <f t="shared" si="13"/>
        <v>-6.8141020649034822E-2</v>
      </c>
      <c r="N40">
        <f t="shared" si="14"/>
        <v>-6.7271080760573948E-2</v>
      </c>
      <c r="O40">
        <f t="shared" si="15"/>
        <v>3.3274898639795499E-2</v>
      </c>
      <c r="P40">
        <f t="shared" si="16"/>
        <v>3.19044151870604E-2</v>
      </c>
      <c r="Q40">
        <f t="shared" si="17"/>
        <v>6.9732244018478648E-2</v>
      </c>
      <c r="R40">
        <f t="shared" si="18"/>
        <v>7.0432406628018016E-2</v>
      </c>
      <c r="T40">
        <v>0.28000000000000003</v>
      </c>
      <c r="U40">
        <f t="shared" si="19"/>
        <v>7.6845059285399575</v>
      </c>
      <c r="V40">
        <f t="shared" si="20"/>
        <v>1.7470014860272991</v>
      </c>
      <c r="W40">
        <f t="shared" si="21"/>
        <v>1.1163216772835973</v>
      </c>
      <c r="X40">
        <f t="shared" si="22"/>
        <v>-6.8110051855263073E-2</v>
      </c>
      <c r="Y40">
        <f t="shared" si="23"/>
        <v>-6.776950159598677E-2</v>
      </c>
      <c r="Z40">
        <f t="shared" si="24"/>
        <v>-6.7771204347283148E-2</v>
      </c>
      <c r="AA40">
        <f t="shared" si="25"/>
        <v>-6.743233981179024E-2</v>
      </c>
      <c r="AB40">
        <f t="shared" si="26"/>
        <v>3.3170022134717099E-2</v>
      </c>
      <c r="AC40">
        <f t="shared" si="27"/>
        <v>3.2755396858033137E-2</v>
      </c>
      <c r="AD40">
        <f t="shared" si="28"/>
        <v>3.2760579673991687E-2</v>
      </c>
      <c r="AE40">
        <f t="shared" si="29"/>
        <v>3.2351007642867302E-2</v>
      </c>
      <c r="AF40">
        <f t="shared" si="0"/>
        <v>6.9880059441091963E-2</v>
      </c>
      <c r="AG40">
        <f t="shared" si="1"/>
        <v>6.9880059441091963E-2</v>
      </c>
      <c r="AH40">
        <f t="shared" si="2"/>
        <v>6.9880059441091963E-2</v>
      </c>
      <c r="AI40">
        <f t="shared" si="3"/>
        <v>6.9880059441091963E-2</v>
      </c>
    </row>
    <row r="41" spans="1:35" x14ac:dyDescent="0.45">
      <c r="A41">
        <v>0.28999999999999998</v>
      </c>
      <c r="B41">
        <f t="shared" si="4"/>
        <v>7.6077016885895903</v>
      </c>
      <c r="C41">
        <f t="shared" si="5"/>
        <v>1.7935464533535057</v>
      </c>
      <c r="D41">
        <f t="shared" si="6"/>
        <v>1.1975037161138118</v>
      </c>
      <c r="E41">
        <f t="shared" si="7"/>
        <v>-6.7109284619128378</v>
      </c>
      <c r="F41">
        <f t="shared" si="8"/>
        <v>3.1238355552058263</v>
      </c>
      <c r="G41">
        <f t="shared" si="9"/>
        <v>7.1741858134140228</v>
      </c>
      <c r="I41">
        <v>0.28999999999999998</v>
      </c>
      <c r="J41">
        <f t="shared" si="10"/>
        <v>7.6180490644296608</v>
      </c>
      <c r="K41">
        <f t="shared" si="11"/>
        <v>1.775895757375394</v>
      </c>
      <c r="L41">
        <f t="shared" si="12"/>
        <v>1.1909827411998175</v>
      </c>
      <c r="M41">
        <f t="shared" si="13"/>
        <v>-6.7301011857419643E-2</v>
      </c>
      <c r="N41">
        <f t="shared" si="14"/>
        <v>-6.6436274500554185E-2</v>
      </c>
      <c r="O41">
        <f t="shared" si="15"/>
        <v>3.1783096709911758E-2</v>
      </c>
      <c r="P41">
        <f t="shared" si="16"/>
        <v>3.044377813431047E-2</v>
      </c>
      <c r="Q41">
        <f t="shared" si="17"/>
        <v>7.1035830295015756E-2</v>
      </c>
      <c r="R41">
        <f t="shared" si="18"/>
        <v>7.1741858134140232E-2</v>
      </c>
      <c r="T41">
        <v>0.28999999999999998</v>
      </c>
      <c r="U41">
        <f t="shared" si="19"/>
        <v>7.6167352946143589</v>
      </c>
      <c r="V41">
        <f t="shared" si="20"/>
        <v>1.7797603165009048</v>
      </c>
      <c r="W41">
        <f t="shared" si="21"/>
        <v>1.1862017367246893</v>
      </c>
      <c r="X41">
        <f t="shared" si="22"/>
        <v>-6.7268551363639059E-2</v>
      </c>
      <c r="Y41">
        <f t="shared" si="23"/>
        <v>-6.6932208606820864E-2</v>
      </c>
      <c r="Z41">
        <f t="shared" si="24"/>
        <v>-6.6933890320604969E-2</v>
      </c>
      <c r="AA41">
        <f t="shared" si="25"/>
        <v>-6.6599212460433016E-2</v>
      </c>
      <c r="AB41">
        <f t="shared" si="26"/>
        <v>3.1673345033620966E-2</v>
      </c>
      <c r="AC41">
        <f t="shared" si="27"/>
        <v>3.1277428220700711E-2</v>
      </c>
      <c r="AD41">
        <f t="shared" si="28"/>
        <v>3.1282377180862207E-2</v>
      </c>
      <c r="AE41">
        <f t="shared" si="29"/>
        <v>3.0891285604099417E-2</v>
      </c>
      <c r="AF41">
        <f t="shared" si="0"/>
        <v>7.1190412660036201E-2</v>
      </c>
      <c r="AG41">
        <f t="shared" si="1"/>
        <v>7.1190412660036201E-2</v>
      </c>
      <c r="AH41">
        <f t="shared" si="2"/>
        <v>7.1190412660036201E-2</v>
      </c>
      <c r="AI41">
        <f t="shared" si="3"/>
        <v>7.1190412660036201E-2</v>
      </c>
    </row>
    <row r="42" spans="1:35" x14ac:dyDescent="0.45">
      <c r="A42">
        <v>0.3</v>
      </c>
      <c r="B42">
        <f t="shared" si="4"/>
        <v>7.5405924039704617</v>
      </c>
      <c r="C42">
        <f t="shared" si="5"/>
        <v>1.824784808905564</v>
      </c>
      <c r="D42">
        <f t="shared" si="6"/>
        <v>1.269245574247952</v>
      </c>
      <c r="E42">
        <f t="shared" si="7"/>
        <v>-6.6281999995176797</v>
      </c>
      <c r="F42">
        <f t="shared" si="8"/>
        <v>2.9786303817065516</v>
      </c>
      <c r="G42">
        <f t="shared" si="9"/>
        <v>7.2991392356222562</v>
      </c>
      <c r="I42">
        <v>0.3</v>
      </c>
      <c r="J42">
        <f t="shared" si="10"/>
        <v>7.5511804212506739</v>
      </c>
      <c r="K42">
        <f t="shared" si="11"/>
        <v>1.8070091947975051</v>
      </c>
      <c r="L42">
        <f t="shared" si="12"/>
        <v>1.2623715854143955</v>
      </c>
      <c r="M42">
        <f t="shared" si="13"/>
        <v>-6.6476758238519215E-2</v>
      </c>
      <c r="N42">
        <f t="shared" si="14"/>
        <v>-6.5617232412791604E-2</v>
      </c>
      <c r="O42">
        <f t="shared" si="15"/>
        <v>3.0336574342569114E-2</v>
      </c>
      <c r="P42">
        <f t="shared" si="16"/>
        <v>2.9027889458501283E-2</v>
      </c>
      <c r="Q42">
        <f t="shared" si="17"/>
        <v>7.228036779190021E-2</v>
      </c>
      <c r="R42">
        <f t="shared" si="18"/>
        <v>7.2991392356222567E-2</v>
      </c>
      <c r="T42">
        <v>0.3</v>
      </c>
      <c r="U42">
        <f t="shared" si="19"/>
        <v>7.5498019676678716</v>
      </c>
      <c r="V42">
        <f t="shared" si="20"/>
        <v>1.8110410234077126</v>
      </c>
      <c r="W42">
        <f t="shared" si="21"/>
        <v>1.2573921493847255</v>
      </c>
      <c r="X42">
        <f t="shared" si="22"/>
        <v>-6.6442814559640156E-2</v>
      </c>
      <c r="Y42">
        <f t="shared" si="23"/>
        <v>-6.6110600486841961E-2</v>
      </c>
      <c r="Z42">
        <f t="shared" si="24"/>
        <v>-6.611226155720594E-2</v>
      </c>
      <c r="AA42">
        <f t="shared" si="25"/>
        <v>-6.5781691944068105E-2</v>
      </c>
      <c r="AB42">
        <f t="shared" si="26"/>
        <v>3.0221994091485904E-2</v>
      </c>
      <c r="AC42">
        <f t="shared" si="27"/>
        <v>2.9844219165342325E-2</v>
      </c>
      <c r="AD42">
        <f t="shared" si="28"/>
        <v>2.9848941351919116E-2</v>
      </c>
      <c r="AE42">
        <f t="shared" si="29"/>
        <v>2.9475770557687925E-2</v>
      </c>
      <c r="AF42">
        <f t="shared" si="0"/>
        <v>7.2441640936308505E-2</v>
      </c>
      <c r="AG42">
        <f t="shared" si="1"/>
        <v>7.2441640936308505E-2</v>
      </c>
      <c r="AH42">
        <f t="shared" si="2"/>
        <v>7.2441640936308505E-2</v>
      </c>
      <c r="AI42">
        <f t="shared" si="3"/>
        <v>7.2441640936308505E-2</v>
      </c>
    </row>
    <row r="43" spans="1:35" x14ac:dyDescent="0.45">
      <c r="A43">
        <v>0.31</v>
      </c>
      <c r="B43">
        <f t="shared" si="4"/>
        <v>7.4743104039752852</v>
      </c>
      <c r="C43">
        <f t="shared" si="5"/>
        <v>1.8545711127226296</v>
      </c>
      <c r="D43">
        <f t="shared" si="6"/>
        <v>1.3422369666041747</v>
      </c>
      <c r="E43">
        <f t="shared" si="7"/>
        <v>-6.5470248476139705</v>
      </c>
      <c r="F43">
        <f t="shared" si="8"/>
        <v>2.8378826221687112</v>
      </c>
      <c r="G43">
        <f t="shared" si="9"/>
        <v>7.4182844508905186</v>
      </c>
      <c r="I43">
        <v>0.31</v>
      </c>
      <c r="J43">
        <f t="shared" si="10"/>
        <v>7.4851334259250182</v>
      </c>
      <c r="K43">
        <f t="shared" si="11"/>
        <v>1.8366914266980403</v>
      </c>
      <c r="L43">
        <f t="shared" si="12"/>
        <v>1.3350074654884569</v>
      </c>
      <c r="M43">
        <f t="shared" si="13"/>
        <v>-6.5667877125759985E-2</v>
      </c>
      <c r="N43">
        <f t="shared" si="14"/>
        <v>-6.4813569704882112E-2</v>
      </c>
      <c r="O43">
        <f t="shared" si="15"/>
        <v>2.8934048591799173E-2</v>
      </c>
      <c r="P43">
        <f t="shared" si="16"/>
        <v>2.7655475006892125E-2</v>
      </c>
      <c r="Q43">
        <f t="shared" si="17"/>
        <v>7.3467657067921618E-2</v>
      </c>
      <c r="R43">
        <f t="shared" si="18"/>
        <v>7.4182844508905194E-2</v>
      </c>
      <c r="T43">
        <v>0.31</v>
      </c>
      <c r="U43">
        <f t="shared" si="19"/>
        <v>7.4836902625692376</v>
      </c>
      <c r="V43">
        <f t="shared" si="20"/>
        <v>1.8408883710216619</v>
      </c>
      <c r="W43">
        <f t="shared" si="21"/>
        <v>1.329833790321034</v>
      </c>
      <c r="X43">
        <f t="shared" si="22"/>
        <v>-6.5632460770584072E-2</v>
      </c>
      <c r="Y43">
        <f t="shared" si="23"/>
        <v>-6.530429846673115E-2</v>
      </c>
      <c r="Z43">
        <f t="shared" si="24"/>
        <v>-6.5305939278250416E-2</v>
      </c>
      <c r="AA43">
        <f t="shared" si="25"/>
        <v>-6.4979401377801574E-2</v>
      </c>
      <c r="AB43">
        <f t="shared" si="26"/>
        <v>2.8814693350150834E-2</v>
      </c>
      <c r="AC43">
        <f t="shared" si="27"/>
        <v>2.8454509683273944E-2</v>
      </c>
      <c r="AD43">
        <f t="shared" si="28"/>
        <v>2.8459011979109907E-2</v>
      </c>
      <c r="AE43">
        <f t="shared" si="29"/>
        <v>2.810321805067308E-2</v>
      </c>
      <c r="AF43">
        <f t="shared" si="0"/>
        <v>7.3635534840866476E-2</v>
      </c>
      <c r="AG43">
        <f t="shared" si="1"/>
        <v>7.3635534840866476E-2</v>
      </c>
      <c r="AH43">
        <f t="shared" si="2"/>
        <v>7.3635534840866476E-2</v>
      </c>
      <c r="AI43">
        <f t="shared" si="3"/>
        <v>7.3635534840866476E-2</v>
      </c>
    </row>
    <row r="44" spans="1:35" x14ac:dyDescent="0.45">
      <c r="A44">
        <v>0.32</v>
      </c>
      <c r="B44">
        <f t="shared" si="4"/>
        <v>7.4088401554991457</v>
      </c>
      <c r="C44">
        <f t="shared" si="5"/>
        <v>1.8829499389443167</v>
      </c>
      <c r="D44">
        <f t="shared" si="6"/>
        <v>1.4164198111130799</v>
      </c>
      <c r="E44">
        <f t="shared" si="7"/>
        <v>-6.4673651860269876</v>
      </c>
      <c r="F44">
        <f t="shared" si="8"/>
        <v>2.7014653081383542</v>
      </c>
      <c r="G44">
        <f t="shared" si="9"/>
        <v>7.5317997557772669</v>
      </c>
      <c r="I44">
        <v>0.32</v>
      </c>
      <c r="J44">
        <f t="shared" si="10"/>
        <v>7.4198927025096975</v>
      </c>
      <c r="K44">
        <f t="shared" si="11"/>
        <v>1.864986188497386</v>
      </c>
      <c r="L44">
        <f t="shared" si="12"/>
        <v>1.4088327162768703</v>
      </c>
      <c r="M44">
        <f t="shared" si="13"/>
        <v>-6.4873996082610047E-2</v>
      </c>
      <c r="N44">
        <f t="shared" si="14"/>
        <v>-6.4024911899443787E-2</v>
      </c>
      <c r="O44">
        <f t="shared" si="15"/>
        <v>2.7574272312662323E-2</v>
      </c>
      <c r="P44">
        <f t="shared" si="16"/>
        <v>2.632529627356698E-2</v>
      </c>
      <c r="Q44">
        <f t="shared" si="17"/>
        <v>7.4599447539895433E-2</v>
      </c>
      <c r="R44">
        <f t="shared" si="18"/>
        <v>7.5317997557772673E-2</v>
      </c>
      <c r="T44">
        <v>0.32</v>
      </c>
      <c r="U44">
        <f t="shared" si="19"/>
        <v>7.4183848729628465</v>
      </c>
      <c r="V44">
        <f t="shared" si="20"/>
        <v>1.8693458634759272</v>
      </c>
      <c r="W44">
        <f t="shared" si="21"/>
        <v>1.4034693251619004</v>
      </c>
      <c r="X44">
        <f t="shared" si="22"/>
        <v>-6.4837119412248831E-2</v>
      </c>
      <c r="Y44">
        <f t="shared" si="23"/>
        <v>-6.4512933815187579E-2</v>
      </c>
      <c r="Z44">
        <f t="shared" si="24"/>
        <v>-6.4514554743172886E-2</v>
      </c>
      <c r="AA44">
        <f t="shared" si="25"/>
        <v>-6.4191973864817092E-2</v>
      </c>
      <c r="AB44">
        <f t="shared" si="26"/>
        <v>2.7450202142730279E-2</v>
      </c>
      <c r="AC44">
        <f t="shared" si="27"/>
        <v>2.710707461594616E-2</v>
      </c>
      <c r="AD44">
        <f t="shared" si="28"/>
        <v>2.7111363710030957E-2</v>
      </c>
      <c r="AE44">
        <f t="shared" si="29"/>
        <v>2.6772418049979509E-2</v>
      </c>
      <c r="AF44">
        <f t="shared" si="0"/>
        <v>7.477383453903709E-2</v>
      </c>
      <c r="AG44">
        <f t="shared" si="1"/>
        <v>7.477383453903709E-2</v>
      </c>
      <c r="AH44">
        <f t="shared" si="2"/>
        <v>7.477383453903709E-2</v>
      </c>
      <c r="AI44">
        <f t="shared" si="3"/>
        <v>7.477383453903709E-2</v>
      </c>
    </row>
    <row r="45" spans="1:35" x14ac:dyDescent="0.45">
      <c r="A45">
        <v>0.33</v>
      </c>
      <c r="B45">
        <f t="shared" si="4"/>
        <v>7.3441665036388759</v>
      </c>
      <c r="C45">
        <f t="shared" si="5"/>
        <v>1.9099645920257002</v>
      </c>
      <c r="D45">
        <f t="shared" si="6"/>
        <v>1.4917378086708526</v>
      </c>
      <c r="E45">
        <f t="shared" si="7"/>
        <v>-6.3891842076260259</v>
      </c>
      <c r="F45">
        <f t="shared" si="8"/>
        <v>2.5692550235746254</v>
      </c>
      <c r="G45">
        <f t="shared" si="9"/>
        <v>7.6398583681028009</v>
      </c>
      <c r="I45">
        <v>0.33</v>
      </c>
      <c r="J45">
        <f t="shared" si="10"/>
        <v>7.3554432485186707</v>
      </c>
      <c r="K45">
        <f t="shared" si="11"/>
        <v>1.8919359727905005</v>
      </c>
      <c r="L45">
        <f t="shared" si="12"/>
        <v>1.4837914388257043</v>
      </c>
      <c r="M45">
        <f t="shared" si="13"/>
        <v>-6.4094752621234208E-2</v>
      </c>
      <c r="N45">
        <f t="shared" si="14"/>
        <v>-6.3250894550047912E-2</v>
      </c>
      <c r="O45">
        <f t="shared" si="15"/>
        <v>2.6256033165424193E-2</v>
      </c>
      <c r="P45">
        <f t="shared" si="16"/>
        <v>2.5036149406610649E-2</v>
      </c>
      <c r="Q45">
        <f t="shared" si="17"/>
        <v>7.5677438911620029E-2</v>
      </c>
      <c r="R45">
        <f t="shared" si="18"/>
        <v>7.6398583681028018E-2</v>
      </c>
      <c r="T45">
        <v>0.33</v>
      </c>
      <c r="U45">
        <f t="shared" si="19"/>
        <v>7.3538708612305488</v>
      </c>
      <c r="V45">
        <f t="shared" si="20"/>
        <v>1.8964557796167045</v>
      </c>
      <c r="W45">
        <f t="shared" si="21"/>
        <v>1.4782431597009376</v>
      </c>
      <c r="X45">
        <f t="shared" si="22"/>
        <v>-6.4056429714221957E-2</v>
      </c>
      <c r="Y45">
        <f t="shared" si="23"/>
        <v>-6.3736147565650852E-2</v>
      </c>
      <c r="Z45">
        <f t="shared" si="24"/>
        <v>-6.3737748976393713E-2</v>
      </c>
      <c r="AA45">
        <f t="shared" si="25"/>
        <v>-6.3419052224458025E-2</v>
      </c>
      <c r="AB45">
        <f t="shared" si="26"/>
        <v>2.6127314121887873E-2</v>
      </c>
      <c r="AC45">
        <f t="shared" si="27"/>
        <v>2.5800722695364278E-2</v>
      </c>
      <c r="AD45">
        <f t="shared" si="28"/>
        <v>2.5804805088195819E-2</v>
      </c>
      <c r="AE45">
        <f t="shared" si="29"/>
        <v>2.5482193994682975E-2</v>
      </c>
      <c r="AF45">
        <f t="shared" si="0"/>
        <v>7.5858231184668182E-2</v>
      </c>
      <c r="AG45">
        <f t="shared" si="1"/>
        <v>7.5858231184668182E-2</v>
      </c>
      <c r="AH45">
        <f t="shared" si="2"/>
        <v>7.5858231184668182E-2</v>
      </c>
      <c r="AI45">
        <f t="shared" si="3"/>
        <v>7.5858231184668182E-2</v>
      </c>
    </row>
    <row r="46" spans="1:35" x14ac:dyDescent="0.45">
      <c r="A46">
        <v>0.34</v>
      </c>
      <c r="B46">
        <f t="shared" si="4"/>
        <v>7.2802746615626157</v>
      </c>
      <c r="C46">
        <f t="shared" si="5"/>
        <v>1.9356571422614466</v>
      </c>
      <c r="D46">
        <f t="shared" si="6"/>
        <v>1.5681363923518805</v>
      </c>
      <c r="E46">
        <f t="shared" si="7"/>
        <v>-6.3124460904318926</v>
      </c>
      <c r="F46">
        <f t="shared" si="8"/>
        <v>2.4411318059089995</v>
      </c>
      <c r="G46">
        <f t="shared" si="9"/>
        <v>7.7426285690457863</v>
      </c>
      <c r="I46">
        <v>0.34</v>
      </c>
      <c r="J46">
        <f t="shared" si="10"/>
        <v>7.2917704249330297</v>
      </c>
      <c r="K46">
        <f t="shared" si="11"/>
        <v>1.917582064076518</v>
      </c>
      <c r="L46">
        <f t="shared" si="12"/>
        <v>1.5598294501220282</v>
      </c>
      <c r="M46">
        <f t="shared" si="13"/>
        <v>-6.3329793928947706E-2</v>
      </c>
      <c r="N46">
        <f t="shared" si="14"/>
        <v>-6.2491162965029448E-2</v>
      </c>
      <c r="O46">
        <f t="shared" si="15"/>
        <v>2.4978152647417349E-2</v>
      </c>
      <c r="P46">
        <f t="shared" si="16"/>
        <v>2.3786864242904562E-2</v>
      </c>
      <c r="Q46">
        <f t="shared" si="17"/>
        <v>7.6703282563060721E-2</v>
      </c>
      <c r="R46">
        <f t="shared" si="18"/>
        <v>7.7426285690457869E-2</v>
      </c>
      <c r="T46">
        <v>0.34</v>
      </c>
      <c r="U46">
        <f t="shared" si="19"/>
        <v>7.2901336487267541</v>
      </c>
      <c r="V46">
        <f t="shared" si="20"/>
        <v>1.9222592068973197</v>
      </c>
      <c r="W46">
        <f t="shared" si="21"/>
        <v>1.5541013908856058</v>
      </c>
      <c r="X46">
        <f t="shared" si="22"/>
        <v>-6.3290040452780943E-2</v>
      </c>
      <c r="Y46">
        <f t="shared" si="23"/>
        <v>-6.2973590250517048E-2</v>
      </c>
      <c r="Z46">
        <f t="shared" si="24"/>
        <v>-6.297517250152837E-2</v>
      </c>
      <c r="AA46">
        <f t="shared" si="25"/>
        <v>-6.2660288727765662E-2</v>
      </c>
      <c r="AB46">
        <f t="shared" si="26"/>
        <v>2.4844856314834553E-2</v>
      </c>
      <c r="AC46">
        <f t="shared" si="27"/>
        <v>2.4534295610899117E-2</v>
      </c>
      <c r="AD46">
        <f t="shared" si="28"/>
        <v>2.4538177619698315E-2</v>
      </c>
      <c r="AE46">
        <f t="shared" si="29"/>
        <v>2.4231401874342095E-2</v>
      </c>
      <c r="AF46">
        <f t="shared" si="0"/>
        <v>7.6890368275892781E-2</v>
      </c>
      <c r="AG46">
        <f t="shared" si="1"/>
        <v>7.6890368275892781E-2</v>
      </c>
      <c r="AH46">
        <f t="shared" si="2"/>
        <v>7.6890368275892781E-2</v>
      </c>
      <c r="AI46">
        <f t="shared" si="3"/>
        <v>7.6890368275892781E-2</v>
      </c>
    </row>
    <row r="47" spans="1:35" x14ac:dyDescent="0.45">
      <c r="A47">
        <v>0.35</v>
      </c>
      <c r="B47">
        <f t="shared" si="4"/>
        <v>7.2171502006582964</v>
      </c>
      <c r="C47">
        <f t="shared" si="5"/>
        <v>1.9600684603205365</v>
      </c>
      <c r="D47">
        <f t="shared" si="6"/>
        <v>1.6455626780423385</v>
      </c>
      <c r="E47">
        <f t="shared" si="7"/>
        <v>-6.2371159704980279</v>
      </c>
      <c r="F47">
        <f t="shared" si="8"/>
        <v>2.3169790498569549</v>
      </c>
      <c r="G47">
        <f t="shared" si="9"/>
        <v>7.840273841282146</v>
      </c>
      <c r="I47">
        <v>0.35</v>
      </c>
      <c r="J47">
        <f t="shared" si="10"/>
        <v>7.2288599464860415</v>
      </c>
      <c r="K47">
        <f t="shared" si="11"/>
        <v>1.941964572521679</v>
      </c>
      <c r="L47">
        <f t="shared" si="12"/>
        <v>1.6368942342487875</v>
      </c>
      <c r="M47">
        <f t="shared" si="13"/>
        <v>-6.2578776602252029E-2</v>
      </c>
      <c r="N47">
        <f t="shared" si="14"/>
        <v>-6.1745371938957759E-2</v>
      </c>
      <c r="O47">
        <f t="shared" si="15"/>
        <v>2.3739485151818444E-2</v>
      </c>
      <c r="P47">
        <f t="shared" si="16"/>
        <v>2.2576303369774089E-2</v>
      </c>
      <c r="Q47">
        <f t="shared" si="17"/>
        <v>7.7678582900867155E-2</v>
      </c>
      <c r="R47">
        <f t="shared" si="18"/>
        <v>7.8402738412821457E-2</v>
      </c>
      <c r="T47">
        <v>0.35</v>
      </c>
      <c r="U47">
        <f t="shared" si="19"/>
        <v>7.2271590062793143</v>
      </c>
      <c r="V47">
        <f t="shared" si="20"/>
        <v>1.9467960743390482</v>
      </c>
      <c r="W47">
        <f t="shared" si="21"/>
        <v>1.6309917591614986</v>
      </c>
      <c r="X47">
        <f t="shared" si="22"/>
        <v>-6.2537609691097909E-2</v>
      </c>
      <c r="Y47">
        <f t="shared" si="23"/>
        <v>-6.2224921642642414E-2</v>
      </c>
      <c r="Z47">
        <f t="shared" si="24"/>
        <v>-6.2226485082884697E-2</v>
      </c>
      <c r="AA47">
        <f t="shared" si="25"/>
        <v>-6.191534484026906E-2</v>
      </c>
      <c r="AB47">
        <f t="shared" si="26"/>
        <v>2.3601688204316941E-2</v>
      </c>
      <c r="AC47">
        <f t="shared" si="27"/>
        <v>2.3306667101762973E-2</v>
      </c>
      <c r="AD47">
        <f t="shared" si="28"/>
        <v>2.3310354865544902E-2</v>
      </c>
      <c r="AE47">
        <f t="shared" si="29"/>
        <v>2.3018929332678316E-2</v>
      </c>
      <c r="AF47">
        <f t="shared" si="0"/>
        <v>7.7871842973561936E-2</v>
      </c>
      <c r="AG47">
        <f t="shared" si="1"/>
        <v>7.7871842973561936E-2</v>
      </c>
      <c r="AH47">
        <f t="shared" si="2"/>
        <v>7.7871842973561936E-2</v>
      </c>
      <c r="AI47">
        <f t="shared" si="3"/>
        <v>7.7871842973561936E-2</v>
      </c>
    </row>
    <row r="48" spans="1:35" x14ac:dyDescent="0.45">
      <c r="A48">
        <v>0.36</v>
      </c>
      <c r="B48">
        <f t="shared" si="4"/>
        <v>7.1547790409533158</v>
      </c>
      <c r="C48">
        <f t="shared" si="5"/>
        <v>1.983238250819106</v>
      </c>
      <c r="D48">
        <f t="shared" si="6"/>
        <v>1.7239654164551599</v>
      </c>
      <c r="E48">
        <f t="shared" si="7"/>
        <v>-6.1631599155437629</v>
      </c>
      <c r="F48">
        <f t="shared" si="8"/>
        <v>2.1966834139055509</v>
      </c>
      <c r="G48">
        <f t="shared" si="9"/>
        <v>7.9329530032764239</v>
      </c>
      <c r="I48">
        <v>0.36</v>
      </c>
      <c r="J48">
        <f t="shared" si="10"/>
        <v>7.1666978722154369</v>
      </c>
      <c r="K48">
        <f t="shared" si="11"/>
        <v>1.9651224667824752</v>
      </c>
      <c r="L48">
        <f t="shared" si="12"/>
        <v>1.7149348949056318</v>
      </c>
      <c r="M48">
        <f t="shared" si="13"/>
        <v>-6.1841366388241996E-2</v>
      </c>
      <c r="N48">
        <f t="shared" si="14"/>
        <v>-6.1013185491555211E-2</v>
      </c>
      <c r="O48">
        <f t="shared" si="15"/>
        <v>2.2538917052592491E-2</v>
      </c>
      <c r="P48">
        <f t="shared" si="16"/>
        <v>2.1403361212740696E-2</v>
      </c>
      <c r="Q48">
        <f t="shared" si="17"/>
        <v>7.8604898671299009E-2</v>
      </c>
      <c r="R48">
        <f t="shared" si="18"/>
        <v>7.9329530032764245E-2</v>
      </c>
      <c r="T48">
        <v>0.36</v>
      </c>
      <c r="U48">
        <f t="shared" si="19"/>
        <v>7.1649330449489108</v>
      </c>
      <c r="V48">
        <f t="shared" si="20"/>
        <v>1.9701051845843167</v>
      </c>
      <c r="W48">
        <f t="shared" si="21"/>
        <v>1.7088636021350605</v>
      </c>
      <c r="X48">
        <f t="shared" si="22"/>
        <v>-6.1798804526567531E-2</v>
      </c>
      <c r="Y48">
        <f t="shared" si="23"/>
        <v>-6.1489810503934691E-2</v>
      </c>
      <c r="Z48">
        <f t="shared" si="24"/>
        <v>-6.1491355474047861E-2</v>
      </c>
      <c r="AA48">
        <f t="shared" si="25"/>
        <v>-6.1183890971827054E-2</v>
      </c>
      <c r="AB48">
        <f t="shared" si="26"/>
        <v>2.2396700834881194E-2</v>
      </c>
      <c r="AC48">
        <f t="shared" si="27"/>
        <v>2.2116742074445174E-2</v>
      </c>
      <c r="AD48">
        <f t="shared" si="28"/>
        <v>2.2120241558950631E-2</v>
      </c>
      <c r="AE48">
        <f t="shared" si="29"/>
        <v>2.1843694795907424E-2</v>
      </c>
      <c r="AF48">
        <f t="shared" si="0"/>
        <v>7.8804207383372668E-2</v>
      </c>
      <c r="AG48">
        <f t="shared" si="1"/>
        <v>7.8804207383372668E-2</v>
      </c>
      <c r="AH48">
        <f t="shared" si="2"/>
        <v>7.8804207383372668E-2</v>
      </c>
      <c r="AI48">
        <f t="shared" si="3"/>
        <v>7.8804207383372668E-2</v>
      </c>
    </row>
    <row r="49" spans="1:35" x14ac:dyDescent="0.45">
      <c r="A49">
        <v>0.37</v>
      </c>
      <c r="B49">
        <f t="shared" si="4"/>
        <v>7.0931474417978784</v>
      </c>
      <c r="C49">
        <f t="shared" si="5"/>
        <v>2.0052050849581615</v>
      </c>
      <c r="D49">
        <f t="shared" si="6"/>
        <v>1.8032949464879242</v>
      </c>
      <c r="E49">
        <f t="shared" si="7"/>
        <v>-6.0905448993187976</v>
      </c>
      <c r="F49">
        <f t="shared" si="8"/>
        <v>2.0801347294024746</v>
      </c>
      <c r="G49">
        <f t="shared" si="9"/>
        <v>8.0208203398326461</v>
      </c>
      <c r="I49">
        <v>0.37</v>
      </c>
      <c r="J49">
        <f t="shared" si="10"/>
        <v>7.1052705962755383</v>
      </c>
      <c r="K49">
        <f t="shared" si="11"/>
        <v>1.9870936059151418</v>
      </c>
      <c r="L49">
        <f t="shared" si="12"/>
        <v>1.7939021092576635</v>
      </c>
      <c r="M49">
        <f t="shared" si="13"/>
        <v>-6.1117237933179677E-2</v>
      </c>
      <c r="N49">
        <f t="shared" si="14"/>
        <v>-6.0294276613856182E-2</v>
      </c>
      <c r="O49">
        <f t="shared" si="15"/>
        <v>2.1375365814876836E-2</v>
      </c>
      <c r="P49">
        <f t="shared" si="16"/>
        <v>2.0266963148652818E-2</v>
      </c>
      <c r="Q49">
        <f t="shared" si="17"/>
        <v>7.9483744236605675E-2</v>
      </c>
      <c r="R49">
        <f t="shared" si="18"/>
        <v>8.0208203398326461E-2</v>
      </c>
      <c r="T49">
        <v>0.37</v>
      </c>
      <c r="U49">
        <f t="shared" si="19"/>
        <v>7.1034422070398513</v>
      </c>
      <c r="V49">
        <f t="shared" si="20"/>
        <v>1.9922242450672467</v>
      </c>
      <c r="W49">
        <f t="shared" si="21"/>
        <v>1.7876678095184331</v>
      </c>
      <c r="X49">
        <f t="shared" si="22"/>
        <v>-6.1073300845062281E-2</v>
      </c>
      <c r="Y49">
        <f t="shared" si="23"/>
        <v>-6.0767934340836965E-2</v>
      </c>
      <c r="Z49">
        <f t="shared" si="24"/>
        <v>-6.0769461173358089E-2</v>
      </c>
      <c r="AA49">
        <f t="shared" si="25"/>
        <v>-6.0465606233328702E-2</v>
      </c>
      <c r="AB49">
        <f t="shared" si="26"/>
        <v>2.1228815943717345E-2</v>
      </c>
      <c r="AC49">
        <f t="shared" si="27"/>
        <v>2.0963455744420871E-2</v>
      </c>
      <c r="AD49">
        <f t="shared" si="28"/>
        <v>2.0966772746912082E-2</v>
      </c>
      <c r="AE49">
        <f t="shared" si="29"/>
        <v>2.0704646625044544E-2</v>
      </c>
      <c r="AF49">
        <f t="shared" si="0"/>
        <v>7.9688969802689871E-2</v>
      </c>
      <c r="AG49">
        <f t="shared" si="1"/>
        <v>7.9688969802689871E-2</v>
      </c>
      <c r="AH49">
        <f t="shared" si="2"/>
        <v>7.9688969802689871E-2</v>
      </c>
      <c r="AI49">
        <f t="shared" si="3"/>
        <v>7.9688969802689871E-2</v>
      </c>
    </row>
    <row r="50" spans="1:35" x14ac:dyDescent="0.45">
      <c r="A50">
        <v>0.38</v>
      </c>
      <c r="B50">
        <f t="shared" si="4"/>
        <v>7.03224199280469</v>
      </c>
      <c r="C50">
        <f t="shared" si="5"/>
        <v>2.0260064322521862</v>
      </c>
      <c r="D50">
        <f t="shared" si="6"/>
        <v>1.8835031498862507</v>
      </c>
      <c r="E50">
        <f t="shared" si="7"/>
        <v>-6.0192387766785966</v>
      </c>
      <c r="F50">
        <f t="shared" si="8"/>
        <v>1.9672259121742242</v>
      </c>
      <c r="G50">
        <f t="shared" si="9"/>
        <v>8.104025729008745</v>
      </c>
      <c r="I50">
        <v>0.38</v>
      </c>
      <c r="J50">
        <f t="shared" si="10"/>
        <v>7.0445648390020201</v>
      </c>
      <c r="K50">
        <f t="shared" si="11"/>
        <v>2.0079147703969067</v>
      </c>
      <c r="L50">
        <f t="shared" si="12"/>
        <v>1.8737480830751296</v>
      </c>
      <c r="M50">
        <f t="shared" si="13"/>
        <v>-6.0406074538035669E-2</v>
      </c>
      <c r="N50">
        <f t="shared" si="14"/>
        <v>-5.958832702140561E-2</v>
      </c>
      <c r="O50">
        <f t="shared" si="15"/>
        <v>2.0247779130097534E-2</v>
      </c>
      <c r="P50">
        <f t="shared" si="16"/>
        <v>1.9166064643489803E-2</v>
      </c>
      <c r="Q50">
        <f t="shared" si="17"/>
        <v>8.0316590815876263E-2</v>
      </c>
      <c r="R50">
        <f t="shared" si="18"/>
        <v>8.1040257290087445E-2</v>
      </c>
      <c r="T50">
        <v>0.38</v>
      </c>
      <c r="U50">
        <f t="shared" si="19"/>
        <v>7.0426732573553874</v>
      </c>
      <c r="V50">
        <f t="shared" si="20"/>
        <v>2.0131898983258179</v>
      </c>
      <c r="W50">
        <f t="shared" si="21"/>
        <v>1.867356779321123</v>
      </c>
      <c r="X50">
        <f t="shared" si="22"/>
        <v>-6.0360783081924788E-2</v>
      </c>
      <c r="Y50">
        <f t="shared" si="23"/>
        <v>-6.0058979166515168E-2</v>
      </c>
      <c r="Z50">
        <f t="shared" si="24"/>
        <v>-6.0060488186092213E-2</v>
      </c>
      <c r="AA50">
        <f t="shared" si="25"/>
        <v>-5.9760178200063858E-2</v>
      </c>
      <c r="AB50">
        <f t="shared" si="26"/>
        <v>2.0096985115408427E-2</v>
      </c>
      <c r="AC50">
        <f t="shared" si="27"/>
        <v>1.9845772801465822E-2</v>
      </c>
      <c r="AD50">
        <f t="shared" si="28"/>
        <v>1.9848912955390114E-2</v>
      </c>
      <c r="AE50">
        <f t="shared" si="29"/>
        <v>1.9600762291523674E-2</v>
      </c>
      <c r="AF50">
        <f t="shared" si="0"/>
        <v>8.0527595933032714E-2</v>
      </c>
      <c r="AG50">
        <f t="shared" si="1"/>
        <v>8.0527595933032714E-2</v>
      </c>
      <c r="AH50">
        <f t="shared" si="2"/>
        <v>8.0527595933032714E-2</v>
      </c>
      <c r="AI50">
        <f t="shared" si="3"/>
        <v>8.0527595933032714E-2</v>
      </c>
    </row>
    <row r="51" spans="1:35" x14ac:dyDescent="0.45">
      <c r="A51">
        <v>0.39</v>
      </c>
      <c r="B51">
        <f t="shared" si="4"/>
        <v>6.9720496050379044</v>
      </c>
      <c r="C51">
        <f t="shared" si="5"/>
        <v>2.0456786913739284</v>
      </c>
      <c r="D51">
        <f t="shared" si="6"/>
        <v>1.9645434071763381</v>
      </c>
      <c r="E51">
        <f t="shared" si="7"/>
        <v>-5.9492102593509397</v>
      </c>
      <c r="F51">
        <f t="shared" si="8"/>
        <v>1.8578528766030828</v>
      </c>
      <c r="G51">
        <f t="shared" si="9"/>
        <v>8.1827147654957137</v>
      </c>
      <c r="I51">
        <v>0.39</v>
      </c>
      <c r="J51">
        <f t="shared" si="10"/>
        <v>6.9845676382222992</v>
      </c>
      <c r="K51">
        <f t="shared" si="11"/>
        <v>2.0276216922837005</v>
      </c>
      <c r="L51">
        <f t="shared" si="12"/>
        <v>1.9544265071281115</v>
      </c>
      <c r="M51">
        <f t="shared" si="13"/>
        <v>-5.9707567920804491E-2</v>
      </c>
      <c r="N51">
        <f t="shared" si="14"/>
        <v>-5.8895026914301367E-2</v>
      </c>
      <c r="O51">
        <f t="shared" si="15"/>
        <v>1.9155134075130479E-2</v>
      </c>
      <c r="P51">
        <f t="shared" si="16"/>
        <v>1.8099650414152572E-2</v>
      </c>
      <c r="Q51">
        <f t="shared" si="17"/>
        <v>8.1104867691348018E-2</v>
      </c>
      <c r="R51">
        <f t="shared" si="18"/>
        <v>8.1827147654957133E-2</v>
      </c>
      <c r="T51">
        <v>0.39</v>
      </c>
      <c r="U51">
        <f t="shared" si="19"/>
        <v>6.9826132746908538</v>
      </c>
      <c r="V51">
        <f t="shared" si="20"/>
        <v>2.0330377514792586</v>
      </c>
      <c r="W51">
        <f t="shared" si="21"/>
        <v>1.9478843752541557</v>
      </c>
      <c r="X51">
        <f t="shared" si="22"/>
        <v>-5.9660943989512244E-2</v>
      </c>
      <c r="Y51">
        <f t="shared" si="23"/>
        <v>-5.9362639269564692E-2</v>
      </c>
      <c r="Z51">
        <f t="shared" si="24"/>
        <v>-5.9364130793164417E-2</v>
      </c>
      <c r="AA51">
        <f t="shared" si="25"/>
        <v>-5.9067302681580607E-2</v>
      </c>
      <c r="AB51">
        <f t="shared" si="26"/>
        <v>1.900018895992707E-2</v>
      </c>
      <c r="AC51">
        <f t="shared" si="27"/>
        <v>1.8762686597927986E-2</v>
      </c>
      <c r="AD51">
        <f t="shared" si="28"/>
        <v>1.8765655377452985E-2</v>
      </c>
      <c r="AE51">
        <f t="shared" si="29"/>
        <v>1.8531047575490751E-2</v>
      </c>
      <c r="AF51">
        <f t="shared" si="0"/>
        <v>8.1321510059170349E-2</v>
      </c>
      <c r="AG51">
        <f t="shared" si="1"/>
        <v>8.1321510059170349E-2</v>
      </c>
      <c r="AH51">
        <f t="shared" si="2"/>
        <v>8.1321510059170349E-2</v>
      </c>
      <c r="AI51">
        <f t="shared" si="3"/>
        <v>8.1321510059170349E-2</v>
      </c>
    </row>
    <row r="52" spans="1:35" x14ac:dyDescent="0.45">
      <c r="A52">
        <v>0.4</v>
      </c>
      <c r="B52">
        <f t="shared" si="4"/>
        <v>6.912557502444395</v>
      </c>
      <c r="C52">
        <f t="shared" si="5"/>
        <v>2.0642572201399592</v>
      </c>
      <c r="D52">
        <f t="shared" si="6"/>
        <v>2.0463705548312952</v>
      </c>
      <c r="E52">
        <f t="shared" si="7"/>
        <v>-5.8804288923744155</v>
      </c>
      <c r="F52">
        <f t="shared" si="8"/>
        <v>1.7519144520944971</v>
      </c>
      <c r="G52">
        <f t="shared" si="9"/>
        <v>8.2570288805598366</v>
      </c>
      <c r="I52">
        <v>0.4</v>
      </c>
      <c r="J52">
        <f t="shared" si="10"/>
        <v>6.9252663408047459</v>
      </c>
      <c r="K52">
        <f t="shared" si="11"/>
        <v>2.0462490845283421</v>
      </c>
      <c r="L52">
        <f t="shared" si="12"/>
        <v>2.0358925148012639</v>
      </c>
      <c r="M52">
        <f t="shared" si="13"/>
        <v>-5.9021417985405743E-2</v>
      </c>
      <c r="N52">
        <f t="shared" si="14"/>
        <v>-5.82140747438901E-2</v>
      </c>
      <c r="O52">
        <f t="shared" si="15"/>
        <v>1.8096436294838904E-2</v>
      </c>
      <c r="P52">
        <f t="shared" si="16"/>
        <v>1.7066733613574005E-2</v>
      </c>
      <c r="Q52">
        <f t="shared" si="17"/>
        <v>8.1849963381133692E-2</v>
      </c>
      <c r="R52">
        <f t="shared" si="18"/>
        <v>8.2570288805598371E-2</v>
      </c>
      <c r="T52">
        <v>0.4</v>
      </c>
      <c r="U52">
        <f t="shared" si="19"/>
        <v>6.923249643558095</v>
      </c>
      <c r="V52">
        <f t="shared" si="20"/>
        <v>2.0518024048936221</v>
      </c>
      <c r="W52">
        <f t="shared" si="21"/>
        <v>2.0292058853133259</v>
      </c>
      <c r="X52">
        <f t="shared" si="22"/>
        <v>-5.8973484411112838E-2</v>
      </c>
      <c r="Y52">
        <f t="shared" si="23"/>
        <v>-5.8678616989057276E-2</v>
      </c>
      <c r="Z52">
        <f t="shared" si="24"/>
        <v>-5.8680091326167555E-2</v>
      </c>
      <c r="AA52">
        <f t="shared" si="25"/>
        <v>-5.8386683497851165E-2</v>
      </c>
      <c r="AB52">
        <f t="shared" si="26"/>
        <v>1.7937436313240393E-2</v>
      </c>
      <c r="AC52">
        <f t="shared" si="27"/>
        <v>1.7713218359324889E-2</v>
      </c>
      <c r="AD52">
        <f t="shared" si="28"/>
        <v>1.771602108374884E-2</v>
      </c>
      <c r="AE52">
        <f t="shared" si="29"/>
        <v>1.7494535786146674E-2</v>
      </c>
      <c r="AF52">
        <f t="shared" si="0"/>
        <v>8.207209619574489E-2</v>
      </c>
      <c r="AG52">
        <f t="shared" si="1"/>
        <v>8.207209619574489E-2</v>
      </c>
      <c r="AH52">
        <f t="shared" si="2"/>
        <v>8.207209619574489E-2</v>
      </c>
      <c r="AI52">
        <f t="shared" si="3"/>
        <v>8.207209619574489E-2</v>
      </c>
    </row>
    <row r="53" spans="1:35" x14ac:dyDescent="0.45">
      <c r="A53">
        <v>0.41</v>
      </c>
      <c r="B53">
        <f t="shared" si="4"/>
        <v>6.8537532135206511</v>
      </c>
      <c r="C53">
        <f t="shared" si="5"/>
        <v>2.0817763646609042</v>
      </c>
      <c r="D53">
        <f t="shared" si="6"/>
        <v>2.1289408436368937</v>
      </c>
      <c r="E53">
        <f t="shared" si="7"/>
        <v>-5.8128650311901993</v>
      </c>
      <c r="F53">
        <f t="shared" si="8"/>
        <v>1.6493123018683908</v>
      </c>
      <c r="G53">
        <f t="shared" si="9"/>
        <v>8.3271054586436168</v>
      </c>
      <c r="I53">
        <v>0.41</v>
      </c>
      <c r="J53">
        <f t="shared" si="10"/>
        <v>6.8666485944400977</v>
      </c>
      <c r="K53">
        <f t="shared" si="11"/>
        <v>2.0638306694825483</v>
      </c>
      <c r="L53">
        <f t="shared" si="12"/>
        <v>2.1181026408946297</v>
      </c>
      <c r="M53">
        <f t="shared" si="13"/>
        <v>-5.8347332596988231E-2</v>
      </c>
      <c r="N53">
        <f t="shared" si="14"/>
        <v>-5.754517698593211E-2</v>
      </c>
      <c r="O53">
        <f t="shared" si="15"/>
        <v>1.7070719207337267E-2</v>
      </c>
      <c r="P53">
        <f t="shared" si="16"/>
        <v>1.6066355038500478E-2</v>
      </c>
      <c r="Q53">
        <f t="shared" si="17"/>
        <v>8.2553226779301936E-2</v>
      </c>
      <c r="R53">
        <f t="shared" si="18"/>
        <v>8.3271054586436175E-2</v>
      </c>
      <c r="T53">
        <v>0.41</v>
      </c>
      <c r="U53">
        <f t="shared" si="19"/>
        <v>6.8645700461348591</v>
      </c>
      <c r="V53">
        <f t="shared" si="20"/>
        <v>2.0695174800578777</v>
      </c>
      <c r="W53">
        <f t="shared" si="21"/>
        <v>2.1112779815090708</v>
      </c>
      <c r="X53">
        <f t="shared" si="22"/>
        <v>-5.8298113061059205E-2</v>
      </c>
      <c r="Y53">
        <f t="shared" si="23"/>
        <v>-5.8006622495753904E-2</v>
      </c>
      <c r="Z53">
        <f t="shared" si="24"/>
        <v>-5.800807994858044E-2</v>
      </c>
      <c r="AA53">
        <f t="shared" si="25"/>
        <v>-5.7718032261573404E-2</v>
      </c>
      <c r="AB53">
        <f t="shared" si="26"/>
        <v>1.6907763459901651E-2</v>
      </c>
      <c r="AC53">
        <f t="shared" si="27"/>
        <v>1.6696416416652884E-2</v>
      </c>
      <c r="AD53">
        <f t="shared" si="28"/>
        <v>1.6699058254693488E-2</v>
      </c>
      <c r="AE53">
        <f t="shared" si="29"/>
        <v>1.6490287003534308E-2</v>
      </c>
      <c r="AF53">
        <f t="shared" si="0"/>
        <v>8.2780699202315108E-2</v>
      </c>
      <c r="AG53">
        <f t="shared" si="1"/>
        <v>8.2780699202315108E-2</v>
      </c>
      <c r="AH53">
        <f t="shared" si="2"/>
        <v>8.2780699202315108E-2</v>
      </c>
      <c r="AI53">
        <f t="shared" si="3"/>
        <v>8.2780699202315108E-2</v>
      </c>
    </row>
    <row r="54" spans="1:35" x14ac:dyDescent="0.45">
      <c r="A54">
        <v>0.42</v>
      </c>
      <c r="B54">
        <f t="shared" si="4"/>
        <v>6.7956245632087491</v>
      </c>
      <c r="C54">
        <f t="shared" si="5"/>
        <v>2.098269487679588</v>
      </c>
      <c r="D54">
        <f t="shared" si="6"/>
        <v>2.2122118982233299</v>
      </c>
      <c r="E54">
        <f t="shared" si="7"/>
        <v>-5.7464898193689553</v>
      </c>
      <c r="F54">
        <f t="shared" si="8"/>
        <v>1.5499508440097793</v>
      </c>
      <c r="G54">
        <f t="shared" si="9"/>
        <v>8.3930779507183519</v>
      </c>
      <c r="I54">
        <v>0.42</v>
      </c>
      <c r="J54">
        <f t="shared" si="10"/>
        <v>6.8087023396486375</v>
      </c>
      <c r="K54">
        <f t="shared" si="11"/>
        <v>2.0803992066054673</v>
      </c>
      <c r="L54">
        <f t="shared" si="12"/>
        <v>2.201014781577499</v>
      </c>
      <c r="M54">
        <f t="shared" si="13"/>
        <v>-5.768502736345904E-2</v>
      </c>
      <c r="N54">
        <f t="shared" si="14"/>
        <v>-5.688804792005496E-2</v>
      </c>
      <c r="O54">
        <f t="shared" si="15"/>
        <v>1.6077043231349696E-2</v>
      </c>
      <c r="P54">
        <f t="shared" si="16"/>
        <v>1.5097582359314049E-2</v>
      </c>
      <c r="Q54">
        <f t="shared" si="17"/>
        <v>8.321596826421869E-2</v>
      </c>
      <c r="R54">
        <f t="shared" si="18"/>
        <v>8.3930779507183514E-2</v>
      </c>
      <c r="T54">
        <v>0.42</v>
      </c>
      <c r="U54">
        <f t="shared" si="19"/>
        <v>6.8065624544329753</v>
      </c>
      <c r="V54">
        <f t="shared" si="20"/>
        <v>2.0862156466922324</v>
      </c>
      <c r="W54">
        <f t="shared" si="21"/>
        <v>2.194058680711386</v>
      </c>
      <c r="X54">
        <f t="shared" si="22"/>
        <v>-5.763454631086859E-2</v>
      </c>
      <c r="Y54">
        <f t="shared" si="23"/>
        <v>-5.7346373579314242E-2</v>
      </c>
      <c r="Z54">
        <f t="shared" si="24"/>
        <v>-5.7347814442972017E-2</v>
      </c>
      <c r="AA54">
        <f t="shared" si="25"/>
        <v>-5.7061068166438869E-2</v>
      </c>
      <c r="AB54">
        <f t="shared" si="26"/>
        <v>1.5910233377023939E-2</v>
      </c>
      <c r="AC54">
        <f t="shared" si="27"/>
        <v>1.5711355459811144E-2</v>
      </c>
      <c r="AD54">
        <f t="shared" si="28"/>
        <v>1.5713841433776299E-2</v>
      </c>
      <c r="AE54">
        <f t="shared" si="29"/>
        <v>1.5517387341179535E-2</v>
      </c>
      <c r="AF54">
        <f t="shared" si="0"/>
        <v>8.3448625867689294E-2</v>
      </c>
      <c r="AG54">
        <f t="shared" si="1"/>
        <v>8.3448625867689294E-2</v>
      </c>
      <c r="AH54">
        <f t="shared" si="2"/>
        <v>8.3448625867689294E-2</v>
      </c>
      <c r="AI54">
        <f t="shared" si="3"/>
        <v>8.3448625867689294E-2</v>
      </c>
    </row>
    <row r="55" spans="1:35" x14ac:dyDescent="0.45">
      <c r="A55">
        <v>0.43</v>
      </c>
      <c r="B55">
        <f t="shared" si="4"/>
        <v>6.7381596650150595</v>
      </c>
      <c r="C55">
        <f t="shared" si="5"/>
        <v>2.1137689961196857</v>
      </c>
      <c r="D55">
        <f t="shared" si="6"/>
        <v>2.2961426777305132</v>
      </c>
      <c r="E55">
        <f t="shared" si="7"/>
        <v>-5.6812751669552171</v>
      </c>
      <c r="F55">
        <f t="shared" si="8"/>
        <v>1.4537371747158456</v>
      </c>
      <c r="G55">
        <f t="shared" si="9"/>
        <v>8.4550759844787429</v>
      </c>
      <c r="I55">
        <v>0.43</v>
      </c>
      <c r="J55">
        <f t="shared" si="10"/>
        <v>6.7514158020068802</v>
      </c>
      <c r="K55">
        <f t="shared" si="11"/>
        <v>2.0959865194007992</v>
      </c>
      <c r="L55">
        <f t="shared" si="12"/>
        <v>2.2845881554631999</v>
      </c>
      <c r="M55">
        <f t="shared" si="13"/>
        <v>-5.7034225423064806E-2</v>
      </c>
      <c r="N55">
        <f t="shared" si="14"/>
        <v>-5.624240941532152E-2</v>
      </c>
      <c r="O55">
        <f t="shared" si="15"/>
        <v>1.511449503504882E-2</v>
      </c>
      <c r="P55">
        <f t="shared" si="16"/>
        <v>1.4159509371282226E-2</v>
      </c>
      <c r="Q55">
        <f t="shared" si="17"/>
        <v>8.3839460776031965E-2</v>
      </c>
      <c r="R55">
        <f t="shared" si="18"/>
        <v>8.4550759844787424E-2</v>
      </c>
      <c r="T55">
        <v>0.43</v>
      </c>
      <c r="U55">
        <f t="shared" si="19"/>
        <v>6.7492151226793284</v>
      </c>
      <c r="V55">
        <f t="shared" si="20"/>
        <v>2.1019286491097953</v>
      </c>
      <c r="W55">
        <f t="shared" si="21"/>
        <v>2.2775073065790754</v>
      </c>
      <c r="X55">
        <f t="shared" si="22"/>
        <v>-5.6982507981244303E-2</v>
      </c>
      <c r="Y55">
        <f t="shared" si="23"/>
        <v>-5.6697595441338094E-2</v>
      </c>
      <c r="Z55">
        <f t="shared" si="24"/>
        <v>-5.6699020004037613E-2</v>
      </c>
      <c r="AA55">
        <f t="shared" si="25"/>
        <v>-5.6415517781203926E-2</v>
      </c>
      <c r="AB55">
        <f t="shared" si="26"/>
        <v>1.4943934999048399E-2</v>
      </c>
      <c r="AC55">
        <f t="shared" si="27"/>
        <v>1.4757135811560297E-2</v>
      </c>
      <c r="AD55">
        <f t="shared" si="28"/>
        <v>1.47594708014039E-2</v>
      </c>
      <c r="AE55">
        <f t="shared" si="29"/>
        <v>1.4574948229013307E-2</v>
      </c>
      <c r="AF55">
        <f t="shared" si="0"/>
        <v>8.4077145964391808E-2</v>
      </c>
      <c r="AG55">
        <f t="shared" si="1"/>
        <v>8.4077145964391808E-2</v>
      </c>
      <c r="AH55">
        <f t="shared" si="2"/>
        <v>8.4077145964391808E-2</v>
      </c>
      <c r="AI55">
        <f t="shared" si="3"/>
        <v>8.4077145964391808E-2</v>
      </c>
    </row>
    <row r="56" spans="1:35" x14ac:dyDescent="0.45">
      <c r="A56">
        <v>0.44</v>
      </c>
      <c r="B56">
        <f t="shared" si="4"/>
        <v>6.6813469133455072</v>
      </c>
      <c r="C56">
        <f t="shared" si="5"/>
        <v>2.1283063678668444</v>
      </c>
      <c r="D56">
        <f t="shared" si="6"/>
        <v>2.3806934375753004</v>
      </c>
      <c r="E56">
        <f t="shared" si="7"/>
        <v>-5.6171937294120848</v>
      </c>
      <c r="F56">
        <f t="shared" si="8"/>
        <v>1.3605809936783961</v>
      </c>
      <c r="G56">
        <f t="shared" si="9"/>
        <v>8.5132254714673774</v>
      </c>
      <c r="I56">
        <v>0.44</v>
      </c>
      <c r="J56">
        <f t="shared" si="10"/>
        <v>6.6947774845876866</v>
      </c>
      <c r="K56">
        <f t="shared" si="11"/>
        <v>2.1106235216039648</v>
      </c>
      <c r="L56">
        <f t="shared" si="12"/>
        <v>2.3687832657736094</v>
      </c>
      <c r="M56">
        <f t="shared" si="13"/>
        <v>-5.6394657237857047E-2</v>
      </c>
      <c r="N56">
        <f t="shared" si="14"/>
        <v>-5.560799072174228E-2</v>
      </c>
      <c r="O56">
        <f t="shared" si="15"/>
        <v>1.4182186805777749E-2</v>
      </c>
      <c r="P56">
        <f t="shared" si="16"/>
        <v>1.3251255266639514E-2</v>
      </c>
      <c r="Q56">
        <f t="shared" si="17"/>
        <v>8.4424940864158596E-2</v>
      </c>
      <c r="R56">
        <f t="shared" si="18"/>
        <v>8.5132254714673769E-2</v>
      </c>
      <c r="T56">
        <v>0.44</v>
      </c>
      <c r="U56">
        <f t="shared" si="19"/>
        <v>6.6925165799037956</v>
      </c>
      <c r="V56">
        <f t="shared" si="20"/>
        <v>2.1166873318521269</v>
      </c>
      <c r="W56">
        <f t="shared" si="21"/>
        <v>2.3615844525434673</v>
      </c>
      <c r="X56">
        <f t="shared" si="22"/>
        <v>-5.6341729139777322E-2</v>
      </c>
      <c r="Y56">
        <f t="shared" si="23"/>
        <v>-5.6060020494078433E-2</v>
      </c>
      <c r="Z56">
        <f t="shared" si="24"/>
        <v>-5.6061429037306931E-2</v>
      </c>
      <c r="AA56">
        <f t="shared" si="25"/>
        <v>-5.5781114849404255E-2</v>
      </c>
      <c r="AB56">
        <f t="shared" si="26"/>
        <v>1.4007982502734785E-2</v>
      </c>
      <c r="AC56">
        <f t="shared" si="27"/>
        <v>1.3832882721450605E-2</v>
      </c>
      <c r="AD56">
        <f t="shared" si="28"/>
        <v>1.383507146871665E-2</v>
      </c>
      <c r="AE56">
        <f t="shared" si="29"/>
        <v>1.3662105716016875E-2</v>
      </c>
      <c r="AF56">
        <f t="shared" si="0"/>
        <v>8.4667493274085071E-2</v>
      </c>
      <c r="AG56">
        <f t="shared" si="1"/>
        <v>8.4667493274085071E-2</v>
      </c>
      <c r="AH56">
        <f t="shared" si="2"/>
        <v>8.4667493274085071E-2</v>
      </c>
      <c r="AI56">
        <f t="shared" si="3"/>
        <v>8.4667493274085071E-2</v>
      </c>
    </row>
    <row r="57" spans="1:35" x14ac:dyDescent="0.45">
      <c r="A57">
        <v>0.45</v>
      </c>
      <c r="B57">
        <f t="shared" si="4"/>
        <v>6.6251749760513867</v>
      </c>
      <c r="C57">
        <f t="shared" si="5"/>
        <v>2.1419121778036283</v>
      </c>
      <c r="D57">
        <f t="shared" si="6"/>
        <v>2.4658256922899739</v>
      </c>
      <c r="E57">
        <f t="shared" si="7"/>
        <v>-5.5542188871495721</v>
      </c>
      <c r="F57">
        <f t="shared" si="8"/>
        <v>1.2703945315423155</v>
      </c>
      <c r="G57">
        <f t="shared" si="9"/>
        <v>8.5676487112145132</v>
      </c>
      <c r="I57">
        <v>0.45</v>
      </c>
      <c r="J57">
        <f t="shared" si="10"/>
        <v>6.638776160607887</v>
      </c>
      <c r="K57">
        <f t="shared" si="11"/>
        <v>2.1243402426401734</v>
      </c>
      <c r="L57">
        <f t="shared" si="12"/>
        <v>2.4535618635630256</v>
      </c>
      <c r="M57">
        <f t="shared" si="13"/>
        <v>-5.5766060392878007E-2</v>
      </c>
      <c r="N57">
        <f t="shared" si="14"/>
        <v>-5.4984528267566952E-2</v>
      </c>
      <c r="O57">
        <f t="shared" si="15"/>
        <v>1.3279255540074537E-2</v>
      </c>
      <c r="P57">
        <f t="shared" si="16"/>
        <v>1.2371963926921295E-2</v>
      </c>
      <c r="Q57">
        <f t="shared" si="17"/>
        <v>8.4973609705606939E-2</v>
      </c>
      <c r="R57">
        <f t="shared" si="18"/>
        <v>8.5676487112145136E-2</v>
      </c>
      <c r="T57">
        <v>0.45</v>
      </c>
      <c r="U57">
        <f t="shared" si="19"/>
        <v>6.6364556227284703</v>
      </c>
      <c r="V57">
        <f t="shared" si="20"/>
        <v>2.1305216646186413</v>
      </c>
      <c r="W57">
        <f t="shared" si="21"/>
        <v>2.4462519458175525</v>
      </c>
      <c r="X57">
        <f t="shared" si="22"/>
        <v>-5.5711947904191497E-2</v>
      </c>
      <c r="Y57">
        <f t="shared" si="23"/>
        <v>-5.5433388164670541E-2</v>
      </c>
      <c r="Z57">
        <f t="shared" si="24"/>
        <v>-5.5434780963368145E-2</v>
      </c>
      <c r="AA57">
        <f t="shared" si="25"/>
        <v>-5.5157600094557821E-2</v>
      </c>
      <c r="AB57">
        <f t="shared" si="26"/>
        <v>1.3101514611818672E-2</v>
      </c>
      <c r="AC57">
        <f t="shared" si="27"/>
        <v>1.2937745679170939E-2</v>
      </c>
      <c r="AD57">
        <f t="shared" si="28"/>
        <v>1.2939792790829036E-2</v>
      </c>
      <c r="AE57">
        <f t="shared" si="29"/>
        <v>1.2778019792047939E-2</v>
      </c>
      <c r="AF57">
        <f t="shared" si="0"/>
        <v>8.5220866584745661E-2</v>
      </c>
      <c r="AG57">
        <f t="shared" si="1"/>
        <v>8.5220866584745661E-2</v>
      </c>
      <c r="AH57">
        <f t="shared" si="2"/>
        <v>8.5220866584745661E-2</v>
      </c>
      <c r="AI57">
        <f t="shared" si="3"/>
        <v>8.5220866584745661E-2</v>
      </c>
    </row>
    <row r="58" spans="1:35" x14ac:dyDescent="0.45">
      <c r="A58">
        <v>0.46</v>
      </c>
      <c r="B58">
        <f t="shared" si="4"/>
        <v>6.5696327871798914</v>
      </c>
      <c r="C58">
        <f t="shared" si="5"/>
        <v>2.1546161231190513</v>
      </c>
      <c r="D58">
        <f t="shared" si="6"/>
        <v>2.5515021794021191</v>
      </c>
      <c r="E58">
        <f t="shared" si="7"/>
        <v>-5.4923247256203656</v>
      </c>
      <c r="F58">
        <f t="shared" si="8"/>
        <v>1.183092479382263</v>
      </c>
      <c r="G58">
        <f t="shared" si="9"/>
        <v>8.6184644924762051</v>
      </c>
      <c r="I58">
        <v>0.46</v>
      </c>
      <c r="J58">
        <f t="shared" si="10"/>
        <v>6.5834008662776649</v>
      </c>
      <c r="K58">
        <f t="shared" si="11"/>
        <v>2.1371658523736712</v>
      </c>
      <c r="L58">
        <f t="shared" si="12"/>
        <v>2.5388869119719017</v>
      </c>
      <c r="M58">
        <f t="shared" si="13"/>
        <v>-5.5148179400908291E-2</v>
      </c>
      <c r="N58">
        <f t="shared" si="14"/>
        <v>-5.4371765462194577E-2</v>
      </c>
      <c r="O58">
        <f t="shared" si="15"/>
        <v>1.2404862353434867E-2</v>
      </c>
      <c r="P58">
        <f t="shared" si="16"/>
        <v>1.1520803234986757E-2</v>
      </c>
      <c r="Q58">
        <f t="shared" si="17"/>
        <v>8.5486634094946848E-2</v>
      </c>
      <c r="R58">
        <f t="shared" si="18"/>
        <v>8.6184644924762049E-2</v>
      </c>
      <c r="T58">
        <v>0.46</v>
      </c>
      <c r="U58">
        <f t="shared" si="19"/>
        <v>6.5810213083526659</v>
      </c>
      <c r="V58">
        <f t="shared" si="20"/>
        <v>2.143460766509286</v>
      </c>
      <c r="W58">
        <f t="shared" si="21"/>
        <v>2.5314728124022983</v>
      </c>
      <c r="X58">
        <f t="shared" si="22"/>
        <v>-5.5092909250980232E-2</v>
      </c>
      <c r="Y58">
        <f t="shared" si="23"/>
        <v>-5.4817444704725327E-2</v>
      </c>
      <c r="Z58">
        <f t="shared" si="24"/>
        <v>-5.481882202745661E-2</v>
      </c>
      <c r="AA58">
        <f t="shared" si="25"/>
        <v>-5.4544721030705665E-2</v>
      </c>
      <c r="AB58">
        <f t="shared" si="26"/>
        <v>1.2223693920794513E-2</v>
      </c>
      <c r="AC58">
        <f t="shared" si="27"/>
        <v>1.2070897746784581E-2</v>
      </c>
      <c r="AD58">
        <f t="shared" si="28"/>
        <v>1.2072807698959701E-2</v>
      </c>
      <c r="AE58">
        <f t="shared" si="29"/>
        <v>1.192187372832052E-2</v>
      </c>
      <c r="AF58">
        <f t="shared" si="0"/>
        <v>8.5738430660371442E-2</v>
      </c>
      <c r="AG58">
        <f t="shared" si="1"/>
        <v>8.5738430660371442E-2</v>
      </c>
      <c r="AH58">
        <f t="shared" si="2"/>
        <v>8.5738430660371442E-2</v>
      </c>
      <c r="AI58">
        <f t="shared" si="3"/>
        <v>8.5738430660371442E-2</v>
      </c>
    </row>
    <row r="59" spans="1:35" x14ac:dyDescent="0.45">
      <c r="A59">
        <v>0.47</v>
      </c>
      <c r="B59">
        <f t="shared" si="4"/>
        <v>6.5147095399236878</v>
      </c>
      <c r="C59">
        <f t="shared" si="5"/>
        <v>2.1664470479128739</v>
      </c>
      <c r="D59">
        <f t="shared" si="6"/>
        <v>2.637686824326881</v>
      </c>
      <c r="E59">
        <f t="shared" si="7"/>
        <v>-5.4314860159672511</v>
      </c>
      <c r="F59">
        <f t="shared" si="8"/>
        <v>1.0985919201415033</v>
      </c>
      <c r="G59">
        <f t="shared" si="9"/>
        <v>8.6657881916514956</v>
      </c>
      <c r="I59">
        <v>0.47</v>
      </c>
      <c r="J59">
        <f t="shared" si="10"/>
        <v>6.5286408938461138</v>
      </c>
      <c r="K59">
        <f t="shared" si="11"/>
        <v>2.1491286851678821</v>
      </c>
      <c r="L59">
        <f t="shared" si="12"/>
        <v>2.624722551481756</v>
      </c>
      <c r="M59">
        <f t="shared" si="13"/>
        <v>-5.4540765512621728E-2</v>
      </c>
      <c r="N59">
        <f t="shared" si="14"/>
        <v>-5.3769452504546296E-2</v>
      </c>
      <c r="O59">
        <f t="shared" si="15"/>
        <v>1.1558191809264082E-2</v>
      </c>
      <c r="P59">
        <f t="shared" si="16"/>
        <v>1.0696964406183432E-2</v>
      </c>
      <c r="Q59">
        <f t="shared" si="17"/>
        <v>8.5965147406715292E-2</v>
      </c>
      <c r="R59">
        <f t="shared" si="18"/>
        <v>8.6657881916514953E-2</v>
      </c>
      <c r="T59">
        <v>0.47</v>
      </c>
      <c r="U59">
        <f t="shared" si="19"/>
        <v>6.5262029477283239</v>
      </c>
      <c r="V59">
        <f t="shared" si="20"/>
        <v>2.1555329295993864</v>
      </c>
      <c r="W59">
        <f t="shared" si="21"/>
        <v>2.6172112430626697</v>
      </c>
      <c r="X59">
        <f t="shared" si="22"/>
        <v>-5.4484364829286307E-2</v>
      </c>
      <c r="Y59">
        <f t="shared" si="23"/>
        <v>-5.421194300513988E-2</v>
      </c>
      <c r="Z59">
        <f t="shared" si="24"/>
        <v>-5.4213305114260611E-2</v>
      </c>
      <c r="AA59">
        <f t="shared" si="25"/>
        <v>-5.3942231778143696E-2</v>
      </c>
      <c r="AB59">
        <f t="shared" si="26"/>
        <v>1.1373706237298577E-2</v>
      </c>
      <c r="AC59">
        <f t="shared" si="27"/>
        <v>1.1231534909332349E-2</v>
      </c>
      <c r="AD59">
        <f t="shared" si="28"/>
        <v>1.1233312050931926E-2</v>
      </c>
      <c r="AE59">
        <f t="shared" si="29"/>
        <v>1.109287343602528E-2</v>
      </c>
      <c r="AF59">
        <f t="shared" si="0"/>
        <v>8.6221317183975452E-2</v>
      </c>
      <c r="AG59">
        <f t="shared" si="1"/>
        <v>8.6221317183975452E-2</v>
      </c>
      <c r="AH59">
        <f t="shared" si="2"/>
        <v>8.6221317183975452E-2</v>
      </c>
      <c r="AI59">
        <f t="shared" si="3"/>
        <v>8.6221317183975452E-2</v>
      </c>
    </row>
    <row r="60" spans="1:35" x14ac:dyDescent="0.45">
      <c r="A60">
        <v>0.48</v>
      </c>
      <c r="B60">
        <f t="shared" si="4"/>
        <v>6.4603946797640157</v>
      </c>
      <c r="C60">
        <f t="shared" si="5"/>
        <v>2.1774329671142891</v>
      </c>
      <c r="D60">
        <f t="shared" si="6"/>
        <v>2.7243447062433961</v>
      </c>
      <c r="E60">
        <f t="shared" si="7"/>
        <v>-5.3716781962068714</v>
      </c>
      <c r="F60">
        <f t="shared" si="8"/>
        <v>1.0168122619782931</v>
      </c>
      <c r="G60">
        <f t="shared" si="9"/>
        <v>8.7097318684571565</v>
      </c>
      <c r="I60">
        <v>0.48</v>
      </c>
      <c r="J60">
        <f t="shared" si="10"/>
        <v>6.4744857848375297</v>
      </c>
      <c r="K60">
        <f t="shared" si="11"/>
        <v>2.1602562632756057</v>
      </c>
      <c r="L60">
        <f t="shared" si="12"/>
        <v>2.7110340661433714</v>
      </c>
      <c r="M60">
        <f t="shared" si="13"/>
        <v>-5.3943576531997266E-2</v>
      </c>
      <c r="N60">
        <f t="shared" si="14"/>
        <v>-5.3177346196748743E-2</v>
      </c>
      <c r="O60">
        <f t="shared" si="15"/>
        <v>1.0738451266485151E-2</v>
      </c>
      <c r="P60">
        <f t="shared" si="16"/>
        <v>9.8996613381208045E-3</v>
      </c>
      <c r="Q60">
        <f t="shared" si="17"/>
        <v>8.6410250531024232E-2</v>
      </c>
      <c r="R60">
        <f t="shared" si="18"/>
        <v>8.7097318684571573E-2</v>
      </c>
      <c r="T60">
        <v>0.48</v>
      </c>
      <c r="U60">
        <f t="shared" si="19"/>
        <v>6.4719900989206192</v>
      </c>
      <c r="V60">
        <f t="shared" si="20"/>
        <v>2.1667656418650285</v>
      </c>
      <c r="W60">
        <f t="shared" si="21"/>
        <v>2.7034325602466454</v>
      </c>
      <c r="X60">
        <f t="shared" si="22"/>
        <v>-5.3886072779881049E-2</v>
      </c>
      <c r="Y60">
        <f t="shared" si="23"/>
        <v>-5.3616642415981651E-2</v>
      </c>
      <c r="Z60">
        <f t="shared" si="24"/>
        <v>-5.3617989567801144E-2</v>
      </c>
      <c r="AA60">
        <f t="shared" si="25"/>
        <v>-5.334989288420304E-2</v>
      </c>
      <c r="AB60">
        <f t="shared" si="26"/>
        <v>1.0550759942580479E-2</v>
      </c>
      <c r="AC60">
        <f t="shared" si="27"/>
        <v>1.0418875443298231E-2</v>
      </c>
      <c r="AD60">
        <f t="shared" si="28"/>
        <v>1.042052399953926E-2</v>
      </c>
      <c r="AE60">
        <f t="shared" si="29"/>
        <v>1.0290246842592001E-2</v>
      </c>
      <c r="AF60">
        <f t="shared" si="0"/>
        <v>8.667062567460114E-2</v>
      </c>
      <c r="AG60">
        <f t="shared" si="1"/>
        <v>8.667062567460114E-2</v>
      </c>
      <c r="AH60">
        <f t="shared" si="2"/>
        <v>8.667062567460114E-2</v>
      </c>
      <c r="AI60">
        <f t="shared" si="3"/>
        <v>8.667062567460114E-2</v>
      </c>
    </row>
    <row r="61" spans="1:35" x14ac:dyDescent="0.45">
      <c r="A61">
        <v>0.49</v>
      </c>
      <c r="B61">
        <f t="shared" si="4"/>
        <v>6.4066778978019467</v>
      </c>
      <c r="C61">
        <f t="shared" si="5"/>
        <v>2.1876010897340721</v>
      </c>
      <c r="D61">
        <f t="shared" si="6"/>
        <v>2.8114420249279677</v>
      </c>
      <c r="E61">
        <f t="shared" si="7"/>
        <v>-5.3128773529349109</v>
      </c>
      <c r="F61">
        <f t="shared" si="8"/>
        <v>0.93767517346676676</v>
      </c>
      <c r="G61">
        <f t="shared" si="9"/>
        <v>8.7504043589362883</v>
      </c>
      <c r="I61">
        <v>0.49</v>
      </c>
      <c r="J61">
        <f t="shared" si="10"/>
        <v>6.4209253234731563</v>
      </c>
      <c r="K61">
        <f t="shared" si="11"/>
        <v>2.1705753195779085</v>
      </c>
      <c r="L61">
        <f t="shared" si="12"/>
        <v>2.7977878507511691</v>
      </c>
      <c r="M61">
        <f t="shared" si="13"/>
        <v>-5.3356376636842021E-2</v>
      </c>
      <c r="N61">
        <f t="shared" si="14"/>
        <v>-5.2595209762980696E-2</v>
      </c>
      <c r="O61">
        <f t="shared" si="15"/>
        <v>9.9448702452838503E-3</v>
      </c>
      <c r="P61">
        <f t="shared" si="16"/>
        <v>9.128129978535569E-3</v>
      </c>
      <c r="Q61">
        <f t="shared" si="17"/>
        <v>8.6823012783116341E-2</v>
      </c>
      <c r="R61">
        <f t="shared" si="18"/>
        <v>8.7504043589362882E-2</v>
      </c>
      <c r="T61">
        <v>0.49</v>
      </c>
      <c r="U61">
        <f t="shared" si="19"/>
        <v>6.4183725606486774</v>
      </c>
      <c r="V61">
        <f t="shared" si="20"/>
        <v>2.1771856094768363</v>
      </c>
      <c r="W61">
        <f t="shared" si="21"/>
        <v>2.7901031859212466</v>
      </c>
      <c r="X61">
        <f t="shared" si="22"/>
        <v>-5.3297797559102592E-2</v>
      </c>
      <c r="Y61">
        <f t="shared" si="23"/>
        <v>-5.3031308571307084E-2</v>
      </c>
      <c r="Z61">
        <f t="shared" si="24"/>
        <v>-5.3032641016246052E-2</v>
      </c>
      <c r="AA61">
        <f t="shared" si="25"/>
        <v>-5.2767471148940127E-2</v>
      </c>
      <c r="AB61">
        <f t="shared" si="26"/>
        <v>9.7540853695658666E-3</v>
      </c>
      <c r="AC61">
        <f t="shared" si="27"/>
        <v>9.6321593024462967E-3</v>
      </c>
      <c r="AD61">
        <f t="shared" si="28"/>
        <v>9.6336833782852873E-3</v>
      </c>
      <c r="AE61">
        <f t="shared" si="29"/>
        <v>9.5132432851087415E-3</v>
      </c>
      <c r="AF61">
        <f t="shared" si="0"/>
        <v>8.708742437907345E-2</v>
      </c>
      <c r="AG61">
        <f t="shared" si="1"/>
        <v>8.708742437907345E-2</v>
      </c>
      <c r="AH61">
        <f t="shared" si="2"/>
        <v>8.708742437907345E-2</v>
      </c>
      <c r="AI61">
        <f t="shared" si="3"/>
        <v>8.708742437907345E-2</v>
      </c>
    </row>
    <row r="62" spans="1:35" x14ac:dyDescent="0.45">
      <c r="A62">
        <v>0.5</v>
      </c>
      <c r="B62">
        <f t="shared" si="4"/>
        <v>6.3535491242725977</v>
      </c>
      <c r="C62">
        <f t="shared" si="5"/>
        <v>2.1969778414687395</v>
      </c>
      <c r="D62">
        <f t="shared" si="6"/>
        <v>2.8989460685173305</v>
      </c>
      <c r="E62">
        <f t="shared" si="7"/>
        <v>-5.2550602035382283</v>
      </c>
      <c r="F62">
        <f t="shared" si="8"/>
        <v>0.86110452060074927</v>
      </c>
      <c r="G62">
        <f t="shared" si="9"/>
        <v>8.7879113658749581</v>
      </c>
      <c r="I62">
        <v>0.5</v>
      </c>
      <c r="J62">
        <f t="shared" si="10"/>
        <v>6.3679495302732452</v>
      </c>
      <c r="K62">
        <f t="shared" si="11"/>
        <v>2.1801118196898184</v>
      </c>
      <c r="L62">
        <f t="shared" si="12"/>
        <v>2.8849513789374086</v>
      </c>
      <c r="M62">
        <f t="shared" si="13"/>
        <v>-5.277893620428336E-2</v>
      </c>
      <c r="N62">
        <f t="shared" si="14"/>
        <v>-5.2022812673339448E-2</v>
      </c>
      <c r="O62">
        <f t="shared" si="15"/>
        <v>9.1766998104869917E-3</v>
      </c>
      <c r="P62">
        <f t="shared" si="16"/>
        <v>8.3816277107453107E-3</v>
      </c>
      <c r="Q62">
        <f t="shared" si="17"/>
        <v>8.7204472787592732E-2</v>
      </c>
      <c r="R62">
        <f t="shared" si="18"/>
        <v>8.7879113658749577E-2</v>
      </c>
      <c r="T62">
        <v>0.5</v>
      </c>
      <c r="U62">
        <f t="shared" si="19"/>
        <v>6.3653403660014858</v>
      </c>
      <c r="V62">
        <f t="shared" si="20"/>
        <v>2.1868187784795259</v>
      </c>
      <c r="W62">
        <f t="shared" si="21"/>
        <v>2.8771906103003202</v>
      </c>
      <c r="X62">
        <f t="shared" si="22"/>
        <v>-5.2719309767617233E-2</v>
      </c>
      <c r="Y62">
        <f t="shared" si="23"/>
        <v>-5.2455713218779149E-2</v>
      </c>
      <c r="Z62">
        <f t="shared" si="24"/>
        <v>-5.2457031201523334E-2</v>
      </c>
      <c r="AA62">
        <f t="shared" si="25"/>
        <v>-5.2194739455601998E-2</v>
      </c>
      <c r="AB62">
        <f t="shared" si="26"/>
        <v>8.9829341980267163E-3</v>
      </c>
      <c r="AC62">
        <f t="shared" si="27"/>
        <v>8.87064752055137E-3</v>
      </c>
      <c r="AD62">
        <f t="shared" si="28"/>
        <v>8.8720511040198159E-3</v>
      </c>
      <c r="AE62">
        <f t="shared" si="29"/>
        <v>8.761132920426214E-3</v>
      </c>
      <c r="AF62">
        <f t="shared" si="0"/>
        <v>8.7472751139181043E-2</v>
      </c>
      <c r="AG62">
        <f t="shared" si="1"/>
        <v>8.7472751139181043E-2</v>
      </c>
      <c r="AH62">
        <f t="shared" si="2"/>
        <v>8.7472751139181043E-2</v>
      </c>
      <c r="AI62">
        <f t="shared" si="3"/>
        <v>8.7472751139181043E-2</v>
      </c>
    </row>
    <row r="63" spans="1:35" x14ac:dyDescent="0.45">
      <c r="A63">
        <v>0.51</v>
      </c>
      <c r="B63">
        <f t="shared" si="4"/>
        <v>6.3009985222372151</v>
      </c>
      <c r="C63">
        <f t="shared" si="5"/>
        <v>2.2055888866747471</v>
      </c>
      <c r="D63">
        <f t="shared" si="6"/>
        <v>2.9868251821760801</v>
      </c>
      <c r="E63">
        <f t="shared" si="7"/>
        <v>-5.1982040788998418</v>
      </c>
      <c r="F63">
        <f t="shared" si="8"/>
        <v>0.78702630555034769</v>
      </c>
      <c r="G63">
        <f t="shared" si="9"/>
        <v>8.8223555466989882</v>
      </c>
      <c r="I63">
        <v>0.51</v>
      </c>
      <c r="J63">
        <f t="shared" si="10"/>
        <v>6.3155486558344336</v>
      </c>
      <c r="K63">
        <f t="shared" si="11"/>
        <v>2.1888909834504346</v>
      </c>
      <c r="L63">
        <f t="shared" si="12"/>
        <v>2.9724931721605796</v>
      </c>
      <c r="M63">
        <f t="shared" si="13"/>
        <v>-5.2211031641092163E-2</v>
      </c>
      <c r="N63">
        <f t="shared" si="14"/>
        <v>-5.1459930472587498E-2</v>
      </c>
      <c r="O63">
        <f t="shared" si="15"/>
        <v>8.4332119720834705E-3</v>
      </c>
      <c r="P63">
        <f t="shared" si="16"/>
        <v>7.6594327562013835E-3</v>
      </c>
      <c r="Q63">
        <f t="shared" si="17"/>
        <v>8.7555639338017383E-2</v>
      </c>
      <c r="R63">
        <f t="shared" si="18"/>
        <v>8.8223555466989886E-2</v>
      </c>
      <c r="T63">
        <v>0.51</v>
      </c>
      <c r="U63">
        <f t="shared" si="19"/>
        <v>6.3128837763241821</v>
      </c>
      <c r="V63">
        <f t="shared" si="20"/>
        <v>2.1956903558741252</v>
      </c>
      <c r="W63">
        <f t="shared" si="21"/>
        <v>2.9646633614395013</v>
      </c>
      <c r="X63">
        <f t="shared" si="22"/>
        <v>-5.2150385983871193E-2</v>
      </c>
      <c r="Y63">
        <f t="shared" si="23"/>
        <v>-5.1889634053951833E-2</v>
      </c>
      <c r="Z63">
        <f t="shared" si="24"/>
        <v>-5.1890937813601434E-2</v>
      </c>
      <c r="AA63">
        <f t="shared" si="25"/>
        <v>-5.163147660573518E-2</v>
      </c>
      <c r="AB63">
        <f t="shared" si="26"/>
        <v>8.2365788663886878E-3</v>
      </c>
      <c r="AC63">
        <f t="shared" si="27"/>
        <v>8.1336216305588314E-3</v>
      </c>
      <c r="AD63">
        <f t="shared" si="28"/>
        <v>8.1349085960067142E-3</v>
      </c>
      <c r="AE63">
        <f t="shared" si="29"/>
        <v>8.0332061514885294E-3</v>
      </c>
      <c r="AF63">
        <f t="shared" si="0"/>
        <v>8.7827614234965004E-2</v>
      </c>
      <c r="AG63">
        <f t="shared" si="1"/>
        <v>8.7827614234965004E-2</v>
      </c>
      <c r="AH63">
        <f t="shared" si="2"/>
        <v>8.7827614234965004E-2</v>
      </c>
      <c r="AI63">
        <f t="shared" si="3"/>
        <v>8.7827614234965004E-2</v>
      </c>
    </row>
    <row r="64" spans="1:35" x14ac:dyDescent="0.45">
      <c r="A64">
        <v>0.52</v>
      </c>
      <c r="B64">
        <f t="shared" si="4"/>
        <v>6.2490164814482165</v>
      </c>
      <c r="C64">
        <f t="shared" si="5"/>
        <v>2.2134591497302507</v>
      </c>
      <c r="D64">
        <f t="shared" si="6"/>
        <v>3.07504873764307</v>
      </c>
      <c r="E64">
        <f t="shared" si="7"/>
        <v>-5.1422869065830916</v>
      </c>
      <c r="F64">
        <f t="shared" si="8"/>
        <v>0.71536860712259021</v>
      </c>
      <c r="G64">
        <f t="shared" si="9"/>
        <v>8.8538365989210028</v>
      </c>
      <c r="I64">
        <v>0.52</v>
      </c>
      <c r="J64">
        <f t="shared" si="10"/>
        <v>6.2637131747775934</v>
      </c>
      <c r="K64">
        <f t="shared" si="11"/>
        <v>2.1969373058145769</v>
      </c>
      <c r="L64">
        <f t="shared" si="12"/>
        <v>3.0603827695630832</v>
      </c>
      <c r="M64">
        <f t="shared" si="13"/>
        <v>-5.1652445218703047E-2</v>
      </c>
      <c r="N64">
        <f t="shared" si="14"/>
        <v>-5.0906344613643885E-2</v>
      </c>
      <c r="O64">
        <f t="shared" si="15"/>
        <v>7.713699102411509E-3</v>
      </c>
      <c r="P64">
        <f t="shared" si="16"/>
        <v>6.9608435936656136E-3</v>
      </c>
      <c r="Q64">
        <f t="shared" si="17"/>
        <v>8.7877492232583079E-2</v>
      </c>
      <c r="R64">
        <f t="shared" si="18"/>
        <v>8.8538365989210027E-2</v>
      </c>
      <c r="T64">
        <v>0.52</v>
      </c>
      <c r="U64">
        <f t="shared" si="19"/>
        <v>6.2609932752700637</v>
      </c>
      <c r="V64">
        <f t="shared" si="20"/>
        <v>2.2038248301192933</v>
      </c>
      <c r="W64">
        <f t="shared" si="21"/>
        <v>3.0524909756744663</v>
      </c>
      <c r="X64">
        <f t="shared" si="22"/>
        <v>-5.1590808602104174E-2</v>
      </c>
      <c r="Y64">
        <f t="shared" si="23"/>
        <v>-5.1332854559093651E-2</v>
      </c>
      <c r="Z64">
        <f t="shared" si="24"/>
        <v>-5.1334144329308704E-2</v>
      </c>
      <c r="AA64">
        <f t="shared" si="25"/>
        <v>-5.1077467158811091E-2</v>
      </c>
      <c r="AB64">
        <f t="shared" si="26"/>
        <v>7.5143119997183039E-3</v>
      </c>
      <c r="AC64">
        <f t="shared" si="27"/>
        <v>7.4203830997218306E-3</v>
      </c>
      <c r="AD64">
        <f t="shared" si="28"/>
        <v>7.4215572109717874E-3</v>
      </c>
      <c r="AE64">
        <f t="shared" si="29"/>
        <v>7.3287730694440081E-3</v>
      </c>
      <c r="AF64">
        <f t="shared" si="0"/>
        <v>8.815299320477174E-2</v>
      </c>
      <c r="AG64">
        <f t="shared" si="1"/>
        <v>8.815299320477174E-2</v>
      </c>
      <c r="AH64">
        <f t="shared" si="2"/>
        <v>8.815299320477174E-2</v>
      </c>
      <c r="AI64">
        <f t="shared" si="3"/>
        <v>8.815299320477174E-2</v>
      </c>
    </row>
    <row r="65" spans="1:35" x14ac:dyDescent="0.45">
      <c r="A65">
        <v>0.53</v>
      </c>
      <c r="B65">
        <f t="shared" si="4"/>
        <v>6.197593612382386</v>
      </c>
      <c r="C65">
        <f t="shared" si="5"/>
        <v>2.2206128358014765</v>
      </c>
      <c r="D65">
        <f t="shared" si="6"/>
        <v>3.1635871036322798</v>
      </c>
      <c r="E65">
        <f t="shared" si="7"/>
        <v>-5.0872871944816476</v>
      </c>
      <c r="F65">
        <f t="shared" si="8"/>
        <v>0.64606152287869456</v>
      </c>
      <c r="G65">
        <f t="shared" si="9"/>
        <v>8.882451343205906</v>
      </c>
      <c r="I65">
        <v>0.53</v>
      </c>
      <c r="J65">
        <f t="shared" si="10"/>
        <v>6.2124337798614198</v>
      </c>
      <c r="K65">
        <f t="shared" si="11"/>
        <v>2.2042745771626153</v>
      </c>
      <c r="L65">
        <f t="shared" si="12"/>
        <v>3.1485906986739796</v>
      </c>
      <c r="M65">
        <f t="shared" si="13"/>
        <v>-5.110296491280112E-2</v>
      </c>
      <c r="N65">
        <f t="shared" si="14"/>
        <v>-5.0361842295688464E-2</v>
      </c>
      <c r="O65">
        <f t="shared" si="15"/>
        <v>7.0174733695488106E-3</v>
      </c>
      <c r="P65">
        <f t="shared" si="16"/>
        <v>6.2851783945482255E-3</v>
      </c>
      <c r="Q65">
        <f t="shared" si="17"/>
        <v>8.8170983086504617E-2</v>
      </c>
      <c r="R65">
        <f t="shared" si="18"/>
        <v>8.8824513432059063E-2</v>
      </c>
      <c r="T65">
        <v>0.53</v>
      </c>
      <c r="U65">
        <f t="shared" si="19"/>
        <v>6.2096595630137772</v>
      </c>
      <c r="V65">
        <f t="shared" si="20"/>
        <v>2.211245991067718</v>
      </c>
      <c r="W65">
        <f t="shared" si="21"/>
        <v>3.140643968879238</v>
      </c>
      <c r="X65">
        <f t="shared" si="22"/>
        <v>-5.1040365674799179E-2</v>
      </c>
      <c r="Y65">
        <f t="shared" si="23"/>
        <v>-5.0785163846425181E-2</v>
      </c>
      <c r="Z65">
        <f t="shared" si="24"/>
        <v>-5.078643985556705E-2</v>
      </c>
      <c r="AA65">
        <f t="shared" si="25"/>
        <v>-5.0532501276243515E-2</v>
      </c>
      <c r="AB65">
        <f t="shared" si="26"/>
        <v>6.815445853444819E-3</v>
      </c>
      <c r="AC65">
        <f t="shared" si="27"/>
        <v>6.7302527802767641E-3</v>
      </c>
      <c r="AD65">
        <f t="shared" si="28"/>
        <v>6.731317693691361E-3</v>
      </c>
      <c r="AE65">
        <f t="shared" si="29"/>
        <v>6.6471629111025448E-3</v>
      </c>
      <c r="AF65">
        <f t="shared" si="0"/>
        <v>8.8449839642708722E-2</v>
      </c>
      <c r="AG65">
        <f t="shared" si="1"/>
        <v>8.8449839642708722E-2</v>
      </c>
      <c r="AH65">
        <f t="shared" si="2"/>
        <v>8.8449839642708722E-2</v>
      </c>
      <c r="AI65">
        <f t="shared" si="3"/>
        <v>8.8449839642708722E-2</v>
      </c>
    </row>
    <row r="66" spans="1:35" x14ac:dyDescent="0.45">
      <c r="A66">
        <v>0.54</v>
      </c>
      <c r="B66">
        <f t="shared" si="4"/>
        <v>6.1467207404375692</v>
      </c>
      <c r="C66">
        <f t="shared" si="5"/>
        <v>2.2270734510302637</v>
      </c>
      <c r="D66">
        <f t="shared" si="6"/>
        <v>3.2524116170643387</v>
      </c>
      <c r="E66">
        <f t="shared" si="7"/>
        <v>-5.0331840149224369</v>
      </c>
      <c r="F66">
        <f t="shared" si="8"/>
        <v>0.57903711286190962</v>
      </c>
      <c r="G66">
        <f t="shared" si="9"/>
        <v>8.9082938041210546</v>
      </c>
      <c r="I66">
        <v>0.54</v>
      </c>
      <c r="J66">
        <f t="shared" si="10"/>
        <v>6.1617013762571746</v>
      </c>
      <c r="K66">
        <f t="shared" si="11"/>
        <v>2.210925903044664</v>
      </c>
      <c r="L66">
        <f t="shared" si="12"/>
        <v>3.2370884469332615</v>
      </c>
      <c r="M66">
        <f t="shared" si="13"/>
        <v>-5.0562384247348428E-2</v>
      </c>
      <c r="N66">
        <f t="shared" si="14"/>
        <v>-4.9826216306750888E-2</v>
      </c>
      <c r="O66">
        <f t="shared" si="15"/>
        <v>6.3438661864551448E-3</v>
      </c>
      <c r="P66">
        <f t="shared" si="16"/>
        <v>5.6317744739577159E-3</v>
      </c>
      <c r="Q66">
        <f t="shared" si="17"/>
        <v>8.8437036121786564E-2</v>
      </c>
      <c r="R66">
        <f t="shared" si="18"/>
        <v>8.9082938041210549E-2</v>
      </c>
      <c r="T66">
        <v>0.54</v>
      </c>
      <c r="U66">
        <f t="shared" si="19"/>
        <v>6.1588735506212728</v>
      </c>
      <c r="V66">
        <f t="shared" si="20"/>
        <v>2.2179769493531318</v>
      </c>
      <c r="W66">
        <f t="shared" si="21"/>
        <v>3.2290938085219469</v>
      </c>
      <c r="X66">
        <f t="shared" si="22"/>
        <v>-5.0498850759447073E-2</v>
      </c>
      <c r="Y66">
        <f t="shared" si="23"/>
        <v>-5.0246356505649833E-2</v>
      </c>
      <c r="Z66">
        <f t="shared" si="24"/>
        <v>-5.0247618976918824E-2</v>
      </c>
      <c r="AA66">
        <f t="shared" si="25"/>
        <v>-4.9996374569677877E-2</v>
      </c>
      <c r="AB66">
        <f t="shared" si="26"/>
        <v>6.1393117723844348E-3</v>
      </c>
      <c r="AC66">
        <f t="shared" si="27"/>
        <v>6.0625703752296371E-3</v>
      </c>
      <c r="AD66">
        <f t="shared" si="28"/>
        <v>6.0635296426940592E-3</v>
      </c>
      <c r="AE66">
        <f t="shared" si="29"/>
        <v>5.9877235313170905E-3</v>
      </c>
      <c r="AF66">
        <f t="shared" si="0"/>
        <v>8.8719077974125274E-2</v>
      </c>
      <c r="AG66">
        <f t="shared" si="1"/>
        <v>8.8719077974125274E-2</v>
      </c>
      <c r="AH66">
        <f t="shared" si="2"/>
        <v>8.8719077974125274E-2</v>
      </c>
      <c r="AI66">
        <f t="shared" si="3"/>
        <v>8.8719077974125274E-2</v>
      </c>
    </row>
    <row r="67" spans="1:35" x14ac:dyDescent="0.45">
      <c r="A67">
        <v>0.55000000000000004</v>
      </c>
      <c r="B67">
        <f t="shared" si="4"/>
        <v>6.0963889002883445</v>
      </c>
      <c r="C67">
        <f t="shared" si="5"/>
        <v>2.2328638221588828</v>
      </c>
      <c r="D67">
        <f t="shared" si="6"/>
        <v>3.341494555105549</v>
      </c>
      <c r="E67">
        <f t="shared" si="7"/>
        <v>-4.9799569892089028</v>
      </c>
      <c r="F67">
        <f t="shared" si="8"/>
        <v>0.51422934489113725</v>
      </c>
      <c r="G67">
        <f t="shared" si="9"/>
        <v>8.9314552886355312</v>
      </c>
      <c r="I67">
        <v>0.55000000000000004</v>
      </c>
      <c r="J67">
        <f t="shared" si="10"/>
        <v>6.1115070759801249</v>
      </c>
      <c r="K67">
        <f t="shared" si="11"/>
        <v>2.2169137233748706</v>
      </c>
      <c r="L67">
        <f t="shared" si="12"/>
        <v>3.3258484340147598</v>
      </c>
      <c r="M67">
        <f t="shared" si="13"/>
        <v>-5.0030502142926897E-2</v>
      </c>
      <c r="N67">
        <f t="shared" si="14"/>
        <v>-4.9299264870659762E-2</v>
      </c>
      <c r="O67">
        <f t="shared" si="15"/>
        <v>5.6922276754294825E-3</v>
      </c>
      <c r="P67">
        <f t="shared" si="16"/>
        <v>4.999987757025641E-3</v>
      </c>
      <c r="Q67">
        <f t="shared" si="17"/>
        <v>8.8676548934994825E-2</v>
      </c>
      <c r="R67">
        <f t="shared" si="18"/>
        <v>8.9314552886355314E-2</v>
      </c>
      <c r="T67">
        <v>0.55000000000000004</v>
      </c>
      <c r="U67">
        <f t="shared" si="19"/>
        <v>6.1086263545722295</v>
      </c>
      <c r="V67">
        <f t="shared" si="20"/>
        <v>2.2240401552430566</v>
      </c>
      <c r="W67">
        <f t="shared" si="21"/>
        <v>3.3178128864960721</v>
      </c>
      <c r="X67">
        <f t="shared" si="22"/>
        <v>-4.9966062769507012E-2</v>
      </c>
      <c r="Y67">
        <f t="shared" si="23"/>
        <v>-4.9716232455659481E-2</v>
      </c>
      <c r="Z67">
        <f t="shared" si="24"/>
        <v>-4.9717481607228713E-2</v>
      </c>
      <c r="AA67">
        <f t="shared" si="25"/>
        <v>-4.9468887953434723E-2</v>
      </c>
      <c r="AB67">
        <f t="shared" si="26"/>
        <v>5.485259664645881E-3</v>
      </c>
      <c r="AC67">
        <f t="shared" si="27"/>
        <v>5.4166939188378116E-3</v>
      </c>
      <c r="AD67">
        <f t="shared" si="28"/>
        <v>5.4175509906604002E-3</v>
      </c>
      <c r="AE67">
        <f t="shared" si="29"/>
        <v>5.3498208898793732E-3</v>
      </c>
      <c r="AF67">
        <f t="shared" si="0"/>
        <v>8.8961606209722266E-2</v>
      </c>
      <c r="AG67">
        <f t="shared" si="1"/>
        <v>8.8961606209722266E-2</v>
      </c>
      <c r="AH67">
        <f t="shared" si="2"/>
        <v>8.8961606209722266E-2</v>
      </c>
      <c r="AI67">
        <f t="shared" si="3"/>
        <v>8.8961606209722266E-2</v>
      </c>
    </row>
    <row r="68" spans="1:35" x14ac:dyDescent="0.45">
      <c r="A68">
        <v>0.56000000000000005</v>
      </c>
      <c r="B68">
        <f t="shared" si="4"/>
        <v>6.0465893303962552</v>
      </c>
      <c r="C68">
        <f t="shared" si="5"/>
        <v>2.2380061156077939</v>
      </c>
      <c r="D68">
        <f t="shared" si="6"/>
        <v>3.4308091079919043</v>
      </c>
      <c r="E68">
        <f t="shared" si="7"/>
        <v>-4.9275862725923583</v>
      </c>
      <c r="F68">
        <f t="shared" si="8"/>
        <v>0.45157404137677037</v>
      </c>
      <c r="G68">
        <f t="shared" si="9"/>
        <v>8.9520244624311758</v>
      </c>
      <c r="I68">
        <v>0.56000000000000005</v>
      </c>
      <c r="J68">
        <f t="shared" si="10"/>
        <v>6.0618421924733319</v>
      </c>
      <c r="K68">
        <f t="shared" si="11"/>
        <v>2.2222598310910979</v>
      </c>
      <c r="L68">
        <f t="shared" si="12"/>
        <v>3.4148439849254348</v>
      </c>
      <c r="M68">
        <f t="shared" si="13"/>
        <v>-4.950712276927783E-2</v>
      </c>
      <c r="N68">
        <f t="shared" si="14"/>
        <v>-4.8780791498230808E-2</v>
      </c>
      <c r="O68">
        <f t="shared" si="15"/>
        <v>5.0619261474558735E-3</v>
      </c>
      <c r="P68">
        <f t="shared" si="16"/>
        <v>4.3891922600812986E-3</v>
      </c>
      <c r="Q68">
        <f t="shared" si="17"/>
        <v>8.8890393243643923E-2</v>
      </c>
      <c r="R68">
        <f t="shared" si="18"/>
        <v>8.9520244624311754E-2</v>
      </c>
      <c r="T68">
        <v>0.56000000000000005</v>
      </c>
      <c r="U68">
        <f t="shared" si="19"/>
        <v>6.0589092914307763</v>
      </c>
      <c r="V68">
        <f t="shared" si="20"/>
        <v>2.229457416971977</v>
      </c>
      <c r="W68">
        <f t="shared" si="21"/>
        <v>3.4067744927057944</v>
      </c>
      <c r="X68">
        <f t="shared" si="22"/>
        <v>-4.9441805829447877E-2</v>
      </c>
      <c r="Y68">
        <f t="shared" si="23"/>
        <v>-4.9194596800300638E-2</v>
      </c>
      <c r="Z68">
        <f t="shared" si="24"/>
        <v>-4.9195832845446381E-2</v>
      </c>
      <c r="AA68">
        <f t="shared" si="25"/>
        <v>-4.8949847500993418E-2</v>
      </c>
      <c r="AB68">
        <f t="shared" si="26"/>
        <v>4.8526574900083384E-3</v>
      </c>
      <c r="AC68">
        <f t="shared" si="27"/>
        <v>4.7919992713832292E-3</v>
      </c>
      <c r="AD68">
        <f t="shared" si="28"/>
        <v>4.7927574991160514E-3</v>
      </c>
      <c r="AE68">
        <f t="shared" si="29"/>
        <v>4.7328385525304386E-3</v>
      </c>
      <c r="AF68">
        <f t="shared" si="0"/>
        <v>8.9178296678879082E-2</v>
      </c>
      <c r="AG68">
        <f t="shared" si="1"/>
        <v>8.9178296678879082E-2</v>
      </c>
      <c r="AH68">
        <f t="shared" si="2"/>
        <v>8.9178296678879082E-2</v>
      </c>
      <c r="AI68">
        <f t="shared" si="3"/>
        <v>8.9178296678879082E-2</v>
      </c>
    </row>
    <row r="69" spans="1:35" x14ac:dyDescent="0.45">
      <c r="A69">
        <v>0.56999999999999995</v>
      </c>
      <c r="B69">
        <f t="shared" si="4"/>
        <v>5.9973134676703319</v>
      </c>
      <c r="C69">
        <f t="shared" si="5"/>
        <v>2.2425218560215616</v>
      </c>
      <c r="D69">
        <f t="shared" si="6"/>
        <v>3.520329352616216</v>
      </c>
      <c r="E69">
        <f t="shared" si="7"/>
        <v>-4.8760525396595513</v>
      </c>
      <c r="F69">
        <f t="shared" si="8"/>
        <v>0.39100882761642808</v>
      </c>
      <c r="G69">
        <f t="shared" si="9"/>
        <v>8.9700874240862465</v>
      </c>
      <c r="I69">
        <v>0.56999999999999995</v>
      </c>
      <c r="J69">
        <f t="shared" si="10"/>
        <v>6.0126982353395775</v>
      </c>
      <c r="K69">
        <f t="shared" si="11"/>
        <v>2.2269853902948666</v>
      </c>
      <c r="L69">
        <f t="shared" si="12"/>
        <v>3.5040493038594125</v>
      </c>
      <c r="M69">
        <f t="shared" si="13"/>
        <v>-4.899205540192144E-2</v>
      </c>
      <c r="N69">
        <f t="shared" si="14"/>
        <v>-4.8270604842576302E-2</v>
      </c>
      <c r="O69">
        <f t="shared" si="15"/>
        <v>4.4523475960241048E-3</v>
      </c>
      <c r="P69">
        <f t="shared" si="16"/>
        <v>3.7987795862636808E-3</v>
      </c>
      <c r="Q69">
        <f t="shared" si="17"/>
        <v>8.9079415611794666E-2</v>
      </c>
      <c r="R69">
        <f t="shared" si="18"/>
        <v>8.9700874240862469E-2</v>
      </c>
      <c r="T69">
        <v>0.56999999999999995</v>
      </c>
      <c r="U69">
        <f t="shared" si="19"/>
        <v>6.0097138726604538</v>
      </c>
      <c r="V69">
        <f t="shared" si="20"/>
        <v>2.2342499185692333</v>
      </c>
      <c r="W69">
        <f t="shared" si="21"/>
        <v>3.4959527893846736</v>
      </c>
      <c r="X69">
        <f t="shared" si="22"/>
        <v>-4.8925889133758373E-2</v>
      </c>
      <c r="Y69">
        <f t="shared" si="23"/>
        <v>-4.8681259688089576E-2</v>
      </c>
      <c r="Z69">
        <f t="shared" si="24"/>
        <v>-4.8682482835317925E-2</v>
      </c>
      <c r="AA69">
        <f t="shared" si="25"/>
        <v>-4.8439064305405191E-2</v>
      </c>
      <c r="AB69">
        <f t="shared" si="26"/>
        <v>4.2408907623737056E-3</v>
      </c>
      <c r="AC69">
        <f t="shared" si="27"/>
        <v>4.1878796278440331E-3</v>
      </c>
      <c r="AD69">
        <f t="shared" si="28"/>
        <v>4.1885422670256568E-3</v>
      </c>
      <c r="AE69">
        <f t="shared" si="29"/>
        <v>4.1361772056980684E-3</v>
      </c>
      <c r="AF69">
        <f t="shared" si="0"/>
        <v>8.9369996742769339E-2</v>
      </c>
      <c r="AG69">
        <f t="shared" si="1"/>
        <v>8.9369996742769339E-2</v>
      </c>
      <c r="AH69">
        <f t="shared" si="2"/>
        <v>8.9369996742769339E-2</v>
      </c>
      <c r="AI69">
        <f t="shared" si="3"/>
        <v>8.9369996742769339E-2</v>
      </c>
    </row>
    <row r="70" spans="1:35" x14ac:dyDescent="0.45">
      <c r="A70">
        <v>0.57999999999999996</v>
      </c>
      <c r="B70">
        <f t="shared" si="4"/>
        <v>5.9485529422737367</v>
      </c>
      <c r="C70">
        <f t="shared" si="5"/>
        <v>2.2464319442977261</v>
      </c>
      <c r="D70">
        <f t="shared" si="6"/>
        <v>3.6100302268570785</v>
      </c>
      <c r="E70">
        <f t="shared" si="7"/>
        <v>-4.8253369701248738</v>
      </c>
      <c r="F70">
        <f t="shared" si="8"/>
        <v>0.33247308152942168</v>
      </c>
      <c r="G70">
        <f t="shared" si="9"/>
        <v>8.9857277771909043</v>
      </c>
      <c r="I70">
        <v>0.57999999999999996</v>
      </c>
      <c r="J70">
        <f t="shared" si="10"/>
        <v>5.9640669052173285</v>
      </c>
      <c r="K70">
        <f t="shared" si="11"/>
        <v>2.2311109538860103</v>
      </c>
      <c r="L70">
        <f t="shared" si="12"/>
        <v>3.5934394487857411</v>
      </c>
      <c r="M70">
        <f t="shared" si="13"/>
        <v>-4.8485114282743227E-2</v>
      </c>
      <c r="N70">
        <f t="shared" si="14"/>
        <v>-4.7768518558421305E-2</v>
      </c>
      <c r="O70">
        <f t="shared" si="15"/>
        <v>3.8628952050230227E-3</v>
      </c>
      <c r="P70">
        <f t="shared" si="16"/>
        <v>3.2281584351686464E-3</v>
      </c>
      <c r="Q70">
        <f t="shared" si="17"/>
        <v>8.924443815544042E-2</v>
      </c>
      <c r="R70">
        <f t="shared" si="18"/>
        <v>8.985727777190905E-2</v>
      </c>
      <c r="T70">
        <v>0.57999999999999996</v>
      </c>
      <c r="U70">
        <f t="shared" si="19"/>
        <v>5.9610317995794571</v>
      </c>
      <c r="V70">
        <f t="shared" si="20"/>
        <v>2.2384382371955351</v>
      </c>
      <c r="W70">
        <f t="shared" si="21"/>
        <v>3.5853227861274428</v>
      </c>
      <c r="X70">
        <f t="shared" si="22"/>
        <v>-4.84181268098169E-2</v>
      </c>
      <c r="Y70">
        <f t="shared" si="23"/>
        <v>-4.8176036175767809E-2</v>
      </c>
      <c r="Z70">
        <f t="shared" si="24"/>
        <v>-4.8177246628938061E-2</v>
      </c>
      <c r="AA70">
        <f t="shared" si="25"/>
        <v>-4.7936354343527519E-2</v>
      </c>
      <c r="AB70">
        <f t="shared" si="26"/>
        <v>3.6493620659061943E-3</v>
      </c>
      <c r="AC70">
        <f t="shared" si="27"/>
        <v>3.6037450400823626E-3</v>
      </c>
      <c r="AD70">
        <f t="shared" si="28"/>
        <v>3.6043152529051702E-3</v>
      </c>
      <c r="AE70">
        <f t="shared" si="29"/>
        <v>3.5592541845835602E-3</v>
      </c>
      <c r="AF70">
        <f t="shared" si="0"/>
        <v>8.9537529487821413E-2</v>
      </c>
      <c r="AG70">
        <f t="shared" si="1"/>
        <v>8.9537529487821413E-2</v>
      </c>
      <c r="AH70">
        <f t="shared" si="2"/>
        <v>8.9537529487821413E-2</v>
      </c>
      <c r="AI70">
        <f t="shared" si="3"/>
        <v>8.9537529487821413E-2</v>
      </c>
    </row>
    <row r="71" spans="1:35" x14ac:dyDescent="0.45">
      <c r="A71">
        <v>0.59</v>
      </c>
      <c r="B71">
        <f t="shared" si="4"/>
        <v>5.9002995725724876</v>
      </c>
      <c r="C71">
        <f t="shared" si="5"/>
        <v>2.2497566751130202</v>
      </c>
      <c r="D71">
        <f t="shared" si="6"/>
        <v>3.6998875046289874</v>
      </c>
      <c r="E71">
        <f t="shared" si="7"/>
        <v>-4.7754212350159779</v>
      </c>
      <c r="F71">
        <f t="shared" si="8"/>
        <v>0.27590788478993744</v>
      </c>
      <c r="G71">
        <f t="shared" si="9"/>
        <v>8.999026700452081</v>
      </c>
      <c r="I71">
        <v>0.59</v>
      </c>
      <c r="J71">
        <f t="shared" si="10"/>
        <v>5.9159400887967459</v>
      </c>
      <c r="K71">
        <f t="shared" si="11"/>
        <v>2.2346564807061062</v>
      </c>
      <c r="L71">
        <f t="shared" si="12"/>
        <v>3.6829903067494159</v>
      </c>
      <c r="M71">
        <f t="shared" si="13"/>
        <v>-4.7986118484436936E-2</v>
      </c>
      <c r="N71">
        <f t="shared" si="14"/>
        <v>-4.7274351165315399E-2</v>
      </c>
      <c r="O71">
        <f t="shared" si="15"/>
        <v>3.2929888703148082E-3</v>
      </c>
      <c r="P71">
        <f t="shared" si="16"/>
        <v>2.6767541261415052E-3</v>
      </c>
      <c r="Q71">
        <f t="shared" si="17"/>
        <v>8.9386259228244253E-2</v>
      </c>
      <c r="R71">
        <f t="shared" si="18"/>
        <v>8.9990267004520813E-2</v>
      </c>
      <c r="T71">
        <v>0.59</v>
      </c>
      <c r="U71">
        <f t="shared" si="19"/>
        <v>5.9128549584523311</v>
      </c>
      <c r="V71">
        <f t="shared" si="20"/>
        <v>2.2420423600016126</v>
      </c>
      <c r="W71">
        <f t="shared" si="21"/>
        <v>3.6748603156152644</v>
      </c>
      <c r="X71">
        <f t="shared" si="22"/>
        <v>-4.791833778451525E-2</v>
      </c>
      <c r="Y71">
        <f t="shared" si="23"/>
        <v>-4.7678746095592674E-2</v>
      </c>
      <c r="Z71">
        <f t="shared" si="24"/>
        <v>-4.767994405403729E-2</v>
      </c>
      <c r="AA71">
        <f t="shared" si="25"/>
        <v>-4.7441538343974882E-2</v>
      </c>
      <c r="AB71">
        <f t="shared" si="26"/>
        <v>3.077490584482998E-3</v>
      </c>
      <c r="AC71">
        <f t="shared" si="27"/>
        <v>3.0390219521769612E-3</v>
      </c>
      <c r="AD71">
        <f t="shared" si="28"/>
        <v>3.0395028100807762E-3</v>
      </c>
      <c r="AE71">
        <f t="shared" si="29"/>
        <v>3.0015030142309753E-3</v>
      </c>
      <c r="AF71">
        <f t="shared" si="0"/>
        <v>8.9681694400064502E-2</v>
      </c>
      <c r="AG71">
        <f t="shared" si="1"/>
        <v>8.9681694400064502E-2</v>
      </c>
      <c r="AH71">
        <f t="shared" si="2"/>
        <v>8.9681694400064502E-2</v>
      </c>
      <c r="AI71">
        <f t="shared" si="3"/>
        <v>8.9681694400064502E-2</v>
      </c>
    </row>
    <row r="72" spans="1:35" x14ac:dyDescent="0.45">
      <c r="A72">
        <v>0.6</v>
      </c>
      <c r="B72">
        <f t="shared" si="4"/>
        <v>5.8525453602223276</v>
      </c>
      <c r="C72">
        <f t="shared" si="5"/>
        <v>2.2525157539609197</v>
      </c>
      <c r="D72">
        <f t="shared" si="6"/>
        <v>3.7898777716335084</v>
      </c>
      <c r="E72">
        <f t="shared" si="7"/>
        <v>-4.726287483241868</v>
      </c>
      <c r="F72">
        <f t="shared" si="8"/>
        <v>0.2212559753200285</v>
      </c>
      <c r="G72">
        <f t="shared" si="9"/>
        <v>9.010063015843679</v>
      </c>
      <c r="I72">
        <v>0.6</v>
      </c>
      <c r="J72">
        <f t="shared" si="10"/>
        <v>5.8683098539718701</v>
      </c>
      <c r="K72">
        <f t="shared" si="11"/>
        <v>2.2376413522043346</v>
      </c>
      <c r="L72">
        <f t="shared" si="12"/>
        <v>3.7726785698657985</v>
      </c>
      <c r="M72">
        <f t="shared" si="13"/>
        <v>-4.7494891778697028E-2</v>
      </c>
      <c r="N72">
        <f t="shared" si="14"/>
        <v>-4.6787925914631712E-2</v>
      </c>
      <c r="O72">
        <f t="shared" si="15"/>
        <v>2.7420647346103346E-3</v>
      </c>
      <c r="P72">
        <f t="shared" si="16"/>
        <v>2.1440081348350314E-3</v>
      </c>
      <c r="Q72">
        <f t="shared" si="17"/>
        <v>8.9505654088173389E-2</v>
      </c>
      <c r="R72">
        <f t="shared" si="18"/>
        <v>9.0100630158436792E-2</v>
      </c>
      <c r="T72">
        <v>0.6</v>
      </c>
      <c r="U72">
        <f t="shared" si="19"/>
        <v>5.865175415714373</v>
      </c>
      <c r="V72">
        <f t="shared" si="20"/>
        <v>2.2450817005221508</v>
      </c>
      <c r="W72">
        <f t="shared" si="21"/>
        <v>3.7645420100153291</v>
      </c>
      <c r="X72">
        <f t="shared" si="22"/>
        <v>-4.7426345654532971E-2</v>
      </c>
      <c r="Y72">
        <f t="shared" si="23"/>
        <v>-4.7189213926260312E-2</v>
      </c>
      <c r="Z72">
        <f t="shared" si="24"/>
        <v>-4.719039958490167E-2</v>
      </c>
      <c r="AA72">
        <f t="shared" si="25"/>
        <v>-4.6954441658683954E-2</v>
      </c>
      <c r="AB72">
        <f t="shared" si="26"/>
        <v>2.5247116440899565E-3</v>
      </c>
      <c r="AC72">
        <f t="shared" si="27"/>
        <v>2.4931527485388383E-3</v>
      </c>
      <c r="AD72">
        <f t="shared" si="28"/>
        <v>2.4935472347332242E-3</v>
      </c>
      <c r="AE72">
        <f t="shared" si="29"/>
        <v>2.4623729632216218E-3</v>
      </c>
      <c r="AF72">
        <f t="shared" si="0"/>
        <v>8.9803268020886035E-2</v>
      </c>
      <c r="AG72">
        <f t="shared" si="1"/>
        <v>8.9803268020886035E-2</v>
      </c>
      <c r="AH72">
        <f t="shared" si="2"/>
        <v>8.9803268020886035E-2</v>
      </c>
      <c r="AI72">
        <f t="shared" si="3"/>
        <v>8.9803268020886035E-2</v>
      </c>
    </row>
    <row r="73" spans="1:35" x14ac:dyDescent="0.45">
      <c r="A73">
        <v>0.61</v>
      </c>
      <c r="B73">
        <f t="shared" si="4"/>
        <v>5.8052824853899088</v>
      </c>
      <c r="C73">
        <f t="shared" si="5"/>
        <v>2.2547283137141201</v>
      </c>
      <c r="D73">
        <f t="shared" si="6"/>
        <v>3.879978401791945</v>
      </c>
      <c r="E73">
        <f t="shared" si="7"/>
        <v>-4.6779183285328489</v>
      </c>
      <c r="F73">
        <f t="shared" si="8"/>
        <v>0.16846170110460879</v>
      </c>
      <c r="G73">
        <f t="shared" si="9"/>
        <v>9.0189132548564803</v>
      </c>
      <c r="I73">
        <v>0.61</v>
      </c>
      <c r="J73">
        <f t="shared" si="10"/>
        <v>5.8211684451252061</v>
      </c>
      <c r="K73">
        <f t="shared" si="11"/>
        <v>2.2400843886390573</v>
      </c>
      <c r="L73">
        <f t="shared" si="12"/>
        <v>3.8624817119891035</v>
      </c>
      <c r="M73">
        <f t="shared" si="13"/>
        <v>-4.7011262508056768E-2</v>
      </c>
      <c r="N73">
        <f t="shared" si="14"/>
        <v>-4.6309070660247927E-2</v>
      </c>
      <c r="O73">
        <f t="shared" si="15"/>
        <v>2.2095747352756235E-3</v>
      </c>
      <c r="P73">
        <f t="shared" si="16"/>
        <v>1.6293776426642027E-3</v>
      </c>
      <c r="Q73">
        <f t="shared" si="17"/>
        <v>8.9603375545562289E-2</v>
      </c>
      <c r="R73">
        <f t="shared" si="18"/>
        <v>9.018913254856481E-2</v>
      </c>
      <c r="T73">
        <v>0.61</v>
      </c>
      <c r="U73">
        <f t="shared" si="19"/>
        <v>5.8179854133251165</v>
      </c>
      <c r="V73">
        <f t="shared" si="20"/>
        <v>2.2475751146177934</v>
      </c>
      <c r="W73">
        <f t="shared" si="21"/>
        <v>3.8543452780362153</v>
      </c>
      <c r="X73">
        <f t="shared" si="22"/>
        <v>-4.6941978560162197E-2</v>
      </c>
      <c r="Y73">
        <f t="shared" si="23"/>
        <v>-4.6707268667361385E-2</v>
      </c>
      <c r="Z73">
        <f t="shared" si="24"/>
        <v>-4.6708442216825387E-2</v>
      </c>
      <c r="AA73">
        <f t="shared" si="25"/>
        <v>-4.6474894137993938E-2</v>
      </c>
      <c r="AB73">
        <f t="shared" si="26"/>
        <v>1.9904762678063293E-3</v>
      </c>
      <c r="AC73">
        <f t="shared" si="27"/>
        <v>1.9655953144587456E-3</v>
      </c>
      <c r="AD73">
        <f t="shared" si="28"/>
        <v>1.9659063263756061E-3</v>
      </c>
      <c r="AE73">
        <f t="shared" si="29"/>
        <v>1.9413286096469486E-3</v>
      </c>
      <c r="AF73">
        <f t="shared" si="0"/>
        <v>8.9903004584711732E-2</v>
      </c>
      <c r="AG73">
        <f t="shared" si="1"/>
        <v>8.9903004584711732E-2</v>
      </c>
      <c r="AH73">
        <f t="shared" si="2"/>
        <v>8.9903004584711732E-2</v>
      </c>
      <c r="AI73">
        <f t="shared" si="3"/>
        <v>8.9903004584711732E-2</v>
      </c>
    </row>
    <row r="74" spans="1:35" x14ac:dyDescent="0.45">
      <c r="A74">
        <v>0.62</v>
      </c>
      <c r="B74">
        <f t="shared" si="4"/>
        <v>5.7585033021045806</v>
      </c>
      <c r="C74">
        <f t="shared" si="5"/>
        <v>2.2564129307251664</v>
      </c>
      <c r="D74">
        <f t="shared" si="6"/>
        <v>3.9701675343405096</v>
      </c>
      <c r="E74">
        <f t="shared" si="7"/>
        <v>-4.6302968367419979</v>
      </c>
      <c r="F74">
        <f t="shared" si="8"/>
        <v>0.11747097529166517</v>
      </c>
      <c r="G74">
        <f t="shared" si="9"/>
        <v>9.0256517229006654</v>
      </c>
      <c r="I74">
        <v>0.62</v>
      </c>
      <c r="J74">
        <f t="shared" si="10"/>
        <v>5.7745082785410542</v>
      </c>
      <c r="K74">
        <f t="shared" si="11"/>
        <v>2.2420038648280274</v>
      </c>
      <c r="L74">
        <f t="shared" si="12"/>
        <v>3.9523779660361669</v>
      </c>
      <c r="M74">
        <f t="shared" si="13"/>
        <v>-4.6535063461270398E-2</v>
      </c>
      <c r="N74">
        <f t="shared" si="14"/>
        <v>-4.5837617732807277E-2</v>
      </c>
      <c r="O74">
        <f t="shared" si="15"/>
        <v>1.6949861647098531E-3</v>
      </c>
      <c r="P74">
        <f t="shared" si="16"/>
        <v>1.1323350987988957E-3</v>
      </c>
      <c r="Q74">
        <f t="shared" si="17"/>
        <v>8.9680154593121092E-2</v>
      </c>
      <c r="R74">
        <f t="shared" si="18"/>
        <v>9.0256517229006655E-2</v>
      </c>
      <c r="T74">
        <v>0.62</v>
      </c>
      <c r="U74">
        <f t="shared" si="19"/>
        <v>5.7712773642473616</v>
      </c>
      <c r="V74">
        <f t="shared" si="20"/>
        <v>2.2495409159776472</v>
      </c>
      <c r="W74">
        <f t="shared" si="21"/>
        <v>3.9442482826209271</v>
      </c>
      <c r="X74">
        <f t="shared" si="22"/>
        <v>-4.6465069062585379E-2</v>
      </c>
      <c r="Y74">
        <f t="shared" si="23"/>
        <v>-4.6232743717272456E-2</v>
      </c>
      <c r="Z74">
        <f t="shared" si="24"/>
        <v>-4.6233905343999016E-2</v>
      </c>
      <c r="AA74">
        <f t="shared" si="25"/>
        <v>-4.6002730009145391E-2</v>
      </c>
      <c r="AB74">
        <f t="shared" si="26"/>
        <v>1.4742507430324371E-3</v>
      </c>
      <c r="AC74">
        <f t="shared" si="27"/>
        <v>1.4558226087445282E-3</v>
      </c>
      <c r="AD74">
        <f t="shared" si="28"/>
        <v>1.456052960423131E-3</v>
      </c>
      <c r="AE74">
        <f t="shared" si="29"/>
        <v>1.4378494190218571E-3</v>
      </c>
      <c r="AF74">
        <f t="shared" si="0"/>
        <v>8.9981636639105883E-2</v>
      </c>
      <c r="AG74">
        <f t="shared" si="1"/>
        <v>8.9981636639105883E-2</v>
      </c>
      <c r="AH74">
        <f t="shared" si="2"/>
        <v>8.9981636639105883E-2</v>
      </c>
      <c r="AI74">
        <f t="shared" si="3"/>
        <v>8.9981636639105883E-2</v>
      </c>
    </row>
    <row r="75" spans="1:35" x14ac:dyDescent="0.45">
      <c r="A75">
        <v>0.63</v>
      </c>
      <c r="B75">
        <f t="shared" si="4"/>
        <v>5.7122003337371607</v>
      </c>
      <c r="C75">
        <f t="shared" si="5"/>
        <v>2.257587640478083</v>
      </c>
      <c r="D75">
        <f t="shared" si="6"/>
        <v>4.060424051569516</v>
      </c>
      <c r="E75">
        <f t="shared" si="7"/>
        <v>-4.5834065134981188</v>
      </c>
      <c r="F75">
        <f t="shared" si="8"/>
        <v>6.8231232541952735E-2</v>
      </c>
      <c r="G75">
        <f t="shared" si="9"/>
        <v>9.0303505619123321</v>
      </c>
      <c r="I75">
        <v>0.63</v>
      </c>
      <c r="J75">
        <f t="shared" si="10"/>
        <v>5.7283219379440151</v>
      </c>
      <c r="K75">
        <f t="shared" si="11"/>
        <v>2.2434175254597819</v>
      </c>
      <c r="L75">
        <f t="shared" si="12"/>
        <v>4.042346301947231</v>
      </c>
      <c r="M75">
        <f t="shared" si="13"/>
        <v>-4.6066131752141241E-2</v>
      </c>
      <c r="N75">
        <f t="shared" si="14"/>
        <v>-4.5373403817459773E-2</v>
      </c>
      <c r="O75">
        <f t="shared" si="15"/>
        <v>1.1977812429456059E-3</v>
      </c>
      <c r="P75">
        <f t="shared" si="16"/>
        <v>6.5236779434588502E-4</v>
      </c>
      <c r="Q75">
        <f t="shared" si="17"/>
        <v>8.9736701018391277E-2</v>
      </c>
      <c r="R75">
        <f t="shared" si="18"/>
        <v>9.0303505619123328E-2</v>
      </c>
      <c r="T75">
        <v>0.63</v>
      </c>
      <c r="U75">
        <f t="shared" si="19"/>
        <v>5.7250438480483163</v>
      </c>
      <c r="V75">
        <f t="shared" si="20"/>
        <v>2.250996891194379</v>
      </c>
      <c r="W75">
        <f t="shared" si="21"/>
        <v>4.0342299192600333</v>
      </c>
      <c r="X75">
        <f t="shared" si="22"/>
        <v>-4.5995454024511266E-2</v>
      </c>
      <c r="Y75">
        <f t="shared" si="23"/>
        <v>-4.5765476754388711E-2</v>
      </c>
      <c r="Z75">
        <f t="shared" si="24"/>
        <v>-4.5766626640739327E-2</v>
      </c>
      <c r="AA75">
        <f t="shared" si="25"/>
        <v>-4.5537787758103868E-2</v>
      </c>
      <c r="AB75">
        <f t="shared" si="26"/>
        <v>9.7551620062368732E-4</v>
      </c>
      <c r="AC75">
        <f t="shared" si="27"/>
        <v>9.6332224811589205E-4</v>
      </c>
      <c r="AD75">
        <f t="shared" si="28"/>
        <v>9.6347467252224208E-4</v>
      </c>
      <c r="AE75">
        <f t="shared" si="29"/>
        <v>9.5142933381063164E-4</v>
      </c>
      <c r="AF75">
        <f t="shared" si="0"/>
        <v>9.0039875647775158E-2</v>
      </c>
      <c r="AG75">
        <f t="shared" si="1"/>
        <v>9.0039875647775158E-2</v>
      </c>
      <c r="AH75">
        <f t="shared" si="2"/>
        <v>9.0039875647775158E-2</v>
      </c>
      <c r="AI75">
        <f t="shared" si="3"/>
        <v>9.0039875647775158E-2</v>
      </c>
    </row>
    <row r="76" spans="1:35" x14ac:dyDescent="0.45">
      <c r="A76">
        <v>0.64</v>
      </c>
      <c r="B76">
        <f t="shared" si="4"/>
        <v>5.6663662686021796</v>
      </c>
      <c r="C76">
        <f t="shared" si="5"/>
        <v>2.2582699528035026</v>
      </c>
      <c r="D76">
        <f t="shared" si="6"/>
        <v>4.1507275571886391</v>
      </c>
      <c r="E76">
        <f t="shared" si="7"/>
        <v>-4.5372312922004285</v>
      </c>
      <c r="F76">
        <f t="shared" si="8"/>
        <v>2.0691386593423289E-2</v>
      </c>
      <c r="G76">
        <f t="shared" si="9"/>
        <v>9.0330798112140105</v>
      </c>
      <c r="I76">
        <v>0.64</v>
      </c>
      <c r="J76">
        <f t="shared" si="10"/>
        <v>5.6826021701592149</v>
      </c>
      <c r="K76">
        <f t="shared" si="11"/>
        <v>2.2443425999784274</v>
      </c>
      <c r="L76">
        <f t="shared" si="12"/>
        <v>4.1323664052659881</v>
      </c>
      <c r="M76">
        <f t="shared" si="13"/>
        <v>-4.5604308701700014E-2</v>
      </c>
      <c r="N76">
        <f t="shared" si="14"/>
        <v>-4.4916269834987289E-2</v>
      </c>
      <c r="O76">
        <f t="shared" si="15"/>
        <v>7.1745670213146267E-4</v>
      </c>
      <c r="P76">
        <f t="shared" si="16"/>
        <v>1.8897744838094254E-4</v>
      </c>
      <c r="Q76">
        <f t="shared" si="17"/>
        <v>8.9773703999137103E-2</v>
      </c>
      <c r="R76">
        <f t="shared" si="18"/>
        <v>9.0330798112140107E-2</v>
      </c>
      <c r="T76">
        <v>0.64</v>
      </c>
      <c r="U76">
        <f t="shared" si="19"/>
        <v>5.6792776066195048</v>
      </c>
      <c r="V76">
        <f t="shared" si="20"/>
        <v>2.251960314423664</v>
      </c>
      <c r="W76">
        <f t="shared" si="21"/>
        <v>4.1242697949078089</v>
      </c>
      <c r="X76">
        <f t="shared" si="22"/>
        <v>-4.5532974494076728E-2</v>
      </c>
      <c r="Y76">
        <f t="shared" si="23"/>
        <v>-4.5305309621606345E-2</v>
      </c>
      <c r="Z76">
        <f t="shared" si="24"/>
        <v>-4.5306447945968699E-2</v>
      </c>
      <c r="AA76">
        <f t="shared" si="25"/>
        <v>-4.5079910014617045E-2</v>
      </c>
      <c r="AB76">
        <f t="shared" si="26"/>
        <v>4.9376820560344649E-4</v>
      </c>
      <c r="AC76">
        <f t="shared" si="27"/>
        <v>4.8759610303340751E-4</v>
      </c>
      <c r="AD76">
        <f t="shared" si="28"/>
        <v>4.8767325431553488E-4</v>
      </c>
      <c r="AE76">
        <f t="shared" si="29"/>
        <v>4.8157637424555588E-4</v>
      </c>
      <c r="AF76">
        <f t="shared" si="0"/>
        <v>9.0078412576946557E-2</v>
      </c>
      <c r="AG76">
        <f t="shared" si="1"/>
        <v>9.0078412576946557E-2</v>
      </c>
      <c r="AH76">
        <f t="shared" si="2"/>
        <v>9.0078412576946557E-2</v>
      </c>
      <c r="AI76">
        <f t="shared" si="3"/>
        <v>9.0078412576946557E-2</v>
      </c>
    </row>
    <row r="77" spans="1:35" x14ac:dyDescent="0.45">
      <c r="A77">
        <v>0.65</v>
      </c>
      <c r="B77">
        <f t="shared" si="4"/>
        <v>5.6209939556801753</v>
      </c>
      <c r="C77">
        <f t="shared" si="5"/>
        <v>2.258476866669437</v>
      </c>
      <c r="D77">
        <f t="shared" si="6"/>
        <v>4.2410583553007788</v>
      </c>
      <c r="E77">
        <f t="shared" si="7"/>
        <v>-4.4917555223454571</v>
      </c>
      <c r="F77">
        <f t="shared" si="8"/>
        <v>-2.5198210993417014E-2</v>
      </c>
      <c r="G77">
        <f t="shared" si="9"/>
        <v>9.0339074666777481</v>
      </c>
      <c r="I77">
        <v>0.65</v>
      </c>
      <c r="J77">
        <f t="shared" si="10"/>
        <v>5.6373418808908715</v>
      </c>
      <c r="K77">
        <f t="shared" si="11"/>
        <v>2.2447958170536837</v>
      </c>
      <c r="L77">
        <f t="shared" si="12"/>
        <v>4.2224186563216266</v>
      </c>
      <c r="M77">
        <f t="shared" si="13"/>
        <v>-4.51494397236403E-2</v>
      </c>
      <c r="N77">
        <f t="shared" si="14"/>
        <v>-4.4466060826218172E-2</v>
      </c>
      <c r="O77">
        <f t="shared" si="15"/>
        <v>2.5352338256662499E-4</v>
      </c>
      <c r="P77">
        <f t="shared" si="16"/>
        <v>-2.5832019449833154E-4</v>
      </c>
      <c r="Q77">
        <f t="shared" si="17"/>
        <v>8.9791832682147354E-2</v>
      </c>
      <c r="R77">
        <f t="shared" si="18"/>
        <v>9.0339074666777486E-2</v>
      </c>
      <c r="T77">
        <v>0.65</v>
      </c>
      <c r="U77">
        <f t="shared" si="19"/>
        <v>5.6339715400121975</v>
      </c>
      <c r="V77">
        <f t="shared" si="20"/>
        <v>2.252447961639422</v>
      </c>
      <c r="W77">
        <f t="shared" si="21"/>
        <v>4.2143482074847558</v>
      </c>
      <c r="X77">
        <f t="shared" si="22"/>
        <v>-4.5077475591924862E-2</v>
      </c>
      <c r="Y77">
        <f t="shared" si="23"/>
        <v>-4.485208821396524E-2</v>
      </c>
      <c r="Z77">
        <f t="shared" si="24"/>
        <v>-4.4853215150855039E-2</v>
      </c>
      <c r="AA77">
        <f t="shared" si="25"/>
        <v>-4.4628943440416312E-2</v>
      </c>
      <c r="AB77">
        <f t="shared" si="26"/>
        <v>2.8516359136423477E-5</v>
      </c>
      <c r="AC77">
        <f t="shared" si="27"/>
        <v>2.815990464721807E-5</v>
      </c>
      <c r="AD77">
        <f t="shared" si="28"/>
        <v>2.8164360328339909E-5</v>
      </c>
      <c r="AE77">
        <f t="shared" si="29"/>
        <v>2.7812250128214091E-5</v>
      </c>
      <c r="AF77">
        <f t="shared" ref="AF77:AF140" si="30">0.01*2*$B$6*V77</f>
        <v>9.0097918465576882E-2</v>
      </c>
      <c r="AG77">
        <f t="shared" ref="AG77:AG140" si="31">0.01*(2*$B$6*V77)</f>
        <v>9.0097918465576882E-2</v>
      </c>
      <c r="AH77">
        <f t="shared" ref="AH77:AH140" si="32">0.01*(2*$B$6*V77)</f>
        <v>9.0097918465576882E-2</v>
      </c>
      <c r="AI77">
        <f t="shared" ref="AI77:AI140" si="33">0.01*(2*$B$6*V77)</f>
        <v>9.0097918465576882E-2</v>
      </c>
    </row>
    <row r="78" spans="1:35" x14ac:dyDescent="0.45">
      <c r="A78">
        <v>0.66</v>
      </c>
      <c r="B78">
        <f t="shared" ref="B78:B141" si="34">B77+0.01*E77</f>
        <v>5.5760764004567207</v>
      </c>
      <c r="C78">
        <f t="shared" ref="C78:C141" si="35">C77+0.01*F77</f>
        <v>2.2582248845595028</v>
      </c>
      <c r="D78">
        <f t="shared" ref="D78:D141" si="36">D77+0.01*G77</f>
        <v>4.3313974299675566</v>
      </c>
      <c r="E78">
        <f t="shared" ref="E78:E141" si="37">-$B$4*B78+$B$5*C78</f>
        <v>-4.4469639581769691</v>
      </c>
      <c r="F78">
        <f t="shared" ref="F78:F141" si="38">$B$4*B78-$B$5*C78-$B$6*C78</f>
        <v>-6.948581094203643E-2</v>
      </c>
      <c r="G78">
        <f t="shared" ref="G78:G141" si="39">2*$B$6*C78</f>
        <v>9.0328995382380111</v>
      </c>
      <c r="I78">
        <v>0.66</v>
      </c>
      <c r="J78">
        <f t="shared" ref="J78:J141" si="40">J77+0.5*(M77+N77)</f>
        <v>5.5925341306159426</v>
      </c>
      <c r="K78">
        <f t="shared" ref="K78:K141" si="41">K77+0.5*(O77+P77)</f>
        <v>2.2447934186477179</v>
      </c>
      <c r="L78">
        <f t="shared" ref="L78:L141" si="42">L77+0.5*(Q77+R77)</f>
        <v>4.3124841099960891</v>
      </c>
      <c r="M78">
        <f t="shared" ref="M78:M141" si="43">0.01*(-$B$4*J78+$B$5*K78)</f>
        <v>-4.4701374212920836E-2</v>
      </c>
      <c r="N78">
        <f t="shared" ref="N78:N141" si="44">0.01*(-$B$4*(B78+M78)+$B$5*C78)</f>
        <v>-4.4022625839640485E-2</v>
      </c>
      <c r="O78">
        <f t="shared" ref="O78:O141" si="45">0.01*($B$4*J78-$B$5*K78-$B$6*K78)</f>
        <v>-1.9449416003352481E-4</v>
      </c>
      <c r="P78">
        <f t="shared" ref="P78:P141" si="46">0.01*($B$4*B78-$B$5*(C78+O78)-$B$6*(C78+O78))</f>
        <v>-6.8999575541952576E-4</v>
      </c>
      <c r="Q78">
        <f t="shared" ref="Q78:Q141" si="47">0.01*2*$B$6*K78</f>
        <v>8.9791736745908721E-2</v>
      </c>
      <c r="R78">
        <f t="shared" ref="R78:R141" si="48">0.01*2*$B$6*C78</f>
        <v>9.0328995382380109E-2</v>
      </c>
      <c r="T78">
        <v>0.66</v>
      </c>
      <c r="U78">
        <f t="shared" ref="U78:U141" si="49">U77+(1/6)*(X77+2*Y77+2*Z77+AA77)</f>
        <v>5.5891187023852007</v>
      </c>
      <c r="V78">
        <f t="shared" ref="V78:V141" si="50">V77+(1/6)*(AB77+2*AC77+2*AD77+AE77)</f>
        <v>2.2524761244959581</v>
      </c>
      <c r="W78">
        <f t="shared" ref="W78:W141" si="51">W77+(1/6)*(AF77+2*AG77+2*AH77+AI77)</f>
        <v>4.3044461259503324</v>
      </c>
      <c r="X78">
        <f t="shared" ref="X78:X141" si="52">0.01*(-$B$4*U78+$B$5*V78)</f>
        <v>-4.462880640137222E-2</v>
      </c>
      <c r="Y78">
        <f t="shared" ref="Y78:Y141" si="53">0.01*(-$B$4*(U78+(X78/2))+$B$5*V78)</f>
        <v>-4.4405662369365356E-2</v>
      </c>
      <c r="Z78">
        <f t="shared" ref="Z78:Z141" si="54">0.01*(-$B$4*(U78+(Y78/2))+$B$5*V78)</f>
        <v>-4.4406778089525388E-2</v>
      </c>
      <c r="AA78">
        <f t="shared" ref="AA78:AA141" si="55">0.01*(-$B$4*(U78+Z78)+$B$5*V78)</f>
        <v>-4.4184738620476963E-2</v>
      </c>
      <c r="AB78">
        <f t="shared" ref="AB78:AB141" si="56">0.01*($B$4*U78-$B$5*V78-$B$6*V78)</f>
        <v>-4.2071608854694632E-4</v>
      </c>
      <c r="AC78">
        <f t="shared" ref="AC78:AC141" si="57">0.01*($B$4*U78-$B$5*(V78+AB78/2)-$B$6*(V78+AB78/2))</f>
        <v>-4.1545713744010725E-4</v>
      </c>
      <c r="AD78">
        <f t="shared" ref="AD78:AD141" si="58">0.01*($B$4*U78-$B$5*(V78+AC78/2)-$B$6*(V78+AC78/2))</f>
        <v>-4.155228743289463E-4</v>
      </c>
      <c r="AE78">
        <f t="shared" ref="AE78:AE141" si="59">0.01*($B$4*U78-$B$5*(V78+AD78)-$B$6*(V78+AD78))</f>
        <v>-4.1032801668872132E-4</v>
      </c>
      <c r="AF78">
        <f t="shared" si="30"/>
        <v>9.0099044979838325E-2</v>
      </c>
      <c r="AG78">
        <f t="shared" si="31"/>
        <v>9.0099044979838325E-2</v>
      </c>
      <c r="AH78">
        <f t="shared" si="32"/>
        <v>9.0099044979838325E-2</v>
      </c>
      <c r="AI78">
        <f t="shared" si="33"/>
        <v>9.0099044979838325E-2</v>
      </c>
    </row>
    <row r="79" spans="1:35" x14ac:dyDescent="0.45">
      <c r="A79">
        <v>0.67</v>
      </c>
      <c r="B79">
        <f t="shared" si="34"/>
        <v>5.5316067608749506</v>
      </c>
      <c r="C79">
        <f t="shared" si="35"/>
        <v>2.2575300264500826</v>
      </c>
      <c r="D79">
        <f t="shared" si="36"/>
        <v>4.4217264253499371</v>
      </c>
      <c r="E79">
        <f t="shared" si="37"/>
        <v>-4.4028417476499095</v>
      </c>
      <c r="F79">
        <f t="shared" si="38"/>
        <v>-0.11221830525025567</v>
      </c>
      <c r="G79">
        <f t="shared" si="39"/>
        <v>9.0301201058003304</v>
      </c>
      <c r="I79">
        <v>0.67</v>
      </c>
      <c r="J79">
        <f t="shared" si="40"/>
        <v>5.5481721305896619</v>
      </c>
      <c r="K79">
        <f t="shared" si="41"/>
        <v>2.2443511736899913</v>
      </c>
      <c r="L79">
        <f t="shared" si="42"/>
        <v>4.4025444760602337</v>
      </c>
      <c r="M79">
        <f t="shared" si="43"/>
        <v>-4.4259965437446668E-2</v>
      </c>
      <c r="N79">
        <f t="shared" si="44"/>
        <v>-4.3585817822124631E-2</v>
      </c>
      <c r="O79">
        <f t="shared" si="45"/>
        <v>-6.2705803635315866E-4</v>
      </c>
      <c r="P79">
        <f t="shared" si="46"/>
        <v>-1.1065066015937309E-3</v>
      </c>
      <c r="Q79">
        <f t="shared" si="47"/>
        <v>8.9774046947599648E-2</v>
      </c>
      <c r="R79">
        <f t="shared" si="48"/>
        <v>9.0301201058003308E-2</v>
      </c>
      <c r="T79">
        <v>0.67</v>
      </c>
      <c r="U79">
        <f t="shared" si="49"/>
        <v>5.5447122980619286</v>
      </c>
      <c r="V79">
        <f t="shared" si="50"/>
        <v>2.2520606238078291</v>
      </c>
      <c r="W79">
        <f t="shared" si="51"/>
        <v>4.3945451709301704</v>
      </c>
      <c r="X79">
        <f t="shared" si="52"/>
        <v>-4.4186819861580143E-2</v>
      </c>
      <c r="Y79">
        <f t="shared" si="53"/>
        <v>-4.3965885762272248E-2</v>
      </c>
      <c r="Z79">
        <f t="shared" si="54"/>
        <v>-4.3966990432768784E-2</v>
      </c>
      <c r="AA79">
        <f t="shared" si="55"/>
        <v>-4.3747149957252457E-2</v>
      </c>
      <c r="AB79">
        <f t="shared" si="56"/>
        <v>-8.5439261457644024E-4</v>
      </c>
      <c r="AC79">
        <f t="shared" si="57"/>
        <v>-8.4371270689423742E-4</v>
      </c>
      <c r="AD79">
        <f t="shared" si="58"/>
        <v>-8.4384620574026845E-4</v>
      </c>
      <c r="AE79">
        <f t="shared" si="59"/>
        <v>-8.3329645943293514E-4</v>
      </c>
      <c r="AF79">
        <f t="shared" si="30"/>
        <v>9.0082424952313167E-2</v>
      </c>
      <c r="AG79">
        <f t="shared" si="31"/>
        <v>9.0082424952313167E-2</v>
      </c>
      <c r="AH79">
        <f t="shared" si="32"/>
        <v>9.0082424952313167E-2</v>
      </c>
      <c r="AI79">
        <f t="shared" si="33"/>
        <v>9.0082424952313167E-2</v>
      </c>
    </row>
    <row r="80" spans="1:35" x14ac:dyDescent="0.45">
      <c r="A80">
        <v>0.68</v>
      </c>
      <c r="B80">
        <f t="shared" si="34"/>
        <v>5.487578343398452</v>
      </c>
      <c r="C80">
        <f t="shared" si="35"/>
        <v>2.25640784339758</v>
      </c>
      <c r="D80">
        <f t="shared" si="36"/>
        <v>4.5120276264079404</v>
      </c>
      <c r="E80">
        <f t="shared" si="37"/>
        <v>-4.3593744216996617</v>
      </c>
      <c r="F80">
        <f t="shared" si="38"/>
        <v>-0.15344126509549838</v>
      </c>
      <c r="G80">
        <f t="shared" si="39"/>
        <v>9.0256313735903202</v>
      </c>
      <c r="I80">
        <v>0.68</v>
      </c>
      <c r="J80">
        <f t="shared" si="40"/>
        <v>5.5042492389598765</v>
      </c>
      <c r="K80">
        <f t="shared" si="41"/>
        <v>2.2434843913710178</v>
      </c>
      <c r="L80">
        <f t="shared" si="42"/>
        <v>4.4925821000630348</v>
      </c>
      <c r="M80">
        <f t="shared" si="43"/>
        <v>-4.3825070432743675E-2</v>
      </c>
      <c r="N80">
        <f t="shared" si="44"/>
        <v>-4.3155493512669174E-2</v>
      </c>
      <c r="O80">
        <f t="shared" si="45"/>
        <v>-1.0446173946766812E-3</v>
      </c>
      <c r="P80">
        <f t="shared" si="46"/>
        <v>-1.5082972160880637E-3</v>
      </c>
      <c r="Q80">
        <f t="shared" si="47"/>
        <v>8.973937565484072E-2</v>
      </c>
      <c r="R80">
        <f t="shared" si="48"/>
        <v>9.0256313735903204E-2</v>
      </c>
      <c r="T80">
        <v>0.68</v>
      </c>
      <c r="U80">
        <f t="shared" si="49"/>
        <v>5.500745677693776</v>
      </c>
      <c r="V80">
        <f t="shared" si="50"/>
        <v>2.2512168226579492</v>
      </c>
      <c r="W80">
        <f t="shared" si="51"/>
        <v>4.4846275958824835</v>
      </c>
      <c r="X80">
        <f t="shared" si="52"/>
        <v>-4.3751372663648008E-2</v>
      </c>
      <c r="Y80">
        <f t="shared" si="53"/>
        <v>-4.3532615800329778E-2</v>
      </c>
      <c r="Z80">
        <f t="shared" si="54"/>
        <v>-4.3533709584646356E-2</v>
      </c>
      <c r="AA80">
        <f t="shared" si="55"/>
        <v>-4.3316035567801559E-2</v>
      </c>
      <c r="AB80">
        <f t="shared" si="56"/>
        <v>-1.2729637895109746E-3</v>
      </c>
      <c r="AC80">
        <f t="shared" si="57"/>
        <v>-1.2570517421420925E-3</v>
      </c>
      <c r="AD80">
        <f t="shared" si="58"/>
        <v>-1.2572506427341956E-3</v>
      </c>
      <c r="AE80">
        <f t="shared" si="59"/>
        <v>-1.2415325234426079E-3</v>
      </c>
      <c r="AF80">
        <f t="shared" si="30"/>
        <v>9.0048672906317975E-2</v>
      </c>
      <c r="AG80">
        <f t="shared" si="31"/>
        <v>9.0048672906317975E-2</v>
      </c>
      <c r="AH80">
        <f t="shared" si="32"/>
        <v>9.0048672906317975E-2</v>
      </c>
      <c r="AI80">
        <f t="shared" si="33"/>
        <v>9.0048672906317975E-2</v>
      </c>
    </row>
    <row r="81" spans="1:35" x14ac:dyDescent="0.45">
      <c r="A81">
        <v>0.69</v>
      </c>
      <c r="B81">
        <f t="shared" si="34"/>
        <v>5.4439845991814551</v>
      </c>
      <c r="C81">
        <f t="shared" si="35"/>
        <v>2.2548734307466249</v>
      </c>
      <c r="D81">
        <f t="shared" si="36"/>
        <v>4.6022839401438436</v>
      </c>
      <c r="E81">
        <f t="shared" si="37"/>
        <v>-4.316547883808143</v>
      </c>
      <c r="F81">
        <f t="shared" si="38"/>
        <v>-0.19319897768510685</v>
      </c>
      <c r="G81">
        <f t="shared" si="39"/>
        <v>9.0194937229864998</v>
      </c>
      <c r="I81">
        <v>0.69</v>
      </c>
      <c r="J81">
        <f t="shared" si="40"/>
        <v>5.4607589569871697</v>
      </c>
      <c r="K81">
        <f t="shared" si="41"/>
        <v>2.2422079340656356</v>
      </c>
      <c r="L81">
        <f t="shared" si="42"/>
        <v>4.5825799447584066</v>
      </c>
      <c r="M81">
        <f t="shared" si="43"/>
        <v>-4.3396549899543516E-2</v>
      </c>
      <c r="N81">
        <f t="shared" si="44"/>
        <v>-4.2731513339085987E-2</v>
      </c>
      <c r="O81">
        <f t="shared" si="45"/>
        <v>-1.4476087817691941E-3</v>
      </c>
      <c r="P81">
        <f t="shared" si="46"/>
        <v>-1.895799557306841E-3</v>
      </c>
      <c r="Q81">
        <f t="shared" si="47"/>
        <v>8.9688317362625419E-2</v>
      </c>
      <c r="R81">
        <f t="shared" si="48"/>
        <v>9.0194937229865005E-2</v>
      </c>
      <c r="T81">
        <v>0.69</v>
      </c>
      <c r="U81">
        <f t="shared" si="49"/>
        <v>5.4572123345268757</v>
      </c>
      <c r="V81">
        <f t="shared" si="50"/>
        <v>2.2499596391441647</v>
      </c>
      <c r="W81">
        <f t="shared" si="51"/>
        <v>4.5746762687888012</v>
      </c>
      <c r="X81">
        <f t="shared" si="52"/>
        <v>-4.3322325149547931E-2</v>
      </c>
      <c r="Y81">
        <f t="shared" si="53"/>
        <v>-4.3105713523800201E-2</v>
      </c>
      <c r="Z81">
        <f t="shared" si="54"/>
        <v>-4.3106796581928924E-2</v>
      </c>
      <c r="AA81">
        <f t="shared" si="55"/>
        <v>-4.2891257183728639E-2</v>
      </c>
      <c r="AB81">
        <f t="shared" si="56"/>
        <v>-1.676867633335366E-3</v>
      </c>
      <c r="AC81">
        <f t="shared" si="57"/>
        <v>-1.6559067879186706E-3</v>
      </c>
      <c r="AD81">
        <f t="shared" si="58"/>
        <v>-1.6561687984863749E-3</v>
      </c>
      <c r="AE81">
        <f t="shared" si="59"/>
        <v>-1.6354634133732039E-3</v>
      </c>
      <c r="AF81">
        <f t="shared" si="30"/>
        <v>8.9998385565766587E-2</v>
      </c>
      <c r="AG81">
        <f t="shared" si="31"/>
        <v>8.9998385565766587E-2</v>
      </c>
      <c r="AH81">
        <f t="shared" si="32"/>
        <v>8.9998385565766587E-2</v>
      </c>
      <c r="AI81">
        <f t="shared" si="33"/>
        <v>8.9998385565766587E-2</v>
      </c>
    </row>
    <row r="82" spans="1:35" x14ac:dyDescent="0.45">
      <c r="A82">
        <v>0.7</v>
      </c>
      <c r="B82">
        <f t="shared" si="34"/>
        <v>5.4008191203433737</v>
      </c>
      <c r="C82">
        <f t="shared" si="35"/>
        <v>2.2529414409697739</v>
      </c>
      <c r="D82">
        <f t="shared" si="36"/>
        <v>4.6924788773737083</v>
      </c>
      <c r="E82">
        <f t="shared" si="37"/>
        <v>-4.2743483998584866</v>
      </c>
      <c r="F82">
        <f t="shared" si="38"/>
        <v>-0.2315344820810612</v>
      </c>
      <c r="G82">
        <f t="shared" si="39"/>
        <v>9.0117657638790956</v>
      </c>
      <c r="I82">
        <v>0.7</v>
      </c>
      <c r="J82">
        <f t="shared" si="40"/>
        <v>5.4176949253678552</v>
      </c>
      <c r="K82">
        <f t="shared" si="41"/>
        <v>2.2405362298960974</v>
      </c>
      <c r="L82">
        <f t="shared" si="42"/>
        <v>4.6725215720546522</v>
      </c>
      <c r="M82">
        <f t="shared" si="43"/>
        <v>-4.297426810419807E-2</v>
      </c>
      <c r="N82">
        <f t="shared" si="44"/>
        <v>-4.2313741317542883E-2</v>
      </c>
      <c r="O82">
        <f t="shared" si="45"/>
        <v>-1.8364564937238814E-3</v>
      </c>
      <c r="P82">
        <f t="shared" si="46"/>
        <v>-2.2694334084675028E-3</v>
      </c>
      <c r="Q82">
        <f t="shared" si="47"/>
        <v>8.9621449195843902E-2</v>
      </c>
      <c r="R82">
        <f t="shared" si="48"/>
        <v>9.0117657638790954E-2</v>
      </c>
      <c r="T82">
        <v>0.7</v>
      </c>
      <c r="U82">
        <f t="shared" si="49"/>
        <v>5.4141059007694201</v>
      </c>
      <c r="V82">
        <f t="shared" si="50"/>
        <v>2.248303558774245</v>
      </c>
      <c r="W82">
        <f t="shared" si="51"/>
        <v>4.6646746543545676</v>
      </c>
      <c r="X82">
        <f t="shared" si="52"/>
        <v>-4.289954121382298E-2</v>
      </c>
      <c r="Y82">
        <f t="shared" si="53"/>
        <v>-4.2685043507753866E-2</v>
      </c>
      <c r="Z82">
        <f t="shared" si="54"/>
        <v>-4.2686115996284205E-2</v>
      </c>
      <c r="AA82">
        <f t="shared" si="55"/>
        <v>-4.2472680053860137E-2</v>
      </c>
      <c r="AB82">
        <f t="shared" si="56"/>
        <v>-2.0665299616619225E-3</v>
      </c>
      <c r="AC82">
        <f t="shared" si="57"/>
        <v>-2.0406983371411514E-3</v>
      </c>
      <c r="AD82">
        <f t="shared" si="58"/>
        <v>-2.0410212324476619E-3</v>
      </c>
      <c r="AE82">
        <f t="shared" si="59"/>
        <v>-2.0155044308507366E-3</v>
      </c>
      <c r="AF82">
        <f t="shared" si="30"/>
        <v>8.9932142350969801E-2</v>
      </c>
      <c r="AG82">
        <f t="shared" si="31"/>
        <v>8.9932142350969801E-2</v>
      </c>
      <c r="AH82">
        <f t="shared" si="32"/>
        <v>8.9932142350969801E-2</v>
      </c>
      <c r="AI82">
        <f t="shared" si="33"/>
        <v>8.9932142350969801E-2</v>
      </c>
    </row>
    <row r="83" spans="1:35" x14ac:dyDescent="0.45">
      <c r="A83">
        <v>0.71</v>
      </c>
      <c r="B83">
        <f t="shared" si="34"/>
        <v>5.3580756363447888</v>
      </c>
      <c r="C83">
        <f t="shared" si="35"/>
        <v>2.2506260961489635</v>
      </c>
      <c r="D83">
        <f t="shared" si="36"/>
        <v>4.782596535012499</v>
      </c>
      <c r="E83">
        <f t="shared" si="37"/>
        <v>-4.2327625882703073</v>
      </c>
      <c r="F83">
        <f t="shared" si="38"/>
        <v>-0.26848960402761968</v>
      </c>
      <c r="G83">
        <f t="shared" si="39"/>
        <v>9.0025043845958539</v>
      </c>
      <c r="I83">
        <v>0.71</v>
      </c>
      <c r="J83">
        <f t="shared" si="40"/>
        <v>5.3750509206569852</v>
      </c>
      <c r="K83">
        <f t="shared" si="41"/>
        <v>2.2384832849450018</v>
      </c>
      <c r="L83">
        <f t="shared" si="42"/>
        <v>4.7623911254719697</v>
      </c>
      <c r="M83">
        <f t="shared" si="43"/>
        <v>-4.2558092781844845E-2</v>
      </c>
      <c r="N83">
        <f t="shared" si="44"/>
        <v>-4.1902044954884622E-2</v>
      </c>
      <c r="O83">
        <f t="shared" si="45"/>
        <v>-2.2115729170551911E-3</v>
      </c>
      <c r="P83">
        <f t="shared" si="46"/>
        <v>-2.6296067173498193E-3</v>
      </c>
      <c r="Q83">
        <f t="shared" si="47"/>
        <v>8.953933139780007E-2</v>
      </c>
      <c r="R83">
        <f t="shared" si="48"/>
        <v>9.0025043845958538E-2</v>
      </c>
      <c r="T83">
        <v>0.71</v>
      </c>
      <c r="U83">
        <f t="shared" si="49"/>
        <v>5.3714201440567937</v>
      </c>
      <c r="V83">
        <f t="shared" si="50"/>
        <v>2.2462626465189635</v>
      </c>
      <c r="W83">
        <f t="shared" si="51"/>
        <v>4.7546067967055379</v>
      </c>
      <c r="X83">
        <f t="shared" si="52"/>
        <v>-4.2482888207973114E-2</v>
      </c>
      <c r="Y83">
        <f t="shared" si="53"/>
        <v>-4.2270473766933263E-2</v>
      </c>
      <c r="Z83">
        <f t="shared" si="54"/>
        <v>-4.2271535839138445E-2</v>
      </c>
      <c r="AA83">
        <f t="shared" si="55"/>
        <v>-4.2060172849581738E-2</v>
      </c>
      <c r="AB83">
        <f t="shared" si="56"/>
        <v>-2.4423647224061542E-3</v>
      </c>
      <c r="AC83">
        <f t="shared" si="57"/>
        <v>-2.4118351633760681E-3</v>
      </c>
      <c r="AD83">
        <f t="shared" si="58"/>
        <v>-2.4122167828639451E-3</v>
      </c>
      <c r="AE83">
        <f t="shared" si="59"/>
        <v>-2.382059302834554E-3</v>
      </c>
      <c r="AF83">
        <f t="shared" si="30"/>
        <v>8.9850505860758545E-2</v>
      </c>
      <c r="AG83">
        <f t="shared" si="31"/>
        <v>8.9850505860758545E-2</v>
      </c>
      <c r="AH83">
        <f t="shared" si="32"/>
        <v>8.9850505860758545E-2</v>
      </c>
      <c r="AI83">
        <f t="shared" si="33"/>
        <v>8.9850505860758545E-2</v>
      </c>
    </row>
    <row r="84" spans="1:35" x14ac:dyDescent="0.45">
      <c r="A84">
        <v>0.72</v>
      </c>
      <c r="B84">
        <f t="shared" si="34"/>
        <v>5.3157480104620856</v>
      </c>
      <c r="C84">
        <f t="shared" si="35"/>
        <v>2.2479412001086874</v>
      </c>
      <c r="D84">
        <f t="shared" si="36"/>
        <v>4.8726215788584577</v>
      </c>
      <c r="E84">
        <f t="shared" si="37"/>
        <v>-4.1917774104077417</v>
      </c>
      <c r="F84">
        <f t="shared" si="38"/>
        <v>-0.30410498980963308</v>
      </c>
      <c r="G84">
        <f t="shared" si="39"/>
        <v>8.9917648004347495</v>
      </c>
      <c r="I84">
        <v>0.72</v>
      </c>
      <c r="J84">
        <f t="shared" si="40"/>
        <v>5.3328208517886209</v>
      </c>
      <c r="K84">
        <f t="shared" si="41"/>
        <v>2.2360626951277993</v>
      </c>
      <c r="L84">
        <f t="shared" si="42"/>
        <v>4.8521733130938491</v>
      </c>
      <c r="M84">
        <f t="shared" si="43"/>
        <v>-4.214789504224721E-2</v>
      </c>
      <c r="N84">
        <f t="shared" si="44"/>
        <v>-4.1496295153654945E-2</v>
      </c>
      <c r="O84">
        <f t="shared" si="45"/>
        <v>-2.5733588603087743E-3</v>
      </c>
      <c r="P84">
        <f t="shared" si="46"/>
        <v>-2.9767159265886001E-3</v>
      </c>
      <c r="Q84">
        <f t="shared" si="47"/>
        <v>8.9442507805111968E-2</v>
      </c>
      <c r="R84">
        <f t="shared" si="48"/>
        <v>8.9917648004347497E-2</v>
      </c>
      <c r="T84">
        <v>0.72</v>
      </c>
      <c r="U84">
        <f t="shared" si="49"/>
        <v>5.3291489640118437</v>
      </c>
      <c r="V84">
        <f t="shared" si="50"/>
        <v>2.2438505585326767</v>
      </c>
      <c r="W84">
        <f t="shared" si="51"/>
        <v>4.8444573025662967</v>
      </c>
      <c r="X84">
        <f t="shared" si="52"/>
        <v>-4.2072236847455056E-2</v>
      </c>
      <c r="Y84">
        <f t="shared" si="53"/>
        <v>-4.1861875663217786E-2</v>
      </c>
      <c r="Z84">
        <f t="shared" si="54"/>
        <v>-4.1862927469138972E-2</v>
      </c>
      <c r="AA84">
        <f t="shared" si="55"/>
        <v>-4.1653607572763665E-2</v>
      </c>
      <c r="AB84">
        <f t="shared" si="56"/>
        <v>-2.8047743231984779E-3</v>
      </c>
      <c r="AC84">
        <f t="shared" si="57"/>
        <v>-2.7697146441584943E-3</v>
      </c>
      <c r="AD84">
        <f t="shared" si="58"/>
        <v>-2.7701528901464914E-3</v>
      </c>
      <c r="AE84">
        <f t="shared" si="59"/>
        <v>-2.7355205009448103E-3</v>
      </c>
      <c r="AF84">
        <f t="shared" si="30"/>
        <v>8.9754022341307069E-2</v>
      </c>
      <c r="AG84">
        <f t="shared" si="31"/>
        <v>8.9754022341307069E-2</v>
      </c>
      <c r="AH84">
        <f t="shared" si="32"/>
        <v>8.9754022341307069E-2</v>
      </c>
      <c r="AI84">
        <f t="shared" si="33"/>
        <v>8.9754022341307069E-2</v>
      </c>
    </row>
    <row r="85" spans="1:35" x14ac:dyDescent="0.45">
      <c r="A85">
        <v>0.73</v>
      </c>
      <c r="B85">
        <f t="shared" si="34"/>
        <v>5.2738302363580081</v>
      </c>
      <c r="C85">
        <f t="shared" si="35"/>
        <v>2.244900150210591</v>
      </c>
      <c r="D85">
        <f t="shared" si="36"/>
        <v>4.9625392268628055</v>
      </c>
      <c r="E85">
        <f t="shared" si="37"/>
        <v>-4.1513801612527121</v>
      </c>
      <c r="F85">
        <f t="shared" si="38"/>
        <v>-0.3384201391684698</v>
      </c>
      <c r="G85">
        <f t="shared" si="39"/>
        <v>8.9796006008423639</v>
      </c>
      <c r="I85">
        <v>0.73</v>
      </c>
      <c r="J85">
        <f t="shared" si="40"/>
        <v>5.2909987566906702</v>
      </c>
      <c r="K85">
        <f t="shared" si="41"/>
        <v>2.2332876577343508</v>
      </c>
      <c r="L85">
        <f t="shared" si="42"/>
        <v>4.9418533909985785</v>
      </c>
      <c r="M85">
        <f t="shared" si="43"/>
        <v>-4.1743549278234947E-2</v>
      </c>
      <c r="N85">
        <f t="shared" si="44"/>
        <v>-4.1096366119744786E-2</v>
      </c>
      <c r="O85">
        <f t="shared" si="45"/>
        <v>-2.9222038764520697E-3</v>
      </c>
      <c r="P85">
        <f t="shared" si="46"/>
        <v>-3.3111462947733906E-3</v>
      </c>
      <c r="Q85">
        <f t="shared" si="47"/>
        <v>8.9331506309374031E-2</v>
      </c>
      <c r="R85">
        <f t="shared" si="48"/>
        <v>8.9796006008423634E-2</v>
      </c>
      <c r="T85">
        <v>0.73</v>
      </c>
      <c r="U85">
        <f t="shared" si="49"/>
        <v>5.2872863888976882</v>
      </c>
      <c r="V85">
        <f t="shared" si="50"/>
        <v>2.2410805535505509</v>
      </c>
      <c r="W85">
        <f t="shared" si="51"/>
        <v>4.9342113249076034</v>
      </c>
      <c r="X85">
        <f t="shared" si="52"/>
        <v>-4.1667461121224124E-2</v>
      </c>
      <c r="Y85">
        <f t="shared" si="53"/>
        <v>-4.1459123815618011E-2</v>
      </c>
      <c r="Z85">
        <f t="shared" si="54"/>
        <v>-4.1460165502146033E-2</v>
      </c>
      <c r="AA85">
        <f t="shared" si="55"/>
        <v>-4.1252859466202663E-2</v>
      </c>
      <c r="AB85">
        <f t="shared" si="56"/>
        <v>-3.154149949786893E-3</v>
      </c>
      <c r="AC85">
        <f t="shared" si="57"/>
        <v>-3.1147230754145563E-3</v>
      </c>
      <c r="AD85">
        <f t="shared" si="58"/>
        <v>-3.1152159113442047E-3</v>
      </c>
      <c r="AE85">
        <f t="shared" si="59"/>
        <v>-3.0762695520032859E-3</v>
      </c>
      <c r="AF85">
        <f t="shared" si="30"/>
        <v>8.9643222142022042E-2</v>
      </c>
      <c r="AG85">
        <f t="shared" si="31"/>
        <v>8.9643222142022042E-2</v>
      </c>
      <c r="AH85">
        <f t="shared" si="32"/>
        <v>8.9643222142022042E-2</v>
      </c>
      <c r="AI85">
        <f t="shared" si="33"/>
        <v>8.9643222142022042E-2</v>
      </c>
    </row>
    <row r="86" spans="1:35" x14ac:dyDescent="0.45">
      <c r="A86">
        <v>0.74</v>
      </c>
      <c r="B86">
        <f t="shared" si="34"/>
        <v>5.2323164347454814</v>
      </c>
      <c r="C86">
        <f t="shared" si="35"/>
        <v>2.2415159488189063</v>
      </c>
      <c r="D86">
        <f t="shared" si="36"/>
        <v>5.0523352328712292</v>
      </c>
      <c r="E86">
        <f t="shared" si="37"/>
        <v>-4.1115584603360285</v>
      </c>
      <c r="F86">
        <f t="shared" si="38"/>
        <v>-0.37147343730178406</v>
      </c>
      <c r="G86">
        <f t="shared" si="39"/>
        <v>8.966063795275625</v>
      </c>
      <c r="I86">
        <v>0.74</v>
      </c>
      <c r="J86">
        <f t="shared" si="40"/>
        <v>5.2495787989916805</v>
      </c>
      <c r="K86">
        <f t="shared" si="41"/>
        <v>2.2301709826487381</v>
      </c>
      <c r="L86">
        <f t="shared" si="42"/>
        <v>5.0314171471574776</v>
      </c>
      <c r="M86">
        <f t="shared" si="43"/>
        <v>-4.1344933076673113E-2</v>
      </c>
      <c r="N86">
        <f t="shared" si="44"/>
        <v>-4.0702135272593552E-2</v>
      </c>
      <c r="O86">
        <f t="shared" si="45"/>
        <v>-3.2584865763016515E-3</v>
      </c>
      <c r="P86">
        <f t="shared" si="46"/>
        <v>-3.6332722086102986E-3</v>
      </c>
      <c r="Q86">
        <f t="shared" si="47"/>
        <v>8.9206839305949526E-2</v>
      </c>
      <c r="R86">
        <f t="shared" si="48"/>
        <v>8.966063795275625E-2</v>
      </c>
      <c r="T86">
        <v>0.74</v>
      </c>
      <c r="U86">
        <f t="shared" si="49"/>
        <v>5.2458265723605288</v>
      </c>
      <c r="V86">
        <f t="shared" si="50"/>
        <v>2.2379655039713331</v>
      </c>
      <c r="W86">
        <f t="shared" si="51"/>
        <v>5.0238545470496252</v>
      </c>
      <c r="X86">
        <f t="shared" si="52"/>
        <v>-4.1268438203748627E-2</v>
      </c>
      <c r="Y86">
        <f t="shared" si="53"/>
        <v>-4.1062096012729879E-2</v>
      </c>
      <c r="Z86">
        <f t="shared" si="54"/>
        <v>-4.1063127723684971E-2</v>
      </c>
      <c r="AA86">
        <f t="shared" si="55"/>
        <v>-4.0857806926511774E-2</v>
      </c>
      <c r="AB86">
        <f t="shared" si="56"/>
        <v>-3.4908718756780388E-3</v>
      </c>
      <c r="AC86">
        <f t="shared" si="57"/>
        <v>-3.4472359772320703E-3</v>
      </c>
      <c r="AD86">
        <f t="shared" si="58"/>
        <v>-3.447781425962635E-3</v>
      </c>
      <c r="AE86">
        <f t="shared" si="59"/>
        <v>-3.404677340028979E-3</v>
      </c>
      <c r="AF86">
        <f t="shared" si="30"/>
        <v>8.9518620158853326E-2</v>
      </c>
      <c r="AG86">
        <f t="shared" si="31"/>
        <v>8.9518620158853326E-2</v>
      </c>
      <c r="AH86">
        <f t="shared" si="32"/>
        <v>8.9518620158853326E-2</v>
      </c>
      <c r="AI86">
        <f t="shared" si="33"/>
        <v>8.9518620158853326E-2</v>
      </c>
    </row>
    <row r="87" spans="1:35" x14ac:dyDescent="0.45">
      <c r="A87">
        <v>0.75</v>
      </c>
      <c r="B87">
        <f t="shared" si="34"/>
        <v>5.1912008501421214</v>
      </c>
      <c r="C87">
        <f t="shared" si="35"/>
        <v>2.2378012144458883</v>
      </c>
      <c r="D87">
        <f t="shared" si="36"/>
        <v>5.141995870823985</v>
      </c>
      <c r="E87">
        <f t="shared" si="37"/>
        <v>-4.0723002429191775</v>
      </c>
      <c r="F87">
        <f t="shared" si="38"/>
        <v>-0.40330218597259915</v>
      </c>
      <c r="G87">
        <f t="shared" si="39"/>
        <v>8.9512048577835532</v>
      </c>
      <c r="I87">
        <v>0.75</v>
      </c>
      <c r="J87">
        <f t="shared" si="40"/>
        <v>5.208555264817047</v>
      </c>
      <c r="K87">
        <f t="shared" si="41"/>
        <v>2.2267251032562823</v>
      </c>
      <c r="L87">
        <f t="shared" si="42"/>
        <v>5.1208508857868305</v>
      </c>
      <c r="M87">
        <f t="shared" si="43"/>
        <v>-4.0951927131889061E-2</v>
      </c>
      <c r="N87">
        <f t="shared" si="44"/>
        <v>-4.0313483157872886E-2</v>
      </c>
      <c r="O87">
        <f t="shared" si="45"/>
        <v>-3.5825749332365842E-3</v>
      </c>
      <c r="P87">
        <f t="shared" si="46"/>
        <v>-3.9434574863950727E-3</v>
      </c>
      <c r="Q87">
        <f t="shared" si="47"/>
        <v>8.9069004130251289E-2</v>
      </c>
      <c r="R87">
        <f t="shared" si="48"/>
        <v>8.951204857783554E-2</v>
      </c>
      <c r="T87">
        <v>0.75</v>
      </c>
      <c r="U87">
        <f t="shared" si="49"/>
        <v>5.2047637902600137</v>
      </c>
      <c r="V87">
        <f t="shared" si="50"/>
        <v>2.2345179066343168</v>
      </c>
      <c r="W87">
        <f t="shared" si="51"/>
        <v>5.1133731672084783</v>
      </c>
      <c r="X87">
        <f t="shared" si="52"/>
        <v>-4.0875048369428554E-2</v>
      </c>
      <c r="Y87">
        <f t="shared" si="53"/>
        <v>-4.0670673127581408E-2</v>
      </c>
      <c r="Z87">
        <f t="shared" si="54"/>
        <v>-4.0671695003790649E-2</v>
      </c>
      <c r="AA87">
        <f t="shared" si="55"/>
        <v>-4.0468331419390643E-2</v>
      </c>
      <c r="AB87">
        <f t="shared" si="56"/>
        <v>-3.8153097632577814E-3</v>
      </c>
      <c r="AC87">
        <f t="shared" si="57"/>
        <v>-3.7676183912170561E-3</v>
      </c>
      <c r="AD87">
        <f t="shared" si="58"/>
        <v>-3.7682145333675712E-3</v>
      </c>
      <c r="AE87">
        <f t="shared" si="59"/>
        <v>-3.7211043999236006E-3</v>
      </c>
      <c r="AF87">
        <f t="shared" si="30"/>
        <v>8.9380716265372681E-2</v>
      </c>
      <c r="AG87">
        <f t="shared" si="31"/>
        <v>8.9380716265372681E-2</v>
      </c>
      <c r="AH87">
        <f t="shared" si="32"/>
        <v>8.9380716265372681E-2</v>
      </c>
      <c r="AI87">
        <f t="shared" si="33"/>
        <v>8.9380716265372681E-2</v>
      </c>
    </row>
    <row r="88" spans="1:35" x14ac:dyDescent="0.45">
      <c r="A88">
        <v>0.76</v>
      </c>
      <c r="B88">
        <f t="shared" si="34"/>
        <v>5.1504778477129296</v>
      </c>
      <c r="C88">
        <f t="shared" si="35"/>
        <v>2.2337681925861621</v>
      </c>
      <c r="D88">
        <f t="shared" si="36"/>
        <v>5.2315079194018201</v>
      </c>
      <c r="E88">
        <f t="shared" si="37"/>
        <v>-4.0335937514198488</v>
      </c>
      <c r="F88">
        <f t="shared" si="38"/>
        <v>-0.43394263375247544</v>
      </c>
      <c r="G88">
        <f t="shared" si="39"/>
        <v>8.9350727703446484</v>
      </c>
      <c r="I88">
        <v>0.76</v>
      </c>
      <c r="J88">
        <f t="shared" si="40"/>
        <v>5.1679225596721663</v>
      </c>
      <c r="K88">
        <f t="shared" si="41"/>
        <v>2.2229620870464664</v>
      </c>
      <c r="L88">
        <f t="shared" si="42"/>
        <v>5.2101414121408736</v>
      </c>
      <c r="M88">
        <f t="shared" si="43"/>
        <v>-4.0564415161489328E-2</v>
      </c>
      <c r="N88">
        <f t="shared" si="44"/>
        <v>-3.9930293362583601E-2</v>
      </c>
      <c r="O88">
        <f t="shared" si="45"/>
        <v>-3.8948265794399983E-3</v>
      </c>
      <c r="P88">
        <f t="shared" si="46"/>
        <v>-4.2420556730387565E-3</v>
      </c>
      <c r="Q88">
        <f t="shared" si="47"/>
        <v>8.8918483481858657E-2</v>
      </c>
      <c r="R88">
        <f t="shared" si="48"/>
        <v>8.9350727703446486E-2</v>
      </c>
      <c r="T88">
        <v>0.76</v>
      </c>
      <c r="U88">
        <f t="shared" si="49"/>
        <v>5.1640924375847534</v>
      </c>
      <c r="V88">
        <f t="shared" si="50"/>
        <v>2.2307498932989249</v>
      </c>
      <c r="W88">
        <f t="shared" si="51"/>
        <v>5.2027538834738509</v>
      </c>
      <c r="X88">
        <f t="shared" si="52"/>
        <v>-4.0487174909352906E-2</v>
      </c>
      <c r="Y88">
        <f t="shared" si="53"/>
        <v>-4.0284739034806151E-2</v>
      </c>
      <c r="Z88">
        <f t="shared" si="54"/>
        <v>-4.0285751214178871E-2</v>
      </c>
      <c r="AA88">
        <f t="shared" si="55"/>
        <v>-4.0084317397211126E-2</v>
      </c>
      <c r="AB88">
        <f t="shared" si="56"/>
        <v>-4.1278229566255927E-3</v>
      </c>
      <c r="AC88">
        <f t="shared" si="57"/>
        <v>-4.0762251696677687E-3</v>
      </c>
      <c r="AD88">
        <f t="shared" si="58"/>
        <v>-4.0768701420047472E-3</v>
      </c>
      <c r="AE88">
        <f t="shared" si="59"/>
        <v>-4.0259012030754706E-3</v>
      </c>
      <c r="AF88">
        <f t="shared" si="30"/>
        <v>8.9229995731957001E-2</v>
      </c>
      <c r="AG88">
        <f t="shared" si="31"/>
        <v>8.9229995731957001E-2</v>
      </c>
      <c r="AH88">
        <f t="shared" si="32"/>
        <v>8.9229995731957001E-2</v>
      </c>
      <c r="AI88">
        <f t="shared" si="33"/>
        <v>8.9229995731957001E-2</v>
      </c>
    </row>
    <row r="89" spans="1:35" x14ac:dyDescent="0.45">
      <c r="A89">
        <v>0.77</v>
      </c>
      <c r="B89">
        <f t="shared" si="34"/>
        <v>5.1101419101987311</v>
      </c>
      <c r="C89">
        <f t="shared" si="35"/>
        <v>2.2294287662486374</v>
      </c>
      <c r="D89">
        <f t="shared" si="36"/>
        <v>5.3208586471052666</v>
      </c>
      <c r="E89">
        <f t="shared" si="37"/>
        <v>-3.9954275270744124</v>
      </c>
      <c r="F89">
        <f t="shared" si="38"/>
        <v>-0.46343000542286239</v>
      </c>
      <c r="G89">
        <f t="shared" si="39"/>
        <v>8.9177150649945496</v>
      </c>
      <c r="I89">
        <v>0.77</v>
      </c>
      <c r="J89">
        <f t="shared" si="40"/>
        <v>5.1276752054101298</v>
      </c>
      <c r="K89">
        <f t="shared" si="41"/>
        <v>2.2188936459202271</v>
      </c>
      <c r="L89">
        <f t="shared" si="42"/>
        <v>5.2992760177335265</v>
      </c>
      <c r="M89">
        <f t="shared" si="43"/>
        <v>-4.0182283824500162E-2</v>
      </c>
      <c r="N89">
        <f t="shared" si="44"/>
        <v>-3.9552452432499122E-2</v>
      </c>
      <c r="O89">
        <f t="shared" si="45"/>
        <v>-4.1955890939043795E-3</v>
      </c>
      <c r="P89">
        <f t="shared" si="46"/>
        <v>-4.529410326881012E-3</v>
      </c>
      <c r="Q89">
        <f t="shared" si="47"/>
        <v>8.8755745836809091E-2</v>
      </c>
      <c r="R89">
        <f t="shared" si="48"/>
        <v>8.9177150649945497E-2</v>
      </c>
      <c r="T89">
        <v>0.77</v>
      </c>
      <c r="U89">
        <f t="shared" si="49"/>
        <v>5.123807025450664</v>
      </c>
      <c r="V89">
        <f t="shared" si="50"/>
        <v>2.2266732408350838</v>
      </c>
      <c r="W89">
        <f t="shared" si="51"/>
        <v>5.2919838792058078</v>
      </c>
      <c r="X89">
        <f t="shared" si="52"/>
        <v>-4.0104704050331223E-2</v>
      </c>
      <c r="Y89">
        <f t="shared" si="53"/>
        <v>-3.9904180530079575E-2</v>
      </c>
      <c r="Z89">
        <f t="shared" si="54"/>
        <v>-3.9905183147680823E-2</v>
      </c>
      <c r="AA89">
        <f t="shared" si="55"/>
        <v>-3.9705652218854415E-2</v>
      </c>
      <c r="AB89">
        <f t="shared" si="56"/>
        <v>-4.4287607663704518E-3</v>
      </c>
      <c r="AC89">
        <f t="shared" si="57"/>
        <v>-4.3734012567908211E-3</v>
      </c>
      <c r="AD89">
        <f t="shared" si="58"/>
        <v>-4.3740932506605738E-3</v>
      </c>
      <c r="AE89">
        <f t="shared" si="59"/>
        <v>-4.3194084351039488E-3</v>
      </c>
      <c r="AF89">
        <f t="shared" si="30"/>
        <v>8.9066929633403347E-2</v>
      </c>
      <c r="AG89">
        <f t="shared" si="31"/>
        <v>8.9066929633403347E-2</v>
      </c>
      <c r="AH89">
        <f t="shared" si="32"/>
        <v>8.9066929633403347E-2</v>
      </c>
      <c r="AI89">
        <f t="shared" si="33"/>
        <v>8.9066929633403347E-2</v>
      </c>
    </row>
    <row r="90" spans="1:35" x14ac:dyDescent="0.45">
      <c r="A90">
        <v>0.78</v>
      </c>
      <c r="B90">
        <f t="shared" si="34"/>
        <v>5.0701876349279873</v>
      </c>
      <c r="C90">
        <f t="shared" si="35"/>
        <v>2.2247944661944086</v>
      </c>
      <c r="D90">
        <f t="shared" si="36"/>
        <v>5.4100357977552118</v>
      </c>
      <c r="E90">
        <f t="shared" si="37"/>
        <v>-3.957790401830783</v>
      </c>
      <c r="F90">
        <f t="shared" si="38"/>
        <v>-0.49179853055803413</v>
      </c>
      <c r="G90">
        <f t="shared" si="39"/>
        <v>8.8991778647776343</v>
      </c>
      <c r="I90">
        <v>0.78</v>
      </c>
      <c r="J90">
        <f t="shared" si="40"/>
        <v>5.0878078372816304</v>
      </c>
      <c r="K90">
        <f t="shared" si="41"/>
        <v>2.2145311462098345</v>
      </c>
      <c r="L90">
        <f t="shared" si="42"/>
        <v>5.3882424659769041</v>
      </c>
      <c r="M90">
        <f t="shared" si="43"/>
        <v>-3.9805422641767133E-2</v>
      </c>
      <c r="N90">
        <f t="shared" si="44"/>
        <v>-3.917984979189016E-2</v>
      </c>
      <c r="O90">
        <f t="shared" si="45"/>
        <v>-4.485200282429558E-3</v>
      </c>
      <c r="P90">
        <f t="shared" si="46"/>
        <v>-4.8058552985196018E-3</v>
      </c>
      <c r="Q90">
        <f t="shared" si="47"/>
        <v>8.8581245848393386E-2</v>
      </c>
      <c r="R90">
        <f t="shared" si="48"/>
        <v>8.899177864777634E-2</v>
      </c>
      <c r="T90">
        <v>0.78</v>
      </c>
      <c r="U90">
        <f t="shared" si="49"/>
        <v>5.0839021781798799</v>
      </c>
      <c r="V90">
        <f t="shared" si="50"/>
        <v>2.2222993811323541</v>
      </c>
      <c r="W90">
        <f t="shared" si="51"/>
        <v>5.3810508088392108</v>
      </c>
      <c r="X90">
        <f t="shared" si="52"/>
        <v>-3.9727524876137031E-2</v>
      </c>
      <c r="Y90">
        <f t="shared" si="53"/>
        <v>-3.9528887251756351E-2</v>
      </c>
      <c r="Z90">
        <f t="shared" si="54"/>
        <v>-3.9529880439878248E-2</v>
      </c>
      <c r="AA90">
        <f t="shared" si="55"/>
        <v>-3.9332226071738245E-2</v>
      </c>
      <c r="AB90">
        <f t="shared" si="56"/>
        <v>-4.7184627465100531E-3</v>
      </c>
      <c r="AC90">
        <f t="shared" si="57"/>
        <v>-4.6594819621786779E-3</v>
      </c>
      <c r="AD90">
        <f t="shared" si="58"/>
        <v>-4.6602192219828177E-3</v>
      </c>
      <c r="AE90">
        <f t="shared" si="59"/>
        <v>-4.6019572659604883E-3</v>
      </c>
      <c r="AF90">
        <f t="shared" si="30"/>
        <v>8.8891975245294172E-2</v>
      </c>
      <c r="AG90">
        <f t="shared" si="31"/>
        <v>8.8891975245294172E-2</v>
      </c>
      <c r="AH90">
        <f t="shared" si="32"/>
        <v>8.8891975245294172E-2</v>
      </c>
      <c r="AI90">
        <f t="shared" si="33"/>
        <v>8.8891975245294172E-2</v>
      </c>
    </row>
    <row r="91" spans="1:35" x14ac:dyDescent="0.45">
      <c r="A91">
        <v>0.79</v>
      </c>
      <c r="B91">
        <f t="shared" si="34"/>
        <v>5.0306097309096796</v>
      </c>
      <c r="C91">
        <f t="shared" si="35"/>
        <v>2.2198764808888281</v>
      </c>
      <c r="D91">
        <f t="shared" si="36"/>
        <v>5.4990275764029883</v>
      </c>
      <c r="E91">
        <f t="shared" si="37"/>
        <v>-3.9206714904652653</v>
      </c>
      <c r="F91">
        <f t="shared" si="38"/>
        <v>-0.5190814713123908</v>
      </c>
      <c r="G91">
        <f t="shared" si="39"/>
        <v>8.8795059235553122</v>
      </c>
      <c r="I91">
        <v>0.79</v>
      </c>
      <c r="J91">
        <f t="shared" si="40"/>
        <v>5.0483152010648018</v>
      </c>
      <c r="K91">
        <f t="shared" si="41"/>
        <v>2.20988561841936</v>
      </c>
      <c r="L91">
        <f t="shared" si="42"/>
        <v>5.4770289782249888</v>
      </c>
      <c r="M91">
        <f t="shared" si="43"/>
        <v>-3.9433723918551218E-2</v>
      </c>
      <c r="N91">
        <f t="shared" si="44"/>
        <v>-3.8812377665467135E-2</v>
      </c>
      <c r="O91">
        <f t="shared" si="45"/>
        <v>-4.7639884498359829E-3</v>
      </c>
      <c r="P91">
        <f t="shared" si="46"/>
        <v>-5.07171500187801E-3</v>
      </c>
      <c r="Q91">
        <f t="shared" si="47"/>
        <v>8.8395424736774406E-2</v>
      </c>
      <c r="R91">
        <f t="shared" si="48"/>
        <v>8.8795059235553128E-2</v>
      </c>
      <c r="T91">
        <v>0.79</v>
      </c>
      <c r="U91">
        <f t="shared" si="49"/>
        <v>5.0443726304580228</v>
      </c>
      <c r="V91">
        <f t="shared" si="50"/>
        <v>2.217639410735555</v>
      </c>
      <c r="W91">
        <f t="shared" si="51"/>
        <v>5.4699427840845054</v>
      </c>
      <c r="X91">
        <f t="shared" si="52"/>
        <v>-3.9355529250902452E-2</v>
      </c>
      <c r="Y91">
        <f t="shared" si="53"/>
        <v>-3.9158751604647934E-2</v>
      </c>
      <c r="Z91">
        <f t="shared" si="54"/>
        <v>-3.9159735492879218E-2</v>
      </c>
      <c r="AA91">
        <f t="shared" si="55"/>
        <v>-3.8963931895973657E-2</v>
      </c>
      <c r="AB91">
        <f t="shared" si="56"/>
        <v>-4.9972589638086484E-3</v>
      </c>
      <c r="AC91">
        <f t="shared" si="57"/>
        <v>-4.9347932267610342E-3</v>
      </c>
      <c r="AD91">
        <f t="shared" si="58"/>
        <v>-4.9355740484741343E-3</v>
      </c>
      <c r="AE91">
        <f t="shared" si="59"/>
        <v>-4.873869612596793E-3</v>
      </c>
      <c r="AF91">
        <f t="shared" si="30"/>
        <v>8.87055764294222E-2</v>
      </c>
      <c r="AG91">
        <f t="shared" si="31"/>
        <v>8.87055764294222E-2</v>
      </c>
      <c r="AH91">
        <f t="shared" si="32"/>
        <v>8.87055764294222E-2</v>
      </c>
      <c r="AI91">
        <f t="shared" si="33"/>
        <v>8.87055764294222E-2</v>
      </c>
    </row>
    <row r="92" spans="1:35" x14ac:dyDescent="0.45">
      <c r="A92">
        <v>0.8</v>
      </c>
      <c r="B92">
        <f t="shared" si="34"/>
        <v>4.9914030160050267</v>
      </c>
      <c r="C92">
        <f t="shared" si="35"/>
        <v>2.2146856661757042</v>
      </c>
      <c r="D92">
        <f t="shared" si="36"/>
        <v>5.5878226356385419</v>
      </c>
      <c r="E92">
        <f t="shared" si="37"/>
        <v>-3.8840601829171746</v>
      </c>
      <c r="F92">
        <f t="shared" si="38"/>
        <v>-0.54531114943423376</v>
      </c>
      <c r="G92">
        <f t="shared" si="39"/>
        <v>8.8587426647028167</v>
      </c>
      <c r="I92">
        <v>0.8</v>
      </c>
      <c r="J92">
        <f t="shared" si="40"/>
        <v>5.009192150272793</v>
      </c>
      <c r="K92">
        <f t="shared" si="41"/>
        <v>2.2049677666935033</v>
      </c>
      <c r="L92">
        <f t="shared" si="42"/>
        <v>5.565624220211153</v>
      </c>
      <c r="M92">
        <f t="shared" si="43"/>
        <v>-3.9067082669260414E-2</v>
      </c>
      <c r="N92">
        <f t="shared" si="44"/>
        <v>-3.8449931002479149E-2</v>
      </c>
      <c r="O92">
        <f t="shared" si="45"/>
        <v>-5.032272664609652E-3</v>
      </c>
      <c r="P92">
        <f t="shared" si="46"/>
        <v>-5.3273046777271025E-3</v>
      </c>
      <c r="Q92">
        <f t="shared" si="47"/>
        <v>8.8198710667740127E-2</v>
      </c>
      <c r="R92">
        <f t="shared" si="48"/>
        <v>8.8587426647028164E-2</v>
      </c>
      <c r="T92">
        <v>0.8</v>
      </c>
      <c r="U92">
        <f t="shared" si="49"/>
        <v>5.0052132245677008</v>
      </c>
      <c r="V92">
        <f t="shared" si="50"/>
        <v>2.2127041002144092</v>
      </c>
      <c r="W92">
        <f t="shared" si="51"/>
        <v>5.5586483605139279</v>
      </c>
      <c r="X92">
        <f t="shared" si="52"/>
        <v>-3.898861174460496E-2</v>
      </c>
      <c r="Y92">
        <f t="shared" si="53"/>
        <v>-3.8793668685881938E-2</v>
      </c>
      <c r="Z92">
        <f t="shared" si="54"/>
        <v>-3.8794643401175548E-2</v>
      </c>
      <c r="AA92">
        <f t="shared" si="55"/>
        <v>-3.860066531059321E-2</v>
      </c>
      <c r="AB92">
        <f t="shared" si="56"/>
        <v>-5.265470259683225E-3</v>
      </c>
      <c r="AC92">
        <f t="shared" si="57"/>
        <v>-5.1996518814371841E-3</v>
      </c>
      <c r="AD92">
        <f t="shared" si="58"/>
        <v>-5.2004746111652626E-3</v>
      </c>
      <c r="AE92">
        <f t="shared" si="59"/>
        <v>-5.1354583944040891E-3</v>
      </c>
      <c r="AF92">
        <f t="shared" si="30"/>
        <v>8.8508164008576376E-2</v>
      </c>
      <c r="AG92">
        <f t="shared" si="31"/>
        <v>8.8508164008576376E-2</v>
      </c>
      <c r="AH92">
        <f t="shared" si="32"/>
        <v>8.8508164008576376E-2</v>
      </c>
      <c r="AI92">
        <f t="shared" si="33"/>
        <v>8.8508164008576376E-2</v>
      </c>
    </row>
    <row r="93" spans="1:35" x14ac:dyDescent="0.45">
      <c r="A93">
        <v>0.81</v>
      </c>
      <c r="B93">
        <f t="shared" si="34"/>
        <v>4.9525624141758549</v>
      </c>
      <c r="C93">
        <f t="shared" si="35"/>
        <v>2.2092325546813618</v>
      </c>
      <c r="D93">
        <f t="shared" si="36"/>
        <v>5.6764100622855702</v>
      </c>
      <c r="E93">
        <f t="shared" si="37"/>
        <v>-3.8479461368351737</v>
      </c>
      <c r="F93">
        <f t="shared" si="38"/>
        <v>-0.57051897252754991</v>
      </c>
      <c r="G93">
        <f t="shared" si="39"/>
        <v>8.8369302187254473</v>
      </c>
      <c r="I93">
        <v>0.81</v>
      </c>
      <c r="J93">
        <f t="shared" si="40"/>
        <v>4.9704336434369232</v>
      </c>
      <c r="K93">
        <f t="shared" si="41"/>
        <v>2.1997879780223348</v>
      </c>
      <c r="L93">
        <f t="shared" si="42"/>
        <v>5.6540172888685367</v>
      </c>
      <c r="M93">
        <f t="shared" si="43"/>
        <v>-3.8705396544257559E-2</v>
      </c>
      <c r="N93">
        <f t="shared" si="44"/>
        <v>-3.8092407402909166E-2</v>
      </c>
      <c r="O93">
        <f t="shared" si="45"/>
        <v>-5.2903630161891388E-3</v>
      </c>
      <c r="P93">
        <f t="shared" si="46"/>
        <v>-5.5729306498707668E-3</v>
      </c>
      <c r="Q93">
        <f t="shared" si="47"/>
        <v>8.7991519120893397E-2</v>
      </c>
      <c r="R93">
        <f t="shared" si="48"/>
        <v>8.8369302187254473E-2</v>
      </c>
      <c r="T93">
        <v>0.81</v>
      </c>
      <c r="U93">
        <f t="shared" si="49"/>
        <v>4.9664189076961485</v>
      </c>
      <c r="V93">
        <f t="shared" si="50"/>
        <v>2.2075039032745272</v>
      </c>
      <c r="W93">
        <f t="shared" si="51"/>
        <v>5.6471565245225044</v>
      </c>
      <c r="X93">
        <f t="shared" si="52"/>
        <v>-3.8626669560588849E-2</v>
      </c>
      <c r="Y93">
        <f t="shared" si="53"/>
        <v>-3.8433536212785904E-2</v>
      </c>
      <c r="Z93">
        <f t="shared" si="54"/>
        <v>-3.8434501879524921E-2</v>
      </c>
      <c r="AA93">
        <f t="shared" si="55"/>
        <v>-3.8242324541793597E-2</v>
      </c>
      <c r="AB93">
        <f t="shared" si="56"/>
        <v>-5.5234085049016947E-3</v>
      </c>
      <c r="AC93">
        <f t="shared" si="57"/>
        <v>-5.4543658985904209E-3</v>
      </c>
      <c r="AD93">
        <f t="shared" si="58"/>
        <v>-5.4552289311693069E-3</v>
      </c>
      <c r="AE93">
        <f t="shared" si="59"/>
        <v>-5.3870277816224646E-3</v>
      </c>
      <c r="AF93">
        <f t="shared" si="30"/>
        <v>8.8300156130981092E-2</v>
      </c>
      <c r="AG93">
        <f t="shared" si="31"/>
        <v>8.8300156130981092E-2</v>
      </c>
      <c r="AH93">
        <f t="shared" si="32"/>
        <v>8.8300156130981092E-2</v>
      </c>
      <c r="AI93">
        <f t="shared" si="33"/>
        <v>8.8300156130981092E-2</v>
      </c>
    </row>
    <row r="94" spans="1:35" x14ac:dyDescent="0.45">
      <c r="A94">
        <v>0.82</v>
      </c>
      <c r="B94">
        <f t="shared" si="34"/>
        <v>4.9140829528075027</v>
      </c>
      <c r="C94">
        <f t="shared" si="35"/>
        <v>2.2035273649560865</v>
      </c>
      <c r="D94">
        <f t="shared" si="36"/>
        <v>5.7647793644728242</v>
      </c>
      <c r="E94">
        <f t="shared" si="37"/>
        <v>-3.8123192703294597</v>
      </c>
      <c r="F94">
        <f t="shared" si="38"/>
        <v>-0.59473545958271323</v>
      </c>
      <c r="G94">
        <f t="shared" si="39"/>
        <v>8.8141094598243459</v>
      </c>
      <c r="I94">
        <v>0.82</v>
      </c>
      <c r="J94">
        <f t="shared" si="40"/>
        <v>4.9320347414633394</v>
      </c>
      <c r="K94">
        <f t="shared" si="41"/>
        <v>2.1943563311893048</v>
      </c>
      <c r="L94">
        <f t="shared" si="42"/>
        <v>5.7421976995226105</v>
      </c>
      <c r="M94">
        <f t="shared" si="43"/>
        <v>-3.8348565758686871E-2</v>
      </c>
      <c r="N94">
        <f t="shared" si="44"/>
        <v>-3.7739707045707727E-2</v>
      </c>
      <c r="O94">
        <f t="shared" si="45"/>
        <v>-5.5385608650992246E-3</v>
      </c>
      <c r="P94">
        <f t="shared" si="46"/>
        <v>-5.8088905741996519E-3</v>
      </c>
      <c r="Q94">
        <f t="shared" si="47"/>
        <v>8.7774253247572195E-2</v>
      </c>
      <c r="R94">
        <f t="shared" si="48"/>
        <v>8.8141094598243458E-2</v>
      </c>
      <c r="T94">
        <v>0.82</v>
      </c>
      <c r="U94">
        <f t="shared" si="49"/>
        <v>4.9279847293149812</v>
      </c>
      <c r="V94">
        <f t="shared" si="50"/>
        <v>2.2020489656168531</v>
      </c>
      <c r="W94">
        <f t="shared" si="51"/>
        <v>5.7354566806534857</v>
      </c>
      <c r="X94">
        <f t="shared" si="52"/>
        <v>-3.8269602465065548E-2</v>
      </c>
      <c r="Y94">
        <f t="shared" si="53"/>
        <v>-3.8078254452740212E-2</v>
      </c>
      <c r="Z94">
        <f t="shared" si="54"/>
        <v>-3.8079211192801846E-2</v>
      </c>
      <c r="AA94">
        <f t="shared" si="55"/>
        <v>-3.7888810353137528E-2</v>
      </c>
      <c r="AB94">
        <f t="shared" si="56"/>
        <v>-5.7713768472715185E-3</v>
      </c>
      <c r="AC94">
        <f t="shared" si="57"/>
        <v>-5.6992346366806189E-3</v>
      </c>
      <c r="AD94">
        <f t="shared" si="58"/>
        <v>-5.7001364143130081E-3</v>
      </c>
      <c r="AE94">
        <f t="shared" si="59"/>
        <v>-5.6288734369136862E-3</v>
      </c>
      <c r="AF94">
        <f t="shared" si="30"/>
        <v>8.8081958624674134E-2</v>
      </c>
      <c r="AG94">
        <f t="shared" si="31"/>
        <v>8.8081958624674134E-2</v>
      </c>
      <c r="AH94">
        <f t="shared" si="32"/>
        <v>8.8081958624674134E-2</v>
      </c>
      <c r="AI94">
        <f t="shared" si="33"/>
        <v>8.8081958624674134E-2</v>
      </c>
    </row>
    <row r="95" spans="1:35" x14ac:dyDescent="0.45">
      <c r="A95">
        <v>0.83</v>
      </c>
      <c r="B95">
        <f t="shared" si="34"/>
        <v>4.875959760104208</v>
      </c>
      <c r="C95">
        <f t="shared" si="35"/>
        <v>2.1975800103602592</v>
      </c>
      <c r="D95">
        <f t="shared" si="36"/>
        <v>5.8529204590710675</v>
      </c>
      <c r="E95">
        <f t="shared" si="37"/>
        <v>-3.7771697549240786</v>
      </c>
      <c r="F95">
        <f t="shared" si="38"/>
        <v>-0.61799026579643979</v>
      </c>
      <c r="G95">
        <f t="shared" si="39"/>
        <v>8.7903200414410367</v>
      </c>
      <c r="I95">
        <v>0.83</v>
      </c>
      <c r="J95">
        <f t="shared" si="40"/>
        <v>4.8939906050611421</v>
      </c>
      <c r="K95">
        <f t="shared" si="41"/>
        <v>2.1886826054696553</v>
      </c>
      <c r="L95">
        <f t="shared" si="42"/>
        <v>5.8301553734455185</v>
      </c>
      <c r="M95">
        <f t="shared" si="43"/>
        <v>-3.7996493023263148E-2</v>
      </c>
      <c r="N95">
        <f t="shared" si="44"/>
        <v>-3.7391732619008161E-2</v>
      </c>
      <c r="O95">
        <f t="shared" si="45"/>
        <v>-5.7771590861299595E-3</v>
      </c>
      <c r="P95">
        <f t="shared" si="46"/>
        <v>-6.035473680811157E-3</v>
      </c>
      <c r="Q95">
        <f t="shared" si="47"/>
        <v>8.7547304218786218E-2</v>
      </c>
      <c r="R95">
        <f t="shared" si="48"/>
        <v>8.7903200414410368E-2</v>
      </c>
      <c r="T95">
        <v>0.83</v>
      </c>
      <c r="U95">
        <f t="shared" si="49"/>
        <v>4.8899058386301002</v>
      </c>
      <c r="V95">
        <f t="shared" si="50"/>
        <v>2.196349133552491</v>
      </c>
      <c r="W95">
        <f t="shared" si="51"/>
        <v>5.8235386392781594</v>
      </c>
      <c r="X95">
        <f t="shared" si="52"/>
        <v>-3.7917312718538543E-2</v>
      </c>
      <c r="Y95">
        <f t="shared" si="53"/>
        <v>-3.7727726154945851E-2</v>
      </c>
      <c r="Z95">
        <f t="shared" si="54"/>
        <v>-3.7728674087763814E-2</v>
      </c>
      <c r="AA95">
        <f t="shared" si="55"/>
        <v>-3.7540025977660908E-2</v>
      </c>
      <c r="AB95">
        <f t="shared" si="56"/>
        <v>-6.0096699525112743E-3</v>
      </c>
      <c r="AC95">
        <f t="shared" si="57"/>
        <v>-5.9345490781048853E-3</v>
      </c>
      <c r="AD95">
        <f t="shared" si="58"/>
        <v>-5.9354880890349635E-3</v>
      </c>
      <c r="AE95">
        <f t="shared" si="59"/>
        <v>-5.8612827502853996E-3</v>
      </c>
      <c r="AF95">
        <f t="shared" si="30"/>
        <v>8.7853965342099646E-2</v>
      </c>
      <c r="AG95">
        <f t="shared" si="31"/>
        <v>8.7853965342099646E-2</v>
      </c>
      <c r="AH95">
        <f t="shared" si="32"/>
        <v>8.7853965342099646E-2</v>
      </c>
      <c r="AI95">
        <f t="shared" si="33"/>
        <v>8.7853965342099646E-2</v>
      </c>
    </row>
    <row r="96" spans="1:35" x14ac:dyDescent="0.45">
      <c r="A96">
        <v>0.84</v>
      </c>
      <c r="B96">
        <f t="shared" si="34"/>
        <v>4.8381880625549671</v>
      </c>
      <c r="C96">
        <f t="shared" si="35"/>
        <v>2.1914001077022949</v>
      </c>
      <c r="D96">
        <f t="shared" si="36"/>
        <v>5.9408236594854777</v>
      </c>
      <c r="E96">
        <f t="shared" si="37"/>
        <v>-3.7424880087038197</v>
      </c>
      <c r="F96">
        <f t="shared" si="38"/>
        <v>-0.64031220670077005</v>
      </c>
      <c r="G96">
        <f t="shared" si="39"/>
        <v>8.7656004308091795</v>
      </c>
      <c r="I96">
        <v>0.84</v>
      </c>
      <c r="J96">
        <f t="shared" si="40"/>
        <v>4.8562964922400065</v>
      </c>
      <c r="K96">
        <f t="shared" si="41"/>
        <v>2.1827762890861848</v>
      </c>
      <c r="L96">
        <f t="shared" si="42"/>
        <v>5.917880625762117</v>
      </c>
      <c r="M96">
        <f t="shared" si="43"/>
        <v>-3.7649083476969145E-2</v>
      </c>
      <c r="N96">
        <f t="shared" si="44"/>
        <v>-3.7048389252268506E-2</v>
      </c>
      <c r="O96">
        <f t="shared" si="45"/>
        <v>-6.0064423047545556E-3</v>
      </c>
      <c r="P96">
        <f t="shared" si="46"/>
        <v>-6.2529610093888313E-3</v>
      </c>
      <c r="Q96">
        <f t="shared" si="47"/>
        <v>8.73110515634474E-2</v>
      </c>
      <c r="R96">
        <f t="shared" si="48"/>
        <v>8.7656004308091798E-2</v>
      </c>
      <c r="T96">
        <v>0.84</v>
      </c>
      <c r="U96">
        <f t="shared" si="49"/>
        <v>4.8521774820998305</v>
      </c>
      <c r="V96">
        <f t="shared" si="50"/>
        <v>2.1904139623796448</v>
      </c>
      <c r="W96">
        <f t="shared" si="51"/>
        <v>5.911392604620259</v>
      </c>
      <c r="X96">
        <f t="shared" si="52"/>
        <v>-3.7569705009100084E-2</v>
      </c>
      <c r="Y96">
        <f t="shared" si="53"/>
        <v>-3.7381856484054586E-2</v>
      </c>
      <c r="Z96">
        <f t="shared" si="54"/>
        <v>-3.7382795726679803E-2</v>
      </c>
      <c r="AA96">
        <f t="shared" si="55"/>
        <v>-3.7195877051833283E-2</v>
      </c>
      <c r="AB96">
        <f t="shared" si="56"/>
        <v>-6.238574238492816E-3</v>
      </c>
      <c r="AC96">
        <f t="shared" si="57"/>
        <v>-6.1605920605116542E-3</v>
      </c>
      <c r="AD96">
        <f t="shared" si="58"/>
        <v>-6.161566837736423E-3</v>
      </c>
      <c r="AE96">
        <f t="shared" si="59"/>
        <v>-6.0845350675494056E-3</v>
      </c>
      <c r="AF96">
        <f t="shared" si="30"/>
        <v>8.7616558495185792E-2</v>
      </c>
      <c r="AG96">
        <f t="shared" si="31"/>
        <v>8.7616558495185792E-2</v>
      </c>
      <c r="AH96">
        <f t="shared" si="32"/>
        <v>8.7616558495185792E-2</v>
      </c>
      <c r="AI96">
        <f t="shared" si="33"/>
        <v>8.7616558495185792E-2</v>
      </c>
    </row>
    <row r="97" spans="1:35" x14ac:dyDescent="0.45">
      <c r="A97">
        <v>0.85</v>
      </c>
      <c r="B97">
        <f t="shared" si="34"/>
        <v>4.8007631824679287</v>
      </c>
      <c r="C97">
        <f t="shared" si="35"/>
        <v>2.1849969856352871</v>
      </c>
      <c r="D97">
        <f t="shared" si="36"/>
        <v>6.0284796637935694</v>
      </c>
      <c r="E97">
        <f t="shared" si="37"/>
        <v>-3.7082646896502851</v>
      </c>
      <c r="F97">
        <f t="shared" si="38"/>
        <v>-0.6617292816202891</v>
      </c>
      <c r="G97">
        <f t="shared" si="39"/>
        <v>8.7399879425411484</v>
      </c>
      <c r="I97">
        <v>0.85</v>
      </c>
      <c r="J97">
        <f t="shared" si="40"/>
        <v>4.8189477558753877</v>
      </c>
      <c r="K97">
        <f t="shared" si="41"/>
        <v>2.1766465874291132</v>
      </c>
      <c r="L97">
        <f t="shared" si="42"/>
        <v>6.0053641536978866</v>
      </c>
      <c r="M97">
        <f t="shared" si="43"/>
        <v>-3.7306244621608309E-2</v>
      </c>
      <c r="N97">
        <f t="shared" si="44"/>
        <v>-3.670958445028677E-2</v>
      </c>
      <c r="O97">
        <f t="shared" si="45"/>
        <v>-6.2266871269739538E-3</v>
      </c>
      <c r="P97">
        <f t="shared" si="46"/>
        <v>-6.4616256380285453E-3</v>
      </c>
      <c r="Q97">
        <f t="shared" si="47"/>
        <v>8.7065863497164525E-2</v>
      </c>
      <c r="R97">
        <f t="shared" si="48"/>
        <v>8.7399879425411484E-2</v>
      </c>
      <c r="T97">
        <v>0.85</v>
      </c>
      <c r="U97">
        <f t="shared" si="49"/>
        <v>4.81479500101943</v>
      </c>
      <c r="V97">
        <f t="shared" si="50"/>
        <v>2.1842527245292218</v>
      </c>
      <c r="W97">
        <f t="shared" si="51"/>
        <v>5.9990091631154447</v>
      </c>
      <c r="X97">
        <f t="shared" si="52"/>
        <v>-3.7226686387548197E-2</v>
      </c>
      <c r="Y97">
        <f t="shared" si="53"/>
        <v>-3.7040552955610456E-2</v>
      </c>
      <c r="Z97">
        <f t="shared" si="54"/>
        <v>-3.7041483622770141E-2</v>
      </c>
      <c r="AA97">
        <f t="shared" si="55"/>
        <v>-3.6856271551320499E-2</v>
      </c>
      <c r="AB97">
        <f t="shared" si="56"/>
        <v>-6.4583681030362427E-3</v>
      </c>
      <c r="AC97">
        <f t="shared" si="57"/>
        <v>-6.3776385017482885E-3</v>
      </c>
      <c r="AD97">
        <f t="shared" si="58"/>
        <v>-6.3786476217643972E-3</v>
      </c>
      <c r="AE97">
        <f t="shared" si="59"/>
        <v>-6.2989019124921339E-3</v>
      </c>
      <c r="AF97">
        <f t="shared" si="30"/>
        <v>8.737010898116887E-2</v>
      </c>
      <c r="AG97">
        <f t="shared" si="31"/>
        <v>8.737010898116887E-2</v>
      </c>
      <c r="AH97">
        <f t="shared" si="32"/>
        <v>8.737010898116887E-2</v>
      </c>
      <c r="AI97">
        <f t="shared" si="33"/>
        <v>8.737010898116887E-2</v>
      </c>
    </row>
    <row r="98" spans="1:35" x14ac:dyDescent="0.45">
      <c r="A98">
        <v>0.86</v>
      </c>
      <c r="B98">
        <f t="shared" si="34"/>
        <v>4.7636805355714262</v>
      </c>
      <c r="C98">
        <f t="shared" si="35"/>
        <v>2.1783796928190844</v>
      </c>
      <c r="D98">
        <f t="shared" si="36"/>
        <v>6.1158795432189805</v>
      </c>
      <c r="E98">
        <f t="shared" si="37"/>
        <v>-3.674490689161884</v>
      </c>
      <c r="F98">
        <f t="shared" si="38"/>
        <v>-0.68226869647628474</v>
      </c>
      <c r="G98">
        <f t="shared" si="39"/>
        <v>8.7135187712763376</v>
      </c>
      <c r="I98">
        <v>0.86</v>
      </c>
      <c r="J98">
        <f t="shared" si="40"/>
        <v>4.7819398413394403</v>
      </c>
      <c r="K98">
        <f t="shared" si="41"/>
        <v>2.1703024310466121</v>
      </c>
      <c r="L98">
        <f t="shared" si="42"/>
        <v>6.0925970251591748</v>
      </c>
      <c r="M98">
        <f t="shared" si="43"/>
        <v>-3.6967886258161345E-2</v>
      </c>
      <c r="N98">
        <f t="shared" si="44"/>
        <v>-3.6375228029037227E-2</v>
      </c>
      <c r="O98">
        <f t="shared" si="45"/>
        <v>-6.4381623627709009E-3</v>
      </c>
      <c r="P98">
        <f t="shared" si="46"/>
        <v>-6.6617329056935758E-3</v>
      </c>
      <c r="Q98">
        <f t="shared" si="47"/>
        <v>8.6812097241864492E-2</v>
      </c>
      <c r="R98">
        <f t="shared" si="48"/>
        <v>8.7135187712763379E-2</v>
      </c>
      <c r="T98">
        <v>0.86</v>
      </c>
      <c r="U98">
        <f t="shared" si="49"/>
        <v>4.777753829170158</v>
      </c>
      <c r="V98">
        <f t="shared" si="50"/>
        <v>2.1778744174854627</v>
      </c>
      <c r="W98">
        <f t="shared" si="51"/>
        <v>6.0863792720966137</v>
      </c>
      <c r="X98">
        <f t="shared" si="52"/>
        <v>-3.6888166204274271E-2</v>
      </c>
      <c r="Y98">
        <f t="shared" si="53"/>
        <v>-3.6703725373252893E-2</v>
      </c>
      <c r="Z98">
        <f t="shared" si="54"/>
        <v>-3.670464757740801E-2</v>
      </c>
      <c r="AA98">
        <f t="shared" si="55"/>
        <v>-3.6521119728500188E-2</v>
      </c>
      <c r="AB98">
        <f t="shared" si="56"/>
        <v>-6.6693221454349862E-3</v>
      </c>
      <c r="AC98">
        <f t="shared" si="57"/>
        <v>-6.5859556186170475E-3</v>
      </c>
      <c r="AD98">
        <f t="shared" si="58"/>
        <v>-6.586997700202271E-3</v>
      </c>
      <c r="AE98">
        <f t="shared" si="59"/>
        <v>-6.5046472029299278E-3</v>
      </c>
      <c r="AF98">
        <f t="shared" si="30"/>
        <v>8.7114976699418506E-2</v>
      </c>
      <c r="AG98">
        <f t="shared" si="31"/>
        <v>8.7114976699418506E-2</v>
      </c>
      <c r="AH98">
        <f t="shared" si="32"/>
        <v>8.7114976699418506E-2</v>
      </c>
      <c r="AI98">
        <f t="shared" si="33"/>
        <v>8.7114976699418506E-2</v>
      </c>
    </row>
    <row r="99" spans="1:35" x14ac:dyDescent="0.45">
      <c r="A99">
        <v>0.87</v>
      </c>
      <c r="B99">
        <f t="shared" si="34"/>
        <v>4.726935628679807</v>
      </c>
      <c r="C99">
        <f t="shared" si="35"/>
        <v>2.1715570058543214</v>
      </c>
      <c r="D99">
        <f t="shared" si="36"/>
        <v>6.203014730931744</v>
      </c>
      <c r="E99">
        <f t="shared" si="37"/>
        <v>-3.6411571257526463</v>
      </c>
      <c r="F99">
        <f t="shared" si="38"/>
        <v>-0.70195688595599659</v>
      </c>
      <c r="G99">
        <f t="shared" si="39"/>
        <v>8.6862280234172857</v>
      </c>
      <c r="I99">
        <v>0.87</v>
      </c>
      <c r="J99">
        <f t="shared" si="40"/>
        <v>4.7452682841958413</v>
      </c>
      <c r="K99">
        <f t="shared" si="41"/>
        <v>2.16375248341238</v>
      </c>
      <c r="L99">
        <f t="shared" si="42"/>
        <v>6.1795706676364883</v>
      </c>
      <c r="M99">
        <f t="shared" si="43"/>
        <v>-3.6633920424896514E-2</v>
      </c>
      <c r="N99">
        <f t="shared" si="44"/>
        <v>-3.6045232053277497E-2</v>
      </c>
      <c r="O99">
        <f t="shared" si="45"/>
        <v>-6.6411292433510875E-3</v>
      </c>
      <c r="P99">
        <f t="shared" si="46"/>
        <v>-6.8535406284761851E-3</v>
      </c>
      <c r="Q99">
        <f t="shared" si="47"/>
        <v>8.6550099336495198E-2</v>
      </c>
      <c r="R99">
        <f t="shared" si="48"/>
        <v>8.6862280234172862E-2</v>
      </c>
      <c r="T99">
        <v>0.87</v>
      </c>
      <c r="U99">
        <f t="shared" si="49"/>
        <v>4.7410494905311422</v>
      </c>
      <c r="V99">
        <f t="shared" si="50"/>
        <v>2.1712877714877954</v>
      </c>
      <c r="W99">
        <f t="shared" si="51"/>
        <v>6.1734942487960325</v>
      </c>
      <c r="X99">
        <f t="shared" si="52"/>
        <v>-3.6554056047872444E-2</v>
      </c>
      <c r="Y99">
        <f t="shared" si="53"/>
        <v>-3.6371285767633078E-2</v>
      </c>
      <c r="Z99">
        <f t="shared" si="54"/>
        <v>-3.6372199619034283E-2</v>
      </c>
      <c r="AA99">
        <f t="shared" si="55"/>
        <v>-3.6190334051682101E-2</v>
      </c>
      <c r="AB99">
        <f t="shared" si="56"/>
        <v>-6.8716993818834652E-3</v>
      </c>
      <c r="AC99">
        <f t="shared" si="57"/>
        <v>-6.7858031396099208E-3</v>
      </c>
      <c r="AD99">
        <f t="shared" si="58"/>
        <v>-6.7868768426383409E-3</v>
      </c>
      <c r="AE99">
        <f t="shared" si="59"/>
        <v>-6.7020274608174989E-3</v>
      </c>
      <c r="AF99">
        <f t="shared" si="30"/>
        <v>8.6851510859511816E-2</v>
      </c>
      <c r="AG99">
        <f t="shared" si="31"/>
        <v>8.6851510859511816E-2</v>
      </c>
      <c r="AH99">
        <f t="shared" si="32"/>
        <v>8.6851510859511816E-2</v>
      </c>
      <c r="AI99">
        <f t="shared" si="33"/>
        <v>8.6851510859511816E-2</v>
      </c>
    </row>
    <row r="100" spans="1:35" x14ac:dyDescent="0.45">
      <c r="A100">
        <v>0.88</v>
      </c>
      <c r="B100">
        <f t="shared" si="34"/>
        <v>4.6905240574222802</v>
      </c>
      <c r="C100">
        <f t="shared" si="35"/>
        <v>2.1645374369947614</v>
      </c>
      <c r="D100">
        <f t="shared" si="36"/>
        <v>6.2898770111659168</v>
      </c>
      <c r="E100">
        <f t="shared" si="37"/>
        <v>-3.6082553389248995</v>
      </c>
      <c r="F100">
        <f t="shared" si="38"/>
        <v>-0.72081953506462337</v>
      </c>
      <c r="G100">
        <f t="shared" si="39"/>
        <v>8.6581497479790457</v>
      </c>
      <c r="I100">
        <v>0.88</v>
      </c>
      <c r="J100">
        <f t="shared" si="40"/>
        <v>4.7089287079567548</v>
      </c>
      <c r="K100">
        <f t="shared" si="41"/>
        <v>2.1570051484764665</v>
      </c>
      <c r="L100">
        <f t="shared" si="42"/>
        <v>6.2662768574218219</v>
      </c>
      <c r="M100">
        <f t="shared" si="43"/>
        <v>-3.6304261337185215E-2</v>
      </c>
      <c r="N100">
        <f t="shared" si="44"/>
        <v>-3.5719510775877143E-2</v>
      </c>
      <c r="O100">
        <f t="shared" si="45"/>
        <v>-6.8358416323441151E-3</v>
      </c>
      <c r="P100">
        <f t="shared" si="46"/>
        <v>-7.037299309837635E-3</v>
      </c>
      <c r="Q100">
        <f t="shared" si="47"/>
        <v>8.6280205939058663E-2</v>
      </c>
      <c r="R100">
        <f t="shared" si="48"/>
        <v>8.6581497479790465E-2</v>
      </c>
      <c r="T100">
        <v>0.88</v>
      </c>
      <c r="U100">
        <f t="shared" si="49"/>
        <v>4.7046775970523269</v>
      </c>
      <c r="V100">
        <f t="shared" si="50"/>
        <v>2.1645012570199293</v>
      </c>
      <c r="W100">
        <f t="shared" si="51"/>
        <v>6.2603457596555447</v>
      </c>
      <c r="X100">
        <f t="shared" si="52"/>
        <v>-3.6224269685423624E-2</v>
      </c>
      <c r="Y100">
        <f t="shared" si="53"/>
        <v>-3.6043148336996504E-2</v>
      </c>
      <c r="Z100">
        <f t="shared" si="54"/>
        <v>-3.6044053943738635E-2</v>
      </c>
      <c r="AA100">
        <f t="shared" si="55"/>
        <v>-3.5863829145986237E-2</v>
      </c>
      <c r="AB100">
        <f t="shared" si="56"/>
        <v>-7.0657554549749648E-3</v>
      </c>
      <c r="AC100">
        <f t="shared" si="57"/>
        <v>-6.9774335117877761E-3</v>
      </c>
      <c r="AD100">
        <f t="shared" si="58"/>
        <v>-6.9785375360776223E-3</v>
      </c>
      <c r="AE100">
        <f t="shared" si="59"/>
        <v>-6.8912920165730279E-3</v>
      </c>
      <c r="AF100">
        <f t="shared" si="30"/>
        <v>8.6580050280797169E-2</v>
      </c>
      <c r="AG100">
        <f t="shared" si="31"/>
        <v>8.6580050280797169E-2</v>
      </c>
      <c r="AH100">
        <f t="shared" si="32"/>
        <v>8.6580050280797169E-2</v>
      </c>
      <c r="AI100">
        <f t="shared" si="33"/>
        <v>8.6580050280797169E-2</v>
      </c>
    </row>
    <row r="101" spans="1:35" x14ac:dyDescent="0.45">
      <c r="A101">
        <v>0.89</v>
      </c>
      <c r="B101">
        <f t="shared" si="34"/>
        <v>4.6544415040330316</v>
      </c>
      <c r="C101">
        <f t="shared" si="35"/>
        <v>2.1573292416441152</v>
      </c>
      <c r="D101">
        <f t="shared" si="36"/>
        <v>6.3764585086457073</v>
      </c>
      <c r="E101">
        <f t="shared" si="37"/>
        <v>-3.575776883210974</v>
      </c>
      <c r="F101">
        <f t="shared" si="38"/>
        <v>-0.73888160007725645</v>
      </c>
      <c r="G101">
        <f t="shared" si="39"/>
        <v>8.6293169665764609</v>
      </c>
      <c r="I101">
        <v>0.89</v>
      </c>
      <c r="J101">
        <f t="shared" si="40"/>
        <v>4.6729168219002233</v>
      </c>
      <c r="K101">
        <f t="shared" si="41"/>
        <v>2.1500685780053757</v>
      </c>
      <c r="L101">
        <f t="shared" si="42"/>
        <v>6.3527077091312467</v>
      </c>
      <c r="M101">
        <f t="shared" si="43"/>
        <v>-3.5978825328975353E-2</v>
      </c>
      <c r="N101">
        <f t="shared" si="44"/>
        <v>-3.5397980578819987E-2</v>
      </c>
      <c r="O101">
        <f t="shared" si="45"/>
        <v>-7.0225462311321605E-3</v>
      </c>
      <c r="P101">
        <f t="shared" si="46"/>
        <v>-7.2132523449942631E-3</v>
      </c>
      <c r="Q101">
        <f t="shared" si="47"/>
        <v>8.6002743120215025E-2</v>
      </c>
      <c r="R101">
        <f t="shared" si="48"/>
        <v>8.6293169665764613E-2</v>
      </c>
      <c r="T101">
        <v>0.89</v>
      </c>
      <c r="U101">
        <f t="shared" si="49"/>
        <v>4.6686338464868467</v>
      </c>
      <c r="V101">
        <f t="shared" si="50"/>
        <v>2.1575230920920494</v>
      </c>
      <c r="W101">
        <f t="shared" si="51"/>
        <v>6.3469258099363417</v>
      </c>
      <c r="X101">
        <f t="shared" si="52"/>
        <v>-3.5898723004408224E-2</v>
      </c>
      <c r="Y101">
        <f t="shared" si="53"/>
        <v>-3.5719229389386181E-2</v>
      </c>
      <c r="Z101">
        <f t="shared" si="54"/>
        <v>-3.5720126857461294E-2</v>
      </c>
      <c r="AA101">
        <f t="shared" si="55"/>
        <v>-3.5541521735833616E-2</v>
      </c>
      <c r="AB101">
        <f t="shared" si="56"/>
        <v>-7.2517388374327661E-3</v>
      </c>
      <c r="AC101">
        <f t="shared" si="57"/>
        <v>-7.1610921019648541E-3</v>
      </c>
      <c r="AD101">
        <f t="shared" si="58"/>
        <v>-7.1622251861582064E-3</v>
      </c>
      <c r="AE101">
        <f t="shared" si="59"/>
        <v>-7.0726832077788113E-3</v>
      </c>
      <c r="AF101">
        <f t="shared" si="30"/>
        <v>8.6300923683681974E-2</v>
      </c>
      <c r="AG101">
        <f t="shared" si="31"/>
        <v>8.6300923683681974E-2</v>
      </c>
      <c r="AH101">
        <f t="shared" si="32"/>
        <v>8.6300923683681974E-2</v>
      </c>
      <c r="AI101">
        <f t="shared" si="33"/>
        <v>8.6300923683681974E-2</v>
      </c>
    </row>
    <row r="102" spans="1:35" x14ac:dyDescent="0.45">
      <c r="A102">
        <v>0.9</v>
      </c>
      <c r="B102">
        <f t="shared" si="34"/>
        <v>4.6186837352009222</v>
      </c>
      <c r="C102">
        <f t="shared" si="35"/>
        <v>2.1499404256433428</v>
      </c>
      <c r="D102">
        <f t="shared" si="36"/>
        <v>6.4627516783114718</v>
      </c>
      <c r="E102">
        <f t="shared" si="37"/>
        <v>-3.5437135223792509</v>
      </c>
      <c r="F102">
        <f t="shared" si="38"/>
        <v>-0.75616732890743465</v>
      </c>
      <c r="G102">
        <f t="shared" si="39"/>
        <v>8.599761702573371</v>
      </c>
      <c r="I102">
        <v>0.9</v>
      </c>
      <c r="J102">
        <f t="shared" si="40"/>
        <v>4.637228418946326</v>
      </c>
      <c r="K102">
        <f t="shared" si="41"/>
        <v>2.1429506787173125</v>
      </c>
      <c r="L102">
        <f t="shared" si="42"/>
        <v>6.4388556655242368</v>
      </c>
      <c r="M102">
        <f t="shared" si="43"/>
        <v>-3.5657530795876698E-2</v>
      </c>
      <c r="N102">
        <f t="shared" si="44"/>
        <v>-3.5080559915833739E-2</v>
      </c>
      <c r="O102">
        <f t="shared" si="45"/>
        <v>-7.2014827784695522E-3</v>
      </c>
      <c r="P102">
        <f t="shared" si="46"/>
        <v>-7.3816362196126133E-3</v>
      </c>
      <c r="Q102">
        <f t="shared" si="47"/>
        <v>8.5718027148692505E-2</v>
      </c>
      <c r="R102">
        <f t="shared" si="48"/>
        <v>8.5997617025733705E-2</v>
      </c>
      <c r="T102">
        <v>0.9</v>
      </c>
      <c r="U102">
        <f t="shared" si="49"/>
        <v>4.6329140202811905</v>
      </c>
      <c r="V102">
        <f t="shared" si="50"/>
        <v>2.1503612493218065</v>
      </c>
      <c r="W102">
        <f t="shared" si="51"/>
        <v>6.4332267336200237</v>
      </c>
      <c r="X102">
        <f t="shared" si="52"/>
        <v>-3.5577333956202876E-2</v>
      </c>
      <c r="Y102">
        <f t="shared" si="53"/>
        <v>-3.5399447286421859E-2</v>
      </c>
      <c r="Z102">
        <f t="shared" si="54"/>
        <v>-3.5400336719770768E-2</v>
      </c>
      <c r="AA102">
        <f t="shared" si="55"/>
        <v>-3.5223330589005168E-2</v>
      </c>
      <c r="AB102">
        <f t="shared" si="56"/>
        <v>-7.4298910302332552E-3</v>
      </c>
      <c r="AC102">
        <f t="shared" si="57"/>
        <v>-7.33701739235535E-3</v>
      </c>
      <c r="AD102">
        <f t="shared" si="58"/>
        <v>-7.3381783128288096E-3</v>
      </c>
      <c r="AE102">
        <f t="shared" si="59"/>
        <v>-7.2464365724125377E-3</v>
      </c>
      <c r="AF102">
        <f t="shared" si="30"/>
        <v>8.6014449972872262E-2</v>
      </c>
      <c r="AG102">
        <f t="shared" si="31"/>
        <v>8.6014449972872262E-2</v>
      </c>
      <c r="AH102">
        <f t="shared" si="32"/>
        <v>8.6014449972872262E-2</v>
      </c>
      <c r="AI102">
        <f t="shared" si="33"/>
        <v>8.6014449972872262E-2</v>
      </c>
    </row>
    <row r="103" spans="1:35" x14ac:dyDescent="0.45">
      <c r="A103">
        <v>0.91</v>
      </c>
      <c r="B103">
        <f t="shared" si="34"/>
        <v>4.5832465999771301</v>
      </c>
      <c r="C103">
        <f t="shared" si="35"/>
        <v>2.1423787523542686</v>
      </c>
      <c r="D103">
        <f t="shared" si="36"/>
        <v>6.5487492953372053</v>
      </c>
      <c r="E103">
        <f t="shared" si="37"/>
        <v>-3.5120572237999959</v>
      </c>
      <c r="F103">
        <f t="shared" si="38"/>
        <v>-0.77270028090854126</v>
      </c>
      <c r="G103">
        <f t="shared" si="39"/>
        <v>8.5695150094170742</v>
      </c>
      <c r="I103">
        <v>0.91</v>
      </c>
      <c r="J103">
        <f t="shared" si="40"/>
        <v>4.6018593735904707</v>
      </c>
      <c r="K103">
        <f t="shared" si="41"/>
        <v>2.1356591192182712</v>
      </c>
      <c r="L103">
        <f t="shared" si="42"/>
        <v>6.5247134876114501</v>
      </c>
      <c r="M103">
        <f t="shared" si="43"/>
        <v>-3.5340298139813354E-2</v>
      </c>
      <c r="N103">
        <f t="shared" si="44"/>
        <v>-3.4767169256601831E-2</v>
      </c>
      <c r="O103">
        <f t="shared" si="45"/>
        <v>-7.3728842445520736E-3</v>
      </c>
      <c r="P103">
        <f t="shared" si="46"/>
        <v>-7.5426807029716162E-3</v>
      </c>
      <c r="Q103">
        <f t="shared" si="47"/>
        <v>8.5426364768730847E-2</v>
      </c>
      <c r="R103">
        <f t="shared" si="48"/>
        <v>8.5695150094170738E-2</v>
      </c>
      <c r="T103">
        <v>0.91</v>
      </c>
      <c r="U103">
        <f t="shared" si="49"/>
        <v>4.5975139815215913</v>
      </c>
      <c r="V103">
        <f t="shared" si="50"/>
        <v>2.1430234628196376</v>
      </c>
      <c r="W103">
        <f t="shared" si="51"/>
        <v>6.5192411835928956</v>
      </c>
      <c r="X103">
        <f t="shared" si="52"/>
        <v>-3.5260022501117726E-2</v>
      </c>
      <c r="Y103">
        <f t="shared" si="53"/>
        <v>-3.5083722388612133E-2</v>
      </c>
      <c r="Z103">
        <f t="shared" si="54"/>
        <v>-3.5084603889174663E-2</v>
      </c>
      <c r="AA103">
        <f t="shared" si="55"/>
        <v>-3.490917646222598E-2</v>
      </c>
      <c r="AB103">
        <f t="shared" si="56"/>
        <v>-7.6004467552750303E-3</v>
      </c>
      <c r="AC103">
        <f t="shared" si="57"/>
        <v>-7.5054411708340932E-3</v>
      </c>
      <c r="AD103">
        <f t="shared" si="58"/>
        <v>-7.5066287406396004E-3</v>
      </c>
      <c r="AE103">
        <f t="shared" si="59"/>
        <v>-7.4127810367590335E-3</v>
      </c>
      <c r="AF103">
        <f t="shared" si="30"/>
        <v>8.5720938512785505E-2</v>
      </c>
      <c r="AG103">
        <f t="shared" si="31"/>
        <v>8.5720938512785505E-2</v>
      </c>
      <c r="AH103">
        <f t="shared" si="32"/>
        <v>8.5720938512785505E-2</v>
      </c>
      <c r="AI103">
        <f t="shared" si="33"/>
        <v>8.5720938512785505E-2</v>
      </c>
    </row>
    <row r="104" spans="1:35" x14ac:dyDescent="0.45">
      <c r="A104">
        <v>0.92</v>
      </c>
      <c r="B104">
        <f t="shared" si="34"/>
        <v>4.54812602773913</v>
      </c>
      <c r="C104">
        <f t="shared" si="35"/>
        <v>2.1346517495451831</v>
      </c>
      <c r="D104">
        <f t="shared" si="36"/>
        <v>6.6344444454313765</v>
      </c>
      <c r="E104">
        <f t="shared" si="37"/>
        <v>-3.4808001529665384</v>
      </c>
      <c r="F104">
        <f t="shared" si="38"/>
        <v>-0.78850334612382778</v>
      </c>
      <c r="G104">
        <f t="shared" si="39"/>
        <v>8.5386069981807324</v>
      </c>
      <c r="I104">
        <v>0.92</v>
      </c>
      <c r="J104">
        <f t="shared" si="40"/>
        <v>4.5668056398922632</v>
      </c>
      <c r="K104">
        <f t="shared" si="41"/>
        <v>2.1282013367445094</v>
      </c>
      <c r="L104">
        <f t="shared" si="42"/>
        <v>6.6102742450429011</v>
      </c>
      <c r="M104">
        <f t="shared" si="43"/>
        <v>-3.5027049715200084E-2</v>
      </c>
      <c r="N104">
        <f t="shared" si="44"/>
        <v>-3.4457731032513379E-2</v>
      </c>
      <c r="O104">
        <f t="shared" si="45"/>
        <v>-7.5369770196901031E-3</v>
      </c>
      <c r="P104">
        <f t="shared" si="46"/>
        <v>-7.6966090357460269E-3</v>
      </c>
      <c r="Q104">
        <f t="shared" si="47"/>
        <v>8.5128053469780376E-2</v>
      </c>
      <c r="R104">
        <f t="shared" si="48"/>
        <v>8.5386069981807325E-2</v>
      </c>
      <c r="T104">
        <v>0.92</v>
      </c>
      <c r="U104">
        <f t="shared" si="49"/>
        <v>4.5624296729351048</v>
      </c>
      <c r="V104">
        <f t="shared" si="50"/>
        <v>2.1355172348838072</v>
      </c>
      <c r="W104">
        <f t="shared" si="51"/>
        <v>6.6049621221056807</v>
      </c>
      <c r="X104">
        <f t="shared" si="52"/>
        <v>-3.4946710554932016E-2</v>
      </c>
      <c r="Y104">
        <f t="shared" si="53"/>
        <v>-3.4771977002157353E-2</v>
      </c>
      <c r="Z104">
        <f t="shared" si="54"/>
        <v>-3.4772850669921231E-2</v>
      </c>
      <c r="AA104">
        <f t="shared" si="55"/>
        <v>-3.45989820482328E-2</v>
      </c>
      <c r="AB104">
        <f t="shared" si="56"/>
        <v>-7.7636341427441292E-3</v>
      </c>
      <c r="AC104">
        <f t="shared" si="57"/>
        <v>-7.6665887159598255E-3</v>
      </c>
      <c r="AD104">
        <f t="shared" si="58"/>
        <v>-7.66780178379463E-3</v>
      </c>
      <c r="AE104">
        <f t="shared" si="59"/>
        <v>-7.5719390981492654E-3</v>
      </c>
      <c r="AF104">
        <f t="shared" si="30"/>
        <v>8.5420689395352287E-2</v>
      </c>
      <c r="AG104">
        <f t="shared" si="31"/>
        <v>8.5420689395352287E-2</v>
      </c>
      <c r="AH104">
        <f t="shared" si="32"/>
        <v>8.5420689395352287E-2</v>
      </c>
      <c r="AI104">
        <f t="shared" si="33"/>
        <v>8.5420689395352287E-2</v>
      </c>
    </row>
    <row r="105" spans="1:35" x14ac:dyDescent="0.45">
      <c r="A105">
        <v>0.93</v>
      </c>
      <c r="B105">
        <f t="shared" si="34"/>
        <v>4.5133180262094648</v>
      </c>
      <c r="C105">
        <f t="shared" si="35"/>
        <v>2.126766716083945</v>
      </c>
      <c r="D105">
        <f t="shared" si="36"/>
        <v>6.7198305154131841</v>
      </c>
      <c r="E105">
        <f t="shared" si="37"/>
        <v>-3.4499346681674923</v>
      </c>
      <c r="F105">
        <f t="shared" si="38"/>
        <v>-0.80359876400039765</v>
      </c>
      <c r="G105">
        <f t="shared" si="39"/>
        <v>8.5070668643357799</v>
      </c>
      <c r="I105">
        <v>0.93</v>
      </c>
      <c r="J105">
        <f t="shared" si="40"/>
        <v>4.5320632495184068</v>
      </c>
      <c r="K105">
        <f t="shared" si="41"/>
        <v>2.1205845437167912</v>
      </c>
      <c r="L105">
        <f t="shared" si="42"/>
        <v>6.6955313067686948</v>
      </c>
      <c r="M105">
        <f t="shared" si="43"/>
        <v>-3.471770977660011E-2</v>
      </c>
      <c r="N105">
        <f t="shared" si="44"/>
        <v>-3.4152169583908924E-2</v>
      </c>
      <c r="O105">
        <f t="shared" si="45"/>
        <v>-7.6939810977357135E-3</v>
      </c>
      <c r="P105">
        <f t="shared" si="46"/>
        <v>-7.8436381125605876E-3</v>
      </c>
      <c r="Q105">
        <f t="shared" si="47"/>
        <v>8.4823381748671642E-2</v>
      </c>
      <c r="R105">
        <f t="shared" si="48"/>
        <v>8.50706686433578E-2</v>
      </c>
      <c r="T105">
        <v>0.93</v>
      </c>
      <c r="U105">
        <f t="shared" si="49"/>
        <v>4.5276571149438842</v>
      </c>
      <c r="V105">
        <f t="shared" si="50"/>
        <v>2.1278498425104067</v>
      </c>
      <c r="W105">
        <f t="shared" si="51"/>
        <v>6.6903828115010331</v>
      </c>
      <c r="X105">
        <f t="shared" si="52"/>
        <v>-3.463732193688681E-2</v>
      </c>
      <c r="Y105">
        <f t="shared" si="53"/>
        <v>-3.4464135327202376E-2</v>
      </c>
      <c r="Z105">
        <f t="shared" si="54"/>
        <v>-3.4465001260250802E-2</v>
      </c>
      <c r="AA105">
        <f t="shared" si="55"/>
        <v>-3.4292671924284306E-2</v>
      </c>
      <c r="AB105">
        <f t="shared" si="56"/>
        <v>-7.9196749133213246E-3</v>
      </c>
      <c r="AC105">
        <f t="shared" si="57"/>
        <v>-7.8206789769048116E-3</v>
      </c>
      <c r="AD105">
        <f t="shared" si="58"/>
        <v>-7.8219164261100187E-3</v>
      </c>
      <c r="AE105">
        <f t="shared" si="59"/>
        <v>-7.7241270026685753E-3</v>
      </c>
      <c r="AF105">
        <f t="shared" si="30"/>
        <v>8.5113993700416266E-2</v>
      </c>
      <c r="AG105">
        <f t="shared" si="31"/>
        <v>8.5113993700416266E-2</v>
      </c>
      <c r="AH105">
        <f t="shared" si="32"/>
        <v>8.5113993700416266E-2</v>
      </c>
      <c r="AI105">
        <f t="shared" si="33"/>
        <v>8.5113993700416266E-2</v>
      </c>
    </row>
    <row r="106" spans="1:35" x14ac:dyDescent="0.45">
      <c r="A106">
        <v>0.94</v>
      </c>
      <c r="B106">
        <f t="shared" si="34"/>
        <v>4.47881867952779</v>
      </c>
      <c r="C106">
        <f t="shared" si="35"/>
        <v>2.1187307284439409</v>
      </c>
      <c r="D106">
        <f t="shared" si="36"/>
        <v>6.8049011840565417</v>
      </c>
      <c r="E106">
        <f t="shared" si="37"/>
        <v>-3.4194533153058195</v>
      </c>
      <c r="F106">
        <f t="shared" si="38"/>
        <v>-0.81800814158206236</v>
      </c>
      <c r="G106">
        <f t="shared" si="39"/>
        <v>8.4749229137757638</v>
      </c>
      <c r="I106">
        <v>0.94</v>
      </c>
      <c r="J106">
        <f t="shared" si="40"/>
        <v>4.4976283098381522</v>
      </c>
      <c r="K106">
        <f t="shared" si="41"/>
        <v>2.1128157341116429</v>
      </c>
      <c r="L106">
        <f t="shared" si="42"/>
        <v>6.7804783319647095</v>
      </c>
      <c r="M106">
        <f t="shared" si="43"/>
        <v>-3.4412204427823306E-2</v>
      </c>
      <c r="N106">
        <f t="shared" si="44"/>
        <v>-3.3850411108779961E-2</v>
      </c>
      <c r="O106">
        <f t="shared" si="45"/>
        <v>-7.8441102544095503E-3</v>
      </c>
      <c r="P106">
        <f t="shared" si="46"/>
        <v>-7.9839786594603848E-3</v>
      </c>
      <c r="Q106">
        <f t="shared" si="47"/>
        <v>8.4512629364465713E-2</v>
      </c>
      <c r="R106">
        <f t="shared" si="48"/>
        <v>8.4749229137757634E-2</v>
      </c>
      <c r="T106">
        <v>0.94</v>
      </c>
      <c r="U106">
        <f t="shared" si="49"/>
        <v>4.4931924037712045</v>
      </c>
      <c r="V106">
        <f t="shared" si="50"/>
        <v>2.1200283437234035</v>
      </c>
      <c r="W106">
        <f t="shared" si="51"/>
        <v>6.775496805201449</v>
      </c>
      <c r="X106">
        <f t="shared" si="52"/>
        <v>-3.4331782319095033E-2</v>
      </c>
      <c r="Y106">
        <f t="shared" si="53"/>
        <v>-3.4160123407499556E-2</v>
      </c>
      <c r="Z106">
        <f t="shared" si="54"/>
        <v>-3.4160981702057537E-2</v>
      </c>
      <c r="AA106">
        <f t="shared" si="55"/>
        <v>-3.3990172502074457E-2</v>
      </c>
      <c r="AB106">
        <f t="shared" si="56"/>
        <v>-8.0687845553730417E-3</v>
      </c>
      <c r="AC106">
        <f t="shared" si="57"/>
        <v>-7.9679247484308741E-3</v>
      </c>
      <c r="AD106">
        <f t="shared" si="58"/>
        <v>-7.9691854960176611E-3</v>
      </c>
      <c r="AE106">
        <f t="shared" si="59"/>
        <v>-7.8695549179725963E-3</v>
      </c>
      <c r="AF106">
        <f t="shared" si="30"/>
        <v>8.480113374893615E-2</v>
      </c>
      <c r="AG106">
        <f t="shared" si="31"/>
        <v>8.480113374893615E-2</v>
      </c>
      <c r="AH106">
        <f t="shared" si="32"/>
        <v>8.480113374893615E-2</v>
      </c>
      <c r="AI106">
        <f t="shared" si="33"/>
        <v>8.480113374893615E-2</v>
      </c>
    </row>
    <row r="107" spans="1:35" x14ac:dyDescent="0.45">
      <c r="A107">
        <v>0.95</v>
      </c>
      <c r="B107">
        <f t="shared" si="34"/>
        <v>4.444624146374732</v>
      </c>
      <c r="C107">
        <f t="shared" si="35"/>
        <v>2.1105506470281203</v>
      </c>
      <c r="D107">
        <f t="shared" si="36"/>
        <v>6.8896504131942997</v>
      </c>
      <c r="E107">
        <f t="shared" si="37"/>
        <v>-3.3893488228606721</v>
      </c>
      <c r="F107">
        <f t="shared" si="38"/>
        <v>-0.83175247119556861</v>
      </c>
      <c r="G107">
        <f t="shared" si="39"/>
        <v>8.4422025881124814</v>
      </c>
      <c r="I107">
        <v>0.95</v>
      </c>
      <c r="J107">
        <f t="shared" si="40"/>
        <v>4.4634970020698503</v>
      </c>
      <c r="K107">
        <f t="shared" si="41"/>
        <v>2.1049016896547079</v>
      </c>
      <c r="L107">
        <f t="shared" si="42"/>
        <v>6.8651092612158209</v>
      </c>
      <c r="M107">
        <f t="shared" si="43"/>
        <v>-3.4110461572424963E-2</v>
      </c>
      <c r="N107">
        <f t="shared" si="44"/>
        <v>-3.3552383612882472E-2</v>
      </c>
      <c r="O107">
        <f t="shared" si="45"/>
        <v>-7.9875722206691965E-3</v>
      </c>
      <c r="P107">
        <f t="shared" si="46"/>
        <v>-8.1178354064389609E-3</v>
      </c>
      <c r="Q107">
        <f t="shared" si="47"/>
        <v>8.419606758618832E-2</v>
      </c>
      <c r="R107">
        <f t="shared" si="48"/>
        <v>8.442202588112481E-2</v>
      </c>
      <c r="T107">
        <v>0.95</v>
      </c>
      <c r="U107">
        <f t="shared" si="49"/>
        <v>4.4590317095978236</v>
      </c>
      <c r="V107">
        <f t="shared" si="50"/>
        <v>2.1120595837296965</v>
      </c>
      <c r="W107">
        <f t="shared" si="51"/>
        <v>6.8602979389503851</v>
      </c>
      <c r="X107">
        <f t="shared" si="52"/>
        <v>-3.4030019177329757E-2</v>
      </c>
      <c r="Y107">
        <f t="shared" si="53"/>
        <v>-3.385986908144311E-2</v>
      </c>
      <c r="Z107">
        <f t="shared" si="54"/>
        <v>-3.3860719831922542E-2</v>
      </c>
      <c r="AA107">
        <f t="shared" si="55"/>
        <v>-3.369141197901053E-2</v>
      </c>
      <c r="AB107">
        <f t="shared" si="56"/>
        <v>-8.2111724972641735E-3</v>
      </c>
      <c r="AC107">
        <f t="shared" si="57"/>
        <v>-8.1085328410483819E-3</v>
      </c>
      <c r="AD107">
        <f t="shared" si="58"/>
        <v>-8.1098158367510689E-3</v>
      </c>
      <c r="AE107">
        <f t="shared" si="59"/>
        <v>-8.0084271013453993E-3</v>
      </c>
      <c r="AF107">
        <f t="shared" si="30"/>
        <v>8.4482383349187867E-2</v>
      </c>
      <c r="AG107">
        <f t="shared" si="31"/>
        <v>8.4482383349187867E-2</v>
      </c>
      <c r="AH107">
        <f t="shared" si="32"/>
        <v>8.4482383349187867E-2</v>
      </c>
      <c r="AI107">
        <f t="shared" si="33"/>
        <v>8.4482383349187867E-2</v>
      </c>
    </row>
    <row r="108" spans="1:35" x14ac:dyDescent="0.45">
      <c r="A108">
        <v>0.96</v>
      </c>
      <c r="B108">
        <f t="shared" si="34"/>
        <v>4.4107306581461252</v>
      </c>
      <c r="C108">
        <f t="shared" si="35"/>
        <v>2.1022331223161648</v>
      </c>
      <c r="D108">
        <f t="shared" si="36"/>
        <v>6.9740724390754245</v>
      </c>
      <c r="E108">
        <f t="shared" si="37"/>
        <v>-3.359614096988043</v>
      </c>
      <c r="F108">
        <f t="shared" si="38"/>
        <v>-0.84485214764428651</v>
      </c>
      <c r="G108">
        <f t="shared" si="39"/>
        <v>8.4089324892646591</v>
      </c>
      <c r="I108">
        <v>0.96</v>
      </c>
      <c r="J108">
        <f t="shared" si="40"/>
        <v>4.4296655794771969</v>
      </c>
      <c r="K108">
        <f t="shared" si="41"/>
        <v>2.0968489858411536</v>
      </c>
      <c r="L108">
        <f t="shared" si="42"/>
        <v>6.9494183079494771</v>
      </c>
      <c r="M108">
        <f t="shared" si="43"/>
        <v>-3.3812410865566196E-2</v>
      </c>
      <c r="N108">
        <f t="shared" si="44"/>
        <v>-3.3258016861224766E-2</v>
      </c>
      <c r="O108">
        <f t="shared" si="45"/>
        <v>-8.1245688512568744E-3</v>
      </c>
      <c r="P108">
        <f t="shared" si="46"/>
        <v>-8.2454072551614473E-3</v>
      </c>
      <c r="Q108">
        <f t="shared" si="47"/>
        <v>8.3873959433646145E-2</v>
      </c>
      <c r="R108">
        <f t="shared" si="48"/>
        <v>8.4089324892646589E-2</v>
      </c>
      <c r="T108">
        <v>0.96</v>
      </c>
      <c r="U108">
        <f t="shared" si="49"/>
        <v>4.4251712747673118</v>
      </c>
      <c r="V108">
        <f t="shared" si="50"/>
        <v>2.103950200903995</v>
      </c>
      <c r="W108">
        <f t="shared" si="51"/>
        <v>6.9447803222995725</v>
      </c>
      <c r="X108">
        <f t="shared" si="52"/>
        <v>-3.3731961743153141E-2</v>
      </c>
      <c r="Y108">
        <f t="shared" si="53"/>
        <v>-3.3563301934437371E-2</v>
      </c>
      <c r="Z108">
        <f t="shared" si="54"/>
        <v>-3.3564145233480953E-2</v>
      </c>
      <c r="AA108">
        <f t="shared" si="55"/>
        <v>-3.3396320290818328E-2</v>
      </c>
      <c r="AB108">
        <f t="shared" si="56"/>
        <v>-8.3470422749267574E-3</v>
      </c>
      <c r="AC108">
        <f t="shared" si="57"/>
        <v>-8.2427042464901755E-3</v>
      </c>
      <c r="AD108">
        <f t="shared" si="58"/>
        <v>-8.2440084718456239E-3</v>
      </c>
      <c r="AE108">
        <f t="shared" si="59"/>
        <v>-8.1409420631306118E-3</v>
      </c>
      <c r="AF108">
        <f t="shared" si="30"/>
        <v>8.4158008036159804E-2</v>
      </c>
      <c r="AG108">
        <f t="shared" si="31"/>
        <v>8.4158008036159804E-2</v>
      </c>
      <c r="AH108">
        <f t="shared" si="32"/>
        <v>8.4158008036159804E-2</v>
      </c>
      <c r="AI108">
        <f t="shared" si="33"/>
        <v>8.4158008036159804E-2</v>
      </c>
    </row>
    <row r="109" spans="1:35" x14ac:dyDescent="0.45">
      <c r="A109">
        <v>0.97</v>
      </c>
      <c r="B109">
        <f t="shared" si="34"/>
        <v>4.3771345171762448</v>
      </c>
      <c r="C109">
        <f t="shared" si="35"/>
        <v>2.0937846008397218</v>
      </c>
      <c r="D109">
        <f t="shared" si="36"/>
        <v>7.0581617639680712</v>
      </c>
      <c r="E109">
        <f t="shared" si="37"/>
        <v>-3.3302422167563837</v>
      </c>
      <c r="F109">
        <f t="shared" si="38"/>
        <v>-0.85732698492306003</v>
      </c>
      <c r="G109">
        <f t="shared" si="39"/>
        <v>8.3751384033588874</v>
      </c>
      <c r="I109">
        <v>0.97</v>
      </c>
      <c r="J109">
        <f t="shared" si="40"/>
        <v>4.3961303656138018</v>
      </c>
      <c r="K109">
        <f t="shared" si="41"/>
        <v>2.0886639977879446</v>
      </c>
      <c r="L109">
        <f t="shared" si="42"/>
        <v>7.0333999501126234</v>
      </c>
      <c r="M109">
        <f t="shared" si="43"/>
        <v>-3.3517983667198291E-2</v>
      </c>
      <c r="N109">
        <f t="shared" si="44"/>
        <v>-3.2967242330891856E-2</v>
      </c>
      <c r="O109">
        <f t="shared" si="45"/>
        <v>-8.2552962885606013E-3</v>
      </c>
      <c r="P109">
        <f t="shared" si="46"/>
        <v>-8.3668874420165865E-3</v>
      </c>
      <c r="Q109">
        <f t="shared" si="47"/>
        <v>8.3546559911517784E-2</v>
      </c>
      <c r="R109">
        <f t="shared" si="48"/>
        <v>8.375138403358888E-2</v>
      </c>
      <c r="T109">
        <v>0.97</v>
      </c>
      <c r="U109">
        <f t="shared" si="49"/>
        <v>4.3916074120390105</v>
      </c>
      <c r="V109">
        <f t="shared" si="50"/>
        <v>2.095706632608207</v>
      </c>
      <c r="W109">
        <f t="shared" si="51"/>
        <v>7.0289383303357322</v>
      </c>
      <c r="X109">
        <f t="shared" si="52"/>
        <v>-3.343754095734907E-2</v>
      </c>
      <c r="Y109">
        <f t="shared" si="53"/>
        <v>-3.3270353252562321E-2</v>
      </c>
      <c r="Z109">
        <f t="shared" si="54"/>
        <v>-3.3271189191086251E-2</v>
      </c>
      <c r="AA109">
        <f t="shared" si="55"/>
        <v>-3.3104829065438206E-2</v>
      </c>
      <c r="AB109">
        <f t="shared" si="56"/>
        <v>-8.4765916948150721E-3</v>
      </c>
      <c r="AC109">
        <f t="shared" si="57"/>
        <v>-8.3706342986298848E-3</v>
      </c>
      <c r="AD109">
        <f t="shared" si="58"/>
        <v>-8.3719587660821965E-3</v>
      </c>
      <c r="AE109">
        <f t="shared" si="59"/>
        <v>-8.2672927256630217E-3</v>
      </c>
      <c r="AF109">
        <f t="shared" si="30"/>
        <v>8.3828265304328284E-2</v>
      </c>
      <c r="AG109">
        <f t="shared" si="31"/>
        <v>8.3828265304328284E-2</v>
      </c>
      <c r="AH109">
        <f t="shared" si="32"/>
        <v>8.3828265304328284E-2</v>
      </c>
      <c r="AI109">
        <f t="shared" si="33"/>
        <v>8.3828265304328284E-2</v>
      </c>
    </row>
    <row r="110" spans="1:35" x14ac:dyDescent="0.45">
      <c r="A110">
        <v>0.98</v>
      </c>
      <c r="B110">
        <f t="shared" si="34"/>
        <v>4.3438320950086808</v>
      </c>
      <c r="C110">
        <f t="shared" si="35"/>
        <v>2.0852113309904912</v>
      </c>
      <c r="D110">
        <f t="shared" si="36"/>
        <v>7.1419131480016604</v>
      </c>
      <c r="E110">
        <f t="shared" si="37"/>
        <v>-3.3012264295134353</v>
      </c>
      <c r="F110">
        <f t="shared" si="38"/>
        <v>-0.86919623246754707</v>
      </c>
      <c r="G110">
        <f t="shared" si="39"/>
        <v>8.3408453239619647</v>
      </c>
      <c r="I110">
        <v>0.98</v>
      </c>
      <c r="J110">
        <f t="shared" si="40"/>
        <v>4.3628877526147569</v>
      </c>
      <c r="K110">
        <f t="shared" si="41"/>
        <v>2.080352905922656</v>
      </c>
      <c r="L110">
        <f t="shared" si="42"/>
        <v>7.1170489220851767</v>
      </c>
      <c r="M110">
        <f t="shared" si="43"/>
        <v>-3.3227112996534289E-2</v>
      </c>
      <c r="N110">
        <f t="shared" si="44"/>
        <v>-3.2679993165169015E-2</v>
      </c>
      <c r="O110">
        <f t="shared" si="45"/>
        <v>-8.379945121918829E-3</v>
      </c>
      <c r="P110">
        <f t="shared" si="46"/>
        <v>-8.4824636966275065E-3</v>
      </c>
      <c r="Q110">
        <f t="shared" si="47"/>
        <v>8.3214116236906235E-2</v>
      </c>
      <c r="R110">
        <f t="shared" si="48"/>
        <v>8.3408453239619651E-2</v>
      </c>
      <c r="T110">
        <v>0.98</v>
      </c>
      <c r="U110">
        <f t="shared" si="49"/>
        <v>4.3583365028873295</v>
      </c>
      <c r="V110">
        <f t="shared" si="50"/>
        <v>2.08733512084989</v>
      </c>
      <c r="W110">
        <f t="shared" si="51"/>
        <v>7.1127665956400605</v>
      </c>
      <c r="X110">
        <f t="shared" si="52"/>
        <v>-3.314668942462385E-2</v>
      </c>
      <c r="Y110">
        <f t="shared" si="53"/>
        <v>-3.2980955977500725E-2</v>
      </c>
      <c r="Z110">
        <f t="shared" si="54"/>
        <v>-3.2981784644736348E-2</v>
      </c>
      <c r="AA110">
        <f t="shared" si="55"/>
        <v>-3.2816871578176483E-2</v>
      </c>
      <c r="AB110">
        <f t="shared" si="56"/>
        <v>-8.6000129923739527E-3</v>
      </c>
      <c r="AC110">
        <f t="shared" si="57"/>
        <v>-8.4925128299692832E-3</v>
      </c>
      <c r="AD110">
        <f t="shared" si="58"/>
        <v>-8.4938565819993438E-3</v>
      </c>
      <c r="AE110">
        <f t="shared" si="59"/>
        <v>-8.3876665778239764E-3</v>
      </c>
      <c r="AF110">
        <f t="shared" si="30"/>
        <v>8.3493404833995602E-2</v>
      </c>
      <c r="AG110">
        <f t="shared" si="31"/>
        <v>8.3493404833995602E-2</v>
      </c>
      <c r="AH110">
        <f t="shared" si="32"/>
        <v>8.3493404833995602E-2</v>
      </c>
      <c r="AI110">
        <f t="shared" si="33"/>
        <v>8.3493404833995602E-2</v>
      </c>
    </row>
    <row r="111" spans="1:35" x14ac:dyDescent="0.45">
      <c r="A111">
        <v>0.99</v>
      </c>
      <c r="B111">
        <f t="shared" si="34"/>
        <v>4.3108198307135464</v>
      </c>
      <c r="C111">
        <f t="shared" si="35"/>
        <v>2.0765193686658159</v>
      </c>
      <c r="D111">
        <f t="shared" si="36"/>
        <v>7.22532160124128</v>
      </c>
      <c r="E111">
        <f t="shared" si="37"/>
        <v>-3.2725601463806386</v>
      </c>
      <c r="F111">
        <f t="shared" si="38"/>
        <v>-0.88047859095099312</v>
      </c>
      <c r="G111">
        <f t="shared" si="39"/>
        <v>8.3060774746632635</v>
      </c>
      <c r="I111">
        <v>0.99</v>
      </c>
      <c r="J111">
        <f t="shared" si="40"/>
        <v>4.3299341995339056</v>
      </c>
      <c r="K111">
        <f t="shared" si="41"/>
        <v>2.0719217015133826</v>
      </c>
      <c r="L111">
        <f t="shared" si="42"/>
        <v>7.20036020682344</v>
      </c>
      <c r="M111">
        <f t="shared" si="43"/>
        <v>-3.2939733487772148E-2</v>
      </c>
      <c r="N111">
        <f t="shared" si="44"/>
        <v>-3.2396204128928664E-2</v>
      </c>
      <c r="O111">
        <f t="shared" si="45"/>
        <v>-8.4987005424955082E-3</v>
      </c>
      <c r="P111">
        <f t="shared" si="46"/>
        <v>-8.5923183959475489E-3</v>
      </c>
      <c r="Q111">
        <f t="shared" si="47"/>
        <v>8.2876868060535305E-2</v>
      </c>
      <c r="R111">
        <f t="shared" si="48"/>
        <v>8.3060774746632635E-2</v>
      </c>
      <c r="T111">
        <v>0.99</v>
      </c>
      <c r="U111">
        <f t="shared" si="49"/>
        <v>4.3253549958461175</v>
      </c>
      <c r="V111">
        <f t="shared" si="50"/>
        <v>2.0788417177842007</v>
      </c>
      <c r="W111">
        <f t="shared" si="51"/>
        <v>7.196260000474056</v>
      </c>
      <c r="X111">
        <f t="shared" si="52"/>
        <v>-3.285934136954017E-2</v>
      </c>
      <c r="Y111">
        <f t="shared" si="53"/>
        <v>-3.269504466269247E-2</v>
      </c>
      <c r="Z111">
        <f t="shared" si="54"/>
        <v>-3.2695866146226715E-2</v>
      </c>
      <c r="AA111">
        <f t="shared" si="55"/>
        <v>-3.25323827080779E-2</v>
      </c>
      <c r="AB111">
        <f t="shared" si="56"/>
        <v>-8.7174929861438422E-3</v>
      </c>
      <c r="AC111">
        <f t="shared" si="57"/>
        <v>-8.608524323817042E-3</v>
      </c>
      <c r="AD111">
        <f t="shared" si="58"/>
        <v>-8.6098864320961303E-3</v>
      </c>
      <c r="AE111">
        <f t="shared" si="59"/>
        <v>-8.502245825341443E-3</v>
      </c>
      <c r="AF111">
        <f t="shared" si="30"/>
        <v>8.3153668711368034E-2</v>
      </c>
      <c r="AG111">
        <f t="shared" si="31"/>
        <v>8.3153668711368034E-2</v>
      </c>
      <c r="AH111">
        <f t="shared" si="32"/>
        <v>8.3153668711368034E-2</v>
      </c>
      <c r="AI111">
        <f t="shared" si="33"/>
        <v>8.3153668711368034E-2</v>
      </c>
    </row>
    <row r="112" spans="1:35" x14ac:dyDescent="0.45">
      <c r="A112">
        <v>1</v>
      </c>
      <c r="B112">
        <f t="shared" si="34"/>
        <v>4.2780942292497404</v>
      </c>
      <c r="C112">
        <f t="shared" si="35"/>
        <v>2.0677145827563059</v>
      </c>
      <c r="D112">
        <f t="shared" si="36"/>
        <v>7.3083823759879127</v>
      </c>
      <c r="E112">
        <f t="shared" si="37"/>
        <v>-3.2442369378715874</v>
      </c>
      <c r="F112">
        <f t="shared" si="38"/>
        <v>-0.89119222764102446</v>
      </c>
      <c r="G112">
        <f t="shared" si="39"/>
        <v>8.2708583310252237</v>
      </c>
      <c r="I112">
        <v>1</v>
      </c>
      <c r="J112">
        <f t="shared" si="40"/>
        <v>4.2972662307255556</v>
      </c>
      <c r="K112">
        <f t="shared" si="41"/>
        <v>2.0633761920441609</v>
      </c>
      <c r="L112">
        <f t="shared" si="42"/>
        <v>7.2833290282270244</v>
      </c>
      <c r="M112">
        <f t="shared" si="43"/>
        <v>-3.265578134703475E-2</v>
      </c>
      <c r="N112">
        <f t="shared" si="44"/>
        <v>-3.2115811565245525E-2</v>
      </c>
      <c r="O112">
        <f t="shared" si="45"/>
        <v>-8.6117424938484659E-3</v>
      </c>
      <c r="P112">
        <f t="shared" si="46"/>
        <v>-8.6966287140640385E-3</v>
      </c>
      <c r="Q112">
        <f t="shared" si="47"/>
        <v>8.2535047681766435E-2</v>
      </c>
      <c r="R112">
        <f t="shared" si="48"/>
        <v>8.2708583310252243E-2</v>
      </c>
      <c r="T112">
        <v>1</v>
      </c>
      <c r="U112">
        <f t="shared" si="49"/>
        <v>4.2926594048968747</v>
      </c>
      <c r="V112">
        <f t="shared" si="50"/>
        <v>2.0702322910636486</v>
      </c>
      <c r="W112">
        <f t="shared" si="51"/>
        <v>7.2794136691854243</v>
      </c>
      <c r="X112">
        <f t="shared" si="52"/>
        <v>-3.2575432593650505E-2</v>
      </c>
      <c r="Y112">
        <f t="shared" si="53"/>
        <v>-3.2412555430682249E-2</v>
      </c>
      <c r="Z112">
        <f t="shared" si="54"/>
        <v>-3.2413369816497097E-2</v>
      </c>
      <c r="AA112">
        <f t="shared" si="55"/>
        <v>-3.2251298895485531E-2</v>
      </c>
      <c r="AB112">
        <f t="shared" si="56"/>
        <v>-8.8292132276224684E-3</v>
      </c>
      <c r="AC112">
        <f t="shared" si="57"/>
        <v>-8.7188480622771847E-3</v>
      </c>
      <c r="AD112">
        <f t="shared" si="58"/>
        <v>-8.7202276268440043E-3</v>
      </c>
      <c r="AE112">
        <f t="shared" si="59"/>
        <v>-8.6112075369513714E-3</v>
      </c>
      <c r="AF112">
        <f t="shared" si="30"/>
        <v>8.280929164254594E-2</v>
      </c>
      <c r="AG112">
        <f t="shared" si="31"/>
        <v>8.280929164254594E-2</v>
      </c>
      <c r="AH112">
        <f t="shared" si="32"/>
        <v>8.280929164254594E-2</v>
      </c>
      <c r="AI112">
        <f t="shared" si="33"/>
        <v>8.280929164254594E-2</v>
      </c>
    </row>
    <row r="113" spans="1:35" x14ac:dyDescent="0.45">
      <c r="A113">
        <v>1.01</v>
      </c>
      <c r="B113">
        <f t="shared" si="34"/>
        <v>4.2456518598710247</v>
      </c>
      <c r="C113">
        <f t="shared" si="35"/>
        <v>2.0588026604798957</v>
      </c>
      <c r="D113">
        <f t="shared" si="36"/>
        <v>7.3910909592981646</v>
      </c>
      <c r="E113">
        <f t="shared" si="37"/>
        <v>-3.2162505296310768</v>
      </c>
      <c r="F113">
        <f t="shared" si="38"/>
        <v>-0.90135479132871454</v>
      </c>
      <c r="G113">
        <f t="shared" si="39"/>
        <v>8.2352106419195827</v>
      </c>
      <c r="I113">
        <v>1.01</v>
      </c>
      <c r="J113">
        <f t="shared" si="40"/>
        <v>4.2648804342694158</v>
      </c>
      <c r="K113">
        <f t="shared" si="41"/>
        <v>2.0547220064402048</v>
      </c>
      <c r="L113">
        <f t="shared" si="42"/>
        <v>7.3659508437230334</v>
      </c>
      <c r="M113">
        <f t="shared" si="43"/>
        <v>-3.2375194310493134E-2</v>
      </c>
      <c r="N113">
        <f t="shared" si="44"/>
        <v>-3.1838753353205837E-2</v>
      </c>
      <c r="O113">
        <f t="shared" si="45"/>
        <v>-8.7192458183109611E-3</v>
      </c>
      <c r="P113">
        <f t="shared" si="46"/>
        <v>-8.7955667678293777E-3</v>
      </c>
      <c r="Q113">
        <f t="shared" si="47"/>
        <v>8.2188880257608191E-2</v>
      </c>
      <c r="R113">
        <f t="shared" si="48"/>
        <v>8.2352106419195825E-2</v>
      </c>
      <c r="T113">
        <v>1.01</v>
      </c>
      <c r="U113">
        <f t="shared" si="49"/>
        <v>4.2602463078996253</v>
      </c>
      <c r="V113">
        <f t="shared" si="50"/>
        <v>2.0615125290398457</v>
      </c>
      <c r="W113">
        <f t="shared" si="51"/>
        <v>7.3622229608279701</v>
      </c>
      <c r="X113">
        <f t="shared" si="52"/>
        <v>-3.2294900433797027E-2</v>
      </c>
      <c r="Y113">
        <f t="shared" si="53"/>
        <v>-3.2133425931628039E-2</v>
      </c>
      <c r="Z113">
        <f t="shared" si="54"/>
        <v>-3.2134233304138886E-2</v>
      </c>
      <c r="AA113">
        <f t="shared" si="55"/>
        <v>-3.1973558100755639E-2</v>
      </c>
      <c r="AB113">
        <f t="shared" si="56"/>
        <v>-8.9353501469998878E-3</v>
      </c>
      <c r="AC113">
        <f t="shared" si="57"/>
        <v>-8.8236582701623958E-3</v>
      </c>
      <c r="AD113">
        <f t="shared" si="58"/>
        <v>-8.8250544186228592E-3</v>
      </c>
      <c r="AE113">
        <f t="shared" si="59"/>
        <v>-8.7147237865343192E-3</v>
      </c>
      <c r="AF113">
        <f t="shared" si="30"/>
        <v>8.2460501161593827E-2</v>
      </c>
      <c r="AG113">
        <f t="shared" si="31"/>
        <v>8.2460501161593827E-2</v>
      </c>
      <c r="AH113">
        <f t="shared" si="32"/>
        <v>8.2460501161593827E-2</v>
      </c>
      <c r="AI113">
        <f t="shared" si="33"/>
        <v>8.2460501161593827E-2</v>
      </c>
    </row>
    <row r="114" spans="1:35" x14ac:dyDescent="0.45">
      <c r="A114">
        <v>1.02</v>
      </c>
      <c r="B114">
        <f t="shared" si="34"/>
        <v>4.2134893545747136</v>
      </c>
      <c r="C114">
        <f t="shared" si="35"/>
        <v>2.0497891125666086</v>
      </c>
      <c r="D114">
        <f t="shared" si="36"/>
        <v>7.4734430657173601</v>
      </c>
      <c r="E114">
        <f t="shared" si="37"/>
        <v>-3.1885947982914091</v>
      </c>
      <c r="F114">
        <f t="shared" si="38"/>
        <v>-0.910983426841808</v>
      </c>
      <c r="G114">
        <f t="shared" si="39"/>
        <v>8.1991564502664342</v>
      </c>
      <c r="I114">
        <v>1.02</v>
      </c>
      <c r="J114">
        <f t="shared" si="40"/>
        <v>4.2327734604375662</v>
      </c>
      <c r="K114">
        <f t="shared" si="41"/>
        <v>2.0459646001471348</v>
      </c>
      <c r="L114">
        <f t="shared" si="42"/>
        <v>7.4482213370614359</v>
      </c>
      <c r="M114">
        <f t="shared" si="43"/>
        <v>-3.2097911603639985E-2</v>
      </c>
      <c r="N114">
        <f t="shared" si="44"/>
        <v>-3.1564968866877693E-2</v>
      </c>
      <c r="O114">
        <f t="shared" si="45"/>
        <v>-8.8213803993027091E-3</v>
      </c>
      <c r="P114">
        <f t="shared" si="46"/>
        <v>-8.8892997584355052E-3</v>
      </c>
      <c r="Q114">
        <f t="shared" si="47"/>
        <v>8.1838584005885395E-2</v>
      </c>
      <c r="R114">
        <f t="shared" si="48"/>
        <v>8.1991564502664344E-2</v>
      </c>
      <c r="T114">
        <v>1.02</v>
      </c>
      <c r="U114">
        <f t="shared" si="49"/>
        <v>4.228112345065278</v>
      </c>
      <c r="V114">
        <f t="shared" si="50"/>
        <v>2.0526879458213281</v>
      </c>
      <c r="W114">
        <f t="shared" si="51"/>
        <v>7.4446834619895643</v>
      </c>
      <c r="X114">
        <f t="shared" si="52"/>
        <v>-3.201768372154614E-2</v>
      </c>
      <c r="Y114">
        <f t="shared" si="53"/>
        <v>-3.1857595302938406E-2</v>
      </c>
      <c r="Z114">
        <f t="shared" si="54"/>
        <v>-3.1858395745031451E-2</v>
      </c>
      <c r="AA114">
        <f t="shared" si="55"/>
        <v>-3.169909976409583E-2</v>
      </c>
      <c r="AB114">
        <f t="shared" si="56"/>
        <v>-9.0360751948804201E-3</v>
      </c>
      <c r="AC114">
        <f t="shared" si="57"/>
        <v>-8.9231242549444156E-3</v>
      </c>
      <c r="AD114">
        <f t="shared" si="58"/>
        <v>-8.9245361416936172E-3</v>
      </c>
      <c r="AE114">
        <f t="shared" si="59"/>
        <v>-8.8129617913380812E-3</v>
      </c>
      <c r="AF114">
        <f t="shared" si="30"/>
        <v>8.2107517832853125E-2</v>
      </c>
      <c r="AG114">
        <f t="shared" si="31"/>
        <v>8.2107517832853125E-2</v>
      </c>
      <c r="AH114">
        <f t="shared" si="32"/>
        <v>8.2107517832853125E-2</v>
      </c>
      <c r="AI114">
        <f t="shared" si="33"/>
        <v>8.2107517832853125E-2</v>
      </c>
    </row>
    <row r="115" spans="1:35" x14ac:dyDescent="0.45">
      <c r="A115">
        <v>1.03</v>
      </c>
      <c r="B115">
        <f t="shared" si="34"/>
        <v>4.1816034065917993</v>
      </c>
      <c r="C115">
        <f t="shared" si="35"/>
        <v>2.0406792782981906</v>
      </c>
      <c r="D115">
        <f t="shared" si="36"/>
        <v>7.5554346302200246</v>
      </c>
      <c r="E115">
        <f t="shared" si="37"/>
        <v>-3.161263767442704</v>
      </c>
      <c r="F115">
        <f t="shared" si="38"/>
        <v>-0.92009478915367726</v>
      </c>
      <c r="G115">
        <f t="shared" si="39"/>
        <v>8.1627171131927625</v>
      </c>
      <c r="I115">
        <v>1.03</v>
      </c>
      <c r="J115">
        <f t="shared" si="40"/>
        <v>4.2009420202023078</v>
      </c>
      <c r="K115">
        <f t="shared" si="41"/>
        <v>2.0371092600682656</v>
      </c>
      <c r="L115">
        <f t="shared" si="42"/>
        <v>7.530136411315711</v>
      </c>
      <c r="M115">
        <f t="shared" si="43"/>
        <v>-3.1823873901681753E-2</v>
      </c>
      <c r="N115">
        <f t="shared" si="44"/>
        <v>-3.1294398935410223E-2</v>
      </c>
      <c r="O115">
        <f t="shared" si="45"/>
        <v>-8.9183112996835644E-3</v>
      </c>
      <c r="P115">
        <f t="shared" si="46"/>
        <v>-8.9779901090446899E-3</v>
      </c>
      <c r="Q115">
        <f t="shared" si="47"/>
        <v>8.1484370402730627E-2</v>
      </c>
      <c r="R115">
        <f t="shared" si="48"/>
        <v>8.162717113192762E-2</v>
      </c>
      <c r="T115">
        <v>1.03</v>
      </c>
      <c r="U115">
        <f t="shared" si="49"/>
        <v>4.1962542174683479</v>
      </c>
      <c r="V115">
        <f t="shared" si="50"/>
        <v>2.0437638861914125</v>
      </c>
      <c r="W115">
        <f t="shared" si="51"/>
        <v>7.5267909798224171</v>
      </c>
      <c r="X115">
        <f t="shared" si="52"/>
        <v>-3.1743722743726423E-2</v>
      </c>
      <c r="Y115">
        <f t="shared" si="53"/>
        <v>-3.1585004130007789E-2</v>
      </c>
      <c r="Z115">
        <f t="shared" si="54"/>
        <v>-3.1585797723076382E-2</v>
      </c>
      <c r="AA115">
        <f t="shared" si="55"/>
        <v>-3.1427864766495651E-2</v>
      </c>
      <c r="AB115">
        <f t="shared" si="56"/>
        <v>-9.1315549801018314E-3</v>
      </c>
      <c r="AC115">
        <f t="shared" si="57"/>
        <v>-9.0174105428505597E-3</v>
      </c>
      <c r="AD115">
        <f t="shared" si="58"/>
        <v>-9.0188373483162023E-3</v>
      </c>
      <c r="AE115">
        <f t="shared" si="59"/>
        <v>-8.906084046393925E-3</v>
      </c>
      <c r="AF115">
        <f t="shared" si="30"/>
        <v>8.1750555447656498E-2</v>
      </c>
      <c r="AG115">
        <f t="shared" si="31"/>
        <v>8.1750555447656498E-2</v>
      </c>
      <c r="AH115">
        <f t="shared" si="32"/>
        <v>8.1750555447656498E-2</v>
      </c>
      <c r="AI115">
        <f t="shared" si="33"/>
        <v>8.1750555447656498E-2</v>
      </c>
    </row>
    <row r="116" spans="1:35" x14ac:dyDescent="0.45">
      <c r="A116">
        <v>1.04</v>
      </c>
      <c r="B116">
        <f t="shared" si="34"/>
        <v>4.1499907689173723</v>
      </c>
      <c r="C116">
        <f t="shared" si="35"/>
        <v>2.0314783304066539</v>
      </c>
      <c r="D116">
        <f t="shared" si="36"/>
        <v>7.637061801351952</v>
      </c>
      <c r="E116">
        <f t="shared" si="37"/>
        <v>-3.1342516037140453</v>
      </c>
      <c r="F116">
        <f t="shared" si="38"/>
        <v>-0.92870505709926254</v>
      </c>
      <c r="G116">
        <f t="shared" si="39"/>
        <v>8.1259133216266157</v>
      </c>
      <c r="I116">
        <v>1.04</v>
      </c>
      <c r="J116">
        <f t="shared" si="40"/>
        <v>4.1693828837837614</v>
      </c>
      <c r="K116">
        <f t="shared" si="41"/>
        <v>2.0281611093639014</v>
      </c>
      <c r="L116">
        <f t="shared" si="42"/>
        <v>7.6116921820830399</v>
      </c>
      <c r="M116">
        <f t="shared" si="43"/>
        <v>-3.1553023291018105E-2</v>
      </c>
      <c r="N116">
        <f t="shared" si="44"/>
        <v>-3.1026985804230276E-2</v>
      </c>
      <c r="O116">
        <f t="shared" si="45"/>
        <v>-9.0101988962599227E-3</v>
      </c>
      <c r="P116">
        <f t="shared" si="46"/>
        <v>-9.0617955985861261E-3</v>
      </c>
      <c r="Q116">
        <f t="shared" si="47"/>
        <v>8.1126444374556059E-2</v>
      </c>
      <c r="R116">
        <f t="shared" si="48"/>
        <v>8.1259133216266155E-2</v>
      </c>
      <c r="T116">
        <v>1.04</v>
      </c>
      <c r="U116">
        <f t="shared" si="49"/>
        <v>4.1646686855989499</v>
      </c>
      <c r="V116">
        <f t="shared" si="50"/>
        <v>2.0347455303899409</v>
      </c>
      <c r="W116">
        <f t="shared" si="51"/>
        <v>7.6085415352700734</v>
      </c>
      <c r="X116">
        <f t="shared" si="52"/>
        <v>-3.1472959204039794E-2</v>
      </c>
      <c r="Y116">
        <f t="shared" si="53"/>
        <v>-3.1315594408019599E-2</v>
      </c>
      <c r="Z116">
        <f t="shared" si="54"/>
        <v>-3.1316381231999701E-2</v>
      </c>
      <c r="AA116">
        <f t="shared" si="55"/>
        <v>-3.1159795391719793E-2</v>
      </c>
      <c r="AB116">
        <f t="shared" si="56"/>
        <v>-9.2219514037590235E-3</v>
      </c>
      <c r="AC116">
        <f t="shared" si="57"/>
        <v>-9.1066770112120388E-3</v>
      </c>
      <c r="AD116">
        <f t="shared" si="58"/>
        <v>-9.1081179411188675E-3</v>
      </c>
      <c r="AE116">
        <f t="shared" si="59"/>
        <v>-8.9942484552310471E-3</v>
      </c>
      <c r="AF116">
        <f t="shared" si="30"/>
        <v>8.1389821215597638E-2</v>
      </c>
      <c r="AG116">
        <f t="shared" si="31"/>
        <v>8.1389821215597638E-2</v>
      </c>
      <c r="AH116">
        <f t="shared" si="32"/>
        <v>8.1389821215597638E-2</v>
      </c>
      <c r="AI116">
        <f t="shared" si="33"/>
        <v>8.1389821215597638E-2</v>
      </c>
    </row>
    <row r="117" spans="1:35" x14ac:dyDescent="0.45">
      <c r="A117">
        <v>1.05</v>
      </c>
      <c r="B117">
        <f t="shared" si="34"/>
        <v>4.1186482528802317</v>
      </c>
      <c r="C117">
        <f t="shared" si="35"/>
        <v>2.0221912798356612</v>
      </c>
      <c r="D117">
        <f t="shared" si="36"/>
        <v>7.7183209345682178</v>
      </c>
      <c r="E117">
        <f t="shared" si="37"/>
        <v>-3.1075526129624009</v>
      </c>
      <c r="F117">
        <f t="shared" si="38"/>
        <v>-0.93682994670892139</v>
      </c>
      <c r="G117">
        <f t="shared" si="39"/>
        <v>8.0887651193426446</v>
      </c>
      <c r="I117">
        <v>1.05</v>
      </c>
      <c r="J117">
        <f t="shared" si="40"/>
        <v>4.1380928792361376</v>
      </c>
      <c r="K117">
        <f t="shared" si="41"/>
        <v>2.0191251121164782</v>
      </c>
      <c r="L117">
        <f t="shared" si="42"/>
        <v>7.6928849708784508</v>
      </c>
      <c r="M117">
        <f t="shared" si="43"/>
        <v>-3.1285303231778985E-2</v>
      </c>
      <c r="N117">
        <f t="shared" si="44"/>
        <v>-3.0762673097306223E-2</v>
      </c>
      <c r="O117">
        <f t="shared" si="45"/>
        <v>-9.0971990105505815E-3</v>
      </c>
      <c r="P117">
        <f t="shared" si="46"/>
        <v>-9.1408694918254513E-3</v>
      </c>
      <c r="Q117">
        <f t="shared" si="47"/>
        <v>8.0765004484659134E-2</v>
      </c>
      <c r="R117">
        <f t="shared" si="48"/>
        <v>8.0887651193426446E-2</v>
      </c>
      <c r="T117">
        <v>1.05</v>
      </c>
      <c r="U117">
        <f t="shared" si="49"/>
        <v>4.1333525679529837</v>
      </c>
      <c r="V117">
        <f t="shared" si="50"/>
        <v>2.0256378987626658</v>
      </c>
      <c r="W117">
        <f t="shared" si="51"/>
        <v>7.6899313564856708</v>
      </c>
      <c r="X117">
        <f t="shared" si="52"/>
        <v>-3.1205336185716508E-2</v>
      </c>
      <c r="Y117">
        <f t="shared" si="53"/>
        <v>-3.1049309504787931E-2</v>
      </c>
      <c r="Z117">
        <f t="shared" si="54"/>
        <v>-3.1050089638192571E-2</v>
      </c>
      <c r="AA117">
        <f t="shared" si="55"/>
        <v>-3.0894835289334583E-2</v>
      </c>
      <c r="AB117">
        <f t="shared" si="56"/>
        <v>-9.3074217895368072E-3</v>
      </c>
      <c r="AC117">
        <f t="shared" si="57"/>
        <v>-9.1910790171676037E-3</v>
      </c>
      <c r="AD117">
        <f t="shared" si="58"/>
        <v>-9.1925333018222141E-3</v>
      </c>
      <c r="AE117">
        <f t="shared" si="59"/>
        <v>-9.0776084569912461E-3</v>
      </c>
      <c r="AF117">
        <f t="shared" si="30"/>
        <v>8.1025515950506638E-2</v>
      </c>
      <c r="AG117">
        <f t="shared" si="31"/>
        <v>8.1025515950506638E-2</v>
      </c>
      <c r="AH117">
        <f t="shared" si="32"/>
        <v>8.1025515950506638E-2</v>
      </c>
      <c r="AI117">
        <f t="shared" si="33"/>
        <v>8.1025515950506638E-2</v>
      </c>
    </row>
    <row r="118" spans="1:35" x14ac:dyDescent="0.45">
      <c r="A118">
        <v>1.06</v>
      </c>
      <c r="B118">
        <f t="shared" si="34"/>
        <v>4.0875727267506079</v>
      </c>
      <c r="C118">
        <f t="shared" si="35"/>
        <v>2.012822980368572</v>
      </c>
      <c r="D118">
        <f t="shared" si="36"/>
        <v>7.7992085857616438</v>
      </c>
      <c r="E118">
        <f t="shared" si="37"/>
        <v>-3.0811612365663219</v>
      </c>
      <c r="F118">
        <f t="shared" si="38"/>
        <v>-0.94448472417082208</v>
      </c>
      <c r="G118">
        <f t="shared" si="39"/>
        <v>8.051291921474288</v>
      </c>
      <c r="I118">
        <v>1.06</v>
      </c>
      <c r="J118">
        <f t="shared" si="40"/>
        <v>4.1070688910715951</v>
      </c>
      <c r="K118">
        <f t="shared" si="41"/>
        <v>2.01000607786529</v>
      </c>
      <c r="L118">
        <f t="shared" si="42"/>
        <v>7.7737112987174939</v>
      </c>
      <c r="M118">
        <f t="shared" si="43"/>
        <v>-3.1020658521389501E-2</v>
      </c>
      <c r="N118">
        <f t="shared" si="44"/>
        <v>-3.0501405780449329E-2</v>
      </c>
      <c r="O118">
        <f t="shared" si="45"/>
        <v>-9.1794630359162983E-3</v>
      </c>
      <c r="P118">
        <f t="shared" si="46"/>
        <v>-9.2153606658103102E-3</v>
      </c>
      <c r="Q118">
        <f t="shared" si="47"/>
        <v>8.0400243114611594E-2</v>
      </c>
      <c r="R118">
        <f t="shared" si="48"/>
        <v>8.0512919214742878E-2</v>
      </c>
      <c r="T118">
        <v>1.06</v>
      </c>
      <c r="U118">
        <f t="shared" si="49"/>
        <v>4.102302739659482</v>
      </c>
      <c r="V118">
        <f t="shared" si="50"/>
        <v>2.0164458562819143</v>
      </c>
      <c r="W118">
        <f t="shared" si="51"/>
        <v>7.7709568724361775</v>
      </c>
      <c r="X118">
        <f t="shared" si="52"/>
        <v>-3.0940798115185252E-2</v>
      </c>
      <c r="Y118">
        <f t="shared" si="53"/>
        <v>-3.0786094124609323E-2</v>
      </c>
      <c r="Z118">
        <f t="shared" si="54"/>
        <v>-3.0786867644562205E-2</v>
      </c>
      <c r="AA118">
        <f t="shared" si="55"/>
        <v>-3.0632929438739628E-2</v>
      </c>
      <c r="AB118">
        <f t="shared" si="56"/>
        <v>-9.3881190104530363E-3</v>
      </c>
      <c r="AC118">
        <f t="shared" si="57"/>
        <v>-9.2707675228223697E-3</v>
      </c>
      <c r="AD118">
        <f t="shared" si="58"/>
        <v>-9.2722344164177621E-3</v>
      </c>
      <c r="AE118">
        <f t="shared" si="59"/>
        <v>-9.1563131500425991E-3</v>
      </c>
      <c r="AF118">
        <f t="shared" si="30"/>
        <v>8.0657834251276581E-2</v>
      </c>
      <c r="AG118">
        <f t="shared" si="31"/>
        <v>8.0657834251276581E-2</v>
      </c>
      <c r="AH118">
        <f t="shared" si="32"/>
        <v>8.0657834251276581E-2</v>
      </c>
      <c r="AI118">
        <f t="shared" si="33"/>
        <v>8.0657834251276581E-2</v>
      </c>
    </row>
    <row r="119" spans="1:35" x14ac:dyDescent="0.45">
      <c r="A119">
        <v>1.07</v>
      </c>
      <c r="B119">
        <f t="shared" si="34"/>
        <v>4.0567611143849449</v>
      </c>
      <c r="C119">
        <f t="shared" si="35"/>
        <v>2.0033781331268639</v>
      </c>
      <c r="D119">
        <f t="shared" si="36"/>
        <v>7.8797215049763869</v>
      </c>
      <c r="E119">
        <f t="shared" si="37"/>
        <v>-3.055072047821513</v>
      </c>
      <c r="F119">
        <f t="shared" si="38"/>
        <v>-0.95168421843221473</v>
      </c>
      <c r="G119">
        <f t="shared" si="39"/>
        <v>8.0135125325074554</v>
      </c>
      <c r="I119">
        <v>1.07</v>
      </c>
      <c r="J119">
        <f t="shared" si="40"/>
        <v>4.0763078589206758</v>
      </c>
      <c r="K119">
        <f t="shared" si="41"/>
        <v>2.0008086660144269</v>
      </c>
      <c r="L119">
        <f t="shared" si="42"/>
        <v>7.854167879882171</v>
      </c>
      <c r="M119">
        <f t="shared" si="43"/>
        <v>-3.0759035259134624E-2</v>
      </c>
      <c r="N119">
        <f t="shared" si="44"/>
        <v>-3.0243130125623782E-2</v>
      </c>
      <c r="O119">
        <f t="shared" si="45"/>
        <v>-9.2571380611539134E-3</v>
      </c>
      <c r="P119">
        <f t="shared" si="46"/>
        <v>-9.2854137327933028E-3</v>
      </c>
      <c r="Q119">
        <f t="shared" si="47"/>
        <v>8.0032346640577082E-2</v>
      </c>
      <c r="R119">
        <f t="shared" si="48"/>
        <v>8.0135125325074552E-2</v>
      </c>
      <c r="T119">
        <v>1.07</v>
      </c>
      <c r="U119">
        <f t="shared" si="49"/>
        <v>4.0715161311441044</v>
      </c>
      <c r="V119">
        <f t="shared" si="50"/>
        <v>2.0071741169420849</v>
      </c>
      <c r="W119">
        <f t="shared" si="51"/>
        <v>7.851614706687454</v>
      </c>
      <c r="X119">
        <f t="shared" si="52"/>
        <v>-3.0679290726730618E-2</v>
      </c>
      <c r="Y119">
        <f t="shared" si="53"/>
        <v>-3.0525894273096963E-2</v>
      </c>
      <c r="Z119">
        <f t="shared" si="54"/>
        <v>-3.0526661255365132E-2</v>
      </c>
      <c r="AA119">
        <f t="shared" si="55"/>
        <v>-3.0374024114176966E-2</v>
      </c>
      <c r="AB119">
        <f t="shared" si="56"/>
        <v>-9.4641916121110808E-3</v>
      </c>
      <c r="AC119">
        <f t="shared" si="57"/>
        <v>-9.3458892169596859E-3</v>
      </c>
      <c r="AD119">
        <f t="shared" si="58"/>
        <v>-9.3473679968990898E-3</v>
      </c>
      <c r="AE119">
        <f t="shared" si="59"/>
        <v>-9.2305074121885999E-3</v>
      </c>
      <c r="AF119">
        <f t="shared" si="30"/>
        <v>8.0286964677683398E-2</v>
      </c>
      <c r="AG119">
        <f t="shared" si="31"/>
        <v>8.0286964677683398E-2</v>
      </c>
      <c r="AH119">
        <f t="shared" si="32"/>
        <v>8.0286964677683398E-2</v>
      </c>
      <c r="AI119">
        <f t="shared" si="33"/>
        <v>8.0286964677683398E-2</v>
      </c>
    </row>
    <row r="120" spans="1:35" x14ac:dyDescent="0.45">
      <c r="A120">
        <v>1.08</v>
      </c>
      <c r="B120">
        <f t="shared" si="34"/>
        <v>4.0262103939067302</v>
      </c>
      <c r="C120">
        <f t="shared" si="35"/>
        <v>1.9938612909425417</v>
      </c>
      <c r="D120">
        <f t="shared" si="36"/>
        <v>7.9598566303014611</v>
      </c>
      <c r="E120">
        <f t="shared" si="37"/>
        <v>-3.0292797484354592</v>
      </c>
      <c r="F120">
        <f t="shared" si="38"/>
        <v>-0.95844283344962422</v>
      </c>
      <c r="G120">
        <f t="shared" si="39"/>
        <v>7.9754451637701669</v>
      </c>
      <c r="I120">
        <v>1.08</v>
      </c>
      <c r="J120">
        <f t="shared" si="40"/>
        <v>4.0458067762282965</v>
      </c>
      <c r="K120">
        <f t="shared" si="41"/>
        <v>1.9915373901174533</v>
      </c>
      <c r="L120">
        <f t="shared" si="42"/>
        <v>7.9342516158649969</v>
      </c>
      <c r="M120">
        <f t="shared" si="43"/>
        <v>-3.0500380811695701E-2</v>
      </c>
      <c r="N120">
        <f t="shared" si="44"/>
        <v>-2.9987793676237638E-2</v>
      </c>
      <c r="O120">
        <f t="shared" si="45"/>
        <v>-9.330366990653368E-3</v>
      </c>
      <c r="P120">
        <f t="shared" si="46"/>
        <v>-9.351169159729911E-3</v>
      </c>
      <c r="Q120">
        <f t="shared" si="47"/>
        <v>7.9661495604698138E-2</v>
      </c>
      <c r="R120">
        <f t="shared" si="48"/>
        <v>7.9754451637701673E-2</v>
      </c>
      <c r="T120">
        <v>1.08</v>
      </c>
      <c r="U120">
        <f t="shared" si="49"/>
        <v>4.0409897268277994</v>
      </c>
      <c r="V120">
        <f t="shared" si="50"/>
        <v>1.9978272480334154</v>
      </c>
      <c r="W120">
        <f t="shared" si="51"/>
        <v>7.9319016713651376</v>
      </c>
      <c r="X120">
        <f t="shared" si="52"/>
        <v>-3.0420761028110921E-2</v>
      </c>
      <c r="Y120">
        <f t="shared" si="53"/>
        <v>-3.0268657222970365E-2</v>
      </c>
      <c r="Z120">
        <f t="shared" si="54"/>
        <v>-3.0269417741996065E-2</v>
      </c>
      <c r="AA120">
        <f t="shared" si="55"/>
        <v>-3.0118066850690958E-2</v>
      </c>
      <c r="AB120">
        <f t="shared" si="56"/>
        <v>-9.5357839325573897E-3</v>
      </c>
      <c r="AC120">
        <f t="shared" si="57"/>
        <v>-9.4165866334004183E-3</v>
      </c>
      <c r="AD120">
        <f t="shared" si="58"/>
        <v>-9.4180765996398873E-3</v>
      </c>
      <c r="AE120">
        <f t="shared" si="59"/>
        <v>-9.3003320175663925E-3</v>
      </c>
      <c r="AF120">
        <f t="shared" si="30"/>
        <v>7.9913089921336611E-2</v>
      </c>
      <c r="AG120">
        <f t="shared" si="31"/>
        <v>7.9913089921336611E-2</v>
      </c>
      <c r="AH120">
        <f t="shared" si="32"/>
        <v>7.9913089921336611E-2</v>
      </c>
      <c r="AI120">
        <f t="shared" si="33"/>
        <v>7.9913089921336611E-2</v>
      </c>
    </row>
    <row r="121" spans="1:35" x14ac:dyDescent="0.45">
      <c r="A121">
        <v>1.0900000000000001</v>
      </c>
      <c r="B121">
        <f t="shared" si="34"/>
        <v>3.9959175964223754</v>
      </c>
      <c r="C121">
        <f t="shared" si="35"/>
        <v>1.9842768626080454</v>
      </c>
      <c r="D121">
        <f t="shared" si="36"/>
        <v>8.039611081939162</v>
      </c>
      <c r="E121">
        <f t="shared" si="37"/>
        <v>-3.0037791651183525</v>
      </c>
      <c r="F121">
        <f t="shared" si="38"/>
        <v>-0.96477456009773821</v>
      </c>
      <c r="G121">
        <f t="shared" si="39"/>
        <v>7.9371074504321815</v>
      </c>
      <c r="I121">
        <v>1.0900000000000001</v>
      </c>
      <c r="J121">
        <f t="shared" si="40"/>
        <v>4.0155626889843301</v>
      </c>
      <c r="K121">
        <f t="shared" si="41"/>
        <v>1.9821966220422618</v>
      </c>
      <c r="L121">
        <f t="shared" si="42"/>
        <v>8.0139595894861966</v>
      </c>
      <c r="M121">
        <f t="shared" si="43"/>
        <v>-3.0244643779631996E-2</v>
      </c>
      <c r="N121">
        <f t="shared" si="44"/>
        <v>-2.9735345213387207E-2</v>
      </c>
      <c r="O121">
        <f t="shared" si="45"/>
        <v>-9.3992886612132408E-3</v>
      </c>
      <c r="P121">
        <f t="shared" si="46"/>
        <v>-9.4127633844470447E-3</v>
      </c>
      <c r="Q121">
        <f t="shared" si="47"/>
        <v>7.928786488169047E-2</v>
      </c>
      <c r="R121">
        <f t="shared" si="48"/>
        <v>7.937107450432182E-2</v>
      </c>
      <c r="T121">
        <v>1.0900000000000001</v>
      </c>
      <c r="U121">
        <f t="shared" si="49"/>
        <v>4.0107205638596772</v>
      </c>
      <c r="V121">
        <f t="shared" si="50"/>
        <v>1.9884096742973814</v>
      </c>
      <c r="W121">
        <f t="shared" si="51"/>
        <v>8.011814761286475</v>
      </c>
      <c r="X121">
        <f t="shared" si="52"/>
        <v>-3.0165157267109867E-2</v>
      </c>
      <c r="Y121">
        <f t="shared" si="53"/>
        <v>-3.0014331480774318E-2</v>
      </c>
      <c r="Z121">
        <f t="shared" si="54"/>
        <v>-3.0015085609705998E-2</v>
      </c>
      <c r="AA121">
        <f t="shared" si="55"/>
        <v>-2.9865006411012807E-2</v>
      </c>
      <c r="AB121">
        <f t="shared" si="56"/>
        <v>-9.603036218837761E-3</v>
      </c>
      <c r="AC121">
        <f t="shared" si="57"/>
        <v>-9.4829982661022872E-3</v>
      </c>
      <c r="AD121">
        <f t="shared" si="58"/>
        <v>-9.4844987405114795E-3</v>
      </c>
      <c r="AE121">
        <f t="shared" si="59"/>
        <v>-9.3659237503249757E-3</v>
      </c>
      <c r="AF121">
        <f t="shared" si="30"/>
        <v>7.9536386971895259E-2</v>
      </c>
      <c r="AG121">
        <f t="shared" si="31"/>
        <v>7.9536386971895259E-2</v>
      </c>
      <c r="AH121">
        <f t="shared" si="32"/>
        <v>7.9536386971895259E-2</v>
      </c>
      <c r="AI121">
        <f t="shared" si="33"/>
        <v>7.9536386971895259E-2</v>
      </c>
    </row>
    <row r="122" spans="1:35" x14ac:dyDescent="0.45">
      <c r="A122">
        <v>1.1000000000000001</v>
      </c>
      <c r="B122">
        <f t="shared" si="34"/>
        <v>3.9658798047711921</v>
      </c>
      <c r="C122">
        <f t="shared" si="35"/>
        <v>1.974629117007068</v>
      </c>
      <c r="D122">
        <f t="shared" si="36"/>
        <v>8.118982156443483</v>
      </c>
      <c r="E122">
        <f t="shared" si="37"/>
        <v>-2.978565246267658</v>
      </c>
      <c r="F122">
        <f t="shared" si="38"/>
        <v>-0.97069298774647805</v>
      </c>
      <c r="G122">
        <f t="shared" si="39"/>
        <v>7.898516468028272</v>
      </c>
      <c r="I122">
        <v>1.1000000000000001</v>
      </c>
      <c r="J122">
        <f t="shared" si="40"/>
        <v>3.9855726944878205</v>
      </c>
      <c r="K122">
        <f t="shared" si="41"/>
        <v>1.9727905960194316</v>
      </c>
      <c r="L122">
        <f t="shared" si="42"/>
        <v>8.0932890591792024</v>
      </c>
      <c r="M122">
        <f t="shared" si="43"/>
        <v>-2.9991773964781046E-2</v>
      </c>
      <c r="N122">
        <f t="shared" si="44"/>
        <v>-2.9485734723028768E-2</v>
      </c>
      <c r="O122">
        <f t="shared" si="45"/>
        <v>-9.4640379556075876E-3</v>
      </c>
      <c r="P122">
        <f t="shared" si="46"/>
        <v>-9.4703289285745871E-3</v>
      </c>
      <c r="Q122">
        <f t="shared" si="47"/>
        <v>7.8911623840777267E-2</v>
      </c>
      <c r="R122">
        <f t="shared" si="48"/>
        <v>7.8985164680282716E-2</v>
      </c>
      <c r="T122">
        <v>1.1000000000000001</v>
      </c>
      <c r="U122">
        <f t="shared" si="49"/>
        <v>3.9807057308831633</v>
      </c>
      <c r="V122">
        <f t="shared" si="50"/>
        <v>1.9789256819669829</v>
      </c>
      <c r="W122">
        <f t="shared" si="51"/>
        <v>8.0913511482583704</v>
      </c>
      <c r="X122">
        <f t="shared" si="52"/>
        <v>-2.9912428898996719E-2</v>
      </c>
      <c r="Y122">
        <f t="shared" si="53"/>
        <v>-2.9762866754501738E-2</v>
      </c>
      <c r="Z122">
        <f t="shared" si="54"/>
        <v>-2.9763614565224212E-2</v>
      </c>
      <c r="AA122">
        <f t="shared" si="55"/>
        <v>-2.9614792753344478E-2</v>
      </c>
      <c r="AB122">
        <f t="shared" si="56"/>
        <v>-9.6660847403429399E-3</v>
      </c>
      <c r="AC122">
        <f t="shared" si="57"/>
        <v>-9.5452586810886551E-3</v>
      </c>
      <c r="AD122">
        <f t="shared" si="58"/>
        <v>-9.5467690068293323E-3</v>
      </c>
      <c r="AE122">
        <f t="shared" si="59"/>
        <v>-9.4274155151722067E-3</v>
      </c>
      <c r="AF122">
        <f t="shared" si="30"/>
        <v>7.9157027278679321E-2</v>
      </c>
      <c r="AG122">
        <f t="shared" si="31"/>
        <v>7.9157027278679321E-2</v>
      </c>
      <c r="AH122">
        <f t="shared" si="32"/>
        <v>7.9157027278679321E-2</v>
      </c>
      <c r="AI122">
        <f t="shared" si="33"/>
        <v>7.9157027278679321E-2</v>
      </c>
    </row>
    <row r="123" spans="1:35" x14ac:dyDescent="0.45">
      <c r="A123">
        <v>1.1100000000000001</v>
      </c>
      <c r="B123">
        <f t="shared" si="34"/>
        <v>3.9360941523085153</v>
      </c>
      <c r="C123">
        <f t="shared" si="35"/>
        <v>1.9649221871296032</v>
      </c>
      <c r="D123">
        <f t="shared" si="36"/>
        <v>8.197967321123766</v>
      </c>
      <c r="E123">
        <f t="shared" si="37"/>
        <v>-2.9536330587437138</v>
      </c>
      <c r="F123">
        <f t="shared" si="38"/>
        <v>-0.97621131551549256</v>
      </c>
      <c r="G123">
        <f t="shared" si="39"/>
        <v>7.8596887485184128</v>
      </c>
      <c r="I123">
        <v>1.1100000000000001</v>
      </c>
      <c r="J123">
        <f t="shared" si="40"/>
        <v>3.9558339401439158</v>
      </c>
      <c r="K123">
        <f t="shared" si="41"/>
        <v>1.9633234125773404</v>
      </c>
      <c r="L123">
        <f t="shared" si="42"/>
        <v>8.1722374534397328</v>
      </c>
      <c r="M123">
        <f t="shared" si="43"/>
        <v>-2.9741722338552459E-2</v>
      </c>
      <c r="N123">
        <f t="shared" si="44"/>
        <v>-2.9238913364051614E-2</v>
      </c>
      <c r="O123">
        <f t="shared" si="45"/>
        <v>-9.5247459129943531E-3</v>
      </c>
      <c r="P123">
        <f t="shared" si="46"/>
        <v>-9.5239945073300677E-3</v>
      </c>
      <c r="Q123">
        <f t="shared" si="47"/>
        <v>7.853293650309362E-2</v>
      </c>
      <c r="R123">
        <f t="shared" si="48"/>
        <v>7.8596887485184133E-2</v>
      </c>
      <c r="T123">
        <v>1.1100000000000001</v>
      </c>
      <c r="U123">
        <f t="shared" si="49"/>
        <v>3.9509423668345311</v>
      </c>
      <c r="V123">
        <f t="shared" si="50"/>
        <v>1.9693794226950911</v>
      </c>
      <c r="W123">
        <f t="shared" si="51"/>
        <v>8.1705081755370497</v>
      </c>
      <c r="X123">
        <f t="shared" si="52"/>
        <v>-2.9662526554869856E-2</v>
      </c>
      <c r="Y123">
        <f t="shared" si="53"/>
        <v>-2.9514213922095505E-2</v>
      </c>
      <c r="Z123">
        <f t="shared" si="54"/>
        <v>-2.9514955485259377E-2</v>
      </c>
      <c r="AA123">
        <f t="shared" si="55"/>
        <v>-2.9367377000017264E-2</v>
      </c>
      <c r="AB123">
        <f t="shared" si="56"/>
        <v>-9.7250618990319688E-3</v>
      </c>
      <c r="AC123">
        <f t="shared" si="57"/>
        <v>-9.603498625294065E-3</v>
      </c>
      <c r="AD123">
        <f t="shared" si="58"/>
        <v>-9.605018166215791E-3</v>
      </c>
      <c r="AE123">
        <f t="shared" si="59"/>
        <v>-9.4849364448765759E-3</v>
      </c>
      <c r="AF123">
        <f t="shared" si="30"/>
        <v>7.8775176907803654E-2</v>
      </c>
      <c r="AG123">
        <f t="shared" si="31"/>
        <v>7.8775176907803654E-2</v>
      </c>
      <c r="AH123">
        <f t="shared" si="32"/>
        <v>7.8775176907803654E-2</v>
      </c>
      <c r="AI123">
        <f t="shared" si="33"/>
        <v>7.8775176907803654E-2</v>
      </c>
    </row>
    <row r="124" spans="1:35" x14ac:dyDescent="0.45">
      <c r="A124">
        <v>1.1200000000000001</v>
      </c>
      <c r="B124">
        <f t="shared" si="34"/>
        <v>3.9065578217210781</v>
      </c>
      <c r="C124">
        <f t="shared" si="35"/>
        <v>1.9551600739744484</v>
      </c>
      <c r="D124">
        <f t="shared" si="36"/>
        <v>8.276564208608951</v>
      </c>
      <c r="E124">
        <f t="shared" si="37"/>
        <v>-2.9289777847338541</v>
      </c>
      <c r="F124">
        <f t="shared" si="38"/>
        <v>-0.98134236321504265</v>
      </c>
      <c r="G124">
        <f t="shared" si="39"/>
        <v>7.8206402958977934</v>
      </c>
      <c r="I124">
        <v>1.1200000000000001</v>
      </c>
      <c r="J124">
        <f t="shared" si="40"/>
        <v>3.9263436222926136</v>
      </c>
      <c r="K124">
        <f t="shared" si="41"/>
        <v>1.9537990423671783</v>
      </c>
      <c r="L124">
        <f t="shared" si="42"/>
        <v>8.2508023654338718</v>
      </c>
      <c r="M124">
        <f t="shared" si="43"/>
        <v>-2.9494441011090246E-2</v>
      </c>
      <c r="N124">
        <f t="shared" si="44"/>
        <v>-2.8994833437227637E-2</v>
      </c>
      <c r="O124">
        <f t="shared" si="45"/>
        <v>-9.5815398362533218E-3</v>
      </c>
      <c r="P124">
        <f t="shared" si="46"/>
        <v>-9.5738851362440966E-3</v>
      </c>
      <c r="Q124">
        <f t="shared" si="47"/>
        <v>7.8151961694687133E-2</v>
      </c>
      <c r="R124">
        <f t="shared" si="48"/>
        <v>7.8206402958977933E-2</v>
      </c>
      <c r="T124">
        <v>1.1200000000000001</v>
      </c>
      <c r="U124">
        <f t="shared" si="49"/>
        <v>3.9214276597729318</v>
      </c>
      <c r="V124">
        <f t="shared" si="50"/>
        <v>1.9597749173739365</v>
      </c>
      <c r="W124">
        <f t="shared" si="51"/>
        <v>8.2492833524448539</v>
      </c>
      <c r="X124">
        <f t="shared" si="52"/>
        <v>-2.9415402010859636E-2</v>
      </c>
      <c r="Y124">
        <f t="shared" si="53"/>
        <v>-2.926832500080534E-2</v>
      </c>
      <c r="Z124">
        <f t="shared" si="54"/>
        <v>-2.9269060385855611E-2</v>
      </c>
      <c r="AA124">
        <f t="shared" si="55"/>
        <v>-2.9122711407001081E-2</v>
      </c>
      <c r="AB124">
        <f t="shared" si="56"/>
        <v>-9.780096336619094E-3</v>
      </c>
      <c r="AC124">
        <f t="shared" si="57"/>
        <v>-9.657845132411351E-3</v>
      </c>
      <c r="AD124">
        <f t="shared" si="58"/>
        <v>-9.6593732724639513E-3</v>
      </c>
      <c r="AE124">
        <f t="shared" si="59"/>
        <v>-9.5386120048074965E-3</v>
      </c>
      <c r="AF124">
        <f t="shared" si="30"/>
        <v>7.8390996694957457E-2</v>
      </c>
      <c r="AG124">
        <f t="shared" si="31"/>
        <v>7.8390996694957457E-2</v>
      </c>
      <c r="AH124">
        <f t="shared" si="32"/>
        <v>7.8390996694957457E-2</v>
      </c>
      <c r="AI124">
        <f t="shared" si="33"/>
        <v>7.8390996694957457E-2</v>
      </c>
    </row>
    <row r="125" spans="1:35" x14ac:dyDescent="0.45">
      <c r="A125">
        <v>1.1299999999999999</v>
      </c>
      <c r="B125">
        <f t="shared" si="34"/>
        <v>3.8772680438737397</v>
      </c>
      <c r="C125">
        <f t="shared" si="35"/>
        <v>1.945346650342298</v>
      </c>
      <c r="D125">
        <f t="shared" si="36"/>
        <v>8.354770611567929</v>
      </c>
      <c r="E125">
        <f t="shared" si="37"/>
        <v>-2.9045947187025907</v>
      </c>
      <c r="F125">
        <f t="shared" si="38"/>
        <v>-0.9860985819820054</v>
      </c>
      <c r="G125">
        <f t="shared" si="39"/>
        <v>7.7813866013691921</v>
      </c>
      <c r="I125">
        <v>1.1299999999999999</v>
      </c>
      <c r="J125">
        <f t="shared" si="40"/>
        <v>3.8970989850684545</v>
      </c>
      <c r="K125">
        <f t="shared" si="41"/>
        <v>1.9442213298809297</v>
      </c>
      <c r="L125">
        <f t="shared" si="42"/>
        <v>8.328981547760705</v>
      </c>
      <c r="M125">
        <f t="shared" si="43"/>
        <v>-2.92498832012799E-2</v>
      </c>
      <c r="N125">
        <f t="shared" si="44"/>
        <v>-2.875344835501311E-2</v>
      </c>
      <c r="O125">
        <f t="shared" si="45"/>
        <v>-9.6345433963386951E-3</v>
      </c>
      <c r="P125">
        <f t="shared" si="46"/>
        <v>-9.620122234911585E-3</v>
      </c>
      <c r="Q125">
        <f t="shared" si="47"/>
        <v>7.7768853195237186E-2</v>
      </c>
      <c r="R125">
        <f t="shared" si="48"/>
        <v>7.7813866013691918E-2</v>
      </c>
      <c r="T125">
        <v>1.1299999999999999</v>
      </c>
      <c r="U125">
        <f t="shared" si="49"/>
        <v>3.8921588457410681</v>
      </c>
      <c r="V125">
        <f t="shared" si="50"/>
        <v>1.9501160598487404</v>
      </c>
      <c r="W125">
        <f t="shared" si="51"/>
        <v>8.3276743491398122</v>
      </c>
      <c r="X125">
        <f t="shared" si="52"/>
        <v>-2.9171008158166978E-2</v>
      </c>
      <c r="Y125">
        <f t="shared" si="53"/>
        <v>-2.9025153117376142E-2</v>
      </c>
      <c r="Z125">
        <f t="shared" si="54"/>
        <v>-2.9025882392580096E-2</v>
      </c>
      <c r="AA125">
        <f t="shared" si="55"/>
        <v>-2.8880749334241177E-2</v>
      </c>
      <c r="AB125">
        <f t="shared" si="56"/>
        <v>-9.8313130388078297E-3</v>
      </c>
      <c r="AC125">
        <f t="shared" si="57"/>
        <v>-9.7084216258227322E-3</v>
      </c>
      <c r="AD125">
        <f t="shared" si="58"/>
        <v>-9.7099577684850499E-3</v>
      </c>
      <c r="AE125">
        <f t="shared" si="59"/>
        <v>-9.5885640945957019E-3</v>
      </c>
      <c r="AF125">
        <f t="shared" si="30"/>
        <v>7.8004642393949622E-2</v>
      </c>
      <c r="AG125">
        <f t="shared" si="31"/>
        <v>7.8004642393949622E-2</v>
      </c>
      <c r="AH125">
        <f t="shared" si="32"/>
        <v>7.8004642393949622E-2</v>
      </c>
      <c r="AI125">
        <f t="shared" si="33"/>
        <v>7.8004642393949622E-2</v>
      </c>
    </row>
    <row r="126" spans="1:35" x14ac:dyDescent="0.45">
      <c r="A126">
        <v>1.1399999999999999</v>
      </c>
      <c r="B126">
        <f t="shared" si="34"/>
        <v>3.848222096686714</v>
      </c>
      <c r="C126">
        <f t="shared" si="35"/>
        <v>1.9354856645224781</v>
      </c>
      <c r="D126">
        <f t="shared" si="36"/>
        <v>8.4325844775816208</v>
      </c>
      <c r="E126">
        <f t="shared" si="37"/>
        <v>-2.8804792644254751</v>
      </c>
      <c r="F126">
        <f t="shared" si="38"/>
        <v>-0.99049206461948103</v>
      </c>
      <c r="G126">
        <f t="shared" si="39"/>
        <v>7.7419426580899122</v>
      </c>
      <c r="I126">
        <v>1.1399999999999999</v>
      </c>
      <c r="J126">
        <f t="shared" si="40"/>
        <v>3.8680973192903081</v>
      </c>
      <c r="K126">
        <f t="shared" si="41"/>
        <v>1.9345939970653045</v>
      </c>
      <c r="L126">
        <f t="shared" si="42"/>
        <v>8.4067729073651698</v>
      </c>
      <c r="M126">
        <f t="shared" si="43"/>
        <v>-2.9008003207576558E-2</v>
      </c>
      <c r="N126">
        <f t="shared" si="44"/>
        <v>-2.8514712612178986E-2</v>
      </c>
      <c r="O126">
        <f t="shared" si="45"/>
        <v>-9.683876733729533E-3</v>
      </c>
      <c r="P126">
        <f t="shared" si="46"/>
        <v>-9.6628237278515751E-3</v>
      </c>
      <c r="Q126">
        <f t="shared" si="47"/>
        <v>7.7383759882612188E-2</v>
      </c>
      <c r="R126">
        <f t="shared" si="48"/>
        <v>7.741942658089912E-2</v>
      </c>
      <c r="T126">
        <v>1.1399999999999999</v>
      </c>
      <c r="U126">
        <f t="shared" si="49"/>
        <v>3.8631332076556815</v>
      </c>
      <c r="V126">
        <f t="shared" si="50"/>
        <v>1.9404066205284038</v>
      </c>
      <c r="W126">
        <f t="shared" si="51"/>
        <v>8.4056789915337617</v>
      </c>
      <c r="X126">
        <f t="shared" si="52"/>
        <v>-2.8929298973914795E-2</v>
      </c>
      <c r="Y126">
        <f t="shared" si="53"/>
        <v>-2.8784652479045221E-2</v>
      </c>
      <c r="Z126">
        <f t="shared" si="54"/>
        <v>-2.8785375711519571E-2</v>
      </c>
      <c r="AA126">
        <f t="shared" si="55"/>
        <v>-2.8641445216799597E-2</v>
      </c>
      <c r="AB126">
        <f t="shared" si="56"/>
        <v>-9.878833436653283E-3</v>
      </c>
      <c r="AC126">
        <f t="shared" si="57"/>
        <v>-9.7553480186951189E-3</v>
      </c>
      <c r="AD126">
        <f t="shared" si="58"/>
        <v>-9.7568915864195953E-3</v>
      </c>
      <c r="AE126">
        <f t="shared" si="59"/>
        <v>-9.6349111469927889E-3</v>
      </c>
      <c r="AF126">
        <f t="shared" si="30"/>
        <v>7.7616264821136149E-2</v>
      </c>
      <c r="AG126">
        <f t="shared" si="31"/>
        <v>7.7616264821136149E-2</v>
      </c>
      <c r="AH126">
        <f t="shared" si="32"/>
        <v>7.7616264821136149E-2</v>
      </c>
      <c r="AI126">
        <f t="shared" si="33"/>
        <v>7.7616264821136149E-2</v>
      </c>
    </row>
    <row r="127" spans="1:35" x14ac:dyDescent="0.45">
      <c r="A127">
        <v>1.1499999999999999</v>
      </c>
      <c r="B127">
        <f t="shared" si="34"/>
        <v>3.8194173040424593</v>
      </c>
      <c r="C127">
        <f t="shared" si="35"/>
        <v>1.9255807438762833</v>
      </c>
      <c r="D127">
        <f t="shared" si="36"/>
        <v>8.5100039041625202</v>
      </c>
      <c r="E127">
        <f t="shared" si="37"/>
        <v>-2.8566269321043176</v>
      </c>
      <c r="F127">
        <f t="shared" si="38"/>
        <v>-0.994534555648249</v>
      </c>
      <c r="G127">
        <f t="shared" si="39"/>
        <v>7.7023229755051332</v>
      </c>
      <c r="I127">
        <v>1.1499999999999999</v>
      </c>
      <c r="J127">
        <f t="shared" si="40"/>
        <v>3.8393359613804305</v>
      </c>
      <c r="K127">
        <f t="shared" si="41"/>
        <v>1.9249206468345139</v>
      </c>
      <c r="L127">
        <f t="shared" si="42"/>
        <v>8.4841745005969251</v>
      </c>
      <c r="M127">
        <f t="shared" si="43"/>
        <v>-2.8768756379631735E-2</v>
      </c>
      <c r="N127">
        <f t="shared" si="44"/>
        <v>-2.827858175724686E-2</v>
      </c>
      <c r="O127">
        <f t="shared" si="45"/>
        <v>-9.7296565570585431E-3</v>
      </c>
      <c r="P127">
        <f t="shared" si="46"/>
        <v>-9.7021041425560256E-3</v>
      </c>
      <c r="Q127">
        <f t="shared" si="47"/>
        <v>7.6996825873380553E-2</v>
      </c>
      <c r="R127">
        <f t="shared" si="48"/>
        <v>7.702322975505134E-2</v>
      </c>
      <c r="T127">
        <v>1.1499999999999999</v>
      </c>
      <c r="U127">
        <f t="shared" si="49"/>
        <v>3.8343480742270408</v>
      </c>
      <c r="V127">
        <f t="shared" si="50"/>
        <v>1.9306502498960914</v>
      </c>
      <c r="W127">
        <f t="shared" si="51"/>
        <v>8.4832952563548982</v>
      </c>
      <c r="X127">
        <f t="shared" si="52"/>
        <v>-2.8690229492789952E-2</v>
      </c>
      <c r="Y127">
        <f t="shared" si="53"/>
        <v>-2.8546778345326002E-2</v>
      </c>
      <c r="Z127">
        <f t="shared" si="54"/>
        <v>-2.854749560106332E-2</v>
      </c>
      <c r="AA127">
        <f t="shared" si="55"/>
        <v>-2.840475453677932E-2</v>
      </c>
      <c r="AB127">
        <f t="shared" si="56"/>
        <v>-9.9227755051318756E-3</v>
      </c>
      <c r="AC127">
        <f t="shared" si="57"/>
        <v>-9.7987408113177302E-3</v>
      </c>
      <c r="AD127">
        <f t="shared" si="58"/>
        <v>-9.8002912449904039E-3</v>
      </c>
      <c r="AE127">
        <f t="shared" si="59"/>
        <v>-9.6777682240071182E-3</v>
      </c>
      <c r="AF127">
        <f t="shared" si="30"/>
        <v>7.7226009995843656E-2</v>
      </c>
      <c r="AG127">
        <f t="shared" si="31"/>
        <v>7.7226009995843656E-2</v>
      </c>
      <c r="AH127">
        <f t="shared" si="32"/>
        <v>7.7226009995843656E-2</v>
      </c>
      <c r="AI127">
        <f t="shared" si="33"/>
        <v>7.7226009995843656E-2</v>
      </c>
    </row>
    <row r="128" spans="1:35" x14ac:dyDescent="0.45">
      <c r="A128">
        <v>1.1599999999999999</v>
      </c>
      <c r="B128">
        <f t="shared" si="34"/>
        <v>3.7908510347214159</v>
      </c>
      <c r="C128">
        <f t="shared" si="35"/>
        <v>1.9156353983198009</v>
      </c>
      <c r="D128">
        <f t="shared" si="36"/>
        <v>8.5870271339175712</v>
      </c>
      <c r="E128">
        <f t="shared" si="37"/>
        <v>-2.8330333355615154</v>
      </c>
      <c r="F128">
        <f t="shared" si="38"/>
        <v>-0.99823746107808642</v>
      </c>
      <c r="G128">
        <f t="shared" si="39"/>
        <v>7.6625415932792036</v>
      </c>
      <c r="I128">
        <v>1.1599999999999999</v>
      </c>
      <c r="J128">
        <f t="shared" si="40"/>
        <v>3.8108122923119914</v>
      </c>
      <c r="K128">
        <f t="shared" si="41"/>
        <v>1.9152047664847067</v>
      </c>
      <c r="L128">
        <f t="shared" si="42"/>
        <v>8.5611845284111414</v>
      </c>
      <c r="M128">
        <f t="shared" si="43"/>
        <v>-2.8532099090696379E-2</v>
      </c>
      <c r="N128">
        <f t="shared" si="44"/>
        <v>-2.8045012364708192E-2</v>
      </c>
      <c r="O128">
        <f t="shared" si="45"/>
        <v>-9.7719962389977554E-3</v>
      </c>
      <c r="P128">
        <f t="shared" si="46"/>
        <v>-9.7380747048059213E-3</v>
      </c>
      <c r="Q128">
        <f t="shared" si="47"/>
        <v>7.6608190659388273E-2</v>
      </c>
      <c r="R128">
        <f t="shared" si="48"/>
        <v>7.662541593279204E-2</v>
      </c>
      <c r="T128">
        <v>1.1599999999999999</v>
      </c>
      <c r="U128">
        <f t="shared" si="49"/>
        <v>3.8058008189066497</v>
      </c>
      <c r="V128">
        <f t="shared" si="50"/>
        <v>1.9208504819224654</v>
      </c>
      <c r="W128">
        <f t="shared" si="51"/>
        <v>8.560521266350742</v>
      </c>
      <c r="X128">
        <f t="shared" si="52"/>
        <v>-2.8453755779454172E-2</v>
      </c>
      <c r="Y128">
        <f t="shared" si="53"/>
        <v>-2.8311487000556902E-2</v>
      </c>
      <c r="Z128">
        <f t="shared" si="54"/>
        <v>-2.8312198344451388E-2</v>
      </c>
      <c r="AA128">
        <f t="shared" si="55"/>
        <v>-2.8170633796009658E-2</v>
      </c>
      <c r="AB128">
        <f t="shared" si="56"/>
        <v>-9.9632538589951389E-3</v>
      </c>
      <c r="AC128">
        <f t="shared" si="57"/>
        <v>-9.8387131857576998E-3</v>
      </c>
      <c r="AD128">
        <f t="shared" si="58"/>
        <v>-9.8402699441731654E-3</v>
      </c>
      <c r="AE128">
        <f t="shared" si="59"/>
        <v>-9.7172471103908094E-3</v>
      </c>
      <c r="AF128">
        <f t="shared" si="30"/>
        <v>7.6834019276898619E-2</v>
      </c>
      <c r="AG128">
        <f t="shared" si="31"/>
        <v>7.6834019276898619E-2</v>
      </c>
      <c r="AH128">
        <f t="shared" si="32"/>
        <v>7.6834019276898619E-2</v>
      </c>
      <c r="AI128">
        <f t="shared" si="33"/>
        <v>7.6834019276898619E-2</v>
      </c>
    </row>
    <row r="129" spans="1:35" x14ac:dyDescent="0.45">
      <c r="A129">
        <v>1.17</v>
      </c>
      <c r="B129">
        <f t="shared" si="34"/>
        <v>3.7625207013658009</v>
      </c>
      <c r="C129">
        <f t="shared" si="35"/>
        <v>1.9056530237090201</v>
      </c>
      <c r="D129">
        <f t="shared" si="36"/>
        <v>8.6636525498503634</v>
      </c>
      <c r="E129">
        <f t="shared" si="37"/>
        <v>-2.8096941895112906</v>
      </c>
      <c r="F129">
        <f t="shared" si="38"/>
        <v>-1.0016118579067497</v>
      </c>
      <c r="G129">
        <f t="shared" si="39"/>
        <v>7.6226120948360805</v>
      </c>
      <c r="I129">
        <v>1.17</v>
      </c>
      <c r="J129">
        <f t="shared" si="40"/>
        <v>3.782523736584289</v>
      </c>
      <c r="K129">
        <f t="shared" si="41"/>
        <v>1.9054497310128049</v>
      </c>
      <c r="L129">
        <f t="shared" si="42"/>
        <v>8.637801331707232</v>
      </c>
      <c r="M129">
        <f t="shared" si="43"/>
        <v>-2.8297988710778866E-2</v>
      </c>
      <c r="N129">
        <f t="shared" si="44"/>
        <v>-2.7813962008005122E-2</v>
      </c>
      <c r="O129">
        <f t="shared" si="45"/>
        <v>-9.8110059094772325E-3</v>
      </c>
      <c r="P129">
        <f t="shared" si="46"/>
        <v>-9.770843431330568E-3</v>
      </c>
      <c r="Q129">
        <f t="shared" si="47"/>
        <v>7.6217989240512193E-2</v>
      </c>
      <c r="R129">
        <f t="shared" si="48"/>
        <v>7.6226120948360801E-2</v>
      </c>
      <c r="T129">
        <v>1.17</v>
      </c>
      <c r="U129">
        <f t="shared" si="49"/>
        <v>3.7774888588624029</v>
      </c>
      <c r="V129">
        <f t="shared" si="50"/>
        <v>1.9110107373842575</v>
      </c>
      <c r="W129">
        <f t="shared" si="51"/>
        <v>8.6373552856276401</v>
      </c>
      <c r="X129">
        <f t="shared" si="52"/>
        <v>-2.8219834901702739E-2</v>
      </c>
      <c r="Y129">
        <f t="shared" si="53"/>
        <v>-2.8078735727194229E-2</v>
      </c>
      <c r="Z129">
        <f t="shared" si="54"/>
        <v>-2.807944122306677E-2</v>
      </c>
      <c r="AA129">
        <f t="shared" si="55"/>
        <v>-2.7939040489472072E-2</v>
      </c>
      <c r="AB129">
        <f t="shared" si="56"/>
        <v>-1.0000379845982411E-2</v>
      </c>
      <c r="AC129">
        <f t="shared" si="57"/>
        <v>-9.8753750979076304E-3</v>
      </c>
      <c r="AD129">
        <f t="shared" si="58"/>
        <v>-9.8769376572585676E-3</v>
      </c>
      <c r="AE129">
        <f t="shared" si="59"/>
        <v>-9.7534564045509472E-3</v>
      </c>
      <c r="AF129">
        <f t="shared" si="30"/>
        <v>7.6440429495370305E-2</v>
      </c>
      <c r="AG129">
        <f t="shared" si="31"/>
        <v>7.6440429495370305E-2</v>
      </c>
      <c r="AH129">
        <f t="shared" si="32"/>
        <v>7.6440429495370305E-2</v>
      </c>
      <c r="AI129">
        <f t="shared" si="33"/>
        <v>7.6440429495370305E-2</v>
      </c>
    </row>
    <row r="130" spans="1:35" x14ac:dyDescent="0.45">
      <c r="A130">
        <v>1.18</v>
      </c>
      <c r="B130">
        <f t="shared" si="34"/>
        <v>3.7344237594706882</v>
      </c>
      <c r="C130">
        <f t="shared" si="35"/>
        <v>1.8956369051299526</v>
      </c>
      <c r="D130">
        <f t="shared" si="36"/>
        <v>8.7398786707987242</v>
      </c>
      <c r="E130">
        <f t="shared" si="37"/>
        <v>-2.7866053069057117</v>
      </c>
      <c r="F130">
        <f t="shared" si="38"/>
        <v>-1.0046685033541936</v>
      </c>
      <c r="G130">
        <f t="shared" si="39"/>
        <v>7.5825476205198106</v>
      </c>
      <c r="I130">
        <v>1.18</v>
      </c>
      <c r="J130">
        <f t="shared" si="40"/>
        <v>3.7544677612248969</v>
      </c>
      <c r="K130">
        <f t="shared" si="41"/>
        <v>1.8956588063424009</v>
      </c>
      <c r="L130">
        <f t="shared" si="42"/>
        <v>8.714023386801669</v>
      </c>
      <c r="M130">
        <f t="shared" si="43"/>
        <v>-2.8066383580536966E-2</v>
      </c>
      <c r="N130">
        <f t="shared" si="44"/>
        <v>-2.7585389233251746E-2</v>
      </c>
      <c r="O130">
        <f t="shared" si="45"/>
        <v>-9.8467925463110537E-3</v>
      </c>
      <c r="P130">
        <f t="shared" si="46"/>
        <v>-9.800515219884157E-3</v>
      </c>
      <c r="Q130">
        <f t="shared" si="47"/>
        <v>7.5826352253696036E-2</v>
      </c>
      <c r="R130">
        <f t="shared" si="48"/>
        <v>7.5825476205198111E-2</v>
      </c>
      <c r="T130">
        <v>1.18</v>
      </c>
      <c r="U130">
        <f t="shared" si="49"/>
        <v>3.7494096539804533</v>
      </c>
      <c r="V130">
        <f t="shared" si="50"/>
        <v>1.9011343270907799</v>
      </c>
      <c r="W130">
        <f t="shared" si="51"/>
        <v>8.7137957151230108</v>
      </c>
      <c r="X130">
        <f t="shared" si="52"/>
        <v>-2.7988424904350634E-2</v>
      </c>
      <c r="Y130">
        <f t="shared" si="53"/>
        <v>-2.7848482779828879E-2</v>
      </c>
      <c r="Z130">
        <f t="shared" si="54"/>
        <v>-2.7849182490451489E-2</v>
      </c>
      <c r="AA130">
        <f t="shared" si="55"/>
        <v>-2.7709933079446119E-2</v>
      </c>
      <c r="AB130">
        <f t="shared" si="56"/>
        <v>-1.0034261637464965E-2</v>
      </c>
      <c r="AC130">
        <f t="shared" si="57"/>
        <v>-9.9088333669966472E-3</v>
      </c>
      <c r="AD130">
        <f t="shared" si="58"/>
        <v>-9.9104012203775054E-3</v>
      </c>
      <c r="AE130">
        <f t="shared" si="59"/>
        <v>-9.7865016069555288E-3</v>
      </c>
      <c r="AF130">
        <f t="shared" si="30"/>
        <v>7.6045373083631199E-2</v>
      </c>
      <c r="AG130">
        <f t="shared" si="31"/>
        <v>7.6045373083631199E-2</v>
      </c>
      <c r="AH130">
        <f t="shared" si="32"/>
        <v>7.6045373083631199E-2</v>
      </c>
      <c r="AI130">
        <f t="shared" si="33"/>
        <v>7.6045373083631199E-2</v>
      </c>
    </row>
    <row r="131" spans="1:35" x14ac:dyDescent="0.45">
      <c r="A131">
        <v>1.19</v>
      </c>
      <c r="B131">
        <f t="shared" si="34"/>
        <v>3.7065577064016311</v>
      </c>
      <c r="C131">
        <f t="shared" si="35"/>
        <v>1.8855902200964108</v>
      </c>
      <c r="D131">
        <f t="shared" si="36"/>
        <v>8.8157041470039221</v>
      </c>
      <c r="E131">
        <f t="shared" si="37"/>
        <v>-2.7637625963534256</v>
      </c>
      <c r="F131">
        <f t="shared" si="38"/>
        <v>-1.0074178438393959</v>
      </c>
      <c r="G131">
        <f t="shared" si="39"/>
        <v>7.542360880385643</v>
      </c>
      <c r="I131">
        <v>1.19</v>
      </c>
      <c r="J131">
        <f t="shared" si="40"/>
        <v>3.7266418748180024</v>
      </c>
      <c r="K131">
        <f t="shared" si="41"/>
        <v>1.8858351524593033</v>
      </c>
      <c r="L131">
        <f t="shared" si="42"/>
        <v>8.7898493010311167</v>
      </c>
      <c r="M131">
        <f t="shared" si="43"/>
        <v>-2.7837242985883508E-2</v>
      </c>
      <c r="N131">
        <f t="shared" si="44"/>
        <v>-2.7359253533675423E-2</v>
      </c>
      <c r="O131">
        <f t="shared" si="45"/>
        <v>-9.879460063302559E-3</v>
      </c>
      <c r="P131">
        <f t="shared" si="46"/>
        <v>-9.8271919368113948E-3</v>
      </c>
      <c r="Q131">
        <f t="shared" si="47"/>
        <v>7.5433406098372138E-2</v>
      </c>
      <c r="R131">
        <f t="shared" si="48"/>
        <v>7.5423608803856429E-2</v>
      </c>
      <c r="T131">
        <v>1.19</v>
      </c>
      <c r="U131">
        <f t="shared" si="49"/>
        <v>3.7215607058930606</v>
      </c>
      <c r="V131">
        <f t="shared" si="50"/>
        <v>1.8912244550209185</v>
      </c>
      <c r="W131">
        <f t="shared" si="51"/>
        <v>8.7898410882066411</v>
      </c>
      <c r="X131">
        <f t="shared" si="52"/>
        <v>-2.7759484783826015E-2</v>
      </c>
      <c r="Y131">
        <f t="shared" si="53"/>
        <v>-2.7620687359906883E-2</v>
      </c>
      <c r="Z131">
        <f t="shared" si="54"/>
        <v>-2.7621381347026484E-2</v>
      </c>
      <c r="AA131">
        <f t="shared" si="55"/>
        <v>-2.7483270970355748E-2</v>
      </c>
      <c r="AB131">
        <f t="shared" si="56"/>
        <v>-1.0065004316592354E-2</v>
      </c>
      <c r="AC131">
        <f t="shared" si="57"/>
        <v>-9.9391917626349535E-3</v>
      </c>
      <c r="AD131">
        <f t="shared" si="58"/>
        <v>-9.9407644195594232E-3</v>
      </c>
      <c r="AE131">
        <f t="shared" si="59"/>
        <v>-9.8164852061033685E-3</v>
      </c>
      <c r="AF131">
        <f t="shared" si="30"/>
        <v>7.5648978200836742E-2</v>
      </c>
      <c r="AG131">
        <f t="shared" si="31"/>
        <v>7.5648978200836742E-2</v>
      </c>
      <c r="AH131">
        <f t="shared" si="32"/>
        <v>7.5648978200836742E-2</v>
      </c>
      <c r="AI131">
        <f t="shared" si="33"/>
        <v>7.5648978200836742E-2</v>
      </c>
    </row>
    <row r="132" spans="1:35" x14ac:dyDescent="0.45">
      <c r="A132">
        <v>1.2</v>
      </c>
      <c r="B132">
        <f t="shared" si="34"/>
        <v>3.6789200804380968</v>
      </c>
      <c r="C132">
        <f t="shared" si="35"/>
        <v>1.8755160416580168</v>
      </c>
      <c r="D132">
        <f t="shared" si="36"/>
        <v>8.8911277558077781</v>
      </c>
      <c r="E132">
        <f t="shared" si="37"/>
        <v>-2.7411620596090884</v>
      </c>
      <c r="F132">
        <f t="shared" si="38"/>
        <v>-1.0098700237069451</v>
      </c>
      <c r="G132">
        <f t="shared" si="39"/>
        <v>7.5020641666320671</v>
      </c>
      <c r="I132">
        <v>1.2</v>
      </c>
      <c r="J132">
        <f t="shared" si="40"/>
        <v>3.6990436265582227</v>
      </c>
      <c r="K132">
        <f t="shared" si="41"/>
        <v>1.8759818264592463</v>
      </c>
      <c r="L132">
        <f t="shared" si="42"/>
        <v>8.8652778084822312</v>
      </c>
      <c r="M132">
        <f t="shared" si="43"/>
        <v>-2.7610527133285996E-2</v>
      </c>
      <c r="N132">
        <f t="shared" si="44"/>
        <v>-2.7135515324758025E-2</v>
      </c>
      <c r="O132">
        <f t="shared" si="45"/>
        <v>-9.9091093958989292E-3</v>
      </c>
      <c r="P132">
        <f t="shared" si="46"/>
        <v>-9.8509725021719771E-3</v>
      </c>
      <c r="Q132">
        <f t="shared" si="47"/>
        <v>7.5039273058369854E-2</v>
      </c>
      <c r="R132">
        <f t="shared" si="48"/>
        <v>7.5020641666320678E-2</v>
      </c>
      <c r="T132">
        <v>1.2</v>
      </c>
      <c r="U132">
        <f t="shared" si="49"/>
        <v>3.6939395570317193</v>
      </c>
      <c r="V132">
        <f t="shared" si="50"/>
        <v>1.8812842213730712</v>
      </c>
      <c r="W132">
        <f t="shared" si="51"/>
        <v>8.8654900664074781</v>
      </c>
      <c r="X132">
        <f t="shared" si="52"/>
        <v>-2.7532974463451838E-2</v>
      </c>
      <c r="Y132">
        <f t="shared" si="53"/>
        <v>-2.7395309591134578E-2</v>
      </c>
      <c r="Z132">
        <f t="shared" si="54"/>
        <v>-2.7395997915496167E-2</v>
      </c>
      <c r="AA132">
        <f t="shared" si="55"/>
        <v>-2.7259014484296875E-2</v>
      </c>
      <c r="AB132">
        <f t="shared" si="56"/>
        <v>-1.0092709964009586E-2</v>
      </c>
      <c r="AC132">
        <f t="shared" si="57"/>
        <v>-9.9665510894594665E-3</v>
      </c>
      <c r="AD132">
        <f t="shared" si="58"/>
        <v>-9.9681280753913457E-3</v>
      </c>
      <c r="AE132">
        <f t="shared" si="59"/>
        <v>-9.8435067621248026E-3</v>
      </c>
      <c r="AF132">
        <f t="shared" si="30"/>
        <v>7.5251368854922854E-2</v>
      </c>
      <c r="AG132">
        <f t="shared" si="31"/>
        <v>7.5251368854922854E-2</v>
      </c>
      <c r="AH132">
        <f t="shared" si="32"/>
        <v>7.5251368854922854E-2</v>
      </c>
      <c r="AI132">
        <f t="shared" si="33"/>
        <v>7.5251368854922854E-2</v>
      </c>
    </row>
    <row r="133" spans="1:35" x14ac:dyDescent="0.45">
      <c r="A133">
        <v>1.21</v>
      </c>
      <c r="B133">
        <f t="shared" si="34"/>
        <v>3.651508459842006</v>
      </c>
      <c r="C133">
        <f t="shared" si="35"/>
        <v>1.8654173414209474</v>
      </c>
      <c r="D133">
        <f t="shared" si="36"/>
        <v>8.9661483974740985</v>
      </c>
      <c r="E133">
        <f t="shared" si="37"/>
        <v>-2.7187997891315323</v>
      </c>
      <c r="F133">
        <f t="shared" si="38"/>
        <v>-1.0120348937103625</v>
      </c>
      <c r="G133">
        <f t="shared" si="39"/>
        <v>7.4616693656837896</v>
      </c>
      <c r="I133">
        <v>1.21</v>
      </c>
      <c r="J133">
        <f t="shared" si="40"/>
        <v>3.6716706053292008</v>
      </c>
      <c r="K133">
        <f t="shared" si="41"/>
        <v>1.8661017855102109</v>
      </c>
      <c r="L133">
        <f t="shared" si="42"/>
        <v>8.940307765844576</v>
      </c>
      <c r="M133">
        <f t="shared" si="43"/>
        <v>-2.7386197125740953E-2</v>
      </c>
      <c r="N133">
        <f t="shared" si="44"/>
        <v>-2.6914135920057914E-2</v>
      </c>
      <c r="O133">
        <f t="shared" si="45"/>
        <v>-9.9358385844632666E-3</v>
      </c>
      <c r="P133">
        <f t="shared" si="46"/>
        <v>-9.8719529724920468E-3</v>
      </c>
      <c r="Q133">
        <f t="shared" si="47"/>
        <v>7.4644071420408437E-2</v>
      </c>
      <c r="R133">
        <f t="shared" si="48"/>
        <v>7.4616693656837901E-2</v>
      </c>
      <c r="T133">
        <v>1.21</v>
      </c>
      <c r="U133">
        <f t="shared" si="49"/>
        <v>3.666543789704884</v>
      </c>
      <c r="V133">
        <f t="shared" si="50"/>
        <v>1.8713166255304319</v>
      </c>
      <c r="W133">
        <f t="shared" si="51"/>
        <v>8.9407414352624013</v>
      </c>
      <c r="X133">
        <f t="shared" si="52"/>
        <v>-2.7308854769396679E-2</v>
      </c>
      <c r="Y133">
        <f t="shared" si="53"/>
        <v>-2.71723104955497E-2</v>
      </c>
      <c r="Z133">
        <f t="shared" si="54"/>
        <v>-2.7172993216918934E-2</v>
      </c>
      <c r="AA133">
        <f t="shared" si="55"/>
        <v>-2.7037124837227488E-2</v>
      </c>
      <c r="AB133">
        <f t="shared" si="56"/>
        <v>-1.0117477741211958E-2</v>
      </c>
      <c r="AC133">
        <f t="shared" si="57"/>
        <v>-9.9910092694468055E-3</v>
      </c>
      <c r="AD133">
        <f t="shared" si="58"/>
        <v>-9.9925901253438715E-3</v>
      </c>
      <c r="AE133">
        <f t="shared" si="59"/>
        <v>-9.8676629880783562E-3</v>
      </c>
      <c r="AF133">
        <f t="shared" si="30"/>
        <v>7.4852665021217277E-2</v>
      </c>
      <c r="AG133">
        <f t="shared" si="31"/>
        <v>7.4852665021217277E-2</v>
      </c>
      <c r="AH133">
        <f t="shared" si="32"/>
        <v>7.4852665021217277E-2</v>
      </c>
      <c r="AI133">
        <f t="shared" si="33"/>
        <v>7.4852665021217277E-2</v>
      </c>
    </row>
    <row r="134" spans="1:35" x14ac:dyDescent="0.45">
      <c r="A134">
        <v>1.22</v>
      </c>
      <c r="B134">
        <f t="shared" si="34"/>
        <v>3.6243204619506906</v>
      </c>
      <c r="C134">
        <f t="shared" si="35"/>
        <v>1.8552969924838438</v>
      </c>
      <c r="D134">
        <f t="shared" si="36"/>
        <v>9.0407650911309361</v>
      </c>
      <c r="E134">
        <f t="shared" si="37"/>
        <v>-2.6966719657087688</v>
      </c>
      <c r="F134">
        <f t="shared" si="38"/>
        <v>-1.0139220192589189</v>
      </c>
      <c r="G134">
        <f t="shared" si="39"/>
        <v>7.4211879699353753</v>
      </c>
      <c r="I134">
        <v>1.22</v>
      </c>
      <c r="J134">
        <f t="shared" si="40"/>
        <v>3.6445204388063015</v>
      </c>
      <c r="K134">
        <f t="shared" si="41"/>
        <v>1.8561978897317333</v>
      </c>
      <c r="L134">
        <f t="shared" si="42"/>
        <v>9.0149381483831998</v>
      </c>
      <c r="M134">
        <f t="shared" si="43"/>
        <v>-2.7164214939404348E-2</v>
      </c>
      <c r="N134">
        <f t="shared" si="44"/>
        <v>-2.6695077507693645E-2</v>
      </c>
      <c r="O134">
        <f t="shared" si="45"/>
        <v>-9.9597428552303177E-3</v>
      </c>
      <c r="P134">
        <f t="shared" si="46"/>
        <v>-9.8902266212084339E-3</v>
      </c>
      <c r="Q134">
        <f t="shared" si="47"/>
        <v>7.4247915589269339E-2</v>
      </c>
      <c r="R134">
        <f t="shared" si="48"/>
        <v>7.421187969935375E-2</v>
      </c>
      <c r="T134">
        <v>1.22</v>
      </c>
      <c r="U134">
        <f t="shared" si="49"/>
        <v>3.6393710251996239</v>
      </c>
      <c r="V134">
        <f t="shared" si="50"/>
        <v>1.8613245689439533</v>
      </c>
      <c r="W134">
        <f t="shared" si="51"/>
        <v>9.015594100283618</v>
      </c>
      <c r="X134">
        <f t="shared" si="52"/>
        <v>-2.7087087407276472E-2</v>
      </c>
      <c r="Y134">
        <f t="shared" si="53"/>
        <v>-2.695165197024009E-2</v>
      </c>
      <c r="Z134">
        <f t="shared" si="54"/>
        <v>-2.6952329147425274E-2</v>
      </c>
      <c r="AA134">
        <f t="shared" si="55"/>
        <v>-2.6817564115802221E-2</v>
      </c>
      <c r="AB134">
        <f t="shared" si="56"/>
        <v>-1.0139403971602592E-2</v>
      </c>
      <c r="AC134">
        <f t="shared" si="57"/>
        <v>-1.0012661421957563E-2</v>
      </c>
      <c r="AD134">
        <f t="shared" si="58"/>
        <v>-1.0014245703828122E-2</v>
      </c>
      <c r="AE134">
        <f t="shared" si="59"/>
        <v>-9.8890478290068889E-3</v>
      </c>
      <c r="AF134">
        <f t="shared" si="30"/>
        <v>7.4452982757758135E-2</v>
      </c>
      <c r="AG134">
        <f t="shared" si="31"/>
        <v>7.4452982757758135E-2</v>
      </c>
      <c r="AH134">
        <f t="shared" si="32"/>
        <v>7.4452982757758135E-2</v>
      </c>
      <c r="AI134">
        <f t="shared" si="33"/>
        <v>7.4452982757758135E-2</v>
      </c>
    </row>
    <row r="135" spans="1:35" x14ac:dyDescent="0.45">
      <c r="A135">
        <v>1.23</v>
      </c>
      <c r="B135">
        <f t="shared" si="34"/>
        <v>3.5973537422936031</v>
      </c>
      <c r="C135">
        <f t="shared" si="35"/>
        <v>1.8451577722912547</v>
      </c>
      <c r="D135">
        <f t="shared" si="36"/>
        <v>9.1149769708302895</v>
      </c>
      <c r="E135">
        <f t="shared" si="37"/>
        <v>-2.6747748561479758</v>
      </c>
      <c r="F135">
        <f t="shared" si="38"/>
        <v>-1.0155406884345335</v>
      </c>
      <c r="G135">
        <f t="shared" si="39"/>
        <v>7.3806310891650186</v>
      </c>
      <c r="I135">
        <v>1.23</v>
      </c>
      <c r="J135">
        <f t="shared" si="40"/>
        <v>3.6175907925827526</v>
      </c>
      <c r="K135">
        <f t="shared" si="41"/>
        <v>1.8462729049935138</v>
      </c>
      <c r="L135">
        <f t="shared" si="42"/>
        <v>9.0891680460275115</v>
      </c>
      <c r="M135">
        <f t="shared" si="43"/>
        <v>-2.6944543400859958E-2</v>
      </c>
      <c r="N135">
        <f t="shared" si="44"/>
        <v>-2.6478303127471157E-2</v>
      </c>
      <c r="O135">
        <f t="shared" si="45"/>
        <v>-9.9809146990103188E-3</v>
      </c>
      <c r="P135">
        <f t="shared" si="46"/>
        <v>-9.905884016870075E-3</v>
      </c>
      <c r="Q135">
        <f t="shared" si="47"/>
        <v>7.385091619974056E-2</v>
      </c>
      <c r="R135">
        <f t="shared" si="48"/>
        <v>7.3806310891650184E-2</v>
      </c>
      <c r="T135">
        <v>1.23</v>
      </c>
      <c r="U135">
        <f t="shared" si="49"/>
        <v>3.6124189229065555</v>
      </c>
      <c r="V135">
        <f t="shared" si="50"/>
        <v>1.8513108579352564</v>
      </c>
      <c r="W135">
        <f t="shared" si="51"/>
        <v>9.0900470830413767</v>
      </c>
      <c r="X135">
        <f t="shared" si="52"/>
        <v>-2.6867634939389273E-2</v>
      </c>
      <c r="Y135">
        <f t="shared" si="53"/>
        <v>-2.6733296764692327E-2</v>
      </c>
      <c r="Z135">
        <f t="shared" si="54"/>
        <v>-2.6733968455565815E-2</v>
      </c>
      <c r="AA135">
        <f t="shared" si="55"/>
        <v>-2.6600295254833616E-2</v>
      </c>
      <c r="AB135">
        <f t="shared" si="56"/>
        <v>-1.0158582219315856E-2</v>
      </c>
      <c r="AC135">
        <f t="shared" si="57"/>
        <v>-1.0031599941574406E-2</v>
      </c>
      <c r="AD135">
        <f t="shared" si="58"/>
        <v>-1.0033187220046176E-2</v>
      </c>
      <c r="AE135">
        <f t="shared" si="59"/>
        <v>-9.9077525388147035E-3</v>
      </c>
      <c r="AF135">
        <f t="shared" si="30"/>
        <v>7.4052434317410251E-2</v>
      </c>
      <c r="AG135">
        <f t="shared" si="31"/>
        <v>7.4052434317410251E-2</v>
      </c>
      <c r="AH135">
        <f t="shared" si="32"/>
        <v>7.4052434317410251E-2</v>
      </c>
      <c r="AI135">
        <f t="shared" si="33"/>
        <v>7.4052434317410251E-2</v>
      </c>
    </row>
    <row r="136" spans="1:35" x14ac:dyDescent="0.45">
      <c r="A136">
        <v>1.24</v>
      </c>
      <c r="B136">
        <f t="shared" si="34"/>
        <v>3.5706059937321233</v>
      </c>
      <c r="C136">
        <f t="shared" si="35"/>
        <v>1.8350023654069094</v>
      </c>
      <c r="D136">
        <f t="shared" si="36"/>
        <v>9.188783281721939</v>
      </c>
      <c r="E136">
        <f t="shared" si="37"/>
        <v>-2.6531048110286686</v>
      </c>
      <c r="F136">
        <f t="shared" si="38"/>
        <v>-1.0168999197851503</v>
      </c>
      <c r="G136">
        <f t="shared" si="39"/>
        <v>7.3400094616276377</v>
      </c>
      <c r="I136">
        <v>1.24</v>
      </c>
      <c r="J136">
        <f t="shared" si="40"/>
        <v>3.590879369318587</v>
      </c>
      <c r="K136">
        <f t="shared" si="41"/>
        <v>1.8363295056355735</v>
      </c>
      <c r="L136">
        <f t="shared" si="42"/>
        <v>9.1629966595732064</v>
      </c>
      <c r="M136">
        <f t="shared" si="43"/>
        <v>-2.6727146165008004E-2</v>
      </c>
      <c r="N136">
        <f t="shared" si="44"/>
        <v>-2.6263776648636609E-2</v>
      </c>
      <c r="O136">
        <f t="shared" si="45"/>
        <v>-9.999443947703468E-3</v>
      </c>
      <c r="P136">
        <f t="shared" si="46"/>
        <v>-9.9190130991589163E-3</v>
      </c>
      <c r="Q136">
        <f t="shared" si="47"/>
        <v>7.3453180225422937E-2</v>
      </c>
      <c r="R136">
        <f t="shared" si="48"/>
        <v>7.3400094616276376E-2</v>
      </c>
      <c r="T136">
        <v>1.24</v>
      </c>
      <c r="U136">
        <f t="shared" si="49"/>
        <v>3.5856851794674323</v>
      </c>
      <c r="V136">
        <f t="shared" si="50"/>
        <v>1.8412782064216944</v>
      </c>
      <c r="W136">
        <f t="shared" si="51"/>
        <v>9.1640995173587871</v>
      </c>
      <c r="X136">
        <f t="shared" si="52"/>
        <v>-2.6650460762565855E-2</v>
      </c>
      <c r="Y136">
        <f t="shared" si="53"/>
        <v>-2.6517208458753022E-2</v>
      </c>
      <c r="Z136">
        <f t="shared" si="54"/>
        <v>-2.6517874720272089E-2</v>
      </c>
      <c r="AA136">
        <f t="shared" si="55"/>
        <v>-2.638528201536313E-2</v>
      </c>
      <c r="AB136">
        <f t="shared" si="56"/>
        <v>-1.0175103365868035E-2</v>
      </c>
      <c r="AC136">
        <f t="shared" si="57"/>
        <v>-1.0047914573794685E-2</v>
      </c>
      <c r="AD136">
        <f t="shared" si="58"/>
        <v>-1.0049504433695606E-2</v>
      </c>
      <c r="AE136">
        <f t="shared" si="59"/>
        <v>-9.9238657550256449E-3</v>
      </c>
      <c r="AF136">
        <f t="shared" si="30"/>
        <v>7.3651128256867773E-2</v>
      </c>
      <c r="AG136">
        <f t="shared" si="31"/>
        <v>7.3651128256867773E-2</v>
      </c>
      <c r="AH136">
        <f t="shared" si="32"/>
        <v>7.3651128256867773E-2</v>
      </c>
      <c r="AI136">
        <f t="shared" si="33"/>
        <v>7.3651128256867773E-2</v>
      </c>
    </row>
    <row r="137" spans="1:35" x14ac:dyDescent="0.45">
      <c r="A137">
        <v>1.25</v>
      </c>
      <c r="B137">
        <f t="shared" si="34"/>
        <v>3.5440749456218366</v>
      </c>
      <c r="C137">
        <f t="shared" si="35"/>
        <v>1.8248333662090579</v>
      </c>
      <c r="D137">
        <f t="shared" si="36"/>
        <v>9.262183376338216</v>
      </c>
      <c r="E137">
        <f t="shared" si="37"/>
        <v>-2.6316582625173077</v>
      </c>
      <c r="F137">
        <f t="shared" si="38"/>
        <v>-1.0180084699008081</v>
      </c>
      <c r="G137">
        <f t="shared" si="39"/>
        <v>7.2993334648362316</v>
      </c>
      <c r="I137">
        <v>1.25</v>
      </c>
      <c r="J137">
        <f t="shared" si="40"/>
        <v>3.5643839079117647</v>
      </c>
      <c r="K137">
        <f t="shared" si="41"/>
        <v>1.8263702771121424</v>
      </c>
      <c r="L137">
        <f t="shared" si="42"/>
        <v>9.2364232969940563</v>
      </c>
      <c r="M137">
        <f t="shared" si="43"/>
        <v>-2.6511987693556938E-2</v>
      </c>
      <c r="N137">
        <f t="shared" si="44"/>
        <v>-2.6051462748237508E-2</v>
      </c>
      <c r="O137">
        <f t="shared" si="45"/>
        <v>-1.001541784868591E-2</v>
      </c>
      <c r="P137">
        <f t="shared" si="46"/>
        <v>-9.9296992527909342E-3</v>
      </c>
      <c r="Q137">
        <f t="shared" si="47"/>
        <v>7.3054811084485693E-2</v>
      </c>
      <c r="R137">
        <f t="shared" si="48"/>
        <v>7.2993334648362315E-2</v>
      </c>
      <c r="T137">
        <v>1.25</v>
      </c>
      <c r="U137">
        <f t="shared" si="49"/>
        <v>3.5591675279447692</v>
      </c>
      <c r="V137">
        <f t="shared" si="50"/>
        <v>1.8312292385657154</v>
      </c>
      <c r="W137">
        <f t="shared" si="51"/>
        <v>9.2377506456156553</v>
      </c>
      <c r="X137">
        <f t="shared" si="52"/>
        <v>-2.6435529086619117E-2</v>
      </c>
      <c r="Y137">
        <f t="shared" si="53"/>
        <v>-2.6303351441186021E-2</v>
      </c>
      <c r="Z137">
        <f t="shared" si="54"/>
        <v>-2.6304012329413186E-2</v>
      </c>
      <c r="AA137">
        <f t="shared" si="55"/>
        <v>-2.6172488963324986E-2</v>
      </c>
      <c r="AB137">
        <f t="shared" si="56"/>
        <v>-1.0189055684695192E-2</v>
      </c>
      <c r="AC137">
        <f t="shared" si="57"/>
        <v>-1.0061692488636505E-2</v>
      </c>
      <c r="AD137">
        <f t="shared" si="58"/>
        <v>-1.0063284528587237E-2</v>
      </c>
      <c r="AE137">
        <f t="shared" si="59"/>
        <v>-9.937473571480511E-3</v>
      </c>
      <c r="AF137">
        <f t="shared" si="30"/>
        <v>7.3249169542628612E-2</v>
      </c>
      <c r="AG137">
        <f t="shared" si="31"/>
        <v>7.3249169542628612E-2</v>
      </c>
      <c r="AH137">
        <f t="shared" si="32"/>
        <v>7.3249169542628612E-2</v>
      </c>
      <c r="AI137">
        <f t="shared" si="33"/>
        <v>7.3249169542628612E-2</v>
      </c>
    </row>
    <row r="138" spans="1:35" x14ac:dyDescent="0.45">
      <c r="A138">
        <v>1.26</v>
      </c>
      <c r="B138">
        <f t="shared" si="34"/>
        <v>3.5177583629966636</v>
      </c>
      <c r="C138">
        <f t="shared" si="35"/>
        <v>1.8146532815100498</v>
      </c>
      <c r="D138">
        <f t="shared" si="36"/>
        <v>9.3351767109865786</v>
      </c>
      <c r="E138">
        <f t="shared" si="37"/>
        <v>-2.6104317222416387</v>
      </c>
      <c r="F138">
        <f t="shared" si="38"/>
        <v>-1.0188748407784609</v>
      </c>
      <c r="G138">
        <f t="shared" si="39"/>
        <v>7.2586131260401991</v>
      </c>
      <c r="I138">
        <v>1.26</v>
      </c>
      <c r="J138">
        <f t="shared" si="40"/>
        <v>3.5381021826908676</v>
      </c>
      <c r="K138">
        <f t="shared" si="41"/>
        <v>1.816397718561404</v>
      </c>
      <c r="L138">
        <f t="shared" si="42"/>
        <v>9.3094473698604805</v>
      </c>
      <c r="M138">
        <f t="shared" si="43"/>
        <v>-2.6299033234101658E-2</v>
      </c>
      <c r="N138">
        <f t="shared" si="44"/>
        <v>-2.5841326890075372E-2</v>
      </c>
      <c r="O138">
        <f t="shared" si="45"/>
        <v>-1.0028921137126421E-2</v>
      </c>
      <c r="P138">
        <f t="shared" si="46"/>
        <v>-9.9380253793564452E-3</v>
      </c>
      <c r="Q138">
        <f t="shared" si="47"/>
        <v>7.2655908742456157E-2</v>
      </c>
      <c r="R138">
        <f t="shared" si="48"/>
        <v>7.258613126040199E-2</v>
      </c>
      <c r="T138">
        <v>1.26</v>
      </c>
      <c r="U138">
        <f t="shared" si="49"/>
        <v>3.5328637370129119</v>
      </c>
      <c r="V138">
        <f t="shared" si="50"/>
        <v>1.8211664913506116</v>
      </c>
      <c r="W138">
        <f t="shared" si="51"/>
        <v>9.3109998151582847</v>
      </c>
      <c r="X138">
        <f t="shared" si="52"/>
        <v>-2.6222804913376061E-2</v>
      </c>
      <c r="Y138">
        <f t="shared" si="53"/>
        <v>-2.6091690888809183E-2</v>
      </c>
      <c r="Z138">
        <f t="shared" si="54"/>
        <v>-2.6092346458932016E-2</v>
      </c>
      <c r="AA138">
        <f t="shared" si="55"/>
        <v>-2.5961881448786743E-2</v>
      </c>
      <c r="AB138">
        <f t="shared" si="56"/>
        <v>-1.0200524913636171E-2</v>
      </c>
      <c r="AC138">
        <f t="shared" si="57"/>
        <v>-1.007301835221572E-2</v>
      </c>
      <c r="AD138">
        <f t="shared" si="58"/>
        <v>-1.0074612184233476E-2</v>
      </c>
      <c r="AE138">
        <f t="shared" si="59"/>
        <v>-9.9486596090303352E-3</v>
      </c>
      <c r="AF138">
        <f t="shared" si="30"/>
        <v>7.2846659654024468E-2</v>
      </c>
      <c r="AG138">
        <f t="shared" si="31"/>
        <v>7.2846659654024468E-2</v>
      </c>
      <c r="AH138">
        <f t="shared" si="32"/>
        <v>7.2846659654024468E-2</v>
      </c>
      <c r="AI138">
        <f t="shared" si="33"/>
        <v>7.2846659654024468E-2</v>
      </c>
    </row>
    <row r="139" spans="1:35" x14ac:dyDescent="0.45">
      <c r="A139">
        <v>1.27</v>
      </c>
      <c r="B139">
        <f t="shared" si="34"/>
        <v>3.4916540457742471</v>
      </c>
      <c r="C139">
        <f t="shared" si="35"/>
        <v>1.8044645331022653</v>
      </c>
      <c r="D139">
        <f t="shared" si="36"/>
        <v>9.4077628422469814</v>
      </c>
      <c r="E139">
        <f t="shared" si="37"/>
        <v>-2.5894217792231142</v>
      </c>
      <c r="F139">
        <f t="shared" si="38"/>
        <v>-1.0195072869814163</v>
      </c>
      <c r="G139">
        <f t="shared" si="39"/>
        <v>7.2178581324090612</v>
      </c>
      <c r="I139">
        <v>1.27</v>
      </c>
      <c r="J139">
        <f t="shared" si="40"/>
        <v>3.512032002628779</v>
      </c>
      <c r="K139">
        <f t="shared" si="41"/>
        <v>1.8064142453031626</v>
      </c>
      <c r="L139">
        <f t="shared" si="42"/>
        <v>9.3820683898619102</v>
      </c>
      <c r="M139">
        <f t="shared" si="43"/>
        <v>-2.6088248799771976E-2</v>
      </c>
      <c r="N139">
        <f t="shared" si="44"/>
        <v>-2.5633335304233427E-2</v>
      </c>
      <c r="O139">
        <f t="shared" si="45"/>
        <v>-1.0040036106291277E-2</v>
      </c>
      <c r="P139">
        <f t="shared" si="46"/>
        <v>-9.9440719671568794E-3</v>
      </c>
      <c r="Q139">
        <f t="shared" si="47"/>
        <v>7.2256569812126512E-2</v>
      </c>
      <c r="R139">
        <f t="shared" si="48"/>
        <v>7.2178581324090607E-2</v>
      </c>
      <c r="T139">
        <v>1.27</v>
      </c>
      <c r="U139">
        <f t="shared" si="49"/>
        <v>3.5067716101699711</v>
      </c>
      <c r="V139">
        <f t="shared" si="50"/>
        <v>1.811092417084684</v>
      </c>
      <c r="W139">
        <f t="shared" si="51"/>
        <v>9.3838464748123087</v>
      </c>
      <c r="X139">
        <f t="shared" si="52"/>
        <v>-2.6012254016276295E-2</v>
      </c>
      <c r="Y139">
        <f t="shared" si="53"/>
        <v>-2.5882192746194913E-2</v>
      </c>
      <c r="Z139">
        <f t="shared" si="54"/>
        <v>-2.5882843052545318E-2</v>
      </c>
      <c r="AA139">
        <f t="shared" si="55"/>
        <v>-2.575342558575084E-2</v>
      </c>
      <c r="AB139">
        <f t="shared" si="56"/>
        <v>-1.0209594325417388E-2</v>
      </c>
      <c r="AC139">
        <f t="shared" si="57"/>
        <v>-1.0081974396349671E-2</v>
      </c>
      <c r="AD139">
        <f t="shared" si="58"/>
        <v>-1.0083569645463015E-2</v>
      </c>
      <c r="AE139">
        <f t="shared" si="59"/>
        <v>-9.9575050842808117E-3</v>
      </c>
      <c r="AF139">
        <f t="shared" si="30"/>
        <v>7.2443696683387362E-2</v>
      </c>
      <c r="AG139">
        <f t="shared" si="31"/>
        <v>7.2443696683387362E-2</v>
      </c>
      <c r="AH139">
        <f t="shared" si="32"/>
        <v>7.2443696683387362E-2</v>
      </c>
      <c r="AI139">
        <f t="shared" si="33"/>
        <v>7.2443696683387362E-2</v>
      </c>
    </row>
    <row r="140" spans="1:35" x14ac:dyDescent="0.45">
      <c r="A140">
        <v>1.28</v>
      </c>
      <c r="B140">
        <f t="shared" si="34"/>
        <v>3.4657598279820161</v>
      </c>
      <c r="C140">
        <f t="shared" si="35"/>
        <v>1.7942694602324512</v>
      </c>
      <c r="D140">
        <f t="shared" si="36"/>
        <v>9.4799414235710717</v>
      </c>
      <c r="E140">
        <f t="shared" si="37"/>
        <v>-2.5686250978657905</v>
      </c>
      <c r="F140">
        <f t="shared" si="38"/>
        <v>-1.0199138225991118</v>
      </c>
      <c r="G140">
        <f t="shared" si="39"/>
        <v>7.1770778409298046</v>
      </c>
      <c r="I140">
        <v>1.28</v>
      </c>
      <c r="J140">
        <f t="shared" si="40"/>
        <v>3.4861712105767761</v>
      </c>
      <c r="K140">
        <f t="shared" si="41"/>
        <v>1.7964221912664387</v>
      </c>
      <c r="L140">
        <f t="shared" si="42"/>
        <v>9.4542859654300191</v>
      </c>
      <c r="M140">
        <f t="shared" si="43"/>
        <v>-2.5879601149435567E-2</v>
      </c>
      <c r="N140">
        <f t="shared" si="44"/>
        <v>-2.5427454967163549E-2</v>
      </c>
      <c r="O140">
        <f t="shared" si="45"/>
        <v>-1.0048842675893207E-2</v>
      </c>
      <c r="P140">
        <f t="shared" si="46"/>
        <v>-9.9479171590937908E-3</v>
      </c>
      <c r="Q140">
        <f t="shared" si="47"/>
        <v>7.185688765065755E-2</v>
      </c>
      <c r="R140">
        <f t="shared" si="48"/>
        <v>7.1770778409298047E-2</v>
      </c>
      <c r="T140">
        <v>1.28</v>
      </c>
      <c r="U140">
        <f t="shared" si="49"/>
        <v>3.4808889849700533</v>
      </c>
      <c r="V140">
        <f t="shared" si="50"/>
        <v>1.8010093858357967</v>
      </c>
      <c r="W140">
        <f t="shared" si="51"/>
        <v>9.4562901714956968</v>
      </c>
      <c r="X140">
        <f t="shared" si="52"/>
        <v>-2.5803842920521548E-2</v>
      </c>
      <c r="Y140">
        <f t="shared" si="53"/>
        <v>-2.5674823705918941E-2</v>
      </c>
      <c r="Z140">
        <f t="shared" si="54"/>
        <v>-2.5675468801991955E-2</v>
      </c>
      <c r="AA140">
        <f t="shared" si="55"/>
        <v>-2.5547088232501628E-2</v>
      </c>
      <c r="AB140">
        <f t="shared" si="56"/>
        <v>-1.0216344796194385E-2</v>
      </c>
      <c r="AC140">
        <f t="shared" si="57"/>
        <v>-1.0088640486241954E-2</v>
      </c>
      <c r="AD140">
        <f t="shared" si="58"/>
        <v>-1.0090236790116362E-2</v>
      </c>
      <c r="AE140">
        <f t="shared" si="59"/>
        <v>-9.9640888764414778E-3</v>
      </c>
      <c r="AF140">
        <f t="shared" si="30"/>
        <v>7.2040375433431877E-2</v>
      </c>
      <c r="AG140">
        <f t="shared" si="31"/>
        <v>7.2040375433431877E-2</v>
      </c>
      <c r="AH140">
        <f t="shared" si="32"/>
        <v>7.2040375433431877E-2</v>
      </c>
      <c r="AI140">
        <f t="shared" si="33"/>
        <v>7.2040375433431877E-2</v>
      </c>
    </row>
    <row r="141" spans="1:35" x14ac:dyDescent="0.45">
      <c r="A141">
        <v>1.29</v>
      </c>
      <c r="B141">
        <f t="shared" si="34"/>
        <v>3.4400735770033584</v>
      </c>
      <c r="C141">
        <f t="shared" si="35"/>
        <v>1.78407032200646</v>
      </c>
      <c r="D141">
        <f t="shared" si="36"/>
        <v>9.5517122019803704</v>
      </c>
      <c r="E141">
        <f t="shared" si="37"/>
        <v>-2.5480384160001286</v>
      </c>
      <c r="F141">
        <f t="shared" si="38"/>
        <v>-1.0201022280127914</v>
      </c>
      <c r="G141">
        <f t="shared" si="39"/>
        <v>7.1362812880258399</v>
      </c>
      <c r="I141">
        <v>1.29</v>
      </c>
      <c r="J141">
        <f t="shared" si="40"/>
        <v>3.4605176825184767</v>
      </c>
      <c r="K141">
        <f t="shared" si="41"/>
        <v>1.7864238113489452</v>
      </c>
      <c r="L141">
        <f t="shared" si="42"/>
        <v>9.5260997984599971</v>
      </c>
      <c r="M141">
        <f t="shared" si="43"/>
        <v>-2.567305776844004E-2</v>
      </c>
      <c r="N141">
        <f t="shared" si="44"/>
        <v>-2.5223653582316884E-2</v>
      </c>
      <c r="O141">
        <f t="shared" si="45"/>
        <v>-1.0055418458538865E-2</v>
      </c>
      <c r="P141">
        <f t="shared" si="46"/>
        <v>-9.9496368186644448E-3</v>
      </c>
      <c r="Q141">
        <f t="shared" si="47"/>
        <v>7.1456952453957806E-2</v>
      </c>
      <c r="R141">
        <f t="shared" si="48"/>
        <v>7.1362812880258406E-2</v>
      </c>
      <c r="T141">
        <v>1.29</v>
      </c>
      <c r="U141">
        <f t="shared" si="49"/>
        <v>3.4552137322752459</v>
      </c>
      <c r="V141">
        <f t="shared" si="50"/>
        <v>1.7909196877982381</v>
      </c>
      <c r="W141">
        <f t="shared" si="51"/>
        <v>9.5283305469291282</v>
      </c>
      <c r="X141">
        <f t="shared" si="52"/>
        <v>-2.5597538883761272E-2</v>
      </c>
      <c r="Y141">
        <f t="shared" si="53"/>
        <v>-2.5469551189342462E-2</v>
      </c>
      <c r="Z141">
        <f t="shared" si="54"/>
        <v>-2.5470191127814561E-2</v>
      </c>
      <c r="AA141">
        <f t="shared" si="55"/>
        <v>-2.5342836972483129E-2</v>
      </c>
      <c r="AB141">
        <f t="shared" si="56"/>
        <v>-1.0220854872203491E-2</v>
      </c>
      <c r="AC141">
        <f t="shared" si="57"/>
        <v>-1.0093094186300951E-2</v>
      </c>
      <c r="AD141">
        <f t="shared" si="58"/>
        <v>-1.0094691194874734E-2</v>
      </c>
      <c r="AE141">
        <f t="shared" si="59"/>
        <v>-9.9684875923316246E-3</v>
      </c>
      <c r="AF141">
        <f t="shared" ref="AF141:AF204" si="60">0.01*2*$B$6*V141</f>
        <v>7.163678751192952E-2</v>
      </c>
      <c r="AG141">
        <f t="shared" ref="AG141:AG204" si="61">0.01*(2*$B$6*V141)</f>
        <v>7.163678751192952E-2</v>
      </c>
      <c r="AH141">
        <f t="shared" ref="AH141:AH204" si="62">0.01*(2*$B$6*V141)</f>
        <v>7.163678751192952E-2</v>
      </c>
      <c r="AI141">
        <f t="shared" ref="AI141:AI204" si="63">0.01*(2*$B$6*V141)</f>
        <v>7.163678751192952E-2</v>
      </c>
    </row>
    <row r="142" spans="1:35" x14ac:dyDescent="0.45">
      <c r="A142">
        <v>1.3</v>
      </c>
      <c r="B142">
        <f t="shared" ref="B142:B205" si="64">B141+0.01*E141</f>
        <v>3.4145931928433573</v>
      </c>
      <c r="C142">
        <f t="shared" ref="C142:C205" si="65">C141+0.01*F141</f>
        <v>1.7738692997263321</v>
      </c>
      <c r="D142">
        <f t="shared" ref="D142:D205" si="66">D141+0.01*G141</f>
        <v>9.6230750148606283</v>
      </c>
      <c r="E142">
        <f t="shared" ref="E142:E205" si="67">-$B$4*B142+$B$5*C142</f>
        <v>-2.5276585429801912</v>
      </c>
      <c r="F142">
        <f t="shared" ref="F142:F205" si="68">$B$4*B142-$B$5*C142-$B$6*C142</f>
        <v>-1.020080056472473</v>
      </c>
      <c r="G142">
        <f t="shared" ref="G142:G205" si="69">2*$B$6*C142</f>
        <v>7.0954771989053285</v>
      </c>
      <c r="I142">
        <v>1.3</v>
      </c>
      <c r="J142">
        <f t="shared" ref="J142:J205" si="70">J141+0.5*(M141+N141)</f>
        <v>3.4350693268430983</v>
      </c>
      <c r="K142">
        <f t="shared" ref="K142:K205" si="71">K141+0.5*(O141+P141)</f>
        <v>1.7764212837103437</v>
      </c>
      <c r="L142">
        <f t="shared" ref="L142:L205" si="72">L141+0.5*(Q141+R141)</f>
        <v>9.5975096811271055</v>
      </c>
      <c r="M142">
        <f t="shared" ref="M142:M205" si="73">0.01*(-$B$4*J142+$B$5*K142)</f>
        <v>-2.5468586849879262E-2</v>
      </c>
      <c r="N142">
        <f t="shared" ref="N142:N205" si="74">0.01*(-$B$4*(B142+M142)+$B$5*C142)</f>
        <v>-2.5021899561303119E-2</v>
      </c>
      <c r="O142">
        <f t="shared" ref="O142:O205" si="75">0.01*($B$4*J142-$B$5*K142-$B$6*K142)</f>
        <v>-1.0059838824327611E-2</v>
      </c>
      <c r="P142">
        <f t="shared" ref="P142:P205" si="76">0.01*($B$4*B142-$B$5*(C142+O142)-$B$6*(C142+O142))</f>
        <v>-9.9493045941165415E-3</v>
      </c>
      <c r="Q142">
        <f t="shared" ref="Q142:Q205" si="77">0.01*2*$B$6*K142</f>
        <v>7.1056851348413747E-2</v>
      </c>
      <c r="R142">
        <f t="shared" ref="R142:R205" si="78">0.01*2*$B$6*C142</f>
        <v>7.0954771989053284E-2</v>
      </c>
      <c r="T142">
        <v>1.3</v>
      </c>
      <c r="U142">
        <f t="shared" ref="U142:U205" si="79">U141+(1/6)*(X141+2*Y141+2*Z141+AA141)</f>
        <v>3.4297437555268195</v>
      </c>
      <c r="V142">
        <f t="shared" ref="V142:V205" si="80">V141+(1/6)*(AB141+2*AC141+2*AD141+AE141)</f>
        <v>1.780825535593757</v>
      </c>
      <c r="W142">
        <f t="shared" ref="W142:W205" si="81">W141+(1/6)*(AF141+2*AG141+2*AH141+AI141)</f>
        <v>9.5999673344410574</v>
      </c>
      <c r="X142">
        <f t="shared" ref="X142:X205" si="82">0.01*(-$B$4*U142+$B$5*V142)</f>
        <v>-2.539330987729941E-2</v>
      </c>
      <c r="Y142">
        <f t="shared" ref="Y142:Y205" si="83">0.01*(-$B$4*(U142+(X142/2))+$B$5*V142)</f>
        <v>-2.5266343327912916E-2</v>
      </c>
      <c r="Z142">
        <f t="shared" ref="Z142:Z205" si="84">0.01*(-$B$4*(U142+(Y142/2))+$B$5*V142)</f>
        <v>-2.5266978160659846E-2</v>
      </c>
      <c r="AA142">
        <f t="shared" ref="AA142:AA205" si="85">0.01*(-$B$4*(U142+Z142)+$B$5*V142)</f>
        <v>-2.5140640095692814E-2</v>
      </c>
      <c r="AB142">
        <f t="shared" ref="AB142:AB205" si="86">0.01*($B$4*U142-$B$5*V142-$B$6*V142)</f>
        <v>-1.022320083457573E-2</v>
      </c>
      <c r="AC142">
        <f t="shared" ref="AC142:AC205" si="87">0.01*($B$4*U142-$B$5*(V142+AB142/2)-$B$6*(V142+AB142/2))</f>
        <v>-1.0095410824143536E-2</v>
      </c>
      <c r="AD142">
        <f t="shared" ref="AD142:AD205" si="88">0.01*($B$4*U142-$B$5*(V142+AC142/2)-$B$6*(V142+AC142/2))</f>
        <v>-1.009700819927394E-2</v>
      </c>
      <c r="AE142">
        <f t="shared" ref="AE142:AE205" si="89">0.01*($B$4*U142-$B$5*(V142+AD142)-$B$6*(V142+AD142))</f>
        <v>-9.9707756295938799E-3</v>
      </c>
      <c r="AF142">
        <f t="shared" si="60"/>
        <v>7.1233021423750278E-2</v>
      </c>
      <c r="AG142">
        <f t="shared" si="61"/>
        <v>7.1233021423750278E-2</v>
      </c>
      <c r="AH142">
        <f t="shared" si="62"/>
        <v>7.1233021423750278E-2</v>
      </c>
      <c r="AI142">
        <f t="shared" si="63"/>
        <v>7.1233021423750278E-2</v>
      </c>
    </row>
    <row r="143" spans="1:35" x14ac:dyDescent="0.45">
      <c r="A143">
        <v>1.31</v>
      </c>
      <c r="B143">
        <f t="shared" si="64"/>
        <v>3.3893166074135554</v>
      </c>
      <c r="C143">
        <f t="shared" si="65"/>
        <v>1.7636684991616074</v>
      </c>
      <c r="D143">
        <f t="shared" si="66"/>
        <v>9.694029786849681</v>
      </c>
      <c r="E143">
        <f t="shared" si="67"/>
        <v>-2.5074823578327519</v>
      </c>
      <c r="F143">
        <f t="shared" si="68"/>
        <v>-1.0198546404904629</v>
      </c>
      <c r="G143">
        <f t="shared" si="69"/>
        <v>7.0546739966464296</v>
      </c>
      <c r="I143">
        <v>1.31</v>
      </c>
      <c r="J143">
        <f t="shared" si="70"/>
        <v>3.4098240836375071</v>
      </c>
      <c r="K143">
        <f t="shared" si="71"/>
        <v>1.7664167120011216</v>
      </c>
      <c r="L143">
        <f t="shared" si="72"/>
        <v>9.668515492795839</v>
      </c>
      <c r="M143">
        <f t="shared" si="73"/>
        <v>-2.5266157276369463E-2</v>
      </c>
      <c r="N143">
        <f t="shared" si="74"/>
        <v>-2.4822162005563825E-2</v>
      </c>
      <c r="O143">
        <f t="shared" si="75"/>
        <v>-1.0062176963652969E-2</v>
      </c>
      <c r="P143">
        <f t="shared" si="76"/>
        <v>-9.9469919808133061E-3</v>
      </c>
      <c r="Q143">
        <f t="shared" si="77"/>
        <v>7.0656668480044871E-2</v>
      </c>
      <c r="R143">
        <f t="shared" si="78"/>
        <v>7.0546739966464295E-2</v>
      </c>
      <c r="T143">
        <v>1.31</v>
      </c>
      <c r="U143">
        <f t="shared" si="79"/>
        <v>3.4044769900351297</v>
      </c>
      <c r="V143">
        <f t="shared" si="80"/>
        <v>1.7707290665085895</v>
      </c>
      <c r="W143">
        <f t="shared" si="81"/>
        <v>9.6712003558648085</v>
      </c>
      <c r="X143">
        <f t="shared" si="82"/>
        <v>-2.5191124567808351E-2</v>
      </c>
      <c r="Y143">
        <f t="shared" si="83"/>
        <v>-2.5065168944969313E-2</v>
      </c>
      <c r="Z143">
        <f t="shared" si="84"/>
        <v>-2.5065798723083503E-2</v>
      </c>
      <c r="AA143">
        <f t="shared" si="85"/>
        <v>-2.4940466580577515E-2</v>
      </c>
      <c r="AB143">
        <f t="shared" si="86"/>
        <v>-1.0223456762363439E-2</v>
      </c>
      <c r="AC143">
        <f t="shared" si="87"/>
        <v>-1.0095663552833898E-2</v>
      </c>
      <c r="AD143">
        <f t="shared" si="88"/>
        <v>-1.0097260967953022E-2</v>
      </c>
      <c r="AE143">
        <f t="shared" si="89"/>
        <v>-9.9710252381646127E-3</v>
      </c>
      <c r="AF143">
        <f t="shared" si="60"/>
        <v>7.0829162660343586E-2</v>
      </c>
      <c r="AG143">
        <f t="shared" si="61"/>
        <v>7.0829162660343586E-2</v>
      </c>
      <c r="AH143">
        <f t="shared" si="62"/>
        <v>7.0829162660343586E-2</v>
      </c>
      <c r="AI143">
        <f t="shared" si="63"/>
        <v>7.0829162660343586E-2</v>
      </c>
    </row>
    <row r="144" spans="1:35" x14ac:dyDescent="0.45">
      <c r="A144">
        <v>1.32</v>
      </c>
      <c r="B144">
        <f t="shared" si="64"/>
        <v>3.3642417838352281</v>
      </c>
      <c r="C144">
        <f t="shared" si="65"/>
        <v>1.7534699527567028</v>
      </c>
      <c r="D144">
        <f t="shared" si="66"/>
        <v>9.7645765268161444</v>
      </c>
      <c r="E144">
        <f t="shared" si="67"/>
        <v>-2.4875068074568767</v>
      </c>
      <c r="F144">
        <f t="shared" si="68"/>
        <v>-1.0194330980565289</v>
      </c>
      <c r="G144">
        <f t="shared" si="69"/>
        <v>7.0138798110268112</v>
      </c>
      <c r="I144">
        <v>1.32</v>
      </c>
      <c r="J144">
        <f t="shared" si="70"/>
        <v>3.3847799239965406</v>
      </c>
      <c r="K144">
        <f t="shared" si="71"/>
        <v>1.7564121275288884</v>
      </c>
      <c r="L144">
        <f t="shared" si="72"/>
        <v>9.7391171970190928</v>
      </c>
      <c r="M144">
        <f t="shared" si="73"/>
        <v>-2.5065738602320968E-2</v>
      </c>
      <c r="N144">
        <f t="shared" si="74"/>
        <v>-2.462441068854556E-2</v>
      </c>
      <c r="O144">
        <f t="shared" si="75"/>
        <v>-1.0062503948256803E-2</v>
      </c>
      <c r="P144">
        <f t="shared" si="76"/>
        <v>-9.9427683818588703E-3</v>
      </c>
      <c r="Q144">
        <f t="shared" si="77"/>
        <v>7.0256485101155536E-2</v>
      </c>
      <c r="R144">
        <f t="shared" si="78"/>
        <v>7.0138798110268116E-2</v>
      </c>
      <c r="T144">
        <v>1.32</v>
      </c>
      <c r="U144">
        <f t="shared" si="79"/>
        <v>3.3794114022877144</v>
      </c>
      <c r="V144">
        <f t="shared" si="80"/>
        <v>1.7606323446682393</v>
      </c>
      <c r="W144">
        <f t="shared" si="81"/>
        <v>9.7420295185251522</v>
      </c>
      <c r="X144">
        <f t="shared" si="82"/>
        <v>-2.4990952299535948E-2</v>
      </c>
      <c r="Y144">
        <f t="shared" si="83"/>
        <v>-2.4865997538038271E-2</v>
      </c>
      <c r="Z144">
        <f t="shared" si="84"/>
        <v>-2.4866622311845759E-2</v>
      </c>
      <c r="AA144">
        <f t="shared" si="85"/>
        <v>-2.4742286076417489E-2</v>
      </c>
      <c r="AB144">
        <f t="shared" si="86"/>
        <v>-1.0221694593828837E-2</v>
      </c>
      <c r="AC144">
        <f t="shared" si="87"/>
        <v>-1.0093923411405976E-2</v>
      </c>
      <c r="AD144">
        <f t="shared" si="88"/>
        <v>-1.0095520551186263E-2</v>
      </c>
      <c r="AE144">
        <f t="shared" si="89"/>
        <v>-9.9693065800491795E-3</v>
      </c>
      <c r="AF144">
        <f t="shared" si="60"/>
        <v>7.042529378672957E-2</v>
      </c>
      <c r="AG144">
        <f t="shared" si="61"/>
        <v>7.042529378672957E-2</v>
      </c>
      <c r="AH144">
        <f t="shared" si="62"/>
        <v>7.042529378672957E-2</v>
      </c>
      <c r="AI144">
        <f t="shared" si="63"/>
        <v>7.042529378672957E-2</v>
      </c>
    </row>
    <row r="145" spans="1:35" x14ac:dyDescent="0.45">
      <c r="A145">
        <v>1.33</v>
      </c>
      <c r="B145">
        <f t="shared" si="64"/>
        <v>3.3393667157606592</v>
      </c>
      <c r="C145">
        <f t="shared" si="65"/>
        <v>1.7432756217761376</v>
      </c>
      <c r="D145">
        <f t="shared" si="66"/>
        <v>9.8347153249264121</v>
      </c>
      <c r="E145">
        <f t="shared" si="67"/>
        <v>-2.4677289048725903</v>
      </c>
      <c r="F145">
        <f t="shared" si="68"/>
        <v>-1.0188223386796849</v>
      </c>
      <c r="G145">
        <f t="shared" si="69"/>
        <v>6.9731024871045504</v>
      </c>
      <c r="I145">
        <v>1.33</v>
      </c>
      <c r="J145">
        <f t="shared" si="70"/>
        <v>3.3599348493511072</v>
      </c>
      <c r="K145">
        <f t="shared" si="71"/>
        <v>1.7464094913638306</v>
      </c>
      <c r="L145">
        <f t="shared" si="72"/>
        <v>9.8093148386248039</v>
      </c>
      <c r="M145">
        <f t="shared" si="73"/>
        <v>-2.4867301036691922E-2</v>
      </c>
      <c r="N145">
        <f t="shared" si="74"/>
        <v>-2.4428616038358983E-2</v>
      </c>
      <c r="O145">
        <f t="shared" si="75"/>
        <v>-1.0060888790584692E-2</v>
      </c>
      <c r="P145">
        <f t="shared" si="76"/>
        <v>-9.9367011670322292E-3</v>
      </c>
      <c r="Q145">
        <f t="shared" si="77"/>
        <v>6.9856379654553227E-2</v>
      </c>
      <c r="R145">
        <f t="shared" si="78"/>
        <v>6.9731024871045502E-2</v>
      </c>
      <c r="T145">
        <v>1.33</v>
      </c>
      <c r="U145">
        <f t="shared" si="79"/>
        <v>3.354544989275094</v>
      </c>
      <c r="V145">
        <f t="shared" si="80"/>
        <v>1.7505373631517289</v>
      </c>
      <c r="W145">
        <f t="shared" si="81"/>
        <v>9.8124548123118824</v>
      </c>
      <c r="X145">
        <f t="shared" si="82"/>
        <v>-2.4792763076992297E-2</v>
      </c>
      <c r="Y145">
        <f t="shared" si="83"/>
        <v>-2.4668799261607335E-2</v>
      </c>
      <c r="Z145">
        <f t="shared" si="84"/>
        <v>-2.4669419080684263E-2</v>
      </c>
      <c r="AA145">
        <f t="shared" si="85"/>
        <v>-2.4546068886185456E-2</v>
      </c>
      <c r="AB145">
        <f t="shared" si="86"/>
        <v>-1.0217984186042282E-2</v>
      </c>
      <c r="AC145">
        <f t="shared" si="87"/>
        <v>-1.0090259383716754E-2</v>
      </c>
      <c r="AD145">
        <f t="shared" si="88"/>
        <v>-1.0091855943745825E-2</v>
      </c>
      <c r="AE145">
        <f t="shared" si="89"/>
        <v>-9.9656877874486401E-3</v>
      </c>
      <c r="AF145">
        <f t="shared" si="60"/>
        <v>7.0021494526069164E-2</v>
      </c>
      <c r="AG145">
        <f t="shared" si="61"/>
        <v>7.0021494526069164E-2</v>
      </c>
      <c r="AH145">
        <f t="shared" si="62"/>
        <v>7.0021494526069164E-2</v>
      </c>
      <c r="AI145">
        <f t="shared" si="63"/>
        <v>7.0021494526069164E-2</v>
      </c>
    </row>
    <row r="146" spans="1:35" x14ac:dyDescent="0.45">
      <c r="A146">
        <v>1.34</v>
      </c>
      <c r="B146">
        <f t="shared" si="64"/>
        <v>3.3146894267119333</v>
      </c>
      <c r="C146">
        <f t="shared" si="65"/>
        <v>1.7330873983893407</v>
      </c>
      <c r="D146">
        <f t="shared" si="66"/>
        <v>9.9044463497974569</v>
      </c>
      <c r="E146">
        <f t="shared" si="67"/>
        <v>-2.4481457275172631</v>
      </c>
      <c r="F146">
        <f t="shared" si="68"/>
        <v>-1.0180290692614182</v>
      </c>
      <c r="G146">
        <f t="shared" si="69"/>
        <v>6.9323495935573627</v>
      </c>
      <c r="I146">
        <v>1.34</v>
      </c>
      <c r="J146">
        <f t="shared" si="70"/>
        <v>3.3352868908135815</v>
      </c>
      <c r="K146">
        <f t="shared" si="71"/>
        <v>1.7364106963850221</v>
      </c>
      <c r="L146">
        <f t="shared" si="72"/>
        <v>9.8791085408876036</v>
      </c>
      <c r="M146">
        <f t="shared" si="73"/>
        <v>-2.4670815426210708E-2</v>
      </c>
      <c r="N146">
        <f t="shared" si="74"/>
        <v>-2.4234749120910528E-2</v>
      </c>
      <c r="O146">
        <f t="shared" si="75"/>
        <v>-1.0057398501489736E-2</v>
      </c>
      <c r="P146">
        <f t="shared" si="76"/>
        <v>-9.9288557300769402E-3</v>
      </c>
      <c r="Q146">
        <f t="shared" si="77"/>
        <v>6.945642785540089E-2</v>
      </c>
      <c r="R146">
        <f t="shared" si="78"/>
        <v>6.9323495935573631E-2</v>
      </c>
      <c r="T146">
        <v>1.34</v>
      </c>
      <c r="U146">
        <f t="shared" si="79"/>
        <v>3.3298757778338004</v>
      </c>
      <c r="V146">
        <f t="shared" si="80"/>
        <v>1.7404460460469928</v>
      </c>
      <c r="W146">
        <f t="shared" si="81"/>
        <v>9.8824763068379511</v>
      </c>
      <c r="X146">
        <f t="shared" si="82"/>
        <v>-2.4596527548103042E-2</v>
      </c>
      <c r="Y146">
        <f t="shared" si="83"/>
        <v>-2.4473544910362525E-2</v>
      </c>
      <c r="Z146">
        <f t="shared" si="84"/>
        <v>-2.4474159823551229E-2</v>
      </c>
      <c r="AA146">
        <f t="shared" si="85"/>
        <v>-2.4351785949867529E-2</v>
      </c>
      <c r="AB146">
        <f t="shared" si="86"/>
        <v>-1.0212393372836815E-2</v>
      </c>
      <c r="AC146">
        <f t="shared" si="87"/>
        <v>-1.0084738455676359E-2</v>
      </c>
      <c r="AD146">
        <f t="shared" si="88"/>
        <v>-1.0086334142140867E-2</v>
      </c>
      <c r="AE146">
        <f t="shared" si="89"/>
        <v>-9.9602350192832933E-3</v>
      </c>
      <c r="AF146">
        <f t="shared" si="60"/>
        <v>6.9617841841879718E-2</v>
      </c>
      <c r="AG146">
        <f t="shared" si="61"/>
        <v>6.9617841841879718E-2</v>
      </c>
      <c r="AH146">
        <f t="shared" si="62"/>
        <v>6.9617841841879718E-2</v>
      </c>
      <c r="AI146">
        <f t="shared" si="63"/>
        <v>6.9617841841879718E-2</v>
      </c>
    </row>
    <row r="147" spans="1:35" x14ac:dyDescent="0.45">
      <c r="A147">
        <v>1.35</v>
      </c>
      <c r="B147">
        <f t="shared" si="64"/>
        <v>3.2902079694367607</v>
      </c>
      <c r="C147">
        <f t="shared" si="65"/>
        <v>1.7229071076967264</v>
      </c>
      <c r="D147">
        <f t="shared" si="66"/>
        <v>9.973769845733031</v>
      </c>
      <c r="E147">
        <f t="shared" si="67"/>
        <v>-2.4287544155883976</v>
      </c>
      <c r="F147">
        <f t="shared" si="68"/>
        <v>-1.0170597998050552</v>
      </c>
      <c r="G147">
        <f t="shared" si="69"/>
        <v>6.8916284307869056</v>
      </c>
      <c r="I147">
        <v>1.35</v>
      </c>
      <c r="J147">
        <f t="shared" si="70"/>
        <v>3.3108341085400208</v>
      </c>
      <c r="K147">
        <f t="shared" si="71"/>
        <v>1.7264175692692387</v>
      </c>
      <c r="L147">
        <f t="shared" si="72"/>
        <v>9.9484985027830906</v>
      </c>
      <c r="M147">
        <f t="shared" si="73"/>
        <v>-2.4476253239054016E-2</v>
      </c>
      <c r="N147">
        <f t="shared" si="74"/>
        <v>-2.4042781623493437E-2</v>
      </c>
      <c r="O147">
        <f t="shared" si="75"/>
        <v>-1.0052098146330759E-2</v>
      </c>
      <c r="P147">
        <f t="shared" si="76"/>
        <v>-9.9192955443922811E-3</v>
      </c>
      <c r="Q147">
        <f t="shared" si="77"/>
        <v>6.9056702770769557E-2</v>
      </c>
      <c r="R147">
        <f t="shared" si="78"/>
        <v>6.8916284307869058E-2</v>
      </c>
      <c r="T147">
        <v>1.35</v>
      </c>
      <c r="U147">
        <f t="shared" si="79"/>
        <v>3.3054018240061676</v>
      </c>
      <c r="V147">
        <f t="shared" si="80"/>
        <v>1.7303602504490336</v>
      </c>
      <c r="W147">
        <f t="shared" si="81"/>
        <v>9.95209414867983</v>
      </c>
      <c r="X147">
        <f t="shared" si="82"/>
        <v>-2.4402216987816507E-2</v>
      </c>
      <c r="Y147">
        <f t="shared" si="83"/>
        <v>-2.4280205902877425E-2</v>
      </c>
      <c r="Z147">
        <f t="shared" si="84"/>
        <v>-2.4280815958302126E-2</v>
      </c>
      <c r="AA147">
        <f t="shared" si="85"/>
        <v>-2.4159408828233486E-2</v>
      </c>
      <c r="AB147">
        <f t="shared" si="86"/>
        <v>-1.0204988021164168E-2</v>
      </c>
      <c r="AC147">
        <f t="shared" si="87"/>
        <v>-1.0077425670899611E-2</v>
      </c>
      <c r="AD147">
        <f t="shared" si="88"/>
        <v>-1.007902020027792E-2</v>
      </c>
      <c r="AE147">
        <f t="shared" si="89"/>
        <v>-9.9530125161572201E-3</v>
      </c>
      <c r="AF147">
        <f t="shared" si="60"/>
        <v>6.9214410017961345E-2</v>
      </c>
      <c r="AG147">
        <f t="shared" si="61"/>
        <v>6.9214410017961345E-2</v>
      </c>
      <c r="AH147">
        <f t="shared" si="62"/>
        <v>6.9214410017961345E-2</v>
      </c>
      <c r="AI147">
        <f t="shared" si="63"/>
        <v>6.9214410017961345E-2</v>
      </c>
    </row>
    <row r="148" spans="1:35" x14ac:dyDescent="0.45">
      <c r="A148">
        <v>1.36</v>
      </c>
      <c r="B148">
        <f t="shared" si="64"/>
        <v>3.2659204252808767</v>
      </c>
      <c r="C148">
        <f t="shared" si="65"/>
        <v>1.7127365096986757</v>
      </c>
      <c r="D148">
        <f t="shared" si="66"/>
        <v>10.0426861300409</v>
      </c>
      <c r="E148">
        <f t="shared" si="67"/>
        <v>-2.4095521704315388</v>
      </c>
      <c r="F148">
        <f t="shared" si="68"/>
        <v>-1.0159208489658127</v>
      </c>
      <c r="G148">
        <f t="shared" si="69"/>
        <v>6.850946038794703</v>
      </c>
      <c r="I148">
        <v>1.36</v>
      </c>
      <c r="J148">
        <f t="shared" si="70"/>
        <v>3.2865745911087472</v>
      </c>
      <c r="K148">
        <f t="shared" si="71"/>
        <v>1.7164318724238772</v>
      </c>
      <c r="L148">
        <f t="shared" si="72"/>
        <v>10.017484996322409</v>
      </c>
      <c r="M148">
        <f t="shared" si="73"/>
        <v>-2.4283586548968086E-2</v>
      </c>
      <c r="N148">
        <f t="shared" si="74"/>
        <v>-2.3852685838825709E-2</v>
      </c>
      <c r="O148">
        <f t="shared" si="75"/>
        <v>-1.0045050899509458E-2</v>
      </c>
      <c r="P148">
        <f t="shared" si="76"/>
        <v>-9.9080822171703931E-3</v>
      </c>
      <c r="Q148">
        <f t="shared" si="77"/>
        <v>6.8657274896955084E-2</v>
      </c>
      <c r="R148">
        <f t="shared" si="78"/>
        <v>6.850946038794703E-2</v>
      </c>
      <c r="T148">
        <v>1.36</v>
      </c>
      <c r="U148">
        <f t="shared" si="79"/>
        <v>3.2811212124164326</v>
      </c>
      <c r="V148">
        <f t="shared" si="80"/>
        <v>1.720281768402421</v>
      </c>
      <c r="W148">
        <f t="shared" si="81"/>
        <v>10.021308558697791</v>
      </c>
      <c r="X148">
        <f t="shared" si="82"/>
        <v>-2.4209803282152224E-2</v>
      </c>
      <c r="Y148">
        <f t="shared" si="83"/>
        <v>-2.4088754265741464E-2</v>
      </c>
      <c r="Z148">
        <f t="shared" si="84"/>
        <v>-2.4089359510823517E-2</v>
      </c>
      <c r="AA148">
        <f t="shared" si="85"/>
        <v>-2.3968909687043988E-2</v>
      </c>
      <c r="AB148">
        <f t="shared" si="86"/>
        <v>-1.0195832085896197E-2</v>
      </c>
      <c r="AC148">
        <f t="shared" si="87"/>
        <v>-1.0068384184822499E-2</v>
      </c>
      <c r="AD148">
        <f t="shared" si="88"/>
        <v>-1.0069977283585914E-2</v>
      </c>
      <c r="AE148">
        <f t="shared" si="89"/>
        <v>-9.9440826538065522E-3</v>
      </c>
      <c r="AF148">
        <f t="shared" si="60"/>
        <v>6.8811270736096844E-2</v>
      </c>
      <c r="AG148">
        <f t="shared" si="61"/>
        <v>6.8811270736096844E-2</v>
      </c>
      <c r="AH148">
        <f t="shared" si="62"/>
        <v>6.8811270736096844E-2</v>
      </c>
      <c r="AI148">
        <f t="shared" si="63"/>
        <v>6.8811270736096844E-2</v>
      </c>
    </row>
    <row r="149" spans="1:35" x14ac:dyDescent="0.45">
      <c r="A149">
        <v>1.37</v>
      </c>
      <c r="B149">
        <f t="shared" si="64"/>
        <v>3.2418249035765614</v>
      </c>
      <c r="C149">
        <f t="shared" si="65"/>
        <v>1.7025773012090175</v>
      </c>
      <c r="D149">
        <f t="shared" si="66"/>
        <v>10.111195590428848</v>
      </c>
      <c r="E149">
        <f t="shared" si="67"/>
        <v>-2.3905362529720526</v>
      </c>
      <c r="F149">
        <f t="shared" si="68"/>
        <v>-1.0146183494459824</v>
      </c>
      <c r="G149">
        <f t="shared" si="69"/>
        <v>6.8103092048360701</v>
      </c>
      <c r="I149">
        <v>1.37</v>
      </c>
      <c r="J149">
        <f t="shared" si="70"/>
        <v>3.2625064549148504</v>
      </c>
      <c r="K149">
        <f t="shared" si="71"/>
        <v>1.7064553058655372</v>
      </c>
      <c r="L149">
        <f t="shared" si="72"/>
        <v>10.086068363964861</v>
      </c>
      <c r="M149">
        <f t="shared" si="73"/>
        <v>-2.4092788019820816E-2</v>
      </c>
      <c r="N149">
        <f t="shared" si="74"/>
        <v>-2.3664434649522316E-2</v>
      </c>
      <c r="O149">
        <f t="shared" si="75"/>
        <v>-1.0036318097489927E-2</v>
      </c>
      <c r="P149">
        <f t="shared" si="76"/>
        <v>-9.8952755420225764E-3</v>
      </c>
      <c r="Q149">
        <f t="shared" si="77"/>
        <v>6.8258212234621488E-2</v>
      </c>
      <c r="R149">
        <f t="shared" si="78"/>
        <v>6.8103092048360708E-2</v>
      </c>
      <c r="T149">
        <v>1.37</v>
      </c>
      <c r="U149">
        <f t="shared" si="79"/>
        <v>3.2570320556627115</v>
      </c>
      <c r="V149">
        <f t="shared" si="80"/>
        <v>1.7102123287896678</v>
      </c>
      <c r="W149">
        <f t="shared" si="81"/>
        <v>10.090119829433888</v>
      </c>
      <c r="X149">
        <f t="shared" si="82"/>
        <v>-2.4019258912678778E-2</v>
      </c>
      <c r="Y149">
        <f t="shared" si="83"/>
        <v>-2.3899162618115383E-2</v>
      </c>
      <c r="Z149">
        <f t="shared" si="84"/>
        <v>-2.38997630995882E-2</v>
      </c>
      <c r="AA149">
        <f t="shared" si="85"/>
        <v>-2.3780261281682896E-2</v>
      </c>
      <c r="AB149">
        <f t="shared" si="86"/>
        <v>-1.018498766311458E-2</v>
      </c>
      <c r="AC149">
        <f t="shared" si="87"/>
        <v>-1.0057675317325647E-2</v>
      </c>
      <c r="AD149">
        <f t="shared" si="88"/>
        <v>-1.0059266721648008E-2</v>
      </c>
      <c r="AE149">
        <f t="shared" si="89"/>
        <v>-9.9335059950733835E-3</v>
      </c>
      <c r="AF149">
        <f t="shared" si="60"/>
        <v>6.8408493151586716E-2</v>
      </c>
      <c r="AG149">
        <f t="shared" si="61"/>
        <v>6.8408493151586716E-2</v>
      </c>
      <c r="AH149">
        <f t="shared" si="62"/>
        <v>6.8408493151586716E-2</v>
      </c>
      <c r="AI149">
        <f t="shared" si="63"/>
        <v>6.8408493151586716E-2</v>
      </c>
    </row>
    <row r="150" spans="1:35" x14ac:dyDescent="0.45">
      <c r="A150">
        <v>1.38</v>
      </c>
      <c r="B150">
        <f t="shared" si="64"/>
        <v>3.2179195410468409</v>
      </c>
      <c r="C150">
        <f t="shared" si="65"/>
        <v>1.6924311177145577</v>
      </c>
      <c r="D150">
        <f t="shared" si="66"/>
        <v>10.179298682477208</v>
      </c>
      <c r="E150">
        <f t="shared" si="67"/>
        <v>-2.3717039821895618</v>
      </c>
      <c r="F150">
        <f t="shared" si="68"/>
        <v>-1.0131582532395536</v>
      </c>
      <c r="G150">
        <f t="shared" si="69"/>
        <v>6.7697244708582307</v>
      </c>
      <c r="I150">
        <v>1.38</v>
      </c>
      <c r="J150">
        <f t="shared" si="70"/>
        <v>3.2386278435801787</v>
      </c>
      <c r="K150">
        <f t="shared" si="71"/>
        <v>1.696489509045781</v>
      </c>
      <c r="L150">
        <f t="shared" si="72"/>
        <v>10.154249016106352</v>
      </c>
      <c r="M150">
        <f t="shared" si="73"/>
        <v>-2.390383089057288E-2</v>
      </c>
      <c r="N150">
        <f t="shared" si="74"/>
        <v>-2.3478001512989888E-2</v>
      </c>
      <c r="O150">
        <f t="shared" si="75"/>
        <v>-1.0025959290342739E-2</v>
      </c>
      <c r="P150">
        <f t="shared" si="76"/>
        <v>-9.8809335501369687E-3</v>
      </c>
      <c r="Q150">
        <f t="shared" si="77"/>
        <v>6.7859580361831248E-2</v>
      </c>
      <c r="R150">
        <f t="shared" si="78"/>
        <v>6.7697244708582308E-2</v>
      </c>
      <c r="T150">
        <v>1.38</v>
      </c>
      <c r="U150">
        <f t="shared" si="79"/>
        <v>3.2331324937244168</v>
      </c>
      <c r="V150">
        <f t="shared" si="80"/>
        <v>1.7001535991669785</v>
      </c>
      <c r="W150">
        <f t="shared" si="81"/>
        <v>10.158528322585475</v>
      </c>
      <c r="X150">
        <f t="shared" si="82"/>
        <v>-2.3830556941409276E-2</v>
      </c>
      <c r="Y150">
        <f t="shared" si="83"/>
        <v>-2.3711404156702226E-2</v>
      </c>
      <c r="Z150">
        <f t="shared" si="84"/>
        <v>-2.3711999920625764E-2</v>
      </c>
      <c r="AA150">
        <f t="shared" si="85"/>
        <v>-2.3593436942203016E-2</v>
      </c>
      <c r="AB150">
        <f t="shared" si="86"/>
        <v>-1.0172515041930294E-2</v>
      </c>
      <c r="AC150">
        <f t="shared" si="87"/>
        <v>-1.0045358603906167E-2</v>
      </c>
      <c r="AD150">
        <f t="shared" si="88"/>
        <v>-1.004694805938147E-2</v>
      </c>
      <c r="AE150">
        <f t="shared" si="89"/>
        <v>-9.9213413404457603E-3</v>
      </c>
      <c r="AF150">
        <f t="shared" si="60"/>
        <v>6.8006143966679145E-2</v>
      </c>
      <c r="AG150">
        <f t="shared" si="61"/>
        <v>6.8006143966679145E-2</v>
      </c>
      <c r="AH150">
        <f t="shared" si="62"/>
        <v>6.8006143966679145E-2</v>
      </c>
      <c r="AI150">
        <f t="shared" si="63"/>
        <v>6.8006143966679145E-2</v>
      </c>
    </row>
    <row r="151" spans="1:35" x14ac:dyDescent="0.45">
      <c r="A151">
        <v>1.39</v>
      </c>
      <c r="B151">
        <f t="shared" si="64"/>
        <v>3.1942025012249453</v>
      </c>
      <c r="C151">
        <f t="shared" si="65"/>
        <v>1.6822995351821621</v>
      </c>
      <c r="D151">
        <f t="shared" si="66"/>
        <v>10.246995927185791</v>
      </c>
      <c r="E151">
        <f t="shared" si="67"/>
        <v>-2.3530527336338642</v>
      </c>
      <c r="F151">
        <f t="shared" si="68"/>
        <v>-1.01154633673046</v>
      </c>
      <c r="G151">
        <f t="shared" si="69"/>
        <v>6.7291981407286485</v>
      </c>
      <c r="I151">
        <v>1.39</v>
      </c>
      <c r="J151">
        <f t="shared" si="70"/>
        <v>3.2149369273783974</v>
      </c>
      <c r="K151">
        <f t="shared" si="71"/>
        <v>1.6865360626255412</v>
      </c>
      <c r="L151">
        <f t="shared" si="72"/>
        <v>10.222027428641558</v>
      </c>
      <c r="M151">
        <f t="shared" si="73"/>
        <v>-2.3716688960656266E-2</v>
      </c>
      <c r="N151">
        <f t="shared" si="74"/>
        <v>-2.3293360446732081E-2</v>
      </c>
      <c r="O151">
        <f t="shared" si="75"/>
        <v>-1.0014032291854559E-2</v>
      </c>
      <c r="P151">
        <f t="shared" si="76"/>
        <v>-9.8651125600082382E-3</v>
      </c>
      <c r="Q151">
        <f t="shared" si="77"/>
        <v>6.7461442505021646E-2</v>
      </c>
      <c r="R151">
        <f t="shared" si="78"/>
        <v>6.7291981407286483E-2</v>
      </c>
      <c r="T151">
        <v>1.39</v>
      </c>
      <c r="U151">
        <f t="shared" si="79"/>
        <v>3.2094206933847054</v>
      </c>
      <c r="V151">
        <f t="shared" si="80"/>
        <v>1.6901071875488201</v>
      </c>
      <c r="W151">
        <f t="shared" si="81"/>
        <v>10.226534466552154</v>
      </c>
      <c r="X151">
        <f t="shared" si="82"/>
        <v>-2.3643670996102952E-2</v>
      </c>
      <c r="Y151">
        <f t="shared" si="83"/>
        <v>-2.3525452641122439E-2</v>
      </c>
      <c r="Z151">
        <f t="shared" si="84"/>
        <v>-2.3526043732897343E-2</v>
      </c>
      <c r="AA151">
        <f t="shared" si="85"/>
        <v>-2.3408410558773979E-2</v>
      </c>
      <c r="AB151">
        <f t="shared" si="86"/>
        <v>-1.0158472754873448E-2</v>
      </c>
      <c r="AC151">
        <f t="shared" si="87"/>
        <v>-1.0031491845437527E-2</v>
      </c>
      <c r="AD151">
        <f t="shared" si="88"/>
        <v>-1.0033079106805483E-2</v>
      </c>
      <c r="AE151">
        <f t="shared" si="89"/>
        <v>-9.9076457772033118E-3</v>
      </c>
      <c r="AF151">
        <f t="shared" si="60"/>
        <v>6.7604287501952798E-2</v>
      </c>
      <c r="AG151">
        <f t="shared" si="61"/>
        <v>6.7604287501952798E-2</v>
      </c>
      <c r="AH151">
        <f t="shared" si="62"/>
        <v>6.7604287501952798E-2</v>
      </c>
      <c r="AI151">
        <f t="shared" si="63"/>
        <v>6.7604287501952798E-2</v>
      </c>
    </row>
    <row r="152" spans="1:35" x14ac:dyDescent="0.45">
      <c r="A152">
        <v>1.4</v>
      </c>
      <c r="B152">
        <f t="shared" si="64"/>
        <v>3.1706719738886067</v>
      </c>
      <c r="C152">
        <f t="shared" si="65"/>
        <v>1.6721840718148575</v>
      </c>
      <c r="D152">
        <f t="shared" si="66"/>
        <v>10.314287908593078</v>
      </c>
      <c r="E152">
        <f t="shared" si="67"/>
        <v>-2.3345799379811778</v>
      </c>
      <c r="F152">
        <f t="shared" si="68"/>
        <v>-1.0097882056485372</v>
      </c>
      <c r="G152">
        <f t="shared" si="69"/>
        <v>6.68873628725943</v>
      </c>
      <c r="I152">
        <v>1.4</v>
      </c>
      <c r="J152">
        <f t="shared" si="70"/>
        <v>3.1914319026747031</v>
      </c>
      <c r="K152">
        <f t="shared" si="71"/>
        <v>1.6765964901996098</v>
      </c>
      <c r="L152">
        <f t="shared" si="72"/>
        <v>10.289404140597712</v>
      </c>
      <c r="M152">
        <f t="shared" si="73"/>
        <v>-2.3531336575748983E-2</v>
      </c>
      <c r="N152">
        <f t="shared" si="74"/>
        <v>-2.3110486014054292E-2</v>
      </c>
      <c r="O152">
        <f t="shared" si="75"/>
        <v>-1.0000593228243213E-2</v>
      </c>
      <c r="P152">
        <f t="shared" si="76"/>
        <v>-9.8478672257792926E-3</v>
      </c>
      <c r="Q152">
        <f t="shared" si="77"/>
        <v>6.7063859607984389E-2</v>
      </c>
      <c r="R152">
        <f t="shared" si="78"/>
        <v>6.6887362872594308E-2</v>
      </c>
      <c r="T152">
        <v>1.4</v>
      </c>
      <c r="U152">
        <f t="shared" si="79"/>
        <v>3.1858948476675528</v>
      </c>
      <c r="V152">
        <f t="shared" si="80"/>
        <v>1.6800746441427263</v>
      </c>
      <c r="W152">
        <f t="shared" si="81"/>
        <v>10.294138754054106</v>
      </c>
      <c r="X152">
        <f t="shared" si="82"/>
        <v>-2.34585752559619E-2</v>
      </c>
      <c r="Y152">
        <f t="shared" si="83"/>
        <v>-2.3341282379682089E-2</v>
      </c>
      <c r="Z152">
        <f t="shared" si="84"/>
        <v>-2.3341868844063491E-2</v>
      </c>
      <c r="AA152">
        <f t="shared" si="85"/>
        <v>-2.3225156567521263E-2</v>
      </c>
      <c r="AB152">
        <f t="shared" si="86"/>
        <v>-1.0142917626892629E-2</v>
      </c>
      <c r="AC152">
        <f t="shared" si="87"/>
        <v>-1.0016131156556472E-2</v>
      </c>
      <c r="AD152">
        <f t="shared" si="88"/>
        <v>-1.0017715987435673E-2</v>
      </c>
      <c r="AE152">
        <f t="shared" si="89"/>
        <v>-9.8924747272067393E-3</v>
      </c>
      <c r="AF152">
        <f t="shared" si="60"/>
        <v>6.7202985765709058E-2</v>
      </c>
      <c r="AG152">
        <f t="shared" si="61"/>
        <v>6.7202985765709058E-2</v>
      </c>
      <c r="AH152">
        <f t="shared" si="62"/>
        <v>6.7202985765709058E-2</v>
      </c>
      <c r="AI152">
        <f t="shared" si="63"/>
        <v>6.7202985765709058E-2</v>
      </c>
    </row>
    <row r="153" spans="1:35" x14ac:dyDescent="0.45">
      <c r="A153">
        <v>1.41</v>
      </c>
      <c r="B153">
        <f t="shared" si="64"/>
        <v>3.147326174508795</v>
      </c>
      <c r="C153">
        <f t="shared" si="65"/>
        <v>1.6620861897583721</v>
      </c>
      <c r="D153">
        <f t="shared" si="66"/>
        <v>10.381175271465672</v>
      </c>
      <c r="E153">
        <f t="shared" si="67"/>
        <v>-2.316283079629609</v>
      </c>
      <c r="F153">
        <f t="shared" si="68"/>
        <v>-1.0078892998871352</v>
      </c>
      <c r="G153">
        <f t="shared" si="69"/>
        <v>6.6483447590334883</v>
      </c>
      <c r="I153">
        <v>1.41</v>
      </c>
      <c r="J153">
        <f t="shared" si="70"/>
        <v>3.1681109913798013</v>
      </c>
      <c r="K153">
        <f t="shared" si="71"/>
        <v>1.6666722599725985</v>
      </c>
      <c r="L153">
        <f t="shared" si="72"/>
        <v>10.356379751838002</v>
      </c>
      <c r="M153">
        <f t="shared" si="73"/>
        <v>-2.3347748613935022E-2</v>
      </c>
      <c r="N153">
        <f t="shared" si="74"/>
        <v>-2.292935331015674E-2</v>
      </c>
      <c r="O153">
        <f t="shared" si="75"/>
        <v>-9.9856965855169479E-3</v>
      </c>
      <c r="P153">
        <f t="shared" si="76"/>
        <v>-9.8292505842334284E-3</v>
      </c>
      <c r="Q153">
        <f t="shared" si="77"/>
        <v>6.6666890398903944E-2</v>
      </c>
      <c r="R153">
        <f t="shared" si="78"/>
        <v>6.6483447590334879E-2</v>
      </c>
      <c r="T153">
        <v>1.41</v>
      </c>
      <c r="U153">
        <f t="shared" si="79"/>
        <v>3.162553175289057</v>
      </c>
      <c r="V153">
        <f t="shared" si="80"/>
        <v>1.6700574630357123</v>
      </c>
      <c r="W153">
        <f t="shared" si="81"/>
        <v>10.361341739819816</v>
      </c>
      <c r="X153">
        <f t="shared" si="82"/>
        <v>-2.3275244437712006E-2</v>
      </c>
      <c r="Y153">
        <f t="shared" si="83"/>
        <v>-2.3158868215523452E-2</v>
      </c>
      <c r="Z153">
        <f t="shared" si="84"/>
        <v>-2.315945009663439E-2</v>
      </c>
      <c r="AA153">
        <f t="shared" si="85"/>
        <v>-2.3043649936745663E-2</v>
      </c>
      <c r="AB153">
        <f t="shared" si="86"/>
        <v>-1.0125904823002241E-2</v>
      </c>
      <c r="AC153">
        <f t="shared" si="87"/>
        <v>-9.9993310127147114E-3</v>
      </c>
      <c r="AD153">
        <f t="shared" si="88"/>
        <v>-1.0000913185343309E-2</v>
      </c>
      <c r="AE153">
        <f t="shared" si="89"/>
        <v>-9.8758819933686542E-3</v>
      </c>
      <c r="AF153">
        <f t="shared" si="60"/>
        <v>6.6802298521428494E-2</v>
      </c>
      <c r="AG153">
        <f t="shared" si="61"/>
        <v>6.6802298521428494E-2</v>
      </c>
      <c r="AH153">
        <f t="shared" si="62"/>
        <v>6.6802298521428494E-2</v>
      </c>
      <c r="AI153">
        <f t="shared" si="63"/>
        <v>6.6802298521428494E-2</v>
      </c>
    </row>
    <row r="154" spans="1:35" x14ac:dyDescent="0.45">
      <c r="A154">
        <v>1.42</v>
      </c>
      <c r="B154">
        <f t="shared" si="64"/>
        <v>3.1241633437124992</v>
      </c>
      <c r="C154">
        <f t="shared" si="65"/>
        <v>1.6520072967595008</v>
      </c>
      <c r="D154">
        <f t="shared" si="66"/>
        <v>10.447658719056006</v>
      </c>
      <c r="E154">
        <f t="shared" si="67"/>
        <v>-2.2981596953327488</v>
      </c>
      <c r="F154">
        <f t="shared" si="68"/>
        <v>-1.0058548981862527</v>
      </c>
      <c r="G154">
        <f t="shared" si="69"/>
        <v>6.608029187038003</v>
      </c>
      <c r="I154">
        <v>1.42</v>
      </c>
      <c r="J154">
        <f t="shared" si="70"/>
        <v>3.1449724404177553</v>
      </c>
      <c r="K154">
        <f t="shared" si="71"/>
        <v>1.6567647863877233</v>
      </c>
      <c r="L154">
        <f t="shared" si="72"/>
        <v>10.422954920832622</v>
      </c>
      <c r="M154">
        <f t="shared" si="73"/>
        <v>-2.3165900472238939E-2</v>
      </c>
      <c r="N154">
        <f t="shared" si="74"/>
        <v>-2.2749937948605099E-2</v>
      </c>
      <c r="O154">
        <f t="shared" si="75"/>
        <v>-9.9693952555155278E-3</v>
      </c>
      <c r="P154">
        <f t="shared" si="76"/>
        <v>-9.8093141004746403E-3</v>
      </c>
      <c r="Q154">
        <f t="shared" si="77"/>
        <v>6.6270591455508926E-2</v>
      </c>
      <c r="R154">
        <f t="shared" si="78"/>
        <v>6.6080291870380031E-2</v>
      </c>
      <c r="T154">
        <v>1.42</v>
      </c>
      <c r="U154">
        <f t="shared" si="79"/>
        <v>3.1393939201225947</v>
      </c>
      <c r="V154">
        <f t="shared" si="80"/>
        <v>1.6600570838336313</v>
      </c>
      <c r="W154">
        <f t="shared" si="81"/>
        <v>10.428144038341244</v>
      </c>
      <c r="X154">
        <f t="shared" si="82"/>
        <v>-2.3093653782057792E-2</v>
      </c>
      <c r="Y154">
        <f t="shared" si="83"/>
        <v>-2.2978185513147498E-2</v>
      </c>
      <c r="Z154">
        <f t="shared" si="84"/>
        <v>-2.2978762854492053E-2</v>
      </c>
      <c r="AA154">
        <f t="shared" si="85"/>
        <v>-2.2863866153512866E-2</v>
      </c>
      <c r="AB154">
        <f t="shared" si="86"/>
        <v>-1.0107487894614834E-2</v>
      </c>
      <c r="AC154">
        <f t="shared" si="87"/>
        <v>-9.9811442959321459E-3</v>
      </c>
      <c r="AD154">
        <f t="shared" si="88"/>
        <v>-9.9827235909156816E-3</v>
      </c>
      <c r="AE154">
        <f t="shared" si="89"/>
        <v>-9.8579198048419411E-3</v>
      </c>
      <c r="AF154">
        <f t="shared" si="60"/>
        <v>6.6402283353345248E-2</v>
      </c>
      <c r="AG154">
        <f t="shared" si="61"/>
        <v>6.6402283353345248E-2</v>
      </c>
      <c r="AH154">
        <f t="shared" si="62"/>
        <v>6.6402283353345248E-2</v>
      </c>
      <c r="AI154">
        <f t="shared" si="63"/>
        <v>6.6402283353345248E-2</v>
      </c>
    </row>
    <row r="155" spans="1:35" x14ac:dyDescent="0.45">
      <c r="A155">
        <v>1.43</v>
      </c>
      <c r="B155">
        <f t="shared" si="64"/>
        <v>3.1011817467591718</v>
      </c>
      <c r="C155">
        <f t="shared" si="65"/>
        <v>1.6419487477776382</v>
      </c>
      <c r="D155">
        <f t="shared" si="66"/>
        <v>10.513739010926386</v>
      </c>
      <c r="E155">
        <f t="shared" si="67"/>
        <v>-2.2802073728703527</v>
      </c>
      <c r="F155">
        <f t="shared" si="68"/>
        <v>-1.0036901226849237</v>
      </c>
      <c r="G155">
        <f t="shared" si="69"/>
        <v>6.5677949911105529</v>
      </c>
      <c r="I155">
        <v>1.43</v>
      </c>
      <c r="J155">
        <f t="shared" si="70"/>
        <v>3.1220145212073334</v>
      </c>
      <c r="K155">
        <f t="shared" si="71"/>
        <v>1.6468754317097283</v>
      </c>
      <c r="L155">
        <f t="shared" si="72"/>
        <v>10.489130362495565</v>
      </c>
      <c r="M155">
        <f t="shared" si="73"/>
        <v>-2.2985768053524695E-2</v>
      </c>
      <c r="N155">
        <f t="shared" si="74"/>
        <v>-2.2572216048168281E-2</v>
      </c>
      <c r="O155">
        <f t="shared" si="75"/>
        <v>-9.9517405806698721E-3</v>
      </c>
      <c r="P155">
        <f t="shared" si="76"/>
        <v>-9.7881077123324906E-3</v>
      </c>
      <c r="Q155">
        <f t="shared" si="77"/>
        <v>6.5875017268389138E-2</v>
      </c>
      <c r="R155">
        <f t="shared" si="78"/>
        <v>6.5677949911105524E-2</v>
      </c>
      <c r="T155">
        <v>1.43</v>
      </c>
      <c r="U155">
        <f t="shared" si="79"/>
        <v>3.1164153506774532</v>
      </c>
      <c r="V155">
        <f t="shared" si="80"/>
        <v>1.6500748932547726</v>
      </c>
      <c r="W155">
        <f t="shared" si="81"/>
        <v>10.494546321694589</v>
      </c>
      <c r="X155">
        <f t="shared" si="82"/>
        <v>-2.2913779040500671E-2</v>
      </c>
      <c r="Y155">
        <f t="shared" si="83"/>
        <v>-2.279921014529817E-2</v>
      </c>
      <c r="Z155">
        <f t="shared" si="84"/>
        <v>-2.2799782989774177E-2</v>
      </c>
      <c r="AA155">
        <f t="shared" si="85"/>
        <v>-2.2685781210602926E-2</v>
      </c>
      <c r="AB155">
        <f t="shared" si="86"/>
        <v>-1.0087718824594782E-2</v>
      </c>
      <c r="AC155">
        <f t="shared" si="87"/>
        <v>-9.9616223392873463E-3</v>
      </c>
      <c r="AD155">
        <f t="shared" si="88"/>
        <v>-9.963198545353694E-3</v>
      </c>
      <c r="AE155">
        <f t="shared" si="89"/>
        <v>-9.8386388609609417E-3</v>
      </c>
      <c r="AF155">
        <f t="shared" si="60"/>
        <v>6.6002995730190903E-2</v>
      </c>
      <c r="AG155">
        <f t="shared" si="61"/>
        <v>6.6002995730190903E-2</v>
      </c>
      <c r="AH155">
        <f t="shared" si="62"/>
        <v>6.6002995730190903E-2</v>
      </c>
      <c r="AI155">
        <f t="shared" si="63"/>
        <v>6.6002995730190903E-2</v>
      </c>
    </row>
    <row r="156" spans="1:35" x14ac:dyDescent="0.45">
      <c r="A156">
        <v>1.44</v>
      </c>
      <c r="B156">
        <f t="shared" si="64"/>
        <v>3.0783796730304682</v>
      </c>
      <c r="C156">
        <f t="shared" si="65"/>
        <v>1.6319118465507889</v>
      </c>
      <c r="D156">
        <f t="shared" si="66"/>
        <v>10.579416960837492</v>
      </c>
      <c r="E156">
        <f t="shared" si="67"/>
        <v>-2.2624237497550737</v>
      </c>
      <c r="F156">
        <f t="shared" si="68"/>
        <v>-1.0013999433465042</v>
      </c>
      <c r="G156">
        <f t="shared" si="69"/>
        <v>6.5276473862031557</v>
      </c>
      <c r="I156">
        <v>1.44</v>
      </c>
      <c r="J156">
        <f t="shared" si="70"/>
        <v>3.0992355291564868</v>
      </c>
      <c r="K156">
        <f t="shared" si="71"/>
        <v>1.637005507563227</v>
      </c>
      <c r="L156">
        <f t="shared" si="72"/>
        <v>10.554906846085313</v>
      </c>
      <c r="M156">
        <f t="shared" si="73"/>
        <v>-2.2807327753748732E-2</v>
      </c>
      <c r="N156">
        <f t="shared" si="74"/>
        <v>-2.239616422001325E-2</v>
      </c>
      <c r="O156">
        <f t="shared" si="75"/>
        <v>-9.9327823975158096E-3</v>
      </c>
      <c r="P156">
        <f t="shared" si="76"/>
        <v>-9.7656798735271493E-3</v>
      </c>
      <c r="Q156">
        <f t="shared" si="77"/>
        <v>6.5480220302529077E-2</v>
      </c>
      <c r="R156">
        <f t="shared" si="78"/>
        <v>6.5276473862031559E-2</v>
      </c>
      <c r="T156">
        <v>1.44</v>
      </c>
      <c r="U156">
        <f t="shared" si="79"/>
        <v>3.0936157595905787</v>
      </c>
      <c r="V156">
        <f t="shared" si="80"/>
        <v>1.6401122266789663</v>
      </c>
      <c r="W156">
        <f t="shared" si="81"/>
        <v>10.56054931742478</v>
      </c>
      <c r="X156">
        <f t="shared" si="82"/>
        <v>-2.2735596462510953E-2</v>
      </c>
      <c r="Y156">
        <f t="shared" si="83"/>
        <v>-2.2621918480198396E-2</v>
      </c>
      <c r="Z156">
        <f t="shared" si="84"/>
        <v>-2.262248687010996E-2</v>
      </c>
      <c r="AA156">
        <f t="shared" si="85"/>
        <v>-2.2509371593809852E-2</v>
      </c>
      <c r="AB156">
        <f t="shared" si="86"/>
        <v>-1.0066648071068371E-2</v>
      </c>
      <c r="AC156">
        <f t="shared" si="87"/>
        <v>-9.9408149701800137E-3</v>
      </c>
      <c r="AD156">
        <f t="shared" si="88"/>
        <v>-9.9423878839411204E-3</v>
      </c>
      <c r="AE156">
        <f t="shared" si="89"/>
        <v>-9.8180883739698421E-3</v>
      </c>
      <c r="AF156">
        <f t="shared" si="60"/>
        <v>6.5604489067158656E-2</v>
      </c>
      <c r="AG156">
        <f t="shared" si="61"/>
        <v>6.5604489067158656E-2</v>
      </c>
      <c r="AH156">
        <f t="shared" si="62"/>
        <v>6.5604489067158656E-2</v>
      </c>
      <c r="AI156">
        <f t="shared" si="63"/>
        <v>6.5604489067158656E-2</v>
      </c>
    </row>
    <row r="157" spans="1:35" x14ac:dyDescent="0.45">
      <c r="A157">
        <v>1.45</v>
      </c>
      <c r="B157">
        <f t="shared" si="64"/>
        <v>3.0557554355329173</v>
      </c>
      <c r="C157">
        <f t="shared" si="65"/>
        <v>1.6218978471173238</v>
      </c>
      <c r="D157">
        <f t="shared" si="66"/>
        <v>10.644693434699523</v>
      </c>
      <c r="E157">
        <f t="shared" si="67"/>
        <v>-2.2448065119742555</v>
      </c>
      <c r="F157">
        <f t="shared" si="68"/>
        <v>-0.99898918226039202</v>
      </c>
      <c r="G157">
        <f t="shared" si="69"/>
        <v>6.4875913884692951</v>
      </c>
      <c r="I157">
        <v>1.45</v>
      </c>
      <c r="J157">
        <f t="shared" si="70"/>
        <v>3.0766337831696058</v>
      </c>
      <c r="K157">
        <f t="shared" si="71"/>
        <v>1.6271562764277057</v>
      </c>
      <c r="L157">
        <f t="shared" si="72"/>
        <v>10.620285193167593</v>
      </c>
      <c r="M157">
        <f t="shared" si="73"/>
        <v>-2.263055644955753E-2</v>
      </c>
      <c r="N157">
        <f t="shared" si="74"/>
        <v>-2.2221759555246981E-2</v>
      </c>
      <c r="O157">
        <f t="shared" si="75"/>
        <v>-9.9125690789965849E-3</v>
      </c>
      <c r="P157">
        <f t="shared" si="76"/>
        <v>-9.7420775956290079E-3</v>
      </c>
      <c r="Q157">
        <f t="shared" si="77"/>
        <v>6.5086251057108233E-2</v>
      </c>
      <c r="R157">
        <f t="shared" si="78"/>
        <v>6.4875913884692951E-2</v>
      </c>
      <c r="T157">
        <v>1.45</v>
      </c>
      <c r="U157">
        <f t="shared" si="79"/>
        <v>3.0709934631310891</v>
      </c>
      <c r="V157">
        <f t="shared" si="80"/>
        <v>1.6301703696534195</v>
      </c>
      <c r="W157">
        <f t="shared" si="81"/>
        <v>10.626153806491939</v>
      </c>
      <c r="X157">
        <f t="shared" si="82"/>
        <v>-2.2559082783043794E-2</v>
      </c>
      <c r="Y157">
        <f t="shared" si="83"/>
        <v>-2.2446287369128574E-2</v>
      </c>
      <c r="Z157">
        <f t="shared" si="84"/>
        <v>-2.244685134619815E-2</v>
      </c>
      <c r="AA157">
        <f t="shared" si="85"/>
        <v>-2.2334614269581814E-2</v>
      </c>
      <c r="AB157">
        <f t="shared" si="86"/>
        <v>-1.0044324610024597E-2</v>
      </c>
      <c r="AC157">
        <f t="shared" si="87"/>
        <v>-9.9187705523992881E-3</v>
      </c>
      <c r="AD157">
        <f t="shared" si="88"/>
        <v>-9.9203399781196081E-3</v>
      </c>
      <c r="AE157">
        <f t="shared" si="89"/>
        <v>-9.7963161105716085E-3</v>
      </c>
      <c r="AF157">
        <f t="shared" si="60"/>
        <v>6.5206814786136783E-2</v>
      </c>
      <c r="AG157">
        <f t="shared" si="61"/>
        <v>6.5206814786136783E-2</v>
      </c>
      <c r="AH157">
        <f t="shared" si="62"/>
        <v>6.5206814786136783E-2</v>
      </c>
      <c r="AI157">
        <f t="shared" si="63"/>
        <v>6.5206814786136783E-2</v>
      </c>
    </row>
    <row r="158" spans="1:35" x14ac:dyDescent="0.45">
      <c r="A158">
        <v>1.46</v>
      </c>
      <c r="B158">
        <f t="shared" si="64"/>
        <v>3.0333073704131746</v>
      </c>
      <c r="C158">
        <f t="shared" si="65"/>
        <v>1.6119079552947198</v>
      </c>
      <c r="D158">
        <f t="shared" si="66"/>
        <v>10.709569348584216</v>
      </c>
      <c r="E158">
        <f t="shared" si="67"/>
        <v>-2.2273533927658145</v>
      </c>
      <c r="F158">
        <f t="shared" si="68"/>
        <v>-0.99646251782362505</v>
      </c>
      <c r="G158">
        <f t="shared" si="69"/>
        <v>6.447631821178879</v>
      </c>
      <c r="I158">
        <v>1.46</v>
      </c>
      <c r="J158">
        <f t="shared" si="70"/>
        <v>3.0542076251672037</v>
      </c>
      <c r="K158">
        <f t="shared" si="71"/>
        <v>1.6173289530903929</v>
      </c>
      <c r="L158">
        <f t="shared" si="72"/>
        <v>10.685266275638494</v>
      </c>
      <c r="M158">
        <f t="shared" si="73"/>
        <v>-2.2455431486220073E-2</v>
      </c>
      <c r="N158">
        <f t="shared" si="74"/>
        <v>-2.2048979612795946E-2</v>
      </c>
      <c r="O158">
        <f t="shared" si="75"/>
        <v>-9.8911475755877869E-3</v>
      </c>
      <c r="P158">
        <f t="shared" si="76"/>
        <v>-9.71734648884655E-3</v>
      </c>
      <c r="Q158">
        <f t="shared" si="77"/>
        <v>6.4693158123615715E-2</v>
      </c>
      <c r="R158">
        <f t="shared" si="78"/>
        <v>6.4476318211788786E-2</v>
      </c>
      <c r="T158">
        <v>1.46</v>
      </c>
      <c r="U158">
        <f t="shared" si="79"/>
        <v>3.0485468007172094</v>
      </c>
      <c r="V158">
        <f t="shared" si="80"/>
        <v>1.6202505593564807</v>
      </c>
      <c r="W158">
        <f t="shared" si="81"/>
        <v>10.691360621278076</v>
      </c>
      <c r="X158">
        <f t="shared" si="82"/>
        <v>-2.2384215210389691E-2</v>
      </c>
      <c r="Y158">
        <f t="shared" si="83"/>
        <v>-2.2272294134337744E-2</v>
      </c>
      <c r="Z158">
        <f t="shared" si="84"/>
        <v>-2.2272853739718004E-2</v>
      </c>
      <c r="AA158">
        <f t="shared" si="85"/>
        <v>-2.216148667299251E-2</v>
      </c>
      <c r="AB158">
        <f t="shared" si="86"/>
        <v>-1.0020795976739922E-2</v>
      </c>
      <c r="AC158">
        <f t="shared" si="87"/>
        <v>-9.8955360270306745E-3</v>
      </c>
      <c r="AD158">
        <f t="shared" si="88"/>
        <v>-9.89710177640204E-3</v>
      </c>
      <c r="AE158">
        <f t="shared" si="89"/>
        <v>-9.7733684323298726E-3</v>
      </c>
      <c r="AF158">
        <f t="shared" si="60"/>
        <v>6.481002237425923E-2</v>
      </c>
      <c r="AG158">
        <f t="shared" si="61"/>
        <v>6.481002237425923E-2</v>
      </c>
      <c r="AH158">
        <f t="shared" si="62"/>
        <v>6.481002237425923E-2</v>
      </c>
      <c r="AI158">
        <f t="shared" si="63"/>
        <v>6.481002237425923E-2</v>
      </c>
    </row>
    <row r="159" spans="1:35" x14ac:dyDescent="0.45">
      <c r="A159">
        <v>1.47</v>
      </c>
      <c r="B159">
        <f t="shared" si="64"/>
        <v>3.0110338364855163</v>
      </c>
      <c r="C159">
        <f t="shared" si="65"/>
        <v>1.6019433301164836</v>
      </c>
      <c r="D159">
        <f t="shared" si="66"/>
        <v>10.774045666796004</v>
      </c>
      <c r="E159">
        <f t="shared" si="67"/>
        <v>-2.2100621714272743</v>
      </c>
      <c r="F159">
        <f t="shared" si="68"/>
        <v>-0.99382448880569285</v>
      </c>
      <c r="G159">
        <f t="shared" si="69"/>
        <v>6.4077733204659344</v>
      </c>
      <c r="I159">
        <v>1.47</v>
      </c>
      <c r="J159">
        <f t="shared" si="70"/>
        <v>3.0319554196176957</v>
      </c>
      <c r="K159">
        <f t="shared" si="71"/>
        <v>1.6075247060581757</v>
      </c>
      <c r="L159">
        <f t="shared" si="72"/>
        <v>10.749851013806197</v>
      </c>
      <c r="M159">
        <f t="shared" si="73"/>
        <v>-2.2281930665886077E-2</v>
      </c>
      <c r="N159">
        <f t="shared" si="74"/>
        <v>-2.1877802407613882E-2</v>
      </c>
      <c r="O159">
        <f t="shared" si="75"/>
        <v>-9.8685634552774376E-3</v>
      </c>
      <c r="P159">
        <f t="shared" si="76"/>
        <v>-9.6915308016749888E-3</v>
      </c>
      <c r="Q159">
        <f t="shared" si="77"/>
        <v>6.4300988242327023E-2</v>
      </c>
      <c r="R159">
        <f t="shared" si="78"/>
        <v>6.4077733204659343E-2</v>
      </c>
      <c r="T159">
        <v>1.47</v>
      </c>
      <c r="U159">
        <f t="shared" si="79"/>
        <v>3.0262741344452939</v>
      </c>
      <c r="V159">
        <f t="shared" si="80"/>
        <v>1.6103539860204914</v>
      </c>
      <c r="W159">
        <f t="shared" si="81"/>
        <v>10.756170643652334</v>
      </c>
      <c r="X159">
        <f t="shared" si="82"/>
        <v>-2.2210971414350481E-2</v>
      </c>
      <c r="Y159">
        <f t="shared" si="83"/>
        <v>-2.2099916557278734E-2</v>
      </c>
      <c r="Z159">
        <f t="shared" si="84"/>
        <v>-2.2100471831564085E-2</v>
      </c>
      <c r="AA159">
        <f t="shared" si="85"/>
        <v>-2.1989966696034841E-2</v>
      </c>
      <c r="AB159">
        <f t="shared" si="86"/>
        <v>-9.9961083060593481E-3</v>
      </c>
      <c r="AC159">
        <f t="shared" si="87"/>
        <v>-9.8711569522336035E-3</v>
      </c>
      <c r="AD159">
        <f t="shared" si="88"/>
        <v>-9.8727188441564279E-3</v>
      </c>
      <c r="AE159">
        <f t="shared" si="89"/>
        <v>-9.7492903349554322E-3</v>
      </c>
      <c r="AF159">
        <f t="shared" si="60"/>
        <v>6.4414159440819657E-2</v>
      </c>
      <c r="AG159">
        <f t="shared" si="61"/>
        <v>6.4414159440819657E-2</v>
      </c>
      <c r="AH159">
        <f t="shared" si="62"/>
        <v>6.4414159440819657E-2</v>
      </c>
      <c r="AI159">
        <f t="shared" si="63"/>
        <v>6.4414159440819657E-2</v>
      </c>
    </row>
    <row r="160" spans="1:35" x14ac:dyDescent="0.45">
      <c r="A160">
        <v>1.48</v>
      </c>
      <c r="B160">
        <f t="shared" si="64"/>
        <v>2.9889332147712433</v>
      </c>
      <c r="C160">
        <f t="shared" si="65"/>
        <v>1.5920050852284267</v>
      </c>
      <c r="D160">
        <f t="shared" si="66"/>
        <v>10.838123400000663</v>
      </c>
      <c r="E160">
        <f t="shared" si="67"/>
        <v>-2.1929306721570301</v>
      </c>
      <c r="F160">
        <f t="shared" si="68"/>
        <v>-0.99107949829982322</v>
      </c>
      <c r="G160">
        <f t="shared" si="69"/>
        <v>6.3680203409137066</v>
      </c>
      <c r="I160">
        <v>1.48</v>
      </c>
      <c r="J160">
        <f t="shared" si="70"/>
        <v>3.0098755530809456</v>
      </c>
      <c r="K160">
        <f t="shared" si="71"/>
        <v>1.5977446589296995</v>
      </c>
      <c r="L160">
        <f t="shared" si="72"/>
        <v>10.814040374529689</v>
      </c>
      <c r="M160">
        <f t="shared" si="73"/>
        <v>-2.2110032236160957E-2</v>
      </c>
      <c r="N160">
        <f t="shared" si="74"/>
        <v>-2.1708206399208691E-2</v>
      </c>
      <c r="O160">
        <f t="shared" si="75"/>
        <v>-9.8448609424330331E-3</v>
      </c>
      <c r="P160">
        <f t="shared" si="76"/>
        <v>-9.6646734594374051E-3</v>
      </c>
      <c r="Q160">
        <f t="shared" si="77"/>
        <v>6.3909786357187984E-2</v>
      </c>
      <c r="R160">
        <f t="shared" si="78"/>
        <v>6.3680203409137062E-2</v>
      </c>
      <c r="T160">
        <v>1.48</v>
      </c>
      <c r="U160">
        <f t="shared" si="79"/>
        <v>3.0041738486306153</v>
      </c>
      <c r="V160">
        <f t="shared" si="80"/>
        <v>1.6004817943148588</v>
      </c>
      <c r="W160">
        <f t="shared" si="81"/>
        <v>10.820584803093153</v>
      </c>
      <c r="X160">
        <f t="shared" si="82"/>
        <v>-2.2039329514731861E-2</v>
      </c>
      <c r="Y160">
        <f t="shared" si="83"/>
        <v>-2.1929132867158203E-2</v>
      </c>
      <c r="Z160">
        <f t="shared" si="84"/>
        <v>-2.1929683850396068E-2</v>
      </c>
      <c r="AA160">
        <f t="shared" si="85"/>
        <v>-2.18200326762279E-2</v>
      </c>
      <c r="AB160">
        <f t="shared" si="86"/>
        <v>-9.9703063715653167E-3</v>
      </c>
      <c r="AC160">
        <f t="shared" si="87"/>
        <v>-9.8456775419207485E-3</v>
      </c>
      <c r="AD160">
        <f t="shared" si="88"/>
        <v>-9.8472354022913107E-3</v>
      </c>
      <c r="AE160">
        <f t="shared" si="89"/>
        <v>-9.7241254865080336E-3</v>
      </c>
      <c r="AF160">
        <f t="shared" si="60"/>
        <v>6.4019271772594352E-2</v>
      </c>
      <c r="AG160">
        <f t="shared" si="61"/>
        <v>6.4019271772594352E-2</v>
      </c>
      <c r="AH160">
        <f t="shared" si="62"/>
        <v>6.4019271772594352E-2</v>
      </c>
      <c r="AI160">
        <f t="shared" si="63"/>
        <v>6.4019271772594352E-2</v>
      </c>
    </row>
    <row r="161" spans="1:35" x14ac:dyDescent="0.45">
      <c r="A161">
        <v>1.49</v>
      </c>
      <c r="B161">
        <f t="shared" si="64"/>
        <v>2.9670039080496728</v>
      </c>
      <c r="C161">
        <f t="shared" si="65"/>
        <v>1.5820942902454285</v>
      </c>
      <c r="D161">
        <f t="shared" si="66"/>
        <v>10.9018036034098</v>
      </c>
      <c r="E161">
        <f t="shared" si="67"/>
        <v>-2.1759567629269587</v>
      </c>
      <c r="F161">
        <f t="shared" si="68"/>
        <v>-0.98823181756389822</v>
      </c>
      <c r="G161">
        <f t="shared" si="69"/>
        <v>6.3283771609817139</v>
      </c>
      <c r="I161">
        <v>1.49</v>
      </c>
      <c r="J161">
        <f t="shared" si="70"/>
        <v>2.9879664337632605</v>
      </c>
      <c r="K161">
        <f t="shared" si="71"/>
        <v>1.5879898917287643</v>
      </c>
      <c r="L161">
        <f t="shared" si="72"/>
        <v>10.877835369412852</v>
      </c>
      <c r="M161">
        <f t="shared" si="73"/>
        <v>-2.1939714878988787E-2</v>
      </c>
      <c r="N161">
        <f t="shared" si="74"/>
        <v>-2.1540170480479702E-2</v>
      </c>
      <c r="O161">
        <f t="shared" si="75"/>
        <v>-9.8200829555864996E-3</v>
      </c>
      <c r="P161">
        <f t="shared" si="76"/>
        <v>-9.6368161017493219E-3</v>
      </c>
      <c r="Q161">
        <f t="shared" si="77"/>
        <v>6.3519595669150566E-2</v>
      </c>
      <c r="R161">
        <f t="shared" si="78"/>
        <v>6.3283771609817144E-2</v>
      </c>
      <c r="T161">
        <v>1.49</v>
      </c>
      <c r="U161">
        <f t="shared" si="79"/>
        <v>2.982244349359604</v>
      </c>
      <c r="V161">
        <f t="shared" si="80"/>
        <v>1.5906350846904427</v>
      </c>
      <c r="W161">
        <f t="shared" si="81"/>
        <v>10.884604074865747</v>
      </c>
      <c r="X161">
        <f t="shared" si="82"/>
        <v>-2.1869268070143826E-2</v>
      </c>
      <c r="Y161">
        <f t="shared" si="83"/>
        <v>-2.1759921729793109E-2</v>
      </c>
      <c r="Z161">
        <f t="shared" si="84"/>
        <v>-2.1760468461494861E-2</v>
      </c>
      <c r="AA161">
        <f t="shared" si="85"/>
        <v>-2.1651663385528878E-2</v>
      </c>
      <c r="AB161">
        <f t="shared" si="86"/>
        <v>-9.9434336236650274E-3</v>
      </c>
      <c r="AC161">
        <f t="shared" si="87"/>
        <v>-9.8191407033692089E-3</v>
      </c>
      <c r="AD161">
        <f t="shared" si="88"/>
        <v>-9.8206943648729127E-3</v>
      </c>
      <c r="AE161">
        <f t="shared" si="89"/>
        <v>-9.6979162645432024E-3</v>
      </c>
      <c r="AF161">
        <f t="shared" si="60"/>
        <v>6.3625403387617713E-2</v>
      </c>
      <c r="AG161">
        <f t="shared" si="61"/>
        <v>6.3625403387617713E-2</v>
      </c>
      <c r="AH161">
        <f t="shared" si="62"/>
        <v>6.3625403387617713E-2</v>
      </c>
      <c r="AI161">
        <f t="shared" si="63"/>
        <v>6.3625403387617713E-2</v>
      </c>
    </row>
    <row r="162" spans="1:35" x14ac:dyDescent="0.45">
      <c r="A162">
        <v>1.5</v>
      </c>
      <c r="B162">
        <f t="shared" si="64"/>
        <v>2.9452443404204032</v>
      </c>
      <c r="C162">
        <f t="shared" si="65"/>
        <v>1.5722119720697896</v>
      </c>
      <c r="D162">
        <f t="shared" si="66"/>
        <v>10.965087375019618</v>
      </c>
      <c r="E162">
        <f t="shared" si="67"/>
        <v>-2.1591383543855085</v>
      </c>
      <c r="F162">
        <f t="shared" si="68"/>
        <v>-0.98528558975407066</v>
      </c>
      <c r="G162">
        <f t="shared" si="69"/>
        <v>6.2888478882791583</v>
      </c>
      <c r="I162">
        <v>1.5</v>
      </c>
      <c r="J162">
        <f t="shared" si="70"/>
        <v>2.9662264910835261</v>
      </c>
      <c r="K162">
        <f t="shared" si="71"/>
        <v>1.5782614422000965</v>
      </c>
      <c r="L162">
        <f t="shared" si="72"/>
        <v>10.941237053052335</v>
      </c>
      <c r="M162">
        <f t="shared" si="73"/>
        <v>-2.1770957699834777E-2</v>
      </c>
      <c r="N162">
        <f t="shared" si="74"/>
        <v>-2.137367396685674E-2</v>
      </c>
      <c r="O162">
        <f t="shared" si="75"/>
        <v>-9.7942711441671507E-3</v>
      </c>
      <c r="P162">
        <f t="shared" si="76"/>
        <v>-9.607999118936528E-3</v>
      </c>
      <c r="Q162">
        <f t="shared" si="77"/>
        <v>6.3130457688003863E-2</v>
      </c>
      <c r="R162">
        <f t="shared" si="78"/>
        <v>6.2888478882791587E-2</v>
      </c>
      <c r="T162">
        <v>1.5</v>
      </c>
      <c r="U162">
        <f t="shared" si="79"/>
        <v>2.9604840640532291</v>
      </c>
      <c r="V162">
        <f t="shared" si="80"/>
        <v>1.5808149146863273</v>
      </c>
      <c r="W162">
        <f t="shared" si="81"/>
        <v>10.948229478253365</v>
      </c>
      <c r="X162">
        <f t="shared" si="82"/>
        <v>-2.1700766067100651E-2</v>
      </c>
      <c r="Y162">
        <f t="shared" si="83"/>
        <v>-2.159226223676515E-2</v>
      </c>
      <c r="Z162">
        <f t="shared" si="84"/>
        <v>-2.1592804755916833E-2</v>
      </c>
      <c r="AA162">
        <f t="shared" si="85"/>
        <v>-2.1484838019541489E-2</v>
      </c>
      <c r="AB162">
        <f t="shared" si="86"/>
        <v>-9.9155322266258946E-3</v>
      </c>
      <c r="AC162">
        <f t="shared" si="87"/>
        <v>-9.7915880737930693E-3</v>
      </c>
      <c r="AD162">
        <f t="shared" si="88"/>
        <v>-9.7931373757034774E-3</v>
      </c>
      <c r="AE162">
        <f t="shared" si="89"/>
        <v>-9.670703792233306E-3</v>
      </c>
      <c r="AF162">
        <f t="shared" si="60"/>
        <v>6.3232596587453088E-2</v>
      </c>
      <c r="AG162">
        <f t="shared" si="61"/>
        <v>6.3232596587453088E-2</v>
      </c>
      <c r="AH162">
        <f t="shared" si="62"/>
        <v>6.3232596587453088E-2</v>
      </c>
      <c r="AI162">
        <f t="shared" si="63"/>
        <v>6.3232596587453088E-2</v>
      </c>
    </row>
    <row r="163" spans="1:35" x14ac:dyDescent="0.45">
      <c r="A163">
        <v>1.51</v>
      </c>
      <c r="B163">
        <f t="shared" si="64"/>
        <v>2.9236529568765479</v>
      </c>
      <c r="C163">
        <f t="shared" si="65"/>
        <v>1.5623591161722488</v>
      </c>
      <c r="D163">
        <f t="shared" si="66"/>
        <v>11.02797585390241</v>
      </c>
      <c r="E163">
        <f t="shared" si="67"/>
        <v>-2.1424733987904236</v>
      </c>
      <c r="F163">
        <f t="shared" si="68"/>
        <v>-0.98224483355407388</v>
      </c>
      <c r="G163">
        <f t="shared" si="69"/>
        <v>6.2494364646889951</v>
      </c>
      <c r="I163">
        <v>1.51</v>
      </c>
      <c r="J163">
        <f t="shared" si="70"/>
        <v>2.9446541752501805</v>
      </c>
      <c r="K163">
        <f t="shared" si="71"/>
        <v>1.5685603070685445</v>
      </c>
      <c r="L163">
        <f t="shared" si="72"/>
        <v>11.004246521337732</v>
      </c>
      <c r="M163">
        <f t="shared" si="73"/>
        <v>-2.1603740217159082E-2</v>
      </c>
      <c r="N163">
        <f t="shared" si="74"/>
        <v>-2.1208696585732649E-2</v>
      </c>
      <c r="O163">
        <f t="shared" si="75"/>
        <v>-9.767465924211809E-3</v>
      </c>
      <c r="P163">
        <f t="shared" si="76"/>
        <v>-9.5782616874354482E-3</v>
      </c>
      <c r="Q163">
        <f t="shared" si="77"/>
        <v>6.2742412282741786E-2</v>
      </c>
      <c r="R163">
        <f t="shared" si="78"/>
        <v>6.2494364646889955E-2</v>
      </c>
      <c r="T163">
        <v>1.51</v>
      </c>
      <c r="U163">
        <f t="shared" si="79"/>
        <v>2.9388914410412279</v>
      </c>
      <c r="V163">
        <f t="shared" si="80"/>
        <v>1.5710223002000185</v>
      </c>
      <c r="W163">
        <f t="shared" si="81"/>
        <v>11.011462074840818</v>
      </c>
      <c r="X163">
        <f t="shared" si="82"/>
        <v>-2.1533802909412186E-2</v>
      </c>
      <c r="Y163">
        <f t="shared" si="83"/>
        <v>-2.1426133894865123E-2</v>
      </c>
      <c r="Z163">
        <f t="shared" si="84"/>
        <v>-2.1426672239937862E-2</v>
      </c>
      <c r="AA163">
        <f t="shared" si="85"/>
        <v>-2.1319536187012808E-2</v>
      </c>
      <c r="AB163">
        <f t="shared" si="86"/>
        <v>-9.886643094588185E-3</v>
      </c>
      <c r="AC163">
        <f t="shared" si="87"/>
        <v>-9.7630600559058325E-3</v>
      </c>
      <c r="AD163">
        <f t="shared" si="88"/>
        <v>-9.7646048438893591E-3</v>
      </c>
      <c r="AE163">
        <f t="shared" si="89"/>
        <v>-9.6425279734909525E-3</v>
      </c>
      <c r="AF163">
        <f t="shared" si="60"/>
        <v>6.2840892008000748E-2</v>
      </c>
      <c r="AG163">
        <f t="shared" si="61"/>
        <v>6.2840892008000748E-2</v>
      </c>
      <c r="AH163">
        <f t="shared" si="62"/>
        <v>6.2840892008000748E-2</v>
      </c>
      <c r="AI163">
        <f t="shared" si="63"/>
        <v>6.2840892008000748E-2</v>
      </c>
    </row>
    <row r="164" spans="1:35" x14ac:dyDescent="0.45">
      <c r="A164">
        <v>1.52</v>
      </c>
      <c r="B164">
        <f t="shared" si="64"/>
        <v>2.9022282228886436</v>
      </c>
      <c r="C164">
        <f t="shared" si="65"/>
        <v>1.5525366678367081</v>
      </c>
      <c r="D164">
        <f t="shared" si="66"/>
        <v>11.090470218549299</v>
      </c>
      <c r="E164">
        <f t="shared" si="67"/>
        <v>-2.1259598889702893</v>
      </c>
      <c r="F164">
        <f t="shared" si="68"/>
        <v>-0.97911344670312683</v>
      </c>
      <c r="G164">
        <f t="shared" si="69"/>
        <v>6.2101466713468323</v>
      </c>
      <c r="I164">
        <v>1.52</v>
      </c>
      <c r="J164">
        <f t="shared" si="70"/>
        <v>2.9232479568487344</v>
      </c>
      <c r="K164">
        <f t="shared" si="71"/>
        <v>1.5588874432627209</v>
      </c>
      <c r="L164">
        <f t="shared" si="72"/>
        <v>11.066864909802549</v>
      </c>
      <c r="M164">
        <f t="shared" si="73"/>
        <v>-2.1438042352173739E-2</v>
      </c>
      <c r="N164">
        <f t="shared" si="74"/>
        <v>-2.1045218466181161E-2</v>
      </c>
      <c r="O164">
        <f t="shared" si="75"/>
        <v>-9.7397065130806794E-3</v>
      </c>
      <c r="P164">
        <f t="shared" si="76"/>
        <v>-9.5476418042042526E-3</v>
      </c>
      <c r="Q164">
        <f t="shared" si="77"/>
        <v>6.2355497730508837E-2</v>
      </c>
      <c r="R164">
        <f t="shared" si="78"/>
        <v>6.2101466713468327E-2</v>
      </c>
      <c r="T164">
        <v>1.52</v>
      </c>
      <c r="U164">
        <f t="shared" si="79"/>
        <v>2.9174649491468894</v>
      </c>
      <c r="V164">
        <f t="shared" si="80"/>
        <v>1.5612582167220737</v>
      </c>
      <c r="W164">
        <f t="shared" si="81"/>
        <v>11.074302966848819</v>
      </c>
      <c r="X164">
        <f t="shared" si="82"/>
        <v>-2.1368358407858525E-2</v>
      </c>
      <c r="Y164">
        <f t="shared" si="83"/>
        <v>-2.1261516615819234E-2</v>
      </c>
      <c r="Z164">
        <f t="shared" si="84"/>
        <v>-2.126205082477943E-2</v>
      </c>
      <c r="AA164">
        <f t="shared" si="85"/>
        <v>-2.1155737899610731E-2</v>
      </c>
      <c r="AB164">
        <f t="shared" si="86"/>
        <v>-9.8568059265829473E-3</v>
      </c>
      <c r="AC164">
        <f t="shared" si="87"/>
        <v>-9.7335958525006615E-3</v>
      </c>
      <c r="AD164">
        <f t="shared" si="88"/>
        <v>-9.7351359784266928E-3</v>
      </c>
      <c r="AE164">
        <f t="shared" si="89"/>
        <v>-9.6134275271222789E-3</v>
      </c>
      <c r="AF164">
        <f t="shared" si="60"/>
        <v>6.2450328668882948E-2</v>
      </c>
      <c r="AG164">
        <f t="shared" si="61"/>
        <v>6.2450328668882948E-2</v>
      </c>
      <c r="AH164">
        <f t="shared" si="62"/>
        <v>6.2450328668882948E-2</v>
      </c>
      <c r="AI164">
        <f t="shared" si="63"/>
        <v>6.2450328668882948E-2</v>
      </c>
    </row>
    <row r="165" spans="1:35" x14ac:dyDescent="0.45">
      <c r="A165">
        <v>1.53</v>
      </c>
      <c r="B165">
        <f t="shared" si="64"/>
        <v>2.8809686239989407</v>
      </c>
      <c r="C165">
        <f t="shared" si="65"/>
        <v>1.5427455333696769</v>
      </c>
      <c r="D165">
        <f t="shared" si="66"/>
        <v>11.152571685262767</v>
      </c>
      <c r="E165">
        <f t="shared" si="67"/>
        <v>-2.109595857314102</v>
      </c>
      <c r="F165">
        <f t="shared" si="68"/>
        <v>-0.97589520942525176</v>
      </c>
      <c r="G165">
        <f t="shared" si="69"/>
        <v>6.1709821334787076</v>
      </c>
      <c r="I165">
        <v>1.53</v>
      </c>
      <c r="J165">
        <f t="shared" si="70"/>
        <v>2.9020063264395568</v>
      </c>
      <c r="K165">
        <f t="shared" si="71"/>
        <v>1.5492437691040783</v>
      </c>
      <c r="L165">
        <f t="shared" si="72"/>
        <v>11.129093392024537</v>
      </c>
      <c r="M165">
        <f t="shared" si="73"/>
        <v>-2.1273844418875178E-2</v>
      </c>
      <c r="N165">
        <f t="shared" si="74"/>
        <v>-2.088322012895227E-2</v>
      </c>
      <c r="O165">
        <f t="shared" si="75"/>
        <v>-9.7110309632063886E-3</v>
      </c>
      <c r="P165">
        <f t="shared" si="76"/>
        <v>-9.5161763201723568E-3</v>
      </c>
      <c r="Q165">
        <f t="shared" si="77"/>
        <v>6.1969750764163133E-2</v>
      </c>
      <c r="R165">
        <f t="shared" si="78"/>
        <v>6.1709821334787078E-2</v>
      </c>
      <c r="T165">
        <v>1.53</v>
      </c>
      <c r="U165">
        <f t="shared" si="79"/>
        <v>2.8962030772821117</v>
      </c>
      <c r="V165">
        <f t="shared" si="80"/>
        <v>1.551523600536147</v>
      </c>
      <c r="W165">
        <f t="shared" si="81"/>
        <v>11.136753295517702</v>
      </c>
      <c r="X165">
        <f t="shared" si="82"/>
        <v>-2.1204412770140381E-2</v>
      </c>
      <c r="Y165">
        <f t="shared" si="83"/>
        <v>-2.1098390706289678E-2</v>
      </c>
      <c r="Z165">
        <f t="shared" si="84"/>
        <v>-2.1098920816608937E-2</v>
      </c>
      <c r="AA165">
        <f t="shared" si="85"/>
        <v>-2.0993423561974291E-2</v>
      </c>
      <c r="AB165">
        <f t="shared" si="86"/>
        <v>-9.8260592405825607E-3</v>
      </c>
      <c r="AC165">
        <f t="shared" si="87"/>
        <v>-9.7032335000752749E-3</v>
      </c>
      <c r="AD165">
        <f t="shared" si="88"/>
        <v>-9.7047688218316174E-3</v>
      </c>
      <c r="AE165">
        <f t="shared" si="89"/>
        <v>-9.583440020036766E-3</v>
      </c>
      <c r="AF165">
        <f t="shared" si="60"/>
        <v>6.206094402144588E-2</v>
      </c>
      <c r="AG165">
        <f t="shared" si="61"/>
        <v>6.206094402144588E-2</v>
      </c>
      <c r="AH165">
        <f t="shared" si="62"/>
        <v>6.206094402144588E-2</v>
      </c>
      <c r="AI165">
        <f t="shared" si="63"/>
        <v>6.206094402144588E-2</v>
      </c>
    </row>
    <row r="166" spans="1:35" x14ac:dyDescent="0.45">
      <c r="A166">
        <v>1.54</v>
      </c>
      <c r="B166">
        <f t="shared" si="64"/>
        <v>2.8598726654257995</v>
      </c>
      <c r="C166">
        <f t="shared" si="65"/>
        <v>1.5329865812754244</v>
      </c>
      <c r="D166">
        <f t="shared" si="66"/>
        <v>11.214281506597555</v>
      </c>
      <c r="E166">
        <f t="shared" si="67"/>
        <v>-2.0933793747880873</v>
      </c>
      <c r="F166">
        <f t="shared" si="68"/>
        <v>-0.97259378776276151</v>
      </c>
      <c r="G166">
        <f t="shared" si="69"/>
        <v>6.1319463251016977</v>
      </c>
      <c r="I166">
        <v>1.54</v>
      </c>
      <c r="J166">
        <f t="shared" si="70"/>
        <v>2.8809277941656433</v>
      </c>
      <c r="K166">
        <f t="shared" si="71"/>
        <v>1.539630165462389</v>
      </c>
      <c r="L166">
        <f t="shared" si="72"/>
        <v>11.190933178074012</v>
      </c>
      <c r="M166">
        <f t="shared" si="73"/>
        <v>-2.1111127114344486E-2</v>
      </c>
      <c r="N166">
        <f t="shared" si="74"/>
        <v>-2.0722682476737427E-2</v>
      </c>
      <c r="O166">
        <f t="shared" si="75"/>
        <v>-9.6814761949032945E-3</v>
      </c>
      <c r="P166">
        <f t="shared" si="76"/>
        <v>-9.483900972755031E-3</v>
      </c>
      <c r="Q166">
        <f t="shared" si="77"/>
        <v>6.1585206618495557E-2</v>
      </c>
      <c r="R166">
        <f t="shared" si="78"/>
        <v>6.1319463251016976E-2</v>
      </c>
      <c r="T166">
        <v>1.54</v>
      </c>
      <c r="U166">
        <f t="shared" si="79"/>
        <v>2.8751043340524598</v>
      </c>
      <c r="V166">
        <f t="shared" si="80"/>
        <v>1.5418193498854083</v>
      </c>
      <c r="W166">
        <f t="shared" si="81"/>
        <v>11.198814239539148</v>
      </c>
      <c r="X166">
        <f t="shared" si="82"/>
        <v>-2.1041946591097559E-2</v>
      </c>
      <c r="Y166">
        <f t="shared" si="83"/>
        <v>-2.0936736858142072E-2</v>
      </c>
      <c r="Z166">
        <f t="shared" si="84"/>
        <v>-2.0937262906806847E-2</v>
      </c>
      <c r="AA166">
        <f t="shared" si="85"/>
        <v>-2.0832573962029487E-2</v>
      </c>
      <c r="AB166">
        <f t="shared" si="86"/>
        <v>-9.7944404066106078E-3</v>
      </c>
      <c r="AC166">
        <f t="shared" si="87"/>
        <v>-9.672009901527976E-3</v>
      </c>
      <c r="AD166">
        <f t="shared" si="88"/>
        <v>-9.673540282841505E-3</v>
      </c>
      <c r="AE166">
        <f t="shared" si="89"/>
        <v>-9.5526018995395739E-3</v>
      </c>
      <c r="AF166">
        <f t="shared" si="60"/>
        <v>6.1672773995416333E-2</v>
      </c>
      <c r="AG166">
        <f t="shared" si="61"/>
        <v>6.1672773995416333E-2</v>
      </c>
      <c r="AH166">
        <f t="shared" si="62"/>
        <v>6.1672773995416333E-2</v>
      </c>
      <c r="AI166">
        <f t="shared" si="63"/>
        <v>6.1672773995416333E-2</v>
      </c>
    </row>
    <row r="167" spans="1:35" x14ac:dyDescent="0.45">
      <c r="A167">
        <v>1.55</v>
      </c>
      <c r="B167">
        <f t="shared" si="64"/>
        <v>2.8389388716779185</v>
      </c>
      <c r="C167">
        <f t="shared" si="65"/>
        <v>1.5232606433977969</v>
      </c>
      <c r="D167">
        <f t="shared" si="66"/>
        <v>11.275600969848572</v>
      </c>
      <c r="E167">
        <f t="shared" si="67"/>
        <v>-2.07730854997902</v>
      </c>
      <c r="F167">
        <f t="shared" si="68"/>
        <v>-0.96921273681657372</v>
      </c>
      <c r="G167">
        <f t="shared" si="69"/>
        <v>6.0930425735911875</v>
      </c>
      <c r="I167">
        <v>1.55</v>
      </c>
      <c r="J167">
        <f t="shared" si="70"/>
        <v>2.8600108893701024</v>
      </c>
      <c r="K167">
        <f t="shared" si="71"/>
        <v>1.5300474768785597</v>
      </c>
      <c r="L167">
        <f t="shared" si="72"/>
        <v>11.252385513008768</v>
      </c>
      <c r="M167">
        <f t="shared" si="73"/>
        <v>-2.0949871509308226E-2</v>
      </c>
      <c r="N167">
        <f t="shared" si="74"/>
        <v>-2.0563586784697118E-2</v>
      </c>
      <c r="O167">
        <f t="shared" si="75"/>
        <v>-9.6510780282629671E-3</v>
      </c>
      <c r="P167">
        <f t="shared" si="76"/>
        <v>-9.4508504174591629E-3</v>
      </c>
      <c r="Q167">
        <f t="shared" si="77"/>
        <v>6.1201899075142389E-2</v>
      </c>
      <c r="R167">
        <f t="shared" si="78"/>
        <v>6.0930425735911876E-2</v>
      </c>
      <c r="T167">
        <v>1.55</v>
      </c>
      <c r="U167">
        <f t="shared" si="79"/>
        <v>2.8541672473719557</v>
      </c>
      <c r="V167">
        <f t="shared" si="80"/>
        <v>1.53214632610626</v>
      </c>
      <c r="W167">
        <f t="shared" si="81"/>
        <v>11.260487013534565</v>
      </c>
      <c r="X167">
        <f t="shared" si="82"/>
        <v>-2.0880940843188256E-2</v>
      </c>
      <c r="Y167">
        <f t="shared" si="83"/>
        <v>-2.0776536138972315E-2</v>
      </c>
      <c r="Z167">
        <f t="shared" si="84"/>
        <v>-2.0777058162493395E-2</v>
      </c>
      <c r="AA167">
        <f t="shared" si="85"/>
        <v>-2.0673170261563324E-2</v>
      </c>
      <c r="AB167">
        <f t="shared" si="86"/>
        <v>-9.7619856789369439E-3</v>
      </c>
      <c r="AC167">
        <f t="shared" si="87"/>
        <v>-9.6399608579502347E-3</v>
      </c>
      <c r="AD167">
        <f t="shared" si="88"/>
        <v>-9.6414861682125701E-3</v>
      </c>
      <c r="AE167">
        <f t="shared" si="89"/>
        <v>-9.5209485247316292E-3</v>
      </c>
      <c r="AF167">
        <f t="shared" si="60"/>
        <v>6.1285853044250403E-2</v>
      </c>
      <c r="AG167">
        <f t="shared" si="61"/>
        <v>6.1285853044250403E-2</v>
      </c>
      <c r="AH167">
        <f t="shared" si="62"/>
        <v>6.1285853044250403E-2</v>
      </c>
      <c r="AI167">
        <f t="shared" si="63"/>
        <v>6.1285853044250403E-2</v>
      </c>
    </row>
    <row r="168" spans="1:35" x14ac:dyDescent="0.45">
      <c r="A168">
        <v>1.56</v>
      </c>
      <c r="B168">
        <f t="shared" si="64"/>
        <v>2.8181657861781284</v>
      </c>
      <c r="C168">
        <f t="shared" si="65"/>
        <v>1.5135685160296311</v>
      </c>
      <c r="D168">
        <f t="shared" si="66"/>
        <v>11.336531395584483</v>
      </c>
      <c r="E168">
        <f t="shared" si="67"/>
        <v>-2.061381528163313</v>
      </c>
      <c r="F168">
        <f t="shared" si="68"/>
        <v>-0.96575550389594911</v>
      </c>
      <c r="G168">
        <f t="shared" si="69"/>
        <v>6.0542740641185242</v>
      </c>
      <c r="I168">
        <v>1.56</v>
      </c>
      <c r="J168">
        <f t="shared" si="70"/>
        <v>2.8392541602230996</v>
      </c>
      <c r="K168">
        <f t="shared" si="71"/>
        <v>1.5204965126556986</v>
      </c>
      <c r="L168">
        <f t="shared" si="72"/>
        <v>11.313451675414296</v>
      </c>
      <c r="M168">
        <f t="shared" si="73"/>
        <v>-2.0790059038952504E-2</v>
      </c>
      <c r="N168">
        <f t="shared" si="74"/>
        <v>-2.0405914691243605E-2</v>
      </c>
      <c r="O168">
        <f t="shared" si="75"/>
        <v>-9.6198712141614701E-3</v>
      </c>
      <c r="P168">
        <f t="shared" si="76"/>
        <v>-9.4170582586054555E-3</v>
      </c>
      <c r="Q168">
        <f t="shared" si="77"/>
        <v>6.0819860506227945E-2</v>
      </c>
      <c r="R168">
        <f t="shared" si="78"/>
        <v>6.0542740641185241E-2</v>
      </c>
      <c r="T168">
        <v>1.56</v>
      </c>
      <c r="U168">
        <f t="shared" si="79"/>
        <v>2.8333903640873417</v>
      </c>
      <c r="V168">
        <f t="shared" si="80"/>
        <v>1.5225053547302609</v>
      </c>
      <c r="W168">
        <f t="shared" si="81"/>
        <v>11.321772866578815</v>
      </c>
      <c r="X168">
        <f t="shared" si="82"/>
        <v>-2.0721376867222113E-2</v>
      </c>
      <c r="Y168">
        <f t="shared" si="83"/>
        <v>-2.0617769982886003E-2</v>
      </c>
      <c r="Z168">
        <f t="shared" si="84"/>
        <v>-2.0618288017307682E-2</v>
      </c>
      <c r="AA168">
        <f t="shared" si="85"/>
        <v>-2.0515193987049037E-2</v>
      </c>
      <c r="AB168">
        <f t="shared" si="86"/>
        <v>-9.7287302273831068E-3</v>
      </c>
      <c r="AC168">
        <f t="shared" si="87"/>
        <v>-9.607121099540818E-3</v>
      </c>
      <c r="AD168">
        <f t="shared" si="88"/>
        <v>-9.6086412136388421E-3</v>
      </c>
      <c r="AE168">
        <f t="shared" si="89"/>
        <v>-9.4885141970421343E-3</v>
      </c>
      <c r="AF168">
        <f t="shared" si="60"/>
        <v>6.090021418921044E-2</v>
      </c>
      <c r="AG168">
        <f t="shared" si="61"/>
        <v>6.090021418921044E-2</v>
      </c>
      <c r="AH168">
        <f t="shared" si="62"/>
        <v>6.090021418921044E-2</v>
      </c>
      <c r="AI168">
        <f t="shared" si="63"/>
        <v>6.090021418921044E-2</v>
      </c>
    </row>
    <row r="169" spans="1:35" x14ac:dyDescent="0.45">
      <c r="A169">
        <v>1.57</v>
      </c>
      <c r="B169">
        <f t="shared" si="64"/>
        <v>2.7975519708964951</v>
      </c>
      <c r="C169">
        <f t="shared" si="65"/>
        <v>1.5039109609906716</v>
      </c>
      <c r="D169">
        <f t="shared" si="66"/>
        <v>11.397074136225669</v>
      </c>
      <c r="E169">
        <f t="shared" si="67"/>
        <v>-2.0455964904011594</v>
      </c>
      <c r="F169">
        <f t="shared" si="68"/>
        <v>-0.9622254315801837</v>
      </c>
      <c r="G169">
        <f t="shared" si="69"/>
        <v>6.0156438439626863</v>
      </c>
      <c r="I169">
        <v>1.57</v>
      </c>
      <c r="J169">
        <f t="shared" si="70"/>
        <v>2.8186561733580016</v>
      </c>
      <c r="K169">
        <f t="shared" si="71"/>
        <v>1.5109780479193151</v>
      </c>
      <c r="L169">
        <f t="shared" si="72"/>
        <v>11.374132975988003</v>
      </c>
      <c r="M169">
        <f t="shared" si="73"/>
        <v>-2.0631671493983438E-2</v>
      </c>
      <c r="N169">
        <f t="shared" si="74"/>
        <v>-2.024964818907176E-2</v>
      </c>
      <c r="O169">
        <f t="shared" si="75"/>
        <v>-9.5878894644028639E-3</v>
      </c>
      <c r="P169">
        <f t="shared" si="76"/>
        <v>-9.3825570791917692E-3</v>
      </c>
      <c r="Q169">
        <f t="shared" si="77"/>
        <v>6.0439121916772608E-2</v>
      </c>
      <c r="R169">
        <f t="shared" si="78"/>
        <v>6.0156438439626862E-2</v>
      </c>
      <c r="T169">
        <v>1.57</v>
      </c>
      <c r="U169">
        <f t="shared" si="79"/>
        <v>2.8127722496115655</v>
      </c>
      <c r="V169">
        <f t="shared" si="80"/>
        <v>1.5128972265551301</v>
      </c>
      <c r="W169">
        <f t="shared" si="81"/>
        <v>11.382673080768026</v>
      </c>
      <c r="X169">
        <f t="shared" si="82"/>
        <v>-2.0563236363340006E-2</v>
      </c>
      <c r="Y169">
        <f t="shared" si="83"/>
        <v>-2.0460420181523307E-2</v>
      </c>
      <c r="Z169">
        <f t="shared" si="84"/>
        <v>-2.0460934262432388E-2</v>
      </c>
      <c r="AA169">
        <f t="shared" si="85"/>
        <v>-2.0358627020715683E-2</v>
      </c>
      <c r="AB169">
        <f t="shared" si="86"/>
        <v>-9.6947081677625987E-3</v>
      </c>
      <c r="AC169">
        <f t="shared" si="87"/>
        <v>-9.5735243156655648E-3</v>
      </c>
      <c r="AD169">
        <f t="shared" si="88"/>
        <v>-9.5750391138167777E-3</v>
      </c>
      <c r="AE169">
        <f t="shared" si="89"/>
        <v>-9.455332189917183E-3</v>
      </c>
      <c r="AF169">
        <f t="shared" si="60"/>
        <v>6.051588906220521E-2</v>
      </c>
      <c r="AG169">
        <f t="shared" si="61"/>
        <v>6.051588906220521E-2</v>
      </c>
      <c r="AH169">
        <f t="shared" si="62"/>
        <v>6.051588906220521E-2</v>
      </c>
      <c r="AI169">
        <f t="shared" si="63"/>
        <v>6.051588906220521E-2</v>
      </c>
    </row>
    <row r="170" spans="1:35" x14ac:dyDescent="0.45">
      <c r="A170">
        <v>1.58</v>
      </c>
      <c r="B170">
        <f t="shared" si="64"/>
        <v>2.7770960059924836</v>
      </c>
      <c r="C170">
        <f t="shared" si="65"/>
        <v>1.4942887066748698</v>
      </c>
      <c r="D170">
        <f t="shared" si="66"/>
        <v>11.457230574665296</v>
      </c>
      <c r="E170">
        <f t="shared" si="67"/>
        <v>-2.0299516526550487</v>
      </c>
      <c r="F170">
        <f t="shared" si="68"/>
        <v>-0.95862576069469085</v>
      </c>
      <c r="G170">
        <f t="shared" si="69"/>
        <v>5.9771548266994792</v>
      </c>
      <c r="I170">
        <v>1.58</v>
      </c>
      <c r="J170">
        <f t="shared" si="70"/>
        <v>2.7982155135164741</v>
      </c>
      <c r="K170">
        <f t="shared" si="71"/>
        <v>1.5014928246475179</v>
      </c>
      <c r="L170">
        <f t="shared" si="72"/>
        <v>11.434430756166202</v>
      </c>
      <c r="M170">
        <f t="shared" si="73"/>
        <v>-2.047469101192715E-2</v>
      </c>
      <c r="N170">
        <f t="shared" si="74"/>
        <v>-2.0094769616431214E-2</v>
      </c>
      <c r="O170">
        <f t="shared" si="75"/>
        <v>-9.5551654810232065E-3</v>
      </c>
      <c r="P170">
        <f t="shared" si="76"/>
        <v>-9.3473784699213257E-3</v>
      </c>
      <c r="Q170">
        <f t="shared" si="77"/>
        <v>6.0059712985900716E-2</v>
      </c>
      <c r="R170">
        <f t="shared" si="78"/>
        <v>5.9771548266994795E-2</v>
      </c>
      <c r="T170">
        <v>1.58</v>
      </c>
      <c r="U170">
        <f t="shared" si="79"/>
        <v>2.7923114875662378</v>
      </c>
      <c r="V170">
        <f t="shared" si="80"/>
        <v>1.5033226986856894</v>
      </c>
      <c r="W170">
        <f t="shared" si="81"/>
        <v>11.443188969830231</v>
      </c>
      <c r="X170">
        <f t="shared" si="82"/>
        <v>-2.0406501382233929E-2</v>
      </c>
      <c r="Y170">
        <f t="shared" si="83"/>
        <v>-2.0304468875322761E-2</v>
      </c>
      <c r="Z170">
        <f t="shared" si="84"/>
        <v>-2.0304979037857315E-2</v>
      </c>
      <c r="AA170">
        <f t="shared" si="85"/>
        <v>-2.0203451591855357E-2</v>
      </c>
      <c r="AB170">
        <f t="shared" si="86"/>
        <v>-9.6599525914798576E-3</v>
      </c>
      <c r="AC170">
        <f t="shared" si="87"/>
        <v>-9.5392031840863551E-3</v>
      </c>
      <c r="AD170">
        <f t="shared" si="88"/>
        <v>-9.5407125516787789E-3</v>
      </c>
      <c r="AE170">
        <f t="shared" si="89"/>
        <v>-9.4214347776878822E-3</v>
      </c>
      <c r="AF170">
        <f t="shared" si="60"/>
        <v>6.0132907947427573E-2</v>
      </c>
      <c r="AG170">
        <f t="shared" si="61"/>
        <v>6.0132907947427573E-2</v>
      </c>
      <c r="AH170">
        <f t="shared" si="62"/>
        <v>6.0132907947427573E-2</v>
      </c>
      <c r="AI170">
        <f t="shared" si="63"/>
        <v>6.0132907947427573E-2</v>
      </c>
    </row>
    <row r="171" spans="1:35" x14ac:dyDescent="0.45">
      <c r="A171">
        <v>1.59</v>
      </c>
      <c r="B171">
        <f t="shared" si="64"/>
        <v>2.7567964894659331</v>
      </c>
      <c r="C171">
        <f t="shared" si="65"/>
        <v>1.4847024490679228</v>
      </c>
      <c r="D171">
        <f t="shared" si="66"/>
        <v>11.51700212293229</v>
      </c>
      <c r="E171">
        <f t="shared" si="67"/>
        <v>-2.0144452649319717</v>
      </c>
      <c r="F171">
        <f t="shared" si="68"/>
        <v>-0.95495963320387389</v>
      </c>
      <c r="G171">
        <f t="shared" si="69"/>
        <v>5.9388097962716913</v>
      </c>
      <c r="I171">
        <v>1.59</v>
      </c>
      <c r="J171">
        <f t="shared" si="70"/>
        <v>2.777930783202295</v>
      </c>
      <c r="K171">
        <f t="shared" si="71"/>
        <v>1.4920415526720456</v>
      </c>
      <c r="L171">
        <f t="shared" si="72"/>
        <v>11.49434638679265</v>
      </c>
      <c r="M171">
        <f t="shared" si="73"/>
        <v>-2.0319100068662724E-2</v>
      </c>
      <c r="N171">
        <f t="shared" si="74"/>
        <v>-1.994126164863309E-2</v>
      </c>
      <c r="O171">
        <f t="shared" si="75"/>
        <v>-9.5217309847781904E-3</v>
      </c>
      <c r="P171">
        <f t="shared" si="76"/>
        <v>-9.3115530574192865E-3</v>
      </c>
      <c r="Q171">
        <f t="shared" si="77"/>
        <v>5.9681662106881826E-2</v>
      </c>
      <c r="R171">
        <f t="shared" si="78"/>
        <v>5.9388097962716914E-2</v>
      </c>
      <c r="T171">
        <v>1.59</v>
      </c>
      <c r="U171">
        <f t="shared" si="79"/>
        <v>2.7720066794328297</v>
      </c>
      <c r="V171">
        <f t="shared" si="80"/>
        <v>1.493782495545573</v>
      </c>
      <c r="W171">
        <f t="shared" si="81"/>
        <v>11.503321877777658</v>
      </c>
      <c r="X171">
        <f t="shared" si="82"/>
        <v>-2.0251154316600434E-2</v>
      </c>
      <c r="Y171">
        <f t="shared" si="83"/>
        <v>-2.014989854501743E-2</v>
      </c>
      <c r="Z171">
        <f t="shared" si="84"/>
        <v>-2.0150404823875347E-2</v>
      </c>
      <c r="AA171">
        <f t="shared" si="85"/>
        <v>-2.0049650268361679E-2</v>
      </c>
      <c r="AB171">
        <f t="shared" si="86"/>
        <v>-9.624495594311026E-3</v>
      </c>
      <c r="AC171">
        <f t="shared" si="87"/>
        <v>-9.5041893993821399E-3</v>
      </c>
      <c r="AD171">
        <f t="shared" si="88"/>
        <v>-9.5056932268187486E-3</v>
      </c>
      <c r="AE171">
        <f t="shared" si="89"/>
        <v>-9.3868532636405579E-3</v>
      </c>
      <c r="AF171">
        <f t="shared" si="60"/>
        <v>5.9751299821822923E-2</v>
      </c>
      <c r="AG171">
        <f t="shared" si="61"/>
        <v>5.9751299821822923E-2</v>
      </c>
      <c r="AH171">
        <f t="shared" si="62"/>
        <v>5.9751299821822923E-2</v>
      </c>
      <c r="AI171">
        <f t="shared" si="63"/>
        <v>5.9751299821822923E-2</v>
      </c>
    </row>
    <row r="172" spans="1:35" x14ac:dyDescent="0.45">
      <c r="A172">
        <v>1.6</v>
      </c>
      <c r="B172">
        <f t="shared" si="64"/>
        <v>2.7366520368166136</v>
      </c>
      <c r="C172">
        <f t="shared" si="65"/>
        <v>1.4751528527358841</v>
      </c>
      <c r="D172">
        <f t="shared" si="66"/>
        <v>11.576390220895007</v>
      </c>
      <c r="E172">
        <f t="shared" si="67"/>
        <v>-1.9990756104486715</v>
      </c>
      <c r="F172">
        <f t="shared" si="68"/>
        <v>-0.95123009502309674</v>
      </c>
      <c r="G172">
        <f t="shared" si="69"/>
        <v>5.9006114109435366</v>
      </c>
      <c r="I172">
        <v>1.6</v>
      </c>
      <c r="J172">
        <f t="shared" si="70"/>
        <v>2.757800602343647</v>
      </c>
      <c r="K172">
        <f t="shared" si="71"/>
        <v>1.4826249106509468</v>
      </c>
      <c r="L172">
        <f t="shared" si="72"/>
        <v>11.55388126682745</v>
      </c>
      <c r="M172">
        <f t="shared" si="73"/>
        <v>-2.0164881470181736E-2</v>
      </c>
      <c r="N172">
        <f t="shared" si="74"/>
        <v>-1.9789107289784901E-2</v>
      </c>
      <c r="O172">
        <f t="shared" si="75"/>
        <v>-9.4876167428372023E-3</v>
      </c>
      <c r="P172">
        <f t="shared" si="76"/>
        <v>-9.2751105316600368E-3</v>
      </c>
      <c r="Q172">
        <f t="shared" si="77"/>
        <v>5.930499642603787E-2</v>
      </c>
      <c r="R172">
        <f t="shared" si="78"/>
        <v>5.9006114109435369E-2</v>
      </c>
      <c r="T172">
        <v>1.6</v>
      </c>
      <c r="U172">
        <f t="shared" si="79"/>
        <v>2.7518564442123719</v>
      </c>
      <c r="V172">
        <f t="shared" si="80"/>
        <v>1.484277309860514</v>
      </c>
      <c r="W172">
        <f t="shared" si="81"/>
        <v>11.563073177599481</v>
      </c>
      <c r="X172">
        <f t="shared" si="82"/>
        <v>-2.0097177892821151E-2</v>
      </c>
      <c r="Y172">
        <f t="shared" si="83"/>
        <v>-1.9996692003357044E-2</v>
      </c>
      <c r="Z172">
        <f t="shared" si="84"/>
        <v>-1.9997194432804368E-2</v>
      </c>
      <c r="AA172">
        <f t="shared" si="85"/>
        <v>-1.9897205948493105E-2</v>
      </c>
      <c r="AB172">
        <f t="shared" si="86"/>
        <v>-9.5883683043891301E-3</v>
      </c>
      <c r="AC172">
        <f t="shared" si="87"/>
        <v>-9.4685137005842673E-3</v>
      </c>
      <c r="AD172">
        <f t="shared" si="88"/>
        <v>-9.4700118831318267E-3</v>
      </c>
      <c r="AE172">
        <f t="shared" si="89"/>
        <v>-9.3516180073108315E-3</v>
      </c>
      <c r="AF172">
        <f t="shared" si="60"/>
        <v>5.9371092394420559E-2</v>
      </c>
      <c r="AG172">
        <f t="shared" si="61"/>
        <v>5.9371092394420559E-2</v>
      </c>
      <c r="AH172">
        <f t="shared" si="62"/>
        <v>5.9371092394420559E-2</v>
      </c>
      <c r="AI172">
        <f t="shared" si="63"/>
        <v>5.9371092394420559E-2</v>
      </c>
    </row>
    <row r="173" spans="1:35" x14ac:dyDescent="0.45">
      <c r="A173">
        <v>1.61</v>
      </c>
      <c r="B173">
        <f t="shared" si="64"/>
        <v>2.7166612807121271</v>
      </c>
      <c r="C173">
        <f t="shared" si="65"/>
        <v>1.4656405517856532</v>
      </c>
      <c r="D173">
        <f t="shared" si="66"/>
        <v>11.635396335004442</v>
      </c>
      <c r="E173">
        <f t="shared" si="67"/>
        <v>-1.9838410048193005</v>
      </c>
      <c r="F173">
        <f t="shared" si="68"/>
        <v>-0.94744009875200597</v>
      </c>
      <c r="G173">
        <f t="shared" si="69"/>
        <v>5.8625622071426129</v>
      </c>
      <c r="I173">
        <v>1.61</v>
      </c>
      <c r="J173">
        <f t="shared" si="70"/>
        <v>2.7378236079636635</v>
      </c>
      <c r="K173">
        <f t="shared" si="71"/>
        <v>1.4732435470136982</v>
      </c>
      <c r="L173">
        <f t="shared" si="72"/>
        <v>11.613036822095186</v>
      </c>
      <c r="M173">
        <f t="shared" si="73"/>
        <v>-2.0012018344568144E-2</v>
      </c>
      <c r="N173">
        <f t="shared" si="74"/>
        <v>-1.9638289864747326E-2</v>
      </c>
      <c r="O173">
        <f t="shared" si="75"/>
        <v>-9.4528525957058209E-3</v>
      </c>
      <c r="P173">
        <f t="shared" si="76"/>
        <v>-9.2380796726274153E-3</v>
      </c>
      <c r="Q173">
        <f t="shared" si="77"/>
        <v>5.8929741880547927E-2</v>
      </c>
      <c r="R173">
        <f t="shared" si="78"/>
        <v>5.8625622071426131E-2</v>
      </c>
      <c r="T173">
        <v>1.61</v>
      </c>
      <c r="U173">
        <f t="shared" si="79"/>
        <v>2.7318594180934324</v>
      </c>
      <c r="V173">
        <f t="shared" si="80"/>
        <v>1.474807803613992</v>
      </c>
      <c r="W173">
        <f t="shared" si="81"/>
        <v>11.622444269993901</v>
      </c>
      <c r="X173">
        <f t="shared" si="82"/>
        <v>-1.9944555162864364E-2</v>
      </c>
      <c r="Y173">
        <f t="shared" si="83"/>
        <v>-1.9844832387050041E-2</v>
      </c>
      <c r="Z173">
        <f t="shared" si="84"/>
        <v>-1.9845331000929115E-2</v>
      </c>
      <c r="AA173">
        <f t="shared" si="85"/>
        <v>-1.9746101852855073E-2</v>
      </c>
      <c r="AB173">
        <f t="shared" si="86"/>
        <v>-9.5516009094154773E-3</v>
      </c>
      <c r="AC173">
        <f t="shared" si="87"/>
        <v>-9.432205898047781E-3</v>
      </c>
      <c r="AD173">
        <f t="shared" si="88"/>
        <v>-9.4336983356898777E-3</v>
      </c>
      <c r="AE173">
        <f t="shared" si="89"/>
        <v>-9.3157584510232278E-3</v>
      </c>
      <c r="AF173">
        <f t="shared" si="60"/>
        <v>5.8992312144559682E-2</v>
      </c>
      <c r="AG173">
        <f t="shared" si="61"/>
        <v>5.8992312144559682E-2</v>
      </c>
      <c r="AH173">
        <f t="shared" si="62"/>
        <v>5.8992312144559682E-2</v>
      </c>
      <c r="AI173">
        <f t="shared" si="63"/>
        <v>5.8992312144559682E-2</v>
      </c>
    </row>
    <row r="174" spans="1:35" x14ac:dyDescent="0.45">
      <c r="A174">
        <v>1.62</v>
      </c>
      <c r="B174">
        <f t="shared" si="64"/>
        <v>2.6968228706639339</v>
      </c>
      <c r="C174">
        <f t="shared" si="65"/>
        <v>1.4561661507981332</v>
      </c>
      <c r="D174">
        <f t="shared" si="66"/>
        <v>11.694021957075869</v>
      </c>
      <c r="E174">
        <f t="shared" si="67"/>
        <v>-1.9687397952648673</v>
      </c>
      <c r="F174">
        <f t="shared" si="68"/>
        <v>-0.94359250633139902</v>
      </c>
      <c r="G174">
        <f t="shared" si="69"/>
        <v>5.8246646031925327</v>
      </c>
      <c r="I174">
        <v>1.62</v>
      </c>
      <c r="J174">
        <f t="shared" si="70"/>
        <v>2.7179984538590056</v>
      </c>
      <c r="K174">
        <f t="shared" si="71"/>
        <v>1.4638980808795317</v>
      </c>
      <c r="L174">
        <f t="shared" si="72"/>
        <v>11.671814504071174</v>
      </c>
      <c r="M174">
        <f t="shared" si="73"/>
        <v>-1.9860494134192396E-2</v>
      </c>
      <c r="N174">
        <f t="shared" si="74"/>
        <v>-1.9488793011306751E-2</v>
      </c>
      <c r="O174">
        <f t="shared" si="75"/>
        <v>-9.4174674833982369E-3</v>
      </c>
      <c r="P174">
        <f t="shared" si="76"/>
        <v>-9.2004883762290355E-3</v>
      </c>
      <c r="Q174">
        <f t="shared" si="77"/>
        <v>5.8555923235181266E-2</v>
      </c>
      <c r="R174">
        <f t="shared" si="78"/>
        <v>5.824664603192533E-2</v>
      </c>
      <c r="T174">
        <v>1.62</v>
      </c>
      <c r="U174">
        <f t="shared" si="79"/>
        <v>2.7120142541281527</v>
      </c>
      <c r="V174">
        <f t="shared" si="80"/>
        <v>1.4653746089760062</v>
      </c>
      <c r="W174">
        <f t="shared" si="81"/>
        <v>11.68143658213846</v>
      </c>
      <c r="X174">
        <f t="shared" si="82"/>
        <v>-1.9793269496401495E-2</v>
      </c>
      <c r="Y174">
        <f t="shared" si="83"/>
        <v>-1.9694303148919491E-2</v>
      </c>
      <c r="Z174">
        <f t="shared" si="84"/>
        <v>-1.9694797980656899E-2</v>
      </c>
      <c r="AA174">
        <f t="shared" si="85"/>
        <v>-1.9596321516594926E-2</v>
      </c>
      <c r="AB174">
        <f t="shared" si="86"/>
        <v>-9.5142226831186304E-3</v>
      </c>
      <c r="AC174">
        <f t="shared" si="87"/>
        <v>-9.3952948995796488E-3</v>
      </c>
      <c r="AD174">
        <f t="shared" si="88"/>
        <v>-9.3967814968738857E-3</v>
      </c>
      <c r="AE174">
        <f t="shared" si="89"/>
        <v>-9.2793031456967819E-3</v>
      </c>
      <c r="AF174">
        <f t="shared" si="60"/>
        <v>5.8614984359040251E-2</v>
      </c>
      <c r="AG174">
        <f t="shared" si="61"/>
        <v>5.8614984359040251E-2</v>
      </c>
      <c r="AH174">
        <f t="shared" si="62"/>
        <v>5.8614984359040251E-2</v>
      </c>
      <c r="AI174">
        <f t="shared" si="63"/>
        <v>5.8614984359040251E-2</v>
      </c>
    </row>
    <row r="175" spans="1:35" x14ac:dyDescent="0.45">
      <c r="A175">
        <v>1.63</v>
      </c>
      <c r="B175">
        <f t="shared" si="64"/>
        <v>2.677135472711285</v>
      </c>
      <c r="C175">
        <f t="shared" si="65"/>
        <v>1.4467302257348191</v>
      </c>
      <c r="D175">
        <f t="shared" si="66"/>
        <v>11.752268603107794</v>
      </c>
      <c r="E175">
        <f t="shared" si="67"/>
        <v>-1.9537703598438756</v>
      </c>
      <c r="F175">
        <f t="shared" si="68"/>
        <v>-0.93969009162576267</v>
      </c>
      <c r="G175">
        <f t="shared" si="69"/>
        <v>5.7869209029392765</v>
      </c>
      <c r="I175">
        <v>1.63</v>
      </c>
      <c r="J175">
        <f t="shared" si="70"/>
        <v>2.6983238102862561</v>
      </c>
      <c r="K175">
        <f t="shared" si="71"/>
        <v>1.454589102949718</v>
      </c>
      <c r="L175">
        <f t="shared" si="72"/>
        <v>11.730215788704728</v>
      </c>
      <c r="M175">
        <f t="shared" si="73"/>
        <v>-1.9710292588113972E-2</v>
      </c>
      <c r="N175">
        <f t="shared" si="74"/>
        <v>-1.9340600672557617E-2</v>
      </c>
      <c r="O175">
        <f t="shared" si="75"/>
        <v>-9.3814894708803883E-3</v>
      </c>
      <c r="P175">
        <f t="shared" si="76"/>
        <v>-9.1623636794856186E-3</v>
      </c>
      <c r="Q175">
        <f t="shared" si="77"/>
        <v>5.8183564117988723E-2</v>
      </c>
      <c r="R175">
        <f t="shared" si="78"/>
        <v>5.7869209029392764E-2</v>
      </c>
      <c r="T175">
        <v>1.63</v>
      </c>
      <c r="U175">
        <f t="shared" si="79"/>
        <v>2.6923196219161278</v>
      </c>
      <c r="V175">
        <f t="shared" si="80"/>
        <v>1.4559783292057191</v>
      </c>
      <c r="W175">
        <f t="shared" si="81"/>
        <v>11.740051566497501</v>
      </c>
      <c r="X175">
        <f t="shared" si="82"/>
        <v>-1.9643304573132684E-2</v>
      </c>
      <c r="Y175">
        <f t="shared" si="83"/>
        <v>-1.9545088050267022E-2</v>
      </c>
      <c r="Z175">
        <f t="shared" si="84"/>
        <v>-1.9545579132881345E-2</v>
      </c>
      <c r="AA175">
        <f t="shared" si="85"/>
        <v>-1.9447848781803872E-2</v>
      </c>
      <c r="AB175">
        <f t="shared" si="86"/>
        <v>-9.4762620109816991E-3</v>
      </c>
      <c r="AC175">
        <f t="shared" si="87"/>
        <v>-9.3578087358444292E-3</v>
      </c>
      <c r="AD175">
        <f t="shared" si="88"/>
        <v>-9.3592894017836409E-3</v>
      </c>
      <c r="AE175">
        <f t="shared" si="89"/>
        <v>-9.2422797759371105E-3</v>
      </c>
      <c r="AF175">
        <f t="shared" si="60"/>
        <v>5.8239133168228763E-2</v>
      </c>
      <c r="AG175">
        <f t="shared" si="61"/>
        <v>5.8239133168228763E-2</v>
      </c>
      <c r="AH175">
        <f t="shared" si="62"/>
        <v>5.8239133168228763E-2</v>
      </c>
      <c r="AI175">
        <f t="shared" si="63"/>
        <v>5.8239133168228763E-2</v>
      </c>
    </row>
    <row r="176" spans="1:35" x14ac:dyDescent="0.45">
      <c r="A176">
        <v>1.64</v>
      </c>
      <c r="B176">
        <f t="shared" si="64"/>
        <v>2.6575977691128463</v>
      </c>
      <c r="C176">
        <f t="shared" si="65"/>
        <v>1.4373333248185616</v>
      </c>
      <c r="D176">
        <f t="shared" si="66"/>
        <v>11.810137812137187</v>
      </c>
      <c r="E176">
        <f t="shared" si="67"/>
        <v>-1.9389311067035655</v>
      </c>
      <c r="F176">
        <f t="shared" si="68"/>
        <v>-0.93573554293355765</v>
      </c>
      <c r="G176">
        <f t="shared" si="69"/>
        <v>5.7493332992742463</v>
      </c>
      <c r="I176">
        <v>1.64</v>
      </c>
      <c r="J176">
        <f t="shared" si="70"/>
        <v>2.6787983636559205</v>
      </c>
      <c r="K176">
        <f t="shared" si="71"/>
        <v>1.4453171763745349</v>
      </c>
      <c r="L176">
        <f t="shared" si="72"/>
        <v>11.788242175278418</v>
      </c>
      <c r="M176">
        <f t="shared" si="73"/>
        <v>-1.9561397754686533E-2</v>
      </c>
      <c r="N176">
        <f t="shared" si="74"/>
        <v>-1.9193697089488791E-2</v>
      </c>
      <c r="O176">
        <f t="shared" si="75"/>
        <v>-9.3449457728041682E-3</v>
      </c>
      <c r="P176">
        <f t="shared" si="76"/>
        <v>-9.123731785015474E-3</v>
      </c>
      <c r="Q176">
        <f t="shared" si="77"/>
        <v>5.7812687054981396E-2</v>
      </c>
      <c r="R176">
        <f t="shared" si="78"/>
        <v>5.7493332992742466E-2</v>
      </c>
      <c r="T176">
        <v>1.64</v>
      </c>
      <c r="U176">
        <f t="shared" si="79"/>
        <v>2.6727742072959222</v>
      </c>
      <c r="V176">
        <f t="shared" si="80"/>
        <v>1.44661953952869</v>
      </c>
      <c r="W176">
        <f t="shared" si="81"/>
        <v>11.79829069966573</v>
      </c>
      <c r="X176">
        <f t="shared" si="82"/>
        <v>-1.949464437531577E-2</v>
      </c>
      <c r="Y176">
        <f t="shared" si="83"/>
        <v>-1.9397171153439193E-2</v>
      </c>
      <c r="Z176">
        <f t="shared" si="84"/>
        <v>-1.9397658519548572E-2</v>
      </c>
      <c r="AA176">
        <f t="shared" si="85"/>
        <v>-1.9300667790120282E-2</v>
      </c>
      <c r="AB176">
        <f t="shared" si="86"/>
        <v>-9.4377464152580314E-3</v>
      </c>
      <c r="AC176">
        <f t="shared" si="87"/>
        <v>-9.3197745850673013E-3</v>
      </c>
      <c r="AD176">
        <f t="shared" si="88"/>
        <v>-9.321249232944688E-3</v>
      </c>
      <c r="AE176">
        <f t="shared" si="89"/>
        <v>-9.2047151844344127E-3</v>
      </c>
      <c r="AF176">
        <f t="shared" si="60"/>
        <v>5.7864781581147606E-2</v>
      </c>
      <c r="AG176">
        <f t="shared" si="61"/>
        <v>5.7864781581147606E-2</v>
      </c>
      <c r="AH176">
        <f t="shared" si="62"/>
        <v>5.7864781581147606E-2</v>
      </c>
      <c r="AI176">
        <f t="shared" si="63"/>
        <v>5.7864781581147606E-2</v>
      </c>
    </row>
    <row r="177" spans="1:35" x14ac:dyDescent="0.45">
      <c r="A177">
        <v>1.65</v>
      </c>
      <c r="B177">
        <f t="shared" si="64"/>
        <v>2.6382084580458107</v>
      </c>
      <c r="C177">
        <f t="shared" si="65"/>
        <v>1.427975969389226</v>
      </c>
      <c r="D177">
        <f t="shared" si="66"/>
        <v>11.867631145129929</v>
      </c>
      <c r="E177">
        <f t="shared" si="67"/>
        <v>-1.9242204733511978</v>
      </c>
      <c r="F177">
        <f t="shared" si="68"/>
        <v>-0.93173146542725416</v>
      </c>
      <c r="G177">
        <f t="shared" si="69"/>
        <v>5.711903877556904</v>
      </c>
      <c r="I177">
        <v>1.65</v>
      </c>
      <c r="J177">
        <f t="shared" si="70"/>
        <v>2.6594208162338329</v>
      </c>
      <c r="K177">
        <f t="shared" si="71"/>
        <v>1.4360828375956252</v>
      </c>
      <c r="L177">
        <f t="shared" si="72"/>
        <v>11.845895185302281</v>
      </c>
      <c r="M177">
        <f t="shared" si="73"/>
        <v>-1.9413793974360202E-2</v>
      </c>
      <c r="N177">
        <f t="shared" si="74"/>
        <v>-1.9048066793768376E-2</v>
      </c>
      <c r="O177">
        <f t="shared" si="75"/>
        <v>-9.3078627775523004E-3</v>
      </c>
      <c r="P177">
        <f t="shared" si="76"/>
        <v>-9.0846180848337364E-3</v>
      </c>
      <c r="Q177">
        <f t="shared" si="77"/>
        <v>5.7443313503825005E-2</v>
      </c>
      <c r="R177">
        <f t="shared" si="78"/>
        <v>5.7119038775569043E-2</v>
      </c>
      <c r="T177">
        <v>1.65</v>
      </c>
      <c r="U177">
        <f t="shared" si="79"/>
        <v>2.6533767120440204</v>
      </c>
      <c r="V177">
        <f t="shared" si="80"/>
        <v>1.4372987879894039</v>
      </c>
      <c r="W177">
        <f t="shared" si="81"/>
        <v>11.856155481246876</v>
      </c>
      <c r="X177">
        <f t="shared" si="82"/>
        <v>-1.9347273180493185E-2</v>
      </c>
      <c r="Y177">
        <f t="shared" si="83"/>
        <v>-1.925053681459072E-2</v>
      </c>
      <c r="Z177">
        <f t="shared" si="84"/>
        <v>-1.9251020496420232E-2</v>
      </c>
      <c r="AA177">
        <f t="shared" si="85"/>
        <v>-1.9154762975528983E-2</v>
      </c>
      <c r="AB177">
        <f t="shared" si="86"/>
        <v>-9.3987025792948934E-3</v>
      </c>
      <c r="AC177">
        <f t="shared" si="87"/>
        <v>-9.2812187970537103E-3</v>
      </c>
      <c r="AD177">
        <f t="shared" si="88"/>
        <v>-9.2826873443317224E-3</v>
      </c>
      <c r="AE177">
        <f t="shared" si="89"/>
        <v>-9.1666353956866026E-3</v>
      </c>
      <c r="AF177">
        <f t="shared" si="60"/>
        <v>5.7491951519576159E-2</v>
      </c>
      <c r="AG177">
        <f t="shared" si="61"/>
        <v>5.7491951519576159E-2</v>
      </c>
      <c r="AH177">
        <f t="shared" si="62"/>
        <v>5.7491951519576159E-2</v>
      </c>
      <c r="AI177">
        <f t="shared" si="63"/>
        <v>5.7491951519576159E-2</v>
      </c>
    </row>
    <row r="178" spans="1:35" x14ac:dyDescent="0.45">
      <c r="A178">
        <v>1.66</v>
      </c>
      <c r="B178">
        <f t="shared" si="64"/>
        <v>2.6189662533122986</v>
      </c>
      <c r="C178">
        <f t="shared" si="65"/>
        <v>1.4186586547349536</v>
      </c>
      <c r="D178">
        <f t="shared" si="66"/>
        <v>11.924750183905498</v>
      </c>
      <c r="E178">
        <f t="shared" si="67"/>
        <v>-1.9096369259448218</v>
      </c>
      <c r="F178">
        <f t="shared" si="68"/>
        <v>-0.92768038352508531</v>
      </c>
      <c r="G178">
        <f t="shared" si="69"/>
        <v>5.6746346189398142</v>
      </c>
      <c r="I178">
        <v>1.66</v>
      </c>
      <c r="J178">
        <f t="shared" si="70"/>
        <v>2.6401898858497685</v>
      </c>
      <c r="K178">
        <f t="shared" si="71"/>
        <v>1.4268865971644322</v>
      </c>
      <c r="L178">
        <f t="shared" si="72"/>
        <v>11.903176361441977</v>
      </c>
      <c r="M178">
        <f t="shared" si="73"/>
        <v>-1.9267465872675523E-2</v>
      </c>
      <c r="N178">
        <f t="shared" si="74"/>
        <v>-1.8903694600721461E-2</v>
      </c>
      <c r="O178">
        <f t="shared" si="75"/>
        <v>-9.2702660706131205E-3</v>
      </c>
      <c r="P178">
        <f t="shared" si="76"/>
        <v>-9.0450471834855242E-3</v>
      </c>
      <c r="Q178">
        <f t="shared" si="77"/>
        <v>5.7075463886577291E-2</v>
      </c>
      <c r="R178">
        <f t="shared" si="78"/>
        <v>5.6746346189398146E-2</v>
      </c>
      <c r="T178">
        <v>1.66</v>
      </c>
      <c r="U178">
        <f t="shared" si="79"/>
        <v>2.634125853581013</v>
      </c>
      <c r="V178">
        <f t="shared" si="80"/>
        <v>1.4280165962797786</v>
      </c>
      <c r="W178">
        <f t="shared" si="81"/>
        <v>11.913647432766453</v>
      </c>
      <c r="X178">
        <f t="shared" si="82"/>
        <v>-1.9201175554411237E-2</v>
      </c>
      <c r="Y178">
        <f t="shared" si="83"/>
        <v>-1.9105169676639184E-2</v>
      </c>
      <c r="Z178">
        <f t="shared" si="84"/>
        <v>-1.910564970602804E-2</v>
      </c>
      <c r="AA178">
        <f t="shared" si="85"/>
        <v>-1.9010119057350953E-2</v>
      </c>
      <c r="AB178">
        <f t="shared" si="86"/>
        <v>-9.3591563711843372E-3</v>
      </c>
      <c r="AC178">
        <f t="shared" si="87"/>
        <v>-9.2421669165445326E-3</v>
      </c>
      <c r="AD178">
        <f t="shared" si="88"/>
        <v>-9.2436292847275277E-3</v>
      </c>
      <c r="AE178">
        <f t="shared" si="89"/>
        <v>-9.1280656390661449E-3</v>
      </c>
      <c r="AF178">
        <f t="shared" si="60"/>
        <v>5.7120663851191147E-2</v>
      </c>
      <c r="AG178">
        <f t="shared" si="61"/>
        <v>5.7120663851191147E-2</v>
      </c>
      <c r="AH178">
        <f t="shared" si="62"/>
        <v>5.7120663851191147E-2</v>
      </c>
      <c r="AI178">
        <f t="shared" si="63"/>
        <v>5.7120663851191147E-2</v>
      </c>
    </row>
    <row r="179" spans="1:35" x14ac:dyDescent="0.45">
      <c r="A179">
        <v>1.67</v>
      </c>
      <c r="B179">
        <f t="shared" si="64"/>
        <v>2.5998698840528505</v>
      </c>
      <c r="C179">
        <f t="shared" si="65"/>
        <v>1.4093818508997027</v>
      </c>
      <c r="D179">
        <f t="shared" si="66"/>
        <v>11.981496530094896</v>
      </c>
      <c r="E179">
        <f t="shared" si="67"/>
        <v>-1.8951789586029992</v>
      </c>
      <c r="F179">
        <f t="shared" si="68"/>
        <v>-0.92358474319640615</v>
      </c>
      <c r="G179">
        <f t="shared" si="69"/>
        <v>5.6375274035988108</v>
      </c>
      <c r="I179">
        <v>1.67</v>
      </c>
      <c r="J179">
        <f t="shared" si="70"/>
        <v>2.6211043056130698</v>
      </c>
      <c r="K179">
        <f t="shared" si="71"/>
        <v>1.417728940537383</v>
      </c>
      <c r="L179">
        <f t="shared" si="72"/>
        <v>11.960087266479965</v>
      </c>
      <c r="M179">
        <f t="shared" si="73"/>
        <v>-1.9122398353443783E-2</v>
      </c>
      <c r="N179">
        <f t="shared" si="74"/>
        <v>-1.8760565602495553E-2</v>
      </c>
      <c r="O179">
        <f t="shared" si="75"/>
        <v>-9.2321804573038766E-3</v>
      </c>
      <c r="P179">
        <f t="shared" si="76"/>
        <v>-9.0050429205314649E-3</v>
      </c>
      <c r="Q179">
        <f t="shared" si="77"/>
        <v>5.6709157621495317E-2</v>
      </c>
      <c r="R179">
        <f t="shared" si="78"/>
        <v>5.6375274035988111E-2</v>
      </c>
      <c r="T179">
        <v>1.67</v>
      </c>
      <c r="U179">
        <f t="shared" si="79"/>
        <v>2.6150203646848302</v>
      </c>
      <c r="V179">
        <f t="shared" si="80"/>
        <v>1.4187734605443127</v>
      </c>
      <c r="W179">
        <f t="shared" si="81"/>
        <v>11.970768096617643</v>
      </c>
      <c r="X179">
        <f t="shared" si="82"/>
        <v>-1.9056336344126738E-2</v>
      </c>
      <c r="Y179">
        <f t="shared" si="83"/>
        <v>-1.8961054662406104E-2</v>
      </c>
      <c r="Z179">
        <f t="shared" si="84"/>
        <v>-1.8961531070814708E-2</v>
      </c>
      <c r="AA179">
        <f t="shared" si="85"/>
        <v>-1.886672103341859E-2</v>
      </c>
      <c r="AB179">
        <f t="shared" si="86"/>
        <v>-9.3191328667595174E-3</v>
      </c>
      <c r="AC179">
        <f t="shared" si="87"/>
        <v>-9.202643705925025E-3</v>
      </c>
      <c r="AD179">
        <f t="shared" si="88"/>
        <v>-9.2040998204354525E-3</v>
      </c>
      <c r="AE179">
        <f t="shared" si="89"/>
        <v>-9.0890303712486305E-3</v>
      </c>
      <c r="AF179">
        <f t="shared" si="60"/>
        <v>5.6750938421772514E-2</v>
      </c>
      <c r="AG179">
        <f t="shared" si="61"/>
        <v>5.6750938421772514E-2</v>
      </c>
      <c r="AH179">
        <f t="shared" si="62"/>
        <v>5.6750938421772514E-2</v>
      </c>
      <c r="AI179">
        <f t="shared" si="63"/>
        <v>5.6750938421772514E-2</v>
      </c>
    </row>
    <row r="180" spans="1:35" x14ac:dyDescent="0.45">
      <c r="A180">
        <v>1.68</v>
      </c>
      <c r="B180">
        <f t="shared" si="64"/>
        <v>2.5809180944668206</v>
      </c>
      <c r="C180">
        <f t="shared" si="65"/>
        <v>1.4001460034677387</v>
      </c>
      <c r="D180">
        <f t="shared" si="66"/>
        <v>12.037871804130884</v>
      </c>
      <c r="E180">
        <f t="shared" si="67"/>
        <v>-1.8808450927329514</v>
      </c>
      <c r="F180">
        <f t="shared" si="68"/>
        <v>-0.91944691420252589</v>
      </c>
      <c r="G180">
        <f t="shared" si="69"/>
        <v>5.6005840138709546</v>
      </c>
      <c r="I180">
        <v>1.68</v>
      </c>
      <c r="J180">
        <f t="shared" si="70"/>
        <v>2.6021628236351</v>
      </c>
      <c r="K180">
        <f t="shared" si="71"/>
        <v>1.4086103288484653</v>
      </c>
      <c r="L180">
        <f t="shared" si="72"/>
        <v>12.016629482308707</v>
      </c>
      <c r="M180">
        <f t="shared" si="73"/>
        <v>-1.8978576592108675E-2</v>
      </c>
      <c r="N180">
        <f t="shared" si="74"/>
        <v>-1.8618665161408424E-2</v>
      </c>
      <c r="O180">
        <f t="shared" si="75"/>
        <v>-9.1936299848606323E-3</v>
      </c>
      <c r="P180">
        <f t="shared" si="76"/>
        <v>-8.964628392403742E-3</v>
      </c>
      <c r="Q180">
        <f t="shared" si="77"/>
        <v>5.6344413153938615E-2</v>
      </c>
      <c r="R180">
        <f t="shared" si="78"/>
        <v>5.6005840138709545E-2</v>
      </c>
      <c r="T180">
        <v>1.68</v>
      </c>
      <c r="U180">
        <f t="shared" si="79"/>
        <v>2.5960589932108324</v>
      </c>
      <c r="V180">
        <f t="shared" si="80"/>
        <v>1.4095698521625246</v>
      </c>
      <c r="W180">
        <f t="shared" si="81"/>
        <v>12.027519035039417</v>
      </c>
      <c r="X180">
        <f t="shared" si="82"/>
        <v>-1.89127406712957E-2</v>
      </c>
      <c r="Y180">
        <f t="shared" si="83"/>
        <v>-1.8818176967939221E-2</v>
      </c>
      <c r="Z180">
        <f t="shared" si="84"/>
        <v>-1.8818649786456004E-2</v>
      </c>
      <c r="AA180">
        <f t="shared" si="85"/>
        <v>-1.8724554173431138E-2</v>
      </c>
      <c r="AB180">
        <f t="shared" si="86"/>
        <v>-9.2786563719547931E-3</v>
      </c>
      <c r="AC180">
        <f t="shared" si="87"/>
        <v>-9.1626731673053585E-3</v>
      </c>
      <c r="AD180">
        <f t="shared" si="88"/>
        <v>-9.1641229573634752E-3</v>
      </c>
      <c r="AE180">
        <f t="shared" si="89"/>
        <v>-9.0495532980207037E-3</v>
      </c>
      <c r="AF180">
        <f t="shared" si="60"/>
        <v>5.6382794086500987E-2</v>
      </c>
      <c r="AG180">
        <f t="shared" si="61"/>
        <v>5.6382794086500987E-2</v>
      </c>
      <c r="AH180">
        <f t="shared" si="62"/>
        <v>5.6382794086500987E-2</v>
      </c>
      <c r="AI180">
        <f t="shared" si="63"/>
        <v>5.6382794086500987E-2</v>
      </c>
    </row>
    <row r="181" spans="1:35" x14ac:dyDescent="0.45">
      <c r="A181">
        <v>1.69</v>
      </c>
      <c r="B181">
        <f t="shared" si="64"/>
        <v>2.562109643539491</v>
      </c>
      <c r="C181">
        <f t="shared" si="65"/>
        <v>1.3909515343257135</v>
      </c>
      <c r="D181">
        <f t="shared" si="66"/>
        <v>12.093877644269593</v>
      </c>
      <c r="E181">
        <f t="shared" si="67"/>
        <v>-1.8666338763766341</v>
      </c>
      <c r="F181">
        <f t="shared" si="68"/>
        <v>-0.91526919227479286</v>
      </c>
      <c r="G181">
        <f t="shared" si="69"/>
        <v>5.563806137302854</v>
      </c>
      <c r="I181">
        <v>1.69</v>
      </c>
      <c r="J181">
        <f t="shared" si="70"/>
        <v>2.5833642027583412</v>
      </c>
      <c r="K181">
        <f t="shared" si="71"/>
        <v>1.399531199659833</v>
      </c>
      <c r="L181">
        <f t="shared" si="72"/>
        <v>12.07280460895503</v>
      </c>
      <c r="M181">
        <f t="shared" si="73"/>
        <v>-1.8835986029284248E-2</v>
      </c>
      <c r="N181">
        <f t="shared" si="74"/>
        <v>-1.84779789034735E-2</v>
      </c>
      <c r="O181">
        <f t="shared" si="75"/>
        <v>-9.1546379639124136E-3</v>
      </c>
      <c r="P181">
        <f t="shared" si="76"/>
        <v>-8.9238259736501169E-3</v>
      </c>
      <c r="Q181">
        <f t="shared" si="77"/>
        <v>5.5981247986393319E-2</v>
      </c>
      <c r="R181">
        <f t="shared" si="78"/>
        <v>5.5638061373028541E-2</v>
      </c>
      <c r="T181">
        <v>1.69</v>
      </c>
      <c r="U181">
        <f t="shared" si="79"/>
        <v>2.5772405018185798</v>
      </c>
      <c r="V181">
        <f t="shared" si="80"/>
        <v>1.4004062185093058</v>
      </c>
      <c r="W181">
        <f t="shared" si="81"/>
        <v>12.083901829125917</v>
      </c>
      <c r="X181">
        <f t="shared" si="82"/>
        <v>-1.8770373925639267E-2</v>
      </c>
      <c r="Y181">
        <f t="shared" si="83"/>
        <v>-1.8676522056011075E-2</v>
      </c>
      <c r="Z181">
        <f t="shared" si="84"/>
        <v>-1.8676991315359211E-2</v>
      </c>
      <c r="AA181">
        <f t="shared" si="85"/>
        <v>-1.8583604012485676E-2</v>
      </c>
      <c r="AB181">
        <f t="shared" si="86"/>
        <v>-9.2377504445468484E-3</v>
      </c>
      <c r="AC181">
        <f t="shared" si="87"/>
        <v>-9.1222785639900137E-3</v>
      </c>
      <c r="AD181">
        <f t="shared" si="88"/>
        <v>-9.1237219624969688E-3</v>
      </c>
      <c r="AE181">
        <f t="shared" si="89"/>
        <v>-9.0096573954844255E-3</v>
      </c>
      <c r="AF181">
        <f t="shared" si="60"/>
        <v>5.6016248740372233E-2</v>
      </c>
      <c r="AG181">
        <f t="shared" si="61"/>
        <v>5.6016248740372233E-2</v>
      </c>
      <c r="AH181">
        <f t="shared" si="62"/>
        <v>5.6016248740372233E-2</v>
      </c>
      <c r="AI181">
        <f t="shared" si="63"/>
        <v>5.6016248740372233E-2</v>
      </c>
    </row>
    <row r="182" spans="1:35" x14ac:dyDescent="0.45">
      <c r="A182">
        <v>1.7</v>
      </c>
      <c r="B182">
        <f t="shared" si="64"/>
        <v>2.5434433047757246</v>
      </c>
      <c r="C182">
        <f t="shared" si="65"/>
        <v>1.3817988424029655</v>
      </c>
      <c r="D182">
        <f t="shared" si="66"/>
        <v>12.149515705642623</v>
      </c>
      <c r="E182">
        <f t="shared" si="67"/>
        <v>-1.8525438835742418</v>
      </c>
      <c r="F182">
        <f t="shared" si="68"/>
        <v>-0.91105380123168911</v>
      </c>
      <c r="G182">
        <f t="shared" si="69"/>
        <v>5.5271953696118619</v>
      </c>
      <c r="I182">
        <v>1.7</v>
      </c>
      <c r="J182">
        <f t="shared" si="70"/>
        <v>2.5647072202919623</v>
      </c>
      <c r="K182">
        <f t="shared" si="71"/>
        <v>1.3904919676910517</v>
      </c>
      <c r="L182">
        <f t="shared" si="72"/>
        <v>12.128614263634741</v>
      </c>
      <c r="M182">
        <f t="shared" si="73"/>
        <v>-1.8694612364464364E-2</v>
      </c>
      <c r="N182">
        <f t="shared" si="74"/>
        <v>-1.8338492712097774E-2</v>
      </c>
      <c r="O182">
        <f t="shared" si="75"/>
        <v>-9.1152269893566683E-3</v>
      </c>
      <c r="P182">
        <f t="shared" si="76"/>
        <v>-8.8826573375829759E-3</v>
      </c>
      <c r="Q182">
        <f t="shared" si="77"/>
        <v>5.5619678707642069E-2</v>
      </c>
      <c r="R182">
        <f t="shared" si="78"/>
        <v>5.527195369611862E-2</v>
      </c>
      <c r="T182">
        <v>1.7</v>
      </c>
      <c r="U182">
        <f t="shared" si="79"/>
        <v>2.5585636677051022</v>
      </c>
      <c r="V182">
        <f t="shared" si="80"/>
        <v>1.391282983693805</v>
      </c>
      <c r="W182">
        <f t="shared" si="81"/>
        <v>12.139918077866289</v>
      </c>
      <c r="X182">
        <f t="shared" si="82"/>
        <v>-1.8629221758581997E-2</v>
      </c>
      <c r="Y182">
        <f t="shared" si="83"/>
        <v>-1.853607564978909E-2</v>
      </c>
      <c r="Z182">
        <f t="shared" si="84"/>
        <v>-1.8536541380333053E-2</v>
      </c>
      <c r="AA182">
        <f t="shared" si="85"/>
        <v>-1.8443856344778665E-2</v>
      </c>
      <c r="AB182">
        <f t="shared" si="86"/>
        <v>-9.1964379152941027E-3</v>
      </c>
      <c r="AC182">
        <f t="shared" si="87"/>
        <v>-9.0814824413529265E-3</v>
      </c>
      <c r="AD182">
        <f t="shared" si="88"/>
        <v>-9.0829193847771928E-3</v>
      </c>
      <c r="AE182">
        <f t="shared" si="89"/>
        <v>-8.9693649306746698E-3</v>
      </c>
      <c r="AF182">
        <f t="shared" si="60"/>
        <v>5.56513193477522E-2</v>
      </c>
      <c r="AG182">
        <f t="shared" si="61"/>
        <v>5.56513193477522E-2</v>
      </c>
      <c r="AH182">
        <f t="shared" si="62"/>
        <v>5.56513193477522E-2</v>
      </c>
      <c r="AI182">
        <f t="shared" si="63"/>
        <v>5.56513193477522E-2</v>
      </c>
    </row>
    <row r="183" spans="1:35" x14ac:dyDescent="0.45">
      <c r="A183">
        <v>1.71</v>
      </c>
      <c r="B183">
        <f t="shared" si="64"/>
        <v>2.5249178659399822</v>
      </c>
      <c r="C183">
        <f t="shared" si="65"/>
        <v>1.3726883043906486</v>
      </c>
      <c r="D183">
        <f t="shared" si="66"/>
        <v>12.204787659338741</v>
      </c>
      <c r="E183">
        <f t="shared" si="67"/>
        <v>-1.8385737137446578</v>
      </c>
      <c r="F183">
        <f t="shared" si="68"/>
        <v>-0.90680289503663936</v>
      </c>
      <c r="G183">
        <f t="shared" si="69"/>
        <v>5.4907532175625944</v>
      </c>
      <c r="I183">
        <v>1.71</v>
      </c>
      <c r="J183">
        <f t="shared" si="70"/>
        <v>2.5461906677536814</v>
      </c>
      <c r="K183">
        <f t="shared" si="71"/>
        <v>1.3814930255275819</v>
      </c>
      <c r="L183">
        <f t="shared" si="72"/>
        <v>12.184060079836621</v>
      </c>
      <c r="M183">
        <f t="shared" si="73"/>
        <v>-1.8554441549898906E-2</v>
      </c>
      <c r="N183">
        <f t="shared" si="74"/>
        <v>-1.8200192721947589E-2</v>
      </c>
      <c r="O183">
        <f t="shared" si="75"/>
        <v>-9.0754189606527327E-3</v>
      </c>
      <c r="P183">
        <f t="shared" si="76"/>
        <v>-8.8411434763500732E-3</v>
      </c>
      <c r="Q183">
        <f t="shared" si="77"/>
        <v>5.5259721021103277E-2</v>
      </c>
      <c r="R183">
        <f t="shared" si="78"/>
        <v>5.4907532175625946E-2</v>
      </c>
      <c r="T183">
        <v>1.71</v>
      </c>
      <c r="U183">
        <f t="shared" si="79"/>
        <v>2.5400272823445014</v>
      </c>
      <c r="V183">
        <f t="shared" si="80"/>
        <v>1.3822005492774334</v>
      </c>
      <c r="W183">
        <f t="shared" si="81"/>
        <v>12.195569397214042</v>
      </c>
      <c r="X183">
        <f t="shared" si="82"/>
        <v>-1.8489270077057848E-2</v>
      </c>
      <c r="Y183">
        <f t="shared" si="83"/>
        <v>-1.8396823726672555E-2</v>
      </c>
      <c r="Z183">
        <f t="shared" si="84"/>
        <v>-1.8397285958424485E-2</v>
      </c>
      <c r="AA183">
        <f t="shared" si="85"/>
        <v>-1.8305297217473603E-2</v>
      </c>
      <c r="AB183">
        <f t="shared" si="86"/>
        <v>-9.1547409084908223E-3</v>
      </c>
      <c r="AC183">
        <f t="shared" si="87"/>
        <v>-9.0403066471346893E-3</v>
      </c>
      <c r="AD183">
        <f t="shared" si="88"/>
        <v>-9.0417370754016391E-3</v>
      </c>
      <c r="AE183">
        <f t="shared" si="89"/>
        <v>-8.9286974816057806E-3</v>
      </c>
      <c r="AF183">
        <f t="shared" si="60"/>
        <v>5.5288021971097334E-2</v>
      </c>
      <c r="AG183">
        <f t="shared" si="61"/>
        <v>5.5288021971097334E-2</v>
      </c>
      <c r="AH183">
        <f t="shared" si="62"/>
        <v>5.5288021971097334E-2</v>
      </c>
      <c r="AI183">
        <f t="shared" si="63"/>
        <v>5.5288021971097334E-2</v>
      </c>
    </row>
    <row r="184" spans="1:35" x14ac:dyDescent="0.45">
      <c r="A184">
        <v>1.72</v>
      </c>
      <c r="B184">
        <f t="shared" si="64"/>
        <v>2.5065321288025357</v>
      </c>
      <c r="C184">
        <f t="shared" si="65"/>
        <v>1.3636202754402822</v>
      </c>
      <c r="D184">
        <f t="shared" si="66"/>
        <v>12.259695191514368</v>
      </c>
      <c r="E184">
        <f t="shared" si="67"/>
        <v>-1.8247219910823946</v>
      </c>
      <c r="F184">
        <f t="shared" si="68"/>
        <v>-0.90251855979816975</v>
      </c>
      <c r="G184">
        <f t="shared" si="69"/>
        <v>5.4544811017611288</v>
      </c>
      <c r="I184">
        <v>1.72</v>
      </c>
      <c r="J184">
        <f t="shared" si="70"/>
        <v>2.527813350617758</v>
      </c>
      <c r="K184">
        <f t="shared" si="71"/>
        <v>1.3725347443090805</v>
      </c>
      <c r="L184">
        <f t="shared" si="72"/>
        <v>12.239143706434986</v>
      </c>
      <c r="M184">
        <f t="shared" si="73"/>
        <v>-1.8415459784632177E-2</v>
      </c>
      <c r="N184">
        <f t="shared" si="74"/>
        <v>-1.8063065312977626E-2</v>
      </c>
      <c r="O184">
        <f t="shared" si="75"/>
        <v>-9.0352351015494329E-3</v>
      </c>
      <c r="P184">
        <f t="shared" si="76"/>
        <v>-8.7993047204429596E-3</v>
      </c>
      <c r="Q184">
        <f t="shared" si="77"/>
        <v>5.4901389772363224E-2</v>
      </c>
      <c r="R184">
        <f t="shared" si="78"/>
        <v>5.4544811017611286E-2</v>
      </c>
      <c r="T184">
        <v>1.72</v>
      </c>
      <c r="U184">
        <f t="shared" si="79"/>
        <v>2.5216301512337136</v>
      </c>
      <c r="V184">
        <f t="shared" si="80"/>
        <v>1.3731592949715719</v>
      </c>
      <c r="W184">
        <f t="shared" si="81"/>
        <v>12.25085741918514</v>
      </c>
      <c r="X184">
        <f t="shared" si="82"/>
        <v>-1.8350505037479276E-2</v>
      </c>
      <c r="Y184">
        <f t="shared" si="83"/>
        <v>-1.8258752512291882E-2</v>
      </c>
      <c r="Z184">
        <f t="shared" si="84"/>
        <v>-1.8259211274917819E-2</v>
      </c>
      <c r="AA184">
        <f t="shared" si="85"/>
        <v>-1.8167912924730096E-2</v>
      </c>
      <c r="AB184">
        <f t="shared" si="86"/>
        <v>-9.1126808619521604E-3</v>
      </c>
      <c r="AC184">
        <f t="shared" si="87"/>
        <v>-8.9987723511777591E-3</v>
      </c>
      <c r="AD184">
        <f t="shared" si="88"/>
        <v>-9.0001962075624397E-3</v>
      </c>
      <c r="AE184">
        <f t="shared" si="89"/>
        <v>-8.887675956763097E-3</v>
      </c>
      <c r="AF184">
        <f t="shared" si="60"/>
        <v>5.4926371798862873E-2</v>
      </c>
      <c r="AG184">
        <f t="shared" si="61"/>
        <v>5.4926371798862873E-2</v>
      </c>
      <c r="AH184">
        <f t="shared" si="62"/>
        <v>5.4926371798862873E-2</v>
      </c>
      <c r="AI184">
        <f t="shared" si="63"/>
        <v>5.4926371798862873E-2</v>
      </c>
    </row>
    <row r="185" spans="1:35" x14ac:dyDescent="0.45">
      <c r="A185">
        <v>1.73</v>
      </c>
      <c r="B185">
        <f t="shared" si="64"/>
        <v>2.4882849088917118</v>
      </c>
      <c r="C185">
        <f t="shared" si="65"/>
        <v>1.3545950898423005</v>
      </c>
      <c r="D185">
        <f t="shared" si="66"/>
        <v>12.31424000253198</v>
      </c>
      <c r="E185">
        <f t="shared" si="67"/>
        <v>-1.8109873639705616</v>
      </c>
      <c r="F185">
        <f t="shared" si="68"/>
        <v>-0.89820281571403937</v>
      </c>
      <c r="G185">
        <f t="shared" si="69"/>
        <v>5.4183803593692019</v>
      </c>
      <c r="I185">
        <v>1.73</v>
      </c>
      <c r="J185">
        <f t="shared" si="70"/>
        <v>2.5095740880689532</v>
      </c>
      <c r="K185">
        <f t="shared" si="71"/>
        <v>1.3636174743980842</v>
      </c>
      <c r="L185">
        <f t="shared" si="72"/>
        <v>12.293866806829973</v>
      </c>
      <c r="M185">
        <f t="shared" si="73"/>
        <v>-1.8277653508699112E-2</v>
      </c>
      <c r="N185">
        <f t="shared" si="74"/>
        <v>-1.7927097104618626E-2</v>
      </c>
      <c r="O185">
        <f t="shared" si="75"/>
        <v>-8.9946959792625725E-3</v>
      </c>
      <c r="P185">
        <f t="shared" si="76"/>
        <v>-8.757160757658828E-3</v>
      </c>
      <c r="Q185">
        <f t="shared" si="77"/>
        <v>5.4544698975923372E-2</v>
      </c>
      <c r="R185">
        <f t="shared" si="78"/>
        <v>5.4183803593692022E-2</v>
      </c>
      <c r="T185">
        <v>1.73</v>
      </c>
      <c r="U185">
        <f t="shared" si="79"/>
        <v>2.5033710936442755</v>
      </c>
      <c r="V185">
        <f t="shared" si="80"/>
        <v>1.3641595793155392</v>
      </c>
      <c r="W185">
        <f t="shared" si="81"/>
        <v>12.305783790984004</v>
      </c>
      <c r="X185">
        <f t="shared" si="82"/>
        <v>-1.8212913039865056E-2</v>
      </c>
      <c r="Y185">
        <f t="shared" si="83"/>
        <v>-1.8121848474665733E-2</v>
      </c>
      <c r="Z185">
        <f t="shared" si="84"/>
        <v>-1.8122303797491732E-2</v>
      </c>
      <c r="AA185">
        <f t="shared" si="85"/>
        <v>-1.803169000189014E-2</v>
      </c>
      <c r="AB185">
        <f t="shared" si="86"/>
        <v>-9.0702785464457265E-3</v>
      </c>
      <c r="AC185">
        <f t="shared" si="87"/>
        <v>-8.9569000646151538E-3</v>
      </c>
      <c r="AD185">
        <f t="shared" si="88"/>
        <v>-8.9583172956380335E-3</v>
      </c>
      <c r="AE185">
        <f t="shared" si="89"/>
        <v>-8.8463206140547753E-3</v>
      </c>
      <c r="AF185">
        <f t="shared" si="60"/>
        <v>5.4566383172621573E-2</v>
      </c>
      <c r="AG185">
        <f t="shared" si="61"/>
        <v>5.4566383172621573E-2</v>
      </c>
      <c r="AH185">
        <f t="shared" si="62"/>
        <v>5.4566383172621573E-2</v>
      </c>
      <c r="AI185">
        <f t="shared" si="63"/>
        <v>5.4566383172621573E-2</v>
      </c>
    </row>
    <row r="186" spans="1:35" x14ac:dyDescent="0.45">
      <c r="A186">
        <v>1.74</v>
      </c>
      <c r="B186">
        <f t="shared" si="64"/>
        <v>2.4701750352520064</v>
      </c>
      <c r="C186">
        <f t="shared" si="65"/>
        <v>1.34561306168516</v>
      </c>
      <c r="D186">
        <f t="shared" si="66"/>
        <v>12.368423806125671</v>
      </c>
      <c r="E186">
        <f t="shared" si="67"/>
        <v>-1.7973685044094263</v>
      </c>
      <c r="F186">
        <f t="shared" si="68"/>
        <v>-0.89385761896089377</v>
      </c>
      <c r="G186">
        <f t="shared" si="69"/>
        <v>5.3824522467406402</v>
      </c>
      <c r="I186">
        <v>1.74</v>
      </c>
      <c r="J186">
        <f t="shared" si="70"/>
        <v>2.4914717127622943</v>
      </c>
      <c r="K186">
        <f t="shared" si="71"/>
        <v>1.3547415460296235</v>
      </c>
      <c r="L186">
        <f t="shared" si="72"/>
        <v>12.348231058114781</v>
      </c>
      <c r="M186">
        <f t="shared" si="73"/>
        <v>-1.8141009397474827E-2</v>
      </c>
      <c r="N186">
        <f t="shared" si="74"/>
        <v>-1.7792274950119515E-2</v>
      </c>
      <c r="O186">
        <f t="shared" si="75"/>
        <v>-8.9538215231176454E-3</v>
      </c>
      <c r="P186">
        <f t="shared" si="76"/>
        <v>-8.7147306515309927E-3</v>
      </c>
      <c r="Q186">
        <f t="shared" si="77"/>
        <v>5.4189661841184941E-2</v>
      </c>
      <c r="R186">
        <f t="shared" si="78"/>
        <v>5.3824522467406405E-2</v>
      </c>
      <c r="T186">
        <v>1.74</v>
      </c>
      <c r="U186">
        <f t="shared" si="79"/>
        <v>2.4852489423799304</v>
      </c>
      <c r="V186">
        <f t="shared" si="80"/>
        <v>1.3552017403353713</v>
      </c>
      <c r="W186">
        <f t="shared" si="81"/>
        <v>12.360350174156626</v>
      </c>
      <c r="X186">
        <f t="shared" si="82"/>
        <v>-1.8076480722122448E-2</v>
      </c>
      <c r="Y186">
        <f t="shared" si="83"/>
        <v>-1.7986098318511837E-2</v>
      </c>
      <c r="Z186">
        <f t="shared" si="84"/>
        <v>-1.7986550230529887E-2</v>
      </c>
      <c r="AA186">
        <f t="shared" si="85"/>
        <v>-1.7896615219817148E-2</v>
      </c>
      <c r="AB186">
        <f t="shared" si="86"/>
        <v>-9.0275540845849798E-3</v>
      </c>
      <c r="AC186">
        <f t="shared" si="87"/>
        <v>-8.9147096585276663E-3</v>
      </c>
      <c r="AD186">
        <f t="shared" si="88"/>
        <v>-8.9161202138533825E-3</v>
      </c>
      <c r="AE186">
        <f t="shared" si="89"/>
        <v>-8.8046510792386418E-3</v>
      </c>
      <c r="AF186">
        <f t="shared" si="60"/>
        <v>5.4208069613414851E-2</v>
      </c>
      <c r="AG186">
        <f t="shared" si="61"/>
        <v>5.4208069613414851E-2</v>
      </c>
      <c r="AH186">
        <f t="shared" si="62"/>
        <v>5.4208069613414851E-2</v>
      </c>
      <c r="AI186">
        <f t="shared" si="63"/>
        <v>5.4208069613414851E-2</v>
      </c>
    </row>
    <row r="187" spans="1:35" x14ac:dyDescent="0.45">
      <c r="A187">
        <v>1.75</v>
      </c>
      <c r="B187">
        <f t="shared" si="64"/>
        <v>2.4522013502079121</v>
      </c>
      <c r="C187">
        <f t="shared" si="65"/>
        <v>1.336674485495551</v>
      </c>
      <c r="D187">
        <f t="shared" si="66"/>
        <v>12.422248328593078</v>
      </c>
      <c r="E187">
        <f t="shared" si="67"/>
        <v>-1.7838641074601367</v>
      </c>
      <c r="F187">
        <f t="shared" si="68"/>
        <v>-0.88948486353096534</v>
      </c>
      <c r="G187">
        <f t="shared" si="69"/>
        <v>5.346697941982204</v>
      </c>
      <c r="I187">
        <v>1.75</v>
      </c>
      <c r="J187">
        <f t="shared" si="70"/>
        <v>2.4735050705884971</v>
      </c>
      <c r="K187">
        <f t="shared" si="71"/>
        <v>1.3459072699422991</v>
      </c>
      <c r="L187">
        <f t="shared" si="72"/>
        <v>12.402238150269076</v>
      </c>
      <c r="M187">
        <f t="shared" si="73"/>
        <v>-1.8005514356173476E-2</v>
      </c>
      <c r="N187">
        <f t="shared" si="74"/>
        <v>-1.7658585931039635E-2</v>
      </c>
      <c r="O187">
        <f t="shared" si="75"/>
        <v>-8.9126310426725069E-3</v>
      </c>
      <c r="P187">
        <f t="shared" si="76"/>
        <v>-8.6720328592428397E-3</v>
      </c>
      <c r="Q187">
        <f t="shared" si="77"/>
        <v>5.383629079769197E-2</v>
      </c>
      <c r="R187">
        <f t="shared" si="78"/>
        <v>5.3466979419822043E-2</v>
      </c>
      <c r="T187">
        <v>1.75</v>
      </c>
      <c r="U187">
        <f t="shared" si="79"/>
        <v>2.4672625435399267</v>
      </c>
      <c r="V187">
        <f t="shared" si="80"/>
        <v>1.3462860961839405</v>
      </c>
      <c r="W187">
        <f t="shared" si="81"/>
        <v>12.41455824377004</v>
      </c>
      <c r="X187">
        <f t="shared" si="82"/>
        <v>-1.7941194954479565E-2</v>
      </c>
      <c r="Y187">
        <f t="shared" si="83"/>
        <v>-1.7851488979707168E-2</v>
      </c>
      <c r="Z187">
        <f t="shared" si="84"/>
        <v>-1.7851937509581032E-2</v>
      </c>
      <c r="AA187">
        <f t="shared" si="85"/>
        <v>-1.7762675579383755E-2</v>
      </c>
      <c r="AB187">
        <f t="shared" si="86"/>
        <v>-8.9845269691992448E-3</v>
      </c>
      <c r="AC187">
        <f t="shared" si="87"/>
        <v>-8.8722203820842532E-3</v>
      </c>
      <c r="AD187">
        <f t="shared" si="88"/>
        <v>-8.8736242144231911E-3</v>
      </c>
      <c r="AE187">
        <f t="shared" si="89"/>
        <v>-8.7626863638386662E-3</v>
      </c>
      <c r="AF187">
        <f t="shared" si="60"/>
        <v>5.385144384735762E-2</v>
      </c>
      <c r="AG187">
        <f t="shared" si="61"/>
        <v>5.385144384735762E-2</v>
      </c>
      <c r="AH187">
        <f t="shared" si="62"/>
        <v>5.385144384735762E-2</v>
      </c>
      <c r="AI187">
        <f t="shared" si="63"/>
        <v>5.385144384735762E-2</v>
      </c>
    </row>
    <row r="188" spans="1:35" x14ac:dyDescent="0.45">
      <c r="A188">
        <v>1.76</v>
      </c>
      <c r="B188">
        <f t="shared" si="64"/>
        <v>2.4343627091333109</v>
      </c>
      <c r="C188">
        <f t="shared" si="65"/>
        <v>1.3277796368602413</v>
      </c>
      <c r="D188">
        <f t="shared" si="66"/>
        <v>12.4757153080129</v>
      </c>
      <c r="E188">
        <f t="shared" si="67"/>
        <v>-1.7704728907031901</v>
      </c>
      <c r="F188">
        <f t="shared" si="68"/>
        <v>-0.88508638301729237</v>
      </c>
      <c r="G188">
        <f t="shared" si="69"/>
        <v>5.311118547440965</v>
      </c>
      <c r="I188">
        <v>1.76</v>
      </c>
      <c r="J188">
        <f t="shared" si="70"/>
        <v>2.4556730204448907</v>
      </c>
      <c r="K188">
        <f t="shared" si="71"/>
        <v>1.3371149379913414</v>
      </c>
      <c r="L188">
        <f t="shared" si="72"/>
        <v>12.455889785377833</v>
      </c>
      <c r="M188">
        <f t="shared" si="73"/>
        <v>-1.7871155514492202E-2</v>
      </c>
      <c r="N188">
        <f t="shared" si="74"/>
        <v>-1.7526017351886979E-2</v>
      </c>
      <c r="O188">
        <f t="shared" si="75"/>
        <v>-8.8711432453346274E-3</v>
      </c>
      <c r="P188">
        <f t="shared" si="76"/>
        <v>-8.6290852490395597E-3</v>
      </c>
      <c r="Q188">
        <f t="shared" si="77"/>
        <v>5.3484597519653655E-2</v>
      </c>
      <c r="R188">
        <f t="shared" si="78"/>
        <v>5.3111185474409649E-2</v>
      </c>
      <c r="T188">
        <v>1.76</v>
      </c>
      <c r="U188">
        <f t="shared" si="79"/>
        <v>2.4494107562878535</v>
      </c>
      <c r="V188">
        <f t="shared" si="80"/>
        <v>1.3374129457629316</v>
      </c>
      <c r="W188">
        <f t="shared" si="81"/>
        <v>12.468409687617397</v>
      </c>
      <c r="X188">
        <f t="shared" si="82"/>
        <v>-1.7807042834063879E-2</v>
      </c>
      <c r="Y188">
        <f t="shared" si="83"/>
        <v>-1.7718007619893558E-2</v>
      </c>
      <c r="Z188">
        <f t="shared" si="84"/>
        <v>-1.7718452795964412E-2</v>
      </c>
      <c r="AA188">
        <f t="shared" si="85"/>
        <v>-1.762985830610423E-2</v>
      </c>
      <c r="AB188">
        <f t="shared" si="86"/>
        <v>-8.9412160811947541E-3</v>
      </c>
      <c r="AC188">
        <f t="shared" si="87"/>
        <v>-8.8294508801798188E-3</v>
      </c>
      <c r="AD188">
        <f t="shared" si="88"/>
        <v>-8.8308479451925069E-3</v>
      </c>
      <c r="AE188">
        <f t="shared" si="89"/>
        <v>-8.7204448825649438E-3</v>
      </c>
      <c r="AF188">
        <f t="shared" si="60"/>
        <v>5.3496517830517266E-2</v>
      </c>
      <c r="AG188">
        <f t="shared" si="61"/>
        <v>5.3496517830517266E-2</v>
      </c>
      <c r="AH188">
        <f t="shared" si="62"/>
        <v>5.3496517830517266E-2</v>
      </c>
      <c r="AI188">
        <f t="shared" si="63"/>
        <v>5.3496517830517266E-2</v>
      </c>
    </row>
    <row r="189" spans="1:35" x14ac:dyDescent="0.45">
      <c r="A189">
        <v>1.77</v>
      </c>
      <c r="B189">
        <f t="shared" si="64"/>
        <v>2.4166579802262791</v>
      </c>
      <c r="C189">
        <f t="shared" si="65"/>
        <v>1.3189287730300683</v>
      </c>
      <c r="D189">
        <f t="shared" si="66"/>
        <v>12.52882649348731</v>
      </c>
      <c r="E189">
        <f t="shared" si="67"/>
        <v>-1.7571935937112451</v>
      </c>
      <c r="F189">
        <f t="shared" si="68"/>
        <v>-0.8806639523488915</v>
      </c>
      <c r="G189">
        <f t="shared" si="69"/>
        <v>5.2757150921202731</v>
      </c>
      <c r="I189">
        <v>1.77</v>
      </c>
      <c r="J189">
        <f t="shared" si="70"/>
        <v>2.4379744340117009</v>
      </c>
      <c r="K189">
        <f t="shared" si="71"/>
        <v>1.3283648237441543</v>
      </c>
      <c r="L189">
        <f t="shared" si="72"/>
        <v>12.509187676874864</v>
      </c>
      <c r="M189">
        <f t="shared" si="73"/>
        <v>-1.7737920221396239E-2</v>
      </c>
      <c r="N189">
        <f t="shared" si="74"/>
        <v>-1.7394556734898488E-2</v>
      </c>
      <c r="O189">
        <f t="shared" si="75"/>
        <v>-8.8293762534868495E-3</v>
      </c>
      <c r="P189">
        <f t="shared" si="76"/>
        <v>-8.5859051171517462E-3</v>
      </c>
      <c r="Q189">
        <f t="shared" si="77"/>
        <v>5.3134592949766177E-2</v>
      </c>
      <c r="R189">
        <f t="shared" si="78"/>
        <v>5.2757150921202735E-2</v>
      </c>
      <c r="T189">
        <v>1.77</v>
      </c>
      <c r="U189">
        <f t="shared" si="79"/>
        <v>2.4316924526258727</v>
      </c>
      <c r="V189">
        <f t="shared" si="80"/>
        <v>1.3285825693271809</v>
      </c>
      <c r="W189">
        <f t="shared" si="81"/>
        <v>12.521906205447914</v>
      </c>
      <c r="X189">
        <f t="shared" si="82"/>
        <v>-1.7674011679622823E-2</v>
      </c>
      <c r="Y189">
        <f t="shared" si="83"/>
        <v>-1.758564162122471E-2</v>
      </c>
      <c r="Z189">
        <f t="shared" si="84"/>
        <v>-1.75860834715167E-2</v>
      </c>
      <c r="AA189">
        <f t="shared" si="85"/>
        <v>-1.7498150844907655E-2</v>
      </c>
      <c r="AB189">
        <f t="shared" si="86"/>
        <v>-8.8976397069207951E-3</v>
      </c>
      <c r="AC189">
        <f t="shared" si="87"/>
        <v>-8.7864192105842828E-3</v>
      </c>
      <c r="AD189">
        <f t="shared" si="88"/>
        <v>-8.7878094667884921E-3</v>
      </c>
      <c r="AE189">
        <f t="shared" si="89"/>
        <v>-8.6779444702510793E-3</v>
      </c>
      <c r="AF189">
        <f t="shared" si="60"/>
        <v>5.3143302773087236E-2</v>
      </c>
      <c r="AG189">
        <f t="shared" si="61"/>
        <v>5.3143302773087236E-2</v>
      </c>
      <c r="AH189">
        <f t="shared" si="62"/>
        <v>5.3143302773087236E-2</v>
      </c>
      <c r="AI189">
        <f t="shared" si="63"/>
        <v>5.3143302773087236E-2</v>
      </c>
    </row>
    <row r="190" spans="1:35" x14ac:dyDescent="0.45">
      <c r="A190">
        <v>1.78</v>
      </c>
      <c r="B190">
        <f t="shared" si="64"/>
        <v>2.3990860442891666</v>
      </c>
      <c r="C190">
        <f t="shared" si="65"/>
        <v>1.3101221335065794</v>
      </c>
      <c r="D190">
        <f t="shared" si="66"/>
        <v>12.581583644408513</v>
      </c>
      <c r="E190">
        <f t="shared" si="67"/>
        <v>-1.7440249775358769</v>
      </c>
      <c r="F190">
        <f t="shared" si="68"/>
        <v>-0.87621928947728178</v>
      </c>
      <c r="G190">
        <f t="shared" si="69"/>
        <v>5.2404885340263174</v>
      </c>
      <c r="I190">
        <v>1.78</v>
      </c>
      <c r="J190">
        <f t="shared" si="70"/>
        <v>2.4204081955335535</v>
      </c>
      <c r="K190">
        <f t="shared" si="71"/>
        <v>1.3196571830588351</v>
      </c>
      <c r="L190">
        <f t="shared" si="72"/>
        <v>12.562133548810349</v>
      </c>
      <c r="M190">
        <f t="shared" si="73"/>
        <v>-1.7605796040041359E-2</v>
      </c>
      <c r="N190">
        <f t="shared" si="74"/>
        <v>-1.7264191814958356E-2</v>
      </c>
      <c r="O190">
        <f t="shared" si="75"/>
        <v>-8.787347621135342E-3</v>
      </c>
      <c r="P190">
        <f t="shared" si="76"/>
        <v>-8.5425092042444358E-3</v>
      </c>
      <c r="Q190">
        <f t="shared" si="77"/>
        <v>5.2786287322353402E-2</v>
      </c>
      <c r="R190">
        <f t="shared" si="78"/>
        <v>5.2404885340263177E-2</v>
      </c>
      <c r="T190">
        <v>1.78</v>
      </c>
      <c r="U190">
        <f t="shared" si="79"/>
        <v>2.4141065171742038</v>
      </c>
      <c r="V190">
        <f t="shared" si="80"/>
        <v>1.3197952290718613</v>
      </c>
      <c r="W190">
        <f t="shared" si="81"/>
        <v>12.575049508221001</v>
      </c>
      <c r="X190">
        <f t="shared" si="82"/>
        <v>-1.7542089026382733E-2</v>
      </c>
      <c r="Y190">
        <f t="shared" si="83"/>
        <v>-1.7454378581250821E-2</v>
      </c>
      <c r="Z190">
        <f t="shared" si="84"/>
        <v>-1.7454817133476481E-2</v>
      </c>
      <c r="AA190">
        <f t="shared" si="85"/>
        <v>-1.7367540855047971E-2</v>
      </c>
      <c r="AB190">
        <f t="shared" si="86"/>
        <v>-8.8538155550544947E-3</v>
      </c>
      <c r="AC190">
        <f t="shared" si="87"/>
        <v>-8.7431428606163149E-3</v>
      </c>
      <c r="AD190">
        <f t="shared" si="88"/>
        <v>-8.7445262692967939E-3</v>
      </c>
      <c r="AE190">
        <f t="shared" si="89"/>
        <v>-8.6352023983220731E-3</v>
      </c>
      <c r="AF190">
        <f t="shared" si="60"/>
        <v>5.2791809162874452E-2</v>
      </c>
      <c r="AG190">
        <f t="shared" si="61"/>
        <v>5.2791809162874452E-2</v>
      </c>
      <c r="AH190">
        <f t="shared" si="62"/>
        <v>5.2791809162874452E-2</v>
      </c>
      <c r="AI190">
        <f t="shared" si="63"/>
        <v>5.2791809162874452E-2</v>
      </c>
    </row>
    <row r="191" spans="1:35" x14ac:dyDescent="0.45">
      <c r="A191">
        <v>1.79</v>
      </c>
      <c r="B191">
        <f t="shared" si="64"/>
        <v>2.3816457945138079</v>
      </c>
      <c r="C191">
        <f t="shared" si="65"/>
        <v>1.3013599406118066</v>
      </c>
      <c r="D191">
        <f t="shared" si="66"/>
        <v>12.633988529748775</v>
      </c>
      <c r="E191">
        <f t="shared" si="67"/>
        <v>-1.7309658242079045</v>
      </c>
      <c r="F191">
        <f t="shared" si="68"/>
        <v>-0.87175405701570874</v>
      </c>
      <c r="G191">
        <f t="shared" si="69"/>
        <v>5.2054397624472264</v>
      </c>
      <c r="I191">
        <v>1.79</v>
      </c>
      <c r="J191">
        <f t="shared" si="70"/>
        <v>2.4029732016060534</v>
      </c>
      <c r="K191">
        <f t="shared" si="71"/>
        <v>1.3109922546461452</v>
      </c>
      <c r="L191">
        <f t="shared" si="72"/>
        <v>12.614729135141658</v>
      </c>
      <c r="M191">
        <f t="shared" si="73"/>
        <v>-1.7474770742829809E-2</v>
      </c>
      <c r="N191">
        <f t="shared" si="74"/>
        <v>-1.7134910534650744E-2</v>
      </c>
      <c r="O191">
        <f t="shared" si="75"/>
        <v>-8.7450743500930971E-3</v>
      </c>
      <c r="P191">
        <f t="shared" si="76"/>
        <v>-8.4989137114047566E-3</v>
      </c>
      <c r="Q191">
        <f t="shared" si="77"/>
        <v>5.2439690185845808E-2</v>
      </c>
      <c r="R191">
        <f t="shared" si="78"/>
        <v>5.2054397624472268E-2</v>
      </c>
      <c r="T191">
        <v>1.79</v>
      </c>
      <c r="U191">
        <f t="shared" si="79"/>
        <v>2.3966518469557228</v>
      </c>
      <c r="V191">
        <f t="shared" si="80"/>
        <v>1.3110511697029943</v>
      </c>
      <c r="W191">
        <f t="shared" si="81"/>
        <v>12.627841317383876</v>
      </c>
      <c r="X191">
        <f t="shared" si="82"/>
        <v>-1.7411262621042256E-2</v>
      </c>
      <c r="Y191">
        <f t="shared" si="83"/>
        <v>-1.7324206307937046E-2</v>
      </c>
      <c r="Z191">
        <f t="shared" si="84"/>
        <v>-1.732464158950257E-2</v>
      </c>
      <c r="AA191">
        <f t="shared" si="85"/>
        <v>-1.7238016205147227E-2</v>
      </c>
      <c r="AB191">
        <f t="shared" si="86"/>
        <v>-8.8097607730176306E-3</v>
      </c>
      <c r="AC191">
        <f t="shared" si="87"/>
        <v>-8.6996387633549062E-3</v>
      </c>
      <c r="AD191">
        <f t="shared" si="88"/>
        <v>-8.7010152884756907E-3</v>
      </c>
      <c r="AE191">
        <f t="shared" si="89"/>
        <v>-8.5922353908057386E-3</v>
      </c>
      <c r="AF191">
        <f t="shared" si="60"/>
        <v>5.244204678811977E-2</v>
      </c>
      <c r="AG191">
        <f t="shared" si="61"/>
        <v>5.244204678811977E-2</v>
      </c>
      <c r="AH191">
        <f t="shared" si="62"/>
        <v>5.244204678811977E-2</v>
      </c>
      <c r="AI191">
        <f t="shared" si="63"/>
        <v>5.244204678811977E-2</v>
      </c>
    </row>
    <row r="192" spans="1:35" x14ac:dyDescent="0.45">
      <c r="A192">
        <v>1.8</v>
      </c>
      <c r="B192">
        <f t="shared" si="64"/>
        <v>2.3643361362717288</v>
      </c>
      <c r="C192">
        <f t="shared" si="65"/>
        <v>1.2926424000416494</v>
      </c>
      <c r="D192">
        <f t="shared" si="66"/>
        <v>12.686042927373247</v>
      </c>
      <c r="E192">
        <f t="shared" si="67"/>
        <v>-1.7180149362509041</v>
      </c>
      <c r="F192">
        <f t="shared" si="68"/>
        <v>-0.86726986383239479</v>
      </c>
      <c r="G192">
        <f t="shared" si="69"/>
        <v>5.1705696001665977</v>
      </c>
      <c r="I192">
        <v>1.8</v>
      </c>
      <c r="J192">
        <f t="shared" si="70"/>
        <v>2.3856683609673133</v>
      </c>
      <c r="K192">
        <f t="shared" si="71"/>
        <v>1.3023702606153962</v>
      </c>
      <c r="L192">
        <f t="shared" si="72"/>
        <v>12.666976179046818</v>
      </c>
      <c r="M192">
        <f t="shared" si="73"/>
        <v>-1.7344832306596152E-2</v>
      </c>
      <c r="N192">
        <f t="shared" si="74"/>
        <v>-1.700670103944308E-2</v>
      </c>
      <c r="O192">
        <f t="shared" si="75"/>
        <v>-8.7025729057117716E-3</v>
      </c>
      <c r="P192">
        <f t="shared" si="76"/>
        <v>-8.4551343156811544E-3</v>
      </c>
      <c r="Q192">
        <f t="shared" si="77"/>
        <v>5.2094810424615848E-2</v>
      </c>
      <c r="R192">
        <f t="shared" si="78"/>
        <v>5.1705696001665975E-2</v>
      </c>
      <c r="T192">
        <v>1.8</v>
      </c>
      <c r="U192">
        <f t="shared" si="79"/>
        <v>2.3793273511855446</v>
      </c>
      <c r="V192">
        <f t="shared" si="80"/>
        <v>1.3023506189917469</v>
      </c>
      <c r="W192">
        <f t="shared" si="81"/>
        <v>12.680283364171995</v>
      </c>
      <c r="X192">
        <f t="shared" si="82"/>
        <v>-1.7281520416896713E-2</v>
      </c>
      <c r="Y192">
        <f t="shared" si="83"/>
        <v>-1.7195112814812227E-2</v>
      </c>
      <c r="Z192">
        <f t="shared" si="84"/>
        <v>-1.7195544852822653E-2</v>
      </c>
      <c r="AA192">
        <f t="shared" si="85"/>
        <v>-1.7109564968368487E-2</v>
      </c>
      <c r="AB192">
        <f t="shared" si="86"/>
        <v>-8.7654919629382259E-3</v>
      </c>
      <c r="AC192">
        <f t="shared" si="87"/>
        <v>-8.6559233134014969E-3</v>
      </c>
      <c r="AD192">
        <f t="shared" si="88"/>
        <v>-8.6572929215207092E-3</v>
      </c>
      <c r="AE192">
        <f t="shared" si="89"/>
        <v>-8.549059639900207E-3</v>
      </c>
      <c r="AF192">
        <f t="shared" si="60"/>
        <v>5.2094024759669878E-2</v>
      </c>
      <c r="AG192">
        <f t="shared" si="61"/>
        <v>5.2094024759669878E-2</v>
      </c>
      <c r="AH192">
        <f t="shared" si="62"/>
        <v>5.2094024759669878E-2</v>
      </c>
      <c r="AI192">
        <f t="shared" si="63"/>
        <v>5.2094024759669878E-2</v>
      </c>
    </row>
    <row r="193" spans="1:35" x14ac:dyDescent="0.45">
      <c r="A193">
        <v>1.81</v>
      </c>
      <c r="B193">
        <f t="shared" si="64"/>
        <v>2.3471559869092196</v>
      </c>
      <c r="C193">
        <f t="shared" si="65"/>
        <v>1.2839697014033256</v>
      </c>
      <c r="D193">
        <f t="shared" si="66"/>
        <v>12.737748623374912</v>
      </c>
      <c r="E193">
        <f t="shared" si="67"/>
        <v>-1.7051711362075568</v>
      </c>
      <c r="F193">
        <f t="shared" si="68"/>
        <v>-0.86276826659909434</v>
      </c>
      <c r="G193">
        <f t="shared" si="69"/>
        <v>5.1358788056133022</v>
      </c>
      <c r="I193">
        <v>1.81</v>
      </c>
      <c r="J193">
        <f t="shared" si="70"/>
        <v>2.3684925942942936</v>
      </c>
      <c r="K193">
        <f t="shared" si="71"/>
        <v>1.2937914070046996</v>
      </c>
      <c r="L193">
        <f t="shared" si="72"/>
        <v>12.718876432259959</v>
      </c>
      <c r="M193">
        <f t="shared" si="73"/>
        <v>-1.7215968907919436E-2</v>
      </c>
      <c r="N193">
        <f t="shared" si="74"/>
        <v>-1.6879551672996373E-2</v>
      </c>
      <c r="O193">
        <f t="shared" si="75"/>
        <v>-8.6598592321745563E-3</v>
      </c>
      <c r="P193">
        <f t="shared" si="76"/>
        <v>-8.4111861851865807E-3</v>
      </c>
      <c r="Q193">
        <f t="shared" si="77"/>
        <v>5.1751656280187984E-2</v>
      </c>
      <c r="R193">
        <f t="shared" si="78"/>
        <v>5.1358788056133024E-2</v>
      </c>
      <c r="T193">
        <v>1.81</v>
      </c>
      <c r="U193">
        <f t="shared" si="79"/>
        <v>2.3621319510654555</v>
      </c>
      <c r="V193">
        <f t="shared" si="80"/>
        <v>1.2936937883129664</v>
      </c>
      <c r="W193">
        <f t="shared" si="81"/>
        <v>12.732377388931665</v>
      </c>
      <c r="X193">
        <f t="shared" si="82"/>
        <v>-1.7152850569089724E-2</v>
      </c>
      <c r="Y193">
        <f t="shared" si="83"/>
        <v>-1.7067086316244272E-2</v>
      </c>
      <c r="Z193">
        <f t="shared" si="84"/>
        <v>-1.7067515137508506E-2</v>
      </c>
      <c r="AA193">
        <f t="shared" si="85"/>
        <v>-1.6982175417714639E-2</v>
      </c>
      <c r="AB193">
        <f t="shared" si="86"/>
        <v>-8.7210251971696056E-3</v>
      </c>
      <c r="AC193">
        <f t="shared" si="87"/>
        <v>-8.6120123822049852E-3</v>
      </c>
      <c r="AD193">
        <f t="shared" si="88"/>
        <v>-8.6133750423920442E-3</v>
      </c>
      <c r="AE193">
        <f t="shared" si="89"/>
        <v>-8.5056908211098067E-3</v>
      </c>
      <c r="AF193">
        <f t="shared" si="60"/>
        <v>5.1747751532518656E-2</v>
      </c>
      <c r="AG193">
        <f t="shared" si="61"/>
        <v>5.1747751532518656E-2</v>
      </c>
      <c r="AH193">
        <f t="shared" si="62"/>
        <v>5.1747751532518656E-2</v>
      </c>
      <c r="AI193">
        <f t="shared" si="63"/>
        <v>5.1747751532518656E-2</v>
      </c>
    </row>
    <row r="194" spans="1:35" x14ac:dyDescent="0.45">
      <c r="A194">
        <v>1.82</v>
      </c>
      <c r="B194">
        <f t="shared" si="64"/>
        <v>2.3301042755471442</v>
      </c>
      <c r="C194">
        <f t="shared" si="65"/>
        <v>1.2753420187373345</v>
      </c>
      <c r="D194">
        <f t="shared" si="66"/>
        <v>12.789107411431045</v>
      </c>
      <c r="E194">
        <f t="shared" si="67"/>
        <v>-1.6924332661784769</v>
      </c>
      <c r="F194">
        <f t="shared" si="68"/>
        <v>-0.85825077129619221</v>
      </c>
      <c r="G194">
        <f t="shared" si="69"/>
        <v>5.1013680749493382</v>
      </c>
      <c r="I194">
        <v>1.82</v>
      </c>
      <c r="J194">
        <f t="shared" si="70"/>
        <v>2.3514448340038356</v>
      </c>
      <c r="K194">
        <f t="shared" si="71"/>
        <v>1.2852558842960191</v>
      </c>
      <c r="L194">
        <f t="shared" si="72"/>
        <v>12.770431654428119</v>
      </c>
      <c r="M194">
        <f t="shared" si="73"/>
        <v>-1.7088168918558262E-2</v>
      </c>
      <c r="N194">
        <f t="shared" si="74"/>
        <v>-1.6753450972599185E-2</v>
      </c>
      <c r="O194">
        <f t="shared" si="75"/>
        <v>-8.616948767362121E-3</v>
      </c>
      <c r="P194">
        <f t="shared" si="76"/>
        <v>-8.3670839937778664E-3</v>
      </c>
      <c r="Q194">
        <f t="shared" si="77"/>
        <v>5.1410235371840765E-2</v>
      </c>
      <c r="R194">
        <f t="shared" si="78"/>
        <v>5.1013680749493383E-2</v>
      </c>
      <c r="T194">
        <v>1.82</v>
      </c>
      <c r="U194">
        <f t="shared" si="79"/>
        <v>2.3450645795830707</v>
      </c>
      <c r="V194">
        <f t="shared" si="80"/>
        <v>1.2850808731683876</v>
      </c>
      <c r="W194">
        <f t="shared" si="81"/>
        <v>12.784125140464184</v>
      </c>
      <c r="X194">
        <f t="shared" si="82"/>
        <v>-1.702524142998877E-2</v>
      </c>
      <c r="Y194">
        <f t="shared" si="83"/>
        <v>-1.6940115222838822E-2</v>
      </c>
      <c r="Z194">
        <f t="shared" si="84"/>
        <v>-1.6940540853874572E-2</v>
      </c>
      <c r="AA194">
        <f t="shared" si="85"/>
        <v>-1.6855836021450025E-2</v>
      </c>
      <c r="AB194">
        <f t="shared" si="86"/>
        <v>-8.6763760333789831E-3</v>
      </c>
      <c r="AC194">
        <f t="shared" si="87"/>
        <v>-8.5679213329617459E-3</v>
      </c>
      <c r="AD194">
        <f t="shared" si="88"/>
        <v>-8.5692770167169613E-3</v>
      </c>
      <c r="AE194">
        <f t="shared" si="89"/>
        <v>-8.4621441079610581E-3</v>
      </c>
      <c r="AF194">
        <f t="shared" si="60"/>
        <v>5.1403234926735507E-2</v>
      </c>
      <c r="AG194">
        <f t="shared" si="61"/>
        <v>5.1403234926735507E-2</v>
      </c>
      <c r="AH194">
        <f t="shared" si="62"/>
        <v>5.1403234926735507E-2</v>
      </c>
      <c r="AI194">
        <f t="shared" si="63"/>
        <v>5.1403234926735507E-2</v>
      </c>
    </row>
    <row r="195" spans="1:35" x14ac:dyDescent="0.45">
      <c r="A195">
        <v>1.83</v>
      </c>
      <c r="B195">
        <f t="shared" si="64"/>
        <v>2.3131799428853594</v>
      </c>
      <c r="C195">
        <f t="shared" si="65"/>
        <v>1.2667595110243726</v>
      </c>
      <c r="D195">
        <f t="shared" si="66"/>
        <v>12.840121092180539</v>
      </c>
      <c r="E195">
        <f t="shared" si="67"/>
        <v>-1.6798001873731732</v>
      </c>
      <c r="F195">
        <f t="shared" si="68"/>
        <v>-0.85371883467557197</v>
      </c>
      <c r="G195">
        <f t="shared" si="69"/>
        <v>5.0670380440974903</v>
      </c>
      <c r="I195">
        <v>1.83</v>
      </c>
      <c r="J195">
        <f t="shared" si="70"/>
        <v>2.3345240240582568</v>
      </c>
      <c r="K195">
        <f t="shared" si="71"/>
        <v>1.2767638679154492</v>
      </c>
      <c r="L195">
        <f t="shared" si="72"/>
        <v>12.821643612488787</v>
      </c>
      <c r="M195">
        <f t="shared" si="73"/>
        <v>-1.6961420901005324E-2</v>
      </c>
      <c r="N195">
        <f t="shared" si="74"/>
        <v>-1.6628387664721678E-2</v>
      </c>
      <c r="O195">
        <f t="shared" si="75"/>
        <v>-8.5738564573036614E-3</v>
      </c>
      <c r="P195">
        <f t="shared" si="76"/>
        <v>-8.3228419353231289E-3</v>
      </c>
      <c r="Q195">
        <f t="shared" si="77"/>
        <v>5.107055471661797E-2</v>
      </c>
      <c r="R195">
        <f t="shared" si="78"/>
        <v>5.0670380440974903E-2</v>
      </c>
      <c r="T195">
        <v>1.83</v>
      </c>
      <c r="U195">
        <f t="shared" si="79"/>
        <v>2.3281241813155931</v>
      </c>
      <c r="V195">
        <f t="shared" si="80"/>
        <v>1.2765120536949379</v>
      </c>
      <c r="W195">
        <f t="shared" si="81"/>
        <v>12.83552837539092</v>
      </c>
      <c r="X195">
        <f t="shared" si="82"/>
        <v>-1.6898681544681243E-2</v>
      </c>
      <c r="Y195">
        <f t="shared" si="83"/>
        <v>-1.6814188136957835E-2</v>
      </c>
      <c r="Z195">
        <f t="shared" si="84"/>
        <v>-1.6814610603996454E-2</v>
      </c>
      <c r="AA195">
        <f t="shared" si="85"/>
        <v>-1.6730535438641277E-2</v>
      </c>
      <c r="AB195">
        <f t="shared" si="86"/>
        <v>-8.6315595292175157E-3</v>
      </c>
      <c r="AC195">
        <f t="shared" si="87"/>
        <v>-8.5236650351022993E-3</v>
      </c>
      <c r="AD195">
        <f t="shared" si="88"/>
        <v>-8.5250137162787374E-3</v>
      </c>
      <c r="AE195">
        <f t="shared" si="89"/>
        <v>-8.418434186310551E-3</v>
      </c>
      <c r="AF195">
        <f t="shared" si="60"/>
        <v>5.1060482147797515E-2</v>
      </c>
      <c r="AG195">
        <f t="shared" si="61"/>
        <v>5.1060482147797515E-2</v>
      </c>
      <c r="AH195">
        <f t="shared" si="62"/>
        <v>5.1060482147797515E-2</v>
      </c>
      <c r="AI195">
        <f t="shared" si="63"/>
        <v>5.1060482147797515E-2</v>
      </c>
    </row>
    <row r="196" spans="1:35" x14ac:dyDescent="0.45">
      <c r="A196">
        <v>1.84</v>
      </c>
      <c r="B196">
        <f t="shared" si="64"/>
        <v>2.2963819410116275</v>
      </c>
      <c r="C196">
        <f t="shared" si="65"/>
        <v>1.2582223226776168</v>
      </c>
      <c r="D196">
        <f t="shared" si="66"/>
        <v>12.890791472621514</v>
      </c>
      <c r="E196">
        <f t="shared" si="67"/>
        <v>-1.667270779672819</v>
      </c>
      <c r="F196">
        <f t="shared" si="68"/>
        <v>-0.8491738656824146</v>
      </c>
      <c r="G196">
        <f t="shared" si="69"/>
        <v>5.0328892907104672</v>
      </c>
      <c r="I196">
        <v>1.84</v>
      </c>
      <c r="J196">
        <f t="shared" si="70"/>
        <v>2.3177291197753931</v>
      </c>
      <c r="K196">
        <f t="shared" si="71"/>
        <v>1.2683155187191357</v>
      </c>
      <c r="L196">
        <f t="shared" si="72"/>
        <v>12.872514080067583</v>
      </c>
      <c r="M196">
        <f t="shared" si="73"/>
        <v>-1.6835713604158253E-2</v>
      </c>
      <c r="N196">
        <f t="shared" si="74"/>
        <v>-1.6504350660686607E-2</v>
      </c>
      <c r="O196">
        <f t="shared" si="75"/>
        <v>-8.530596770224462E-3</v>
      </c>
      <c r="P196">
        <f t="shared" si="76"/>
        <v>-8.278473737568532E-3</v>
      </c>
      <c r="Q196">
        <f t="shared" si="77"/>
        <v>5.0732620748765431E-2</v>
      </c>
      <c r="R196">
        <f t="shared" si="78"/>
        <v>5.0328892907104676E-2</v>
      </c>
      <c r="T196">
        <v>1.84</v>
      </c>
      <c r="U196">
        <f t="shared" si="79"/>
        <v>2.3113097122380544</v>
      </c>
      <c r="V196">
        <f t="shared" si="80"/>
        <v>1.2679874951585561</v>
      </c>
      <c r="W196">
        <f t="shared" si="81"/>
        <v>12.886588857538717</v>
      </c>
      <c r="X196">
        <f t="shared" si="82"/>
        <v>-1.6773159646587762E-2</v>
      </c>
      <c r="Y196">
        <f t="shared" si="83"/>
        <v>-1.6689293848354821E-2</v>
      </c>
      <c r="Z196">
        <f t="shared" si="84"/>
        <v>-1.6689713177345987E-2</v>
      </c>
      <c r="AA196">
        <f t="shared" si="85"/>
        <v>-1.6606262514814302E-2</v>
      </c>
      <c r="AB196">
        <f t="shared" si="86"/>
        <v>-8.5865902565833603E-3</v>
      </c>
      <c r="AC196">
        <f t="shared" si="87"/>
        <v>-8.4792578783760685E-3</v>
      </c>
      <c r="AD196">
        <f t="shared" si="88"/>
        <v>-8.480599533103662E-3</v>
      </c>
      <c r="AE196">
        <f t="shared" si="89"/>
        <v>-8.3745752682557687E-3</v>
      </c>
      <c r="AF196">
        <f t="shared" si="60"/>
        <v>5.0719499806342244E-2</v>
      </c>
      <c r="AG196">
        <f t="shared" si="61"/>
        <v>5.0719499806342244E-2</v>
      </c>
      <c r="AH196">
        <f t="shared" si="62"/>
        <v>5.0719499806342244E-2</v>
      </c>
      <c r="AI196">
        <f t="shared" si="63"/>
        <v>5.0719499806342244E-2</v>
      </c>
    </row>
    <row r="197" spans="1:35" x14ac:dyDescent="0.45">
      <c r="A197">
        <v>1.85</v>
      </c>
      <c r="B197">
        <f t="shared" si="64"/>
        <v>2.2797092332148994</v>
      </c>
      <c r="C197">
        <f t="shared" si="65"/>
        <v>1.2497305840207926</v>
      </c>
      <c r="D197">
        <f t="shared" si="66"/>
        <v>12.941120365528619</v>
      </c>
      <c r="E197">
        <f t="shared" si="67"/>
        <v>-1.6548439412045031</v>
      </c>
      <c r="F197">
        <f t="shared" si="68"/>
        <v>-0.84461722683708218</v>
      </c>
      <c r="G197">
        <f t="shared" si="69"/>
        <v>4.9989223360831705</v>
      </c>
      <c r="I197">
        <v>1.85</v>
      </c>
      <c r="J197">
        <f t="shared" si="70"/>
        <v>2.3010590876429706</v>
      </c>
      <c r="K197">
        <f t="shared" si="71"/>
        <v>1.2599109834652393</v>
      </c>
      <c r="L197">
        <f t="shared" si="72"/>
        <v>12.923044836895519</v>
      </c>
      <c r="M197">
        <f t="shared" si="73"/>
        <v>-1.6711035959103508E-2</v>
      </c>
      <c r="N197">
        <f t="shared" si="74"/>
        <v>-1.6381329052453996E-2</v>
      </c>
      <c r="O197">
        <f t="shared" si="75"/>
        <v>-8.4871837102012786E-3</v>
      </c>
      <c r="P197">
        <f t="shared" si="76"/>
        <v>-8.2339926756157932E-3</v>
      </c>
      <c r="Q197">
        <f t="shared" si="77"/>
        <v>5.0396439338609572E-2</v>
      </c>
      <c r="R197">
        <f t="shared" si="78"/>
        <v>4.9989223360831704E-2</v>
      </c>
      <c r="T197">
        <v>1.85</v>
      </c>
      <c r="U197">
        <f t="shared" si="79"/>
        <v>2.2946201395359203</v>
      </c>
      <c r="V197">
        <f t="shared" si="80"/>
        <v>1.259507348433923</v>
      </c>
      <c r="W197">
        <f t="shared" si="81"/>
        <v>12.93730835734506</v>
      </c>
      <c r="X197">
        <f t="shared" si="82"/>
        <v>-1.664866465318959E-2</v>
      </c>
      <c r="Y197">
        <f t="shared" si="83"/>
        <v>-1.6565421329923641E-2</v>
      </c>
      <c r="Z197">
        <f t="shared" si="84"/>
        <v>-1.6565837546539969E-2</v>
      </c>
      <c r="AA197">
        <f t="shared" si="85"/>
        <v>-1.6483006277724189E-2</v>
      </c>
      <c r="AB197">
        <f t="shared" si="86"/>
        <v>-8.5414823154888707E-3</v>
      </c>
      <c r="AC197">
        <f t="shared" si="87"/>
        <v>-8.4347137865452611E-3</v>
      </c>
      <c r="AD197">
        <f t="shared" si="88"/>
        <v>-8.4360483931570571E-3</v>
      </c>
      <c r="AE197">
        <f t="shared" si="89"/>
        <v>-8.3305811056599444E-3</v>
      </c>
      <c r="AF197">
        <f t="shared" si="60"/>
        <v>5.0380293937356921E-2</v>
      </c>
      <c r="AG197">
        <f t="shared" si="61"/>
        <v>5.0380293937356921E-2</v>
      </c>
      <c r="AH197">
        <f t="shared" si="62"/>
        <v>5.0380293937356921E-2</v>
      </c>
      <c r="AI197">
        <f t="shared" si="63"/>
        <v>5.0380293937356921E-2</v>
      </c>
    </row>
    <row r="198" spans="1:35" x14ac:dyDescent="0.45">
      <c r="A198">
        <v>1.86</v>
      </c>
      <c r="B198">
        <f t="shared" si="64"/>
        <v>2.2631607938028542</v>
      </c>
      <c r="C198">
        <f t="shared" si="65"/>
        <v>1.2412844117524218</v>
      </c>
      <c r="D198">
        <f t="shared" si="66"/>
        <v>12.991109588889451</v>
      </c>
      <c r="E198">
        <f t="shared" si="67"/>
        <v>-1.6425185879266433</v>
      </c>
      <c r="F198">
        <f t="shared" si="68"/>
        <v>-0.84005023557820024</v>
      </c>
      <c r="G198">
        <f t="shared" si="69"/>
        <v>4.9651376470096871</v>
      </c>
      <c r="I198">
        <v>1.86</v>
      </c>
      <c r="J198">
        <f t="shared" si="70"/>
        <v>2.2845129051371917</v>
      </c>
      <c r="K198">
        <f t="shared" si="71"/>
        <v>1.2515503952723308</v>
      </c>
      <c r="L198">
        <f t="shared" si="72"/>
        <v>12.97323766824524</v>
      </c>
      <c r="M198">
        <f t="shared" si="73"/>
        <v>-1.6587377075010262E-2</v>
      </c>
      <c r="N198">
        <f t="shared" si="74"/>
        <v>-1.6259312108516329E-2</v>
      </c>
      <c r="O198">
        <f t="shared" si="75"/>
        <v>-8.4436308304363522E-3</v>
      </c>
      <c r="P198">
        <f t="shared" si="76"/>
        <v>-8.1894115850210929E-3</v>
      </c>
      <c r="Q198">
        <f t="shared" si="77"/>
        <v>5.0062015810893236E-2</v>
      </c>
      <c r="R198">
        <f t="shared" si="78"/>
        <v>4.9651376470096875E-2</v>
      </c>
      <c r="T198">
        <v>1.86</v>
      </c>
      <c r="U198">
        <f t="shared" si="79"/>
        <v>2.2780544414219466</v>
      </c>
      <c r="V198">
        <f t="shared" si="80"/>
        <v>1.2510717504704973</v>
      </c>
      <c r="W198">
        <f t="shared" si="81"/>
        <v>12.987688651282417</v>
      </c>
      <c r="X198">
        <f t="shared" si="82"/>
        <v>-1.6525185661866979E-2</v>
      </c>
      <c r="Y198">
        <f t="shared" si="83"/>
        <v>-1.6442559733557644E-2</v>
      </c>
      <c r="Z198">
        <f t="shared" si="84"/>
        <v>-1.6442972863199189E-2</v>
      </c>
      <c r="AA198">
        <f t="shared" si="85"/>
        <v>-1.6360755933234987E-2</v>
      </c>
      <c r="AB198">
        <f t="shared" si="86"/>
        <v>-8.4962493475429675E-3</v>
      </c>
      <c r="AC198">
        <f t="shared" si="87"/>
        <v>-8.3900462306986789E-3</v>
      </c>
      <c r="AD198">
        <f t="shared" si="88"/>
        <v>-8.3913737696592345E-3</v>
      </c>
      <c r="AE198">
        <f t="shared" si="89"/>
        <v>-8.2864650033014874E-3</v>
      </c>
      <c r="AF198">
        <f t="shared" si="60"/>
        <v>5.0042870018819893E-2</v>
      </c>
      <c r="AG198">
        <f t="shared" si="61"/>
        <v>5.0042870018819893E-2</v>
      </c>
      <c r="AH198">
        <f t="shared" si="62"/>
        <v>5.0042870018819893E-2</v>
      </c>
      <c r="AI198">
        <f t="shared" si="63"/>
        <v>5.0042870018819893E-2</v>
      </c>
    </row>
    <row r="199" spans="1:35" x14ac:dyDescent="0.45">
      <c r="A199">
        <v>1.87</v>
      </c>
      <c r="B199">
        <f t="shared" si="64"/>
        <v>2.2467356079235876</v>
      </c>
      <c r="C199">
        <f t="shared" si="65"/>
        <v>1.2328839093966397</v>
      </c>
      <c r="D199">
        <f t="shared" si="66"/>
        <v>13.040760965359548</v>
      </c>
      <c r="E199">
        <f t="shared" si="67"/>
        <v>-1.6302936532252676</v>
      </c>
      <c r="F199">
        <f t="shared" si="68"/>
        <v>-0.8354741655680118</v>
      </c>
      <c r="G199">
        <f t="shared" si="69"/>
        <v>4.9315356375865589</v>
      </c>
      <c r="I199">
        <v>1.87</v>
      </c>
      <c r="J199">
        <f t="shared" si="70"/>
        <v>2.2680895605454285</v>
      </c>
      <c r="K199">
        <f t="shared" si="71"/>
        <v>1.2432338740646021</v>
      </c>
      <c r="L199">
        <f t="shared" si="72"/>
        <v>13.023094364385734</v>
      </c>
      <c r="M199">
        <f t="shared" si="73"/>
        <v>-1.6464726235131275E-2</v>
      </c>
      <c r="N199">
        <f t="shared" si="74"/>
        <v>-1.6138289269901365E-2</v>
      </c>
      <c r="O199">
        <f t="shared" si="75"/>
        <v>-8.3999512461607664E-3</v>
      </c>
      <c r="P199">
        <f t="shared" si="76"/>
        <v>-8.1447428745260991E-3</v>
      </c>
      <c r="Q199">
        <f t="shared" si="77"/>
        <v>4.9729354962584085E-2</v>
      </c>
      <c r="R199">
        <f t="shared" si="78"/>
        <v>4.9315356375865593E-2</v>
      </c>
      <c r="T199">
        <v>1.87</v>
      </c>
      <c r="U199">
        <f t="shared" si="79"/>
        <v>2.2616116069571772</v>
      </c>
      <c r="V199">
        <f t="shared" si="80"/>
        <v>1.2426808247452372</v>
      </c>
      <c r="W199">
        <f t="shared" si="81"/>
        <v>13.037731521301236</v>
      </c>
      <c r="X199">
        <f t="shared" si="82"/>
        <v>-1.6402711945845586E-2</v>
      </c>
      <c r="Y199">
        <f t="shared" si="83"/>
        <v>-1.6320698386116356E-2</v>
      </c>
      <c r="Z199">
        <f t="shared" si="84"/>
        <v>-1.6321108453915004E-2</v>
      </c>
      <c r="AA199">
        <f t="shared" si="85"/>
        <v>-1.6239500861306433E-2</v>
      </c>
      <c r="AB199">
        <f t="shared" si="86"/>
        <v>-8.4509045490591597E-3</v>
      </c>
      <c r="AC199">
        <f t="shared" si="87"/>
        <v>-8.3452682421959207E-3</v>
      </c>
      <c r="AD199">
        <f t="shared" si="88"/>
        <v>-8.34658869603171E-3</v>
      </c>
      <c r="AE199">
        <f t="shared" si="89"/>
        <v>-8.2422398316583673E-3</v>
      </c>
      <c r="AF199">
        <f t="shared" si="60"/>
        <v>4.9707232989809488E-2</v>
      </c>
      <c r="AG199">
        <f t="shared" si="61"/>
        <v>4.9707232989809488E-2</v>
      </c>
      <c r="AH199">
        <f t="shared" si="62"/>
        <v>4.9707232989809488E-2</v>
      </c>
      <c r="AI199">
        <f t="shared" si="63"/>
        <v>4.9707232989809488E-2</v>
      </c>
    </row>
    <row r="200" spans="1:35" x14ac:dyDescent="0.45">
      <c r="A200">
        <v>1.88</v>
      </c>
      <c r="B200">
        <f t="shared" si="64"/>
        <v>2.2304326713913349</v>
      </c>
      <c r="C200">
        <f t="shared" si="65"/>
        <v>1.2245291677409595</v>
      </c>
      <c r="D200">
        <f t="shared" si="66"/>
        <v>13.090076321735413</v>
      </c>
      <c r="E200">
        <f t="shared" si="67"/>
        <v>-1.6181680875208553</v>
      </c>
      <c r="F200">
        <f t="shared" si="68"/>
        <v>-0.83089024796106381</v>
      </c>
      <c r="G200">
        <f t="shared" si="69"/>
        <v>4.8981166709638382</v>
      </c>
      <c r="I200">
        <v>1.88</v>
      </c>
      <c r="J200">
        <f t="shared" si="70"/>
        <v>2.2517880527929122</v>
      </c>
      <c r="K200">
        <f t="shared" si="71"/>
        <v>1.2349615270042587</v>
      </c>
      <c r="L200">
        <f t="shared" si="72"/>
        <v>13.07261672005496</v>
      </c>
      <c r="M200">
        <f t="shared" si="73"/>
        <v>-1.6343072892907828E-2</v>
      </c>
      <c r="N200">
        <f t="shared" si="74"/>
        <v>-1.6018250146279476E-2</v>
      </c>
      <c r="O200">
        <f t="shared" si="75"/>
        <v>-8.3561576471773442E-3</v>
      </c>
      <c r="P200">
        <f t="shared" si="76"/>
        <v>-8.0999985384312065E-3</v>
      </c>
      <c r="Q200">
        <f t="shared" si="77"/>
        <v>4.9398461080170347E-2</v>
      </c>
      <c r="R200">
        <f t="shared" si="78"/>
        <v>4.8981166709638382E-2</v>
      </c>
      <c r="T200">
        <v>1.88</v>
      </c>
      <c r="U200">
        <f t="shared" si="79"/>
        <v>2.2452906358759748</v>
      </c>
      <c r="V200">
        <f t="shared" si="80"/>
        <v>1.234334681702375</v>
      </c>
      <c r="W200">
        <f t="shared" si="81"/>
        <v>13.087438754291046</v>
      </c>
      <c r="X200">
        <f t="shared" si="82"/>
        <v>-1.6281232950247873E-2</v>
      </c>
      <c r="Y200">
        <f t="shared" si="83"/>
        <v>-1.6199826785496634E-2</v>
      </c>
      <c r="Z200">
        <f t="shared" si="84"/>
        <v>-1.6200233816320391E-2</v>
      </c>
      <c r="AA200">
        <f t="shared" si="85"/>
        <v>-1.6119230612084666E-2</v>
      </c>
      <c r="AB200">
        <f t="shared" si="86"/>
        <v>-8.405460683799628E-3</v>
      </c>
      <c r="AC200">
        <f t="shared" si="87"/>
        <v>-8.3003924252521306E-3</v>
      </c>
      <c r="AD200">
        <f t="shared" si="88"/>
        <v>-8.3017057784839782E-3</v>
      </c>
      <c r="AE200">
        <f t="shared" si="89"/>
        <v>-8.1979180393375282E-3</v>
      </c>
      <c r="AF200">
        <f t="shared" si="60"/>
        <v>4.9373387268095002E-2</v>
      </c>
      <c r="AG200">
        <f t="shared" si="61"/>
        <v>4.9373387268095002E-2</v>
      </c>
      <c r="AH200">
        <f t="shared" si="62"/>
        <v>4.9373387268095002E-2</v>
      </c>
      <c r="AI200">
        <f t="shared" si="63"/>
        <v>4.9373387268095002E-2</v>
      </c>
    </row>
    <row r="201" spans="1:35" x14ac:dyDescent="0.45">
      <c r="A201">
        <v>1.89</v>
      </c>
      <c r="B201">
        <f t="shared" si="64"/>
        <v>2.2142509905161263</v>
      </c>
      <c r="C201">
        <f t="shared" si="65"/>
        <v>1.216220265261349</v>
      </c>
      <c r="D201">
        <f t="shared" si="66"/>
        <v>13.139057488445051</v>
      </c>
      <c r="E201">
        <f t="shared" si="67"/>
        <v>-1.6061408578854519</v>
      </c>
      <c r="F201">
        <f t="shared" si="68"/>
        <v>-0.82629967263724602</v>
      </c>
      <c r="G201">
        <f t="shared" si="69"/>
        <v>4.8648810610453959</v>
      </c>
      <c r="I201">
        <v>1.89</v>
      </c>
      <c r="J201">
        <f t="shared" si="70"/>
        <v>2.2356073912733185</v>
      </c>
      <c r="K201">
        <f t="shared" si="71"/>
        <v>1.2267334489114543</v>
      </c>
      <c r="L201">
        <f t="shared" si="72"/>
        <v>13.121806533949863</v>
      </c>
      <c r="M201">
        <f t="shared" si="73"/>
        <v>-1.6222406668175916E-2</v>
      </c>
      <c r="N201">
        <f t="shared" si="74"/>
        <v>-1.5899184512172759E-2</v>
      </c>
      <c r="O201">
        <f t="shared" si="75"/>
        <v>-8.3122623100531715E-3</v>
      </c>
      <c r="P201">
        <f t="shared" si="76"/>
        <v>-8.0551901686211329E-3</v>
      </c>
      <c r="Q201">
        <f t="shared" si="77"/>
        <v>4.9069337956458174E-2</v>
      </c>
      <c r="R201">
        <f t="shared" si="78"/>
        <v>4.8648810610453959E-2</v>
      </c>
      <c r="T201">
        <v>1.89</v>
      </c>
      <c r="U201">
        <f t="shared" si="79"/>
        <v>2.2290905384149804</v>
      </c>
      <c r="V201">
        <f t="shared" si="80"/>
        <v>1.2260334191806068</v>
      </c>
      <c r="W201">
        <f t="shared" si="81"/>
        <v>13.13681214155914</v>
      </c>
      <c r="X201">
        <f t="shared" si="82"/>
        <v>-1.6160738288246771E-2</v>
      </c>
      <c r="Y201">
        <f t="shared" si="83"/>
        <v>-1.6079934596805536E-2</v>
      </c>
      <c r="Z201">
        <f t="shared" si="84"/>
        <v>-1.6080338615262743E-2</v>
      </c>
      <c r="AA201">
        <f t="shared" si="85"/>
        <v>-1.5999934902094143E-2</v>
      </c>
      <c r="AB201">
        <f t="shared" si="86"/>
        <v>-8.3599300953653664E-3</v>
      </c>
      <c r="AC201">
        <f t="shared" si="87"/>
        <v>-8.2554309691733035E-3</v>
      </c>
      <c r="AD201">
        <f t="shared" si="88"/>
        <v>-8.2567372082506998E-3</v>
      </c>
      <c r="AE201">
        <f t="shared" si="89"/>
        <v>-8.1535116651590984E-3</v>
      </c>
      <c r="AF201">
        <f t="shared" si="60"/>
        <v>4.9041336767224275E-2</v>
      </c>
      <c r="AG201">
        <f t="shared" si="61"/>
        <v>4.9041336767224275E-2</v>
      </c>
      <c r="AH201">
        <f t="shared" si="62"/>
        <v>4.9041336767224275E-2</v>
      </c>
      <c r="AI201">
        <f t="shared" si="63"/>
        <v>4.9041336767224275E-2</v>
      </c>
    </row>
    <row r="202" spans="1:35" x14ac:dyDescent="0.45">
      <c r="A202">
        <v>1.9</v>
      </c>
      <c r="B202">
        <f t="shared" si="64"/>
        <v>2.1981895819372719</v>
      </c>
      <c r="C202">
        <f t="shared" si="65"/>
        <v>1.2079572685349764</v>
      </c>
      <c r="D202">
        <f t="shared" si="66"/>
        <v>13.187706299055504</v>
      </c>
      <c r="E202">
        <f t="shared" si="67"/>
        <v>-1.5942109476697837</v>
      </c>
      <c r="F202">
        <f t="shared" si="68"/>
        <v>-0.82170358940016919</v>
      </c>
      <c r="G202">
        <f t="shared" si="69"/>
        <v>4.8318290741399057</v>
      </c>
      <c r="I202">
        <v>1.9</v>
      </c>
      <c r="J202">
        <f t="shared" si="70"/>
        <v>2.2195465956831444</v>
      </c>
      <c r="K202">
        <f t="shared" si="71"/>
        <v>1.2185497226721171</v>
      </c>
      <c r="L202">
        <f t="shared" si="72"/>
        <v>13.170665608233319</v>
      </c>
      <c r="M202">
        <f t="shared" si="73"/>
        <v>-1.6102717343470858E-2</v>
      </c>
      <c r="N202">
        <f t="shared" si="74"/>
        <v>-1.5781082303263128E-2</v>
      </c>
      <c r="O202">
        <f t="shared" si="75"/>
        <v>-8.2682771099714843E-3</v>
      </c>
      <c r="P202">
        <f t="shared" si="76"/>
        <v>-8.0103289662524033E-3</v>
      </c>
      <c r="Q202">
        <f t="shared" si="77"/>
        <v>4.8741988906884685E-2</v>
      </c>
      <c r="R202">
        <f t="shared" si="78"/>
        <v>4.831829074139906E-2</v>
      </c>
      <c r="T202">
        <v>1.9</v>
      </c>
      <c r="U202">
        <f t="shared" si="79"/>
        <v>2.213010335145901</v>
      </c>
      <c r="V202">
        <f t="shared" si="80"/>
        <v>1.2177771228280447</v>
      </c>
      <c r="W202">
        <f t="shared" si="81"/>
        <v>13.185853478326365</v>
      </c>
      <c r="X202">
        <f t="shared" si="82"/>
        <v>-1.6041217737318786E-2</v>
      </c>
      <c r="Y202">
        <f t="shared" si="83"/>
        <v>-1.5961011648632194E-2</v>
      </c>
      <c r="Z202">
        <f t="shared" si="84"/>
        <v>-1.5961412679075627E-2</v>
      </c>
      <c r="AA202">
        <f t="shared" si="85"/>
        <v>-1.5881603610528032E-2</v>
      </c>
      <c r="AB202">
        <f t="shared" si="86"/>
        <v>-8.3143247192421083E-3</v>
      </c>
      <c r="AC202">
        <f t="shared" si="87"/>
        <v>-8.2103956602515814E-3</v>
      </c>
      <c r="AD202">
        <f t="shared" si="88"/>
        <v>-8.2116947734889624E-3</v>
      </c>
      <c r="AE202">
        <f t="shared" si="89"/>
        <v>-8.109032349904885E-3</v>
      </c>
      <c r="AF202">
        <f t="shared" si="60"/>
        <v>4.8711084913121788E-2</v>
      </c>
      <c r="AG202">
        <f t="shared" si="61"/>
        <v>4.8711084913121788E-2</v>
      </c>
      <c r="AH202">
        <f t="shared" si="62"/>
        <v>4.8711084913121788E-2</v>
      </c>
      <c r="AI202">
        <f t="shared" si="63"/>
        <v>4.8711084913121788E-2</v>
      </c>
    </row>
    <row r="203" spans="1:35" x14ac:dyDescent="0.45">
      <c r="A203">
        <v>1.91</v>
      </c>
      <c r="B203">
        <f t="shared" si="64"/>
        <v>2.182247472460574</v>
      </c>
      <c r="C203">
        <f t="shared" si="65"/>
        <v>1.1997402326409747</v>
      </c>
      <c r="D203">
        <f t="shared" si="66"/>
        <v>13.236024589796903</v>
      </c>
      <c r="E203">
        <f t="shared" si="67"/>
        <v>-1.5823773561400867</v>
      </c>
      <c r="F203">
        <f t="shared" si="68"/>
        <v>-0.81710310914186279</v>
      </c>
      <c r="G203">
        <f t="shared" si="69"/>
        <v>4.7989609305638989</v>
      </c>
      <c r="I203">
        <v>1.91</v>
      </c>
      <c r="J203">
        <f t="shared" si="70"/>
        <v>2.2036046958597773</v>
      </c>
      <c r="K203">
        <f t="shared" si="71"/>
        <v>1.2104104196340053</v>
      </c>
      <c r="L203">
        <f t="shared" si="72"/>
        <v>13.21919574805746</v>
      </c>
      <c r="M203">
        <f t="shared" si="73"/>
        <v>-1.5983994860427748E-2</v>
      </c>
      <c r="N203">
        <f t="shared" si="74"/>
        <v>-1.5663933612796589E-2</v>
      </c>
      <c r="O203">
        <f t="shared" si="75"/>
        <v>-8.2242135322523596E-3</v>
      </c>
      <c r="P203">
        <f t="shared" si="76"/>
        <v>-7.9654257531123207E-3</v>
      </c>
      <c r="Q203">
        <f t="shared" si="77"/>
        <v>4.8416416785360211E-2</v>
      </c>
      <c r="R203">
        <f t="shared" si="78"/>
        <v>4.7989609305638989E-2</v>
      </c>
      <c r="T203">
        <v>1.91</v>
      </c>
      <c r="U203">
        <f t="shared" si="79"/>
        <v>2.1970490568120238</v>
      </c>
      <c r="V203">
        <f t="shared" si="80"/>
        <v>1.2095658665052733</v>
      </c>
      <c r="W203">
        <f t="shared" si="81"/>
        <v>13.234564563239486</v>
      </c>
      <c r="X203">
        <f t="shared" si="82"/>
        <v>-1.5922661235593872E-2</v>
      </c>
      <c r="Y203">
        <f t="shared" si="83"/>
        <v>-1.5843047929415901E-2</v>
      </c>
      <c r="Z203">
        <f t="shared" si="84"/>
        <v>-1.5843445995946791E-2</v>
      </c>
      <c r="AA203">
        <f t="shared" si="85"/>
        <v>-1.5764226775634403E-2</v>
      </c>
      <c r="AB203">
        <f t="shared" si="86"/>
        <v>-8.2686560945115957E-3</v>
      </c>
      <c r="AC203">
        <f t="shared" si="87"/>
        <v>-8.1652978933301999E-3</v>
      </c>
      <c r="AD203">
        <f t="shared" si="88"/>
        <v>-8.1665898708449709E-3</v>
      </c>
      <c r="AE203">
        <f t="shared" si="89"/>
        <v>-8.0644913477404719E-3</v>
      </c>
      <c r="AF203">
        <f t="shared" si="60"/>
        <v>4.8382634660210935E-2</v>
      </c>
      <c r="AG203">
        <f t="shared" si="61"/>
        <v>4.8382634660210935E-2</v>
      </c>
      <c r="AH203">
        <f t="shared" si="62"/>
        <v>4.8382634660210935E-2</v>
      </c>
      <c r="AI203">
        <f t="shared" si="63"/>
        <v>4.8382634660210935E-2</v>
      </c>
    </row>
    <row r="204" spans="1:35" x14ac:dyDescent="0.45">
      <c r="A204">
        <v>1.92</v>
      </c>
      <c r="B204">
        <f t="shared" si="64"/>
        <v>2.1664236988991732</v>
      </c>
      <c r="C204">
        <f t="shared" si="65"/>
        <v>1.191569201549556</v>
      </c>
      <c r="D204">
        <f t="shared" si="66"/>
        <v>13.284014199102542</v>
      </c>
      <c r="E204">
        <f t="shared" si="67"/>
        <v>-1.5706390981243952</v>
      </c>
      <c r="F204">
        <f t="shared" si="68"/>
        <v>-0.8124993049747169</v>
      </c>
      <c r="G204">
        <f t="shared" si="69"/>
        <v>4.7662768061982241</v>
      </c>
      <c r="I204">
        <v>1.92</v>
      </c>
      <c r="J204">
        <f t="shared" si="70"/>
        <v>2.1877807316231652</v>
      </c>
      <c r="K204">
        <f t="shared" si="71"/>
        <v>1.2023155999913229</v>
      </c>
      <c r="L204">
        <f t="shared" si="72"/>
        <v>13.26739876110296</v>
      </c>
      <c r="M204">
        <f t="shared" si="73"/>
        <v>-1.5866229316275036E-2</v>
      </c>
      <c r="N204">
        <f t="shared" si="74"/>
        <v>-1.55477286880812E-2</v>
      </c>
      <c r="O204">
        <f t="shared" si="75"/>
        <v>-8.1800826835514203E-3</v>
      </c>
      <c r="P204">
        <f t="shared" si="76"/>
        <v>-7.920490982658384E-3</v>
      </c>
      <c r="Q204">
        <f t="shared" si="77"/>
        <v>4.8092623999652917E-2</v>
      </c>
      <c r="R204">
        <f t="shared" si="78"/>
        <v>4.766276806198224E-2</v>
      </c>
      <c r="T204">
        <v>1.92</v>
      </c>
      <c r="U204">
        <f t="shared" si="79"/>
        <v>2.181205744168365</v>
      </c>
      <c r="V204">
        <f t="shared" si="80"/>
        <v>1.2013997126768396</v>
      </c>
      <c r="W204">
        <f t="shared" si="81"/>
        <v>13.282947197899697</v>
      </c>
      <c r="X204">
        <f t="shared" si="82"/>
        <v>-1.5805058878299451E-2</v>
      </c>
      <c r="Y204">
        <f t="shared" si="83"/>
        <v>-1.5726033583907954E-2</v>
      </c>
      <c r="Z204">
        <f t="shared" si="84"/>
        <v>-1.5726428710379912E-2</v>
      </c>
      <c r="AA204">
        <f t="shared" si="85"/>
        <v>-1.5647794591195651E-2</v>
      </c>
      <c r="AB204">
        <f t="shared" si="86"/>
        <v>-8.2229353752373419E-3</v>
      </c>
      <c r="AC204">
        <f t="shared" si="87"/>
        <v>-8.1201486830468766E-3</v>
      </c>
      <c r="AD204">
        <f t="shared" si="88"/>
        <v>-8.1214335166992589E-3</v>
      </c>
      <c r="AE204">
        <f t="shared" si="89"/>
        <v>-8.019899537319861E-3</v>
      </c>
      <c r="AF204">
        <f t="shared" si="60"/>
        <v>4.8055988507073585E-2</v>
      </c>
      <c r="AG204">
        <f t="shared" si="61"/>
        <v>4.8055988507073585E-2</v>
      </c>
      <c r="AH204">
        <f t="shared" si="62"/>
        <v>4.8055988507073585E-2</v>
      </c>
      <c r="AI204">
        <f t="shared" si="63"/>
        <v>4.8055988507073585E-2</v>
      </c>
    </row>
    <row r="205" spans="1:35" x14ac:dyDescent="0.45">
      <c r="A205">
        <v>1.93</v>
      </c>
      <c r="B205">
        <f t="shared" si="64"/>
        <v>2.1507173079179291</v>
      </c>
      <c r="C205">
        <f t="shared" si="65"/>
        <v>1.1834442084998089</v>
      </c>
      <c r="D205">
        <f t="shared" si="66"/>
        <v>13.331676967164524</v>
      </c>
      <c r="E205">
        <f t="shared" si="67"/>
        <v>-1.5589952036680246</v>
      </c>
      <c r="F205">
        <f t="shared" si="68"/>
        <v>-0.80789321333159325</v>
      </c>
      <c r="G205">
        <f t="shared" si="69"/>
        <v>4.7337768339992357</v>
      </c>
      <c r="I205">
        <v>1.93</v>
      </c>
      <c r="J205">
        <f t="shared" si="70"/>
        <v>2.172073752620987</v>
      </c>
      <c r="K205">
        <f t="shared" si="71"/>
        <v>1.1942653131582179</v>
      </c>
      <c r="L205">
        <f t="shared" si="72"/>
        <v>13.315276457133777</v>
      </c>
      <c r="M205">
        <f t="shared" si="73"/>
        <v>-1.5749410960418781E-2</v>
      </c>
      <c r="N205">
        <f t="shared" si="74"/>
        <v>-1.543245792707606E-2</v>
      </c>
      <c r="O205">
        <f t="shared" si="75"/>
        <v>-8.1358953027455792E-3</v>
      </c>
      <c r="P205">
        <f t="shared" si="76"/>
        <v>-7.8755347507472925E-3</v>
      </c>
      <c r="Q205">
        <f t="shared" si="77"/>
        <v>4.7770612526328721E-2</v>
      </c>
      <c r="R205">
        <f t="shared" si="78"/>
        <v>4.7337768339992356E-2</v>
      </c>
      <c r="T205">
        <v>1.93</v>
      </c>
      <c r="U205">
        <f t="shared" si="79"/>
        <v>2.1654794478253532</v>
      </c>
      <c r="V205">
        <f t="shared" si="80"/>
        <v>1.1932787127914981</v>
      </c>
      <c r="W205">
        <f t="shared" si="81"/>
        <v>13.33100318640677</v>
      </c>
      <c r="X205">
        <f t="shared" si="82"/>
        <v>-1.568840091429604E-2</v>
      </c>
      <c r="Y205">
        <f t="shared" si="83"/>
        <v>-1.560995890972456E-2</v>
      </c>
      <c r="Z205">
        <f t="shared" si="84"/>
        <v>-1.5610351119747418E-2</v>
      </c>
      <c r="AA205">
        <f t="shared" si="85"/>
        <v>-1.5532297403098565E-2</v>
      </c>
      <c r="AB205">
        <f t="shared" si="86"/>
        <v>-8.1771733415339203E-3</v>
      </c>
      <c r="AC205">
        <f t="shared" si="87"/>
        <v>-8.0749586747647477E-3</v>
      </c>
      <c r="AD205">
        <f t="shared" si="88"/>
        <v>-8.0762363580993632E-3</v>
      </c>
      <c r="AE205">
        <f t="shared" si="89"/>
        <v>-7.9752674325814388E-3</v>
      </c>
      <c r="AF205">
        <f t="shared" ref="AF205:AF212" si="90">0.01*2*$B$6*V205</f>
        <v>4.7731148511659924E-2</v>
      </c>
      <c r="AG205">
        <f t="shared" ref="AG205:AG212" si="91">0.01*(2*$B$6*V205)</f>
        <v>4.7731148511659924E-2</v>
      </c>
      <c r="AH205">
        <f t="shared" ref="AH205:AH212" si="92">0.01*(2*$B$6*V205)</f>
        <v>4.7731148511659924E-2</v>
      </c>
      <c r="AI205">
        <f t="shared" ref="AI205:AI212" si="93">0.01*(2*$B$6*V205)</f>
        <v>4.7731148511659924E-2</v>
      </c>
    </row>
    <row r="206" spans="1:35" x14ac:dyDescent="0.45">
      <c r="A206">
        <v>1.94</v>
      </c>
      <c r="B206">
        <f t="shared" ref="B206:B212" si="94">B205+0.01*E205</f>
        <v>2.1351273558812487</v>
      </c>
      <c r="C206">
        <f t="shared" ref="C206:C212" si="95">C205+0.01*F205</f>
        <v>1.175365276366493</v>
      </c>
      <c r="D206">
        <f t="shared" ref="D206:D212" si="96">D205+0.01*G205</f>
        <v>13.379014735504517</v>
      </c>
      <c r="E206">
        <f t="shared" ref="E206:E212" si="97">-$B$4*B206+$B$5*C206</f>
        <v>-1.5474447176980022</v>
      </c>
      <c r="F206">
        <f t="shared" ref="F206:F212" si="98">$B$4*B206-$B$5*C206-$B$6*C206</f>
        <v>-0.80328583503498385</v>
      </c>
      <c r="G206">
        <f t="shared" ref="G206:G212" si="99">2*$B$6*C206</f>
        <v>4.7014611054659721</v>
      </c>
      <c r="I206">
        <v>1.94</v>
      </c>
      <c r="J206">
        <f t="shared" ref="J206:J212" si="100">J205+0.5*(M205+N205)</f>
        <v>2.1564828181772397</v>
      </c>
      <c r="K206">
        <f t="shared" ref="K206:K212" si="101">K205+0.5*(O205+P205)</f>
        <v>1.1862595981314714</v>
      </c>
      <c r="L206">
        <f t="shared" ref="L206:L212" si="102">L205+0.5*(Q205+R205)</f>
        <v>13.362830647566938</v>
      </c>
      <c r="M206">
        <f t="shared" ref="M206:M212" si="103">0.01*(-$B$4*J206+$B$5*K206)</f>
        <v>-1.563353019111504E-2</v>
      </c>
      <c r="N206">
        <f t="shared" ref="N206:N212" si="104">0.01*(-$B$4*(B206+M206)+$B$5*C206)</f>
        <v>-1.531811187506887E-2</v>
      </c>
      <c r="O206">
        <f t="shared" ref="O206:O212" si="105">0.01*($B$4*J206-$B$5*K206-$B$6*K206)</f>
        <v>-8.0916617715143871E-3</v>
      </c>
      <c r="P206">
        <f t="shared" ref="P206:P212" si="106">0.01*($B$4*B206-$B$5*(C206+O206)-$B$6*(C206+O206))</f>
        <v>-7.8305668060619799E-3</v>
      </c>
      <c r="Q206">
        <f t="shared" ref="Q206:Q212" si="107">0.01*2*$B$6*K206</f>
        <v>4.7450383925258854E-2</v>
      </c>
      <c r="R206">
        <f t="shared" ref="R206:R212" si="108">0.01*2*$B$6*C206</f>
        <v>4.7014611054659719E-2</v>
      </c>
      <c r="T206">
        <v>1.94</v>
      </c>
      <c r="U206">
        <f t="shared" ref="U206:U212" si="109">U205+(1/6)*(X205+2*Y205+2*Z205+AA205)</f>
        <v>2.1498692280959633</v>
      </c>
      <c r="V206">
        <f t="shared" ref="V206:V212" si="110">V205+(1/6)*(AB205+2*AC205+2*AD205+AE205)</f>
        <v>1.1852029076515243</v>
      </c>
      <c r="W206">
        <f t="shared" ref="W206:W212" si="111">W205+(1/6)*(AF205+2*AG205+2*AH205+AI205)</f>
        <v>13.37873433491843</v>
      </c>
      <c r="X206">
        <f t="shared" ref="X206:X212" si="112">0.01*(-$B$4*U206+$B$5*V206)</f>
        <v>-1.5572677742702013E-2</v>
      </c>
      <c r="Y206">
        <f t="shared" ref="Y206:Y212" si="113">0.01*(-$B$4*(U206+(X206/2))+$B$5*V206)</f>
        <v>-1.5494814353988504E-2</v>
      </c>
      <c r="Z206">
        <f t="shared" ref="Z206:Z212" si="114">0.01*(-$B$4*(U206+(Y206/2))+$B$5*V206)</f>
        <v>-1.5495203670932073E-2</v>
      </c>
      <c r="AA206">
        <f t="shared" ref="AA206:AA212" si="115">0.01*(-$B$4*(U206+Z206)+$B$5*V206)</f>
        <v>-1.5417725705992692E-2</v>
      </c>
      <c r="AB206">
        <f t="shared" ref="AB206:AB212" si="116">0.01*($B$4*U206-$B$5*V206-$B$6*V206)</f>
        <v>-8.1313804103284731E-3</v>
      </c>
      <c r="AC206">
        <f t="shared" ref="AC206:AC212" si="117">0.01*($B$4*U206-$B$5*(V206+AB206/2)-$B$6*(V206+AB206/2))</f>
        <v>-8.0297381551993671E-3</v>
      </c>
      <c r="AD206">
        <f t="shared" ref="AD206:AD212" si="118">0.01*($B$4*U206-$B$5*(V206+AC206/2)-$B$6*(V206+AC206/2))</f>
        <v>-8.0310086833884839E-3</v>
      </c>
      <c r="AE206">
        <f t="shared" ref="AE206:AE212" si="119">0.01*($B$4*U206-$B$5*(V206+AD206)-$B$6*(V206+AD206))</f>
        <v>-7.9306051932437598E-3</v>
      </c>
      <c r="AF206">
        <f t="shared" si="90"/>
        <v>4.7408116306060968E-2</v>
      </c>
      <c r="AG206">
        <f t="shared" si="91"/>
        <v>4.7408116306060968E-2</v>
      </c>
      <c r="AH206">
        <f t="shared" si="92"/>
        <v>4.7408116306060968E-2</v>
      </c>
      <c r="AI206">
        <f t="shared" si="93"/>
        <v>4.7408116306060968E-2</v>
      </c>
    </row>
    <row r="207" spans="1:35" x14ac:dyDescent="0.45">
      <c r="A207">
        <v>1.95</v>
      </c>
      <c r="B207">
        <f t="shared" si="94"/>
        <v>2.1196529087042686</v>
      </c>
      <c r="C207">
        <f t="shared" si="95"/>
        <v>1.1673324180161431</v>
      </c>
      <c r="D207">
        <f t="shared" si="96"/>
        <v>13.426029346559178</v>
      </c>
      <c r="E207">
        <f t="shared" si="97"/>
        <v>-1.5359866996961971</v>
      </c>
      <c r="F207">
        <f t="shared" si="98"/>
        <v>-0.79867813633608908</v>
      </c>
      <c r="G207">
        <f t="shared" si="99"/>
        <v>4.6693296720645723</v>
      </c>
      <c r="I207">
        <v>1.95</v>
      </c>
      <c r="J207">
        <f t="shared" si="100"/>
        <v>2.1410069971441477</v>
      </c>
      <c r="K207">
        <f t="shared" si="101"/>
        <v>1.1782984838426833</v>
      </c>
      <c r="L207">
        <f t="shared" si="102"/>
        <v>13.410063145056897</v>
      </c>
      <c r="M207">
        <f t="shared" si="103"/>
        <v>-1.5518577552228062E-2</v>
      </c>
      <c r="N207">
        <f t="shared" si="104"/>
        <v>-1.5204681221439691E-2</v>
      </c>
      <c r="O207">
        <f t="shared" si="105"/>
        <v>-8.0473921246256054E-3</v>
      </c>
      <c r="P207">
        <f t="shared" si="106"/>
        <v>-7.7855965602452518E-3</v>
      </c>
      <c r="Q207">
        <f t="shared" si="107"/>
        <v>4.7131939353707332E-2</v>
      </c>
      <c r="R207">
        <f t="shared" si="108"/>
        <v>4.6693296720645726E-2</v>
      </c>
      <c r="T207">
        <v>1.95</v>
      </c>
      <c r="U207">
        <f t="shared" si="109"/>
        <v>2.1343741548462072</v>
      </c>
      <c r="V207">
        <f t="shared" si="110"/>
        <v>1.1771723277713997</v>
      </c>
      <c r="W207">
        <f t="shared" si="111"/>
        <v>13.426142451224491</v>
      </c>
      <c r="X207">
        <f t="shared" si="112"/>
        <v>-1.5457879909605073E-2</v>
      </c>
      <c r="Y207">
        <f t="shared" si="113"/>
        <v>-1.5380590510057046E-2</v>
      </c>
      <c r="Z207">
        <f t="shared" si="114"/>
        <v>-1.5380976957054787E-2</v>
      </c>
      <c r="AA207">
        <f t="shared" si="115"/>
        <v>-1.5304070140034525E-2</v>
      </c>
      <c r="AB207">
        <f t="shared" si="116"/>
        <v>-8.0855666458229218E-3</v>
      </c>
      <c r="AC207">
        <f t="shared" si="117"/>
        <v>-7.9844970627501333E-3</v>
      </c>
      <c r="AD207">
        <f t="shared" si="118"/>
        <v>-7.9857604325385446E-3</v>
      </c>
      <c r="AE207">
        <f t="shared" si="119"/>
        <v>-7.8859226350094548E-3</v>
      </c>
      <c r="AF207">
        <f t="shared" si="90"/>
        <v>4.7086893110855989E-2</v>
      </c>
      <c r="AG207">
        <f t="shared" si="91"/>
        <v>4.7086893110855989E-2</v>
      </c>
      <c r="AH207">
        <f t="shared" si="92"/>
        <v>4.7086893110855989E-2</v>
      </c>
      <c r="AI207">
        <f t="shared" si="93"/>
        <v>4.7086893110855989E-2</v>
      </c>
    </row>
    <row r="208" spans="1:35" x14ac:dyDescent="0.45">
      <c r="A208">
        <v>1.96</v>
      </c>
      <c r="B208">
        <f t="shared" si="94"/>
        <v>2.1042930417073067</v>
      </c>
      <c r="C208">
        <f t="shared" si="95"/>
        <v>1.1593456366527821</v>
      </c>
      <c r="D208">
        <f t="shared" si="96"/>
        <v>13.472722643279823</v>
      </c>
      <c r="E208">
        <f t="shared" si="97"/>
        <v>-1.5246202233809156</v>
      </c>
      <c r="F208">
        <f t="shared" si="98"/>
        <v>-0.79407104992464861</v>
      </c>
      <c r="G208">
        <f t="shared" si="99"/>
        <v>4.6373825466111285</v>
      </c>
      <c r="I208">
        <v>1.96</v>
      </c>
      <c r="J208">
        <f t="shared" si="100"/>
        <v>2.1256453677573139</v>
      </c>
      <c r="K208">
        <f t="shared" si="101"/>
        <v>1.1703819895002479</v>
      </c>
      <c r="L208">
        <f t="shared" si="102"/>
        <v>13.456975763094073</v>
      </c>
      <c r="M208">
        <f t="shared" si="103"/>
        <v>-1.54045437300719E-2</v>
      </c>
      <c r="N208">
        <f t="shared" si="104"/>
        <v>-1.5092156796508438E-2</v>
      </c>
      <c r="O208">
        <f t="shared" si="105"/>
        <v>-8.0030960599330563E-3</v>
      </c>
      <c r="P208">
        <f t="shared" si="106"/>
        <v>-7.7406330977481596E-3</v>
      </c>
      <c r="Q208">
        <f t="shared" si="107"/>
        <v>4.6815279580009916E-2</v>
      </c>
      <c r="R208">
        <f t="shared" si="108"/>
        <v>4.6373825466111289E-2</v>
      </c>
      <c r="T208">
        <v>1.96</v>
      </c>
      <c r="U208">
        <f t="shared" si="109"/>
        <v>2.1189933073488967</v>
      </c>
      <c r="V208">
        <f t="shared" si="110"/>
        <v>1.1691869937261647</v>
      </c>
      <c r="W208">
        <f t="shared" si="111"/>
        <v>13.473229344335348</v>
      </c>
      <c r="X208">
        <f t="shared" si="112"/>
        <v>-1.5343998104858144E-2</v>
      </c>
      <c r="Y208">
        <f t="shared" si="113"/>
        <v>-1.5267278114333854E-2</v>
      </c>
      <c r="Z208">
        <f t="shared" si="114"/>
        <v>-1.5267661714286474E-2</v>
      </c>
      <c r="AA208">
        <f t="shared" si="115"/>
        <v>-1.5191321487715277E-2</v>
      </c>
      <c r="AB208">
        <f t="shared" si="116"/>
        <v>-8.0397417696651523E-3</v>
      </c>
      <c r="AC208">
        <f t="shared" si="117"/>
        <v>-7.9392449975443386E-3</v>
      </c>
      <c r="AD208">
        <f t="shared" si="118"/>
        <v>-7.9405012071958464E-3</v>
      </c>
      <c r="AE208">
        <f t="shared" si="119"/>
        <v>-7.8412292394852562E-3</v>
      </c>
      <c r="AF208">
        <f t="shared" si="90"/>
        <v>4.6767479749046589E-2</v>
      </c>
      <c r="AG208">
        <f t="shared" si="91"/>
        <v>4.6767479749046589E-2</v>
      </c>
      <c r="AH208">
        <f t="shared" si="92"/>
        <v>4.6767479749046589E-2</v>
      </c>
      <c r="AI208">
        <f t="shared" si="93"/>
        <v>4.6767479749046589E-2</v>
      </c>
    </row>
    <row r="209" spans="1:35" x14ac:dyDescent="0.45">
      <c r="A209">
        <v>1.97</v>
      </c>
      <c r="B209">
        <f t="shared" si="94"/>
        <v>2.0890468394734976</v>
      </c>
      <c r="C209">
        <f t="shared" si="95"/>
        <v>1.1514049261535357</v>
      </c>
      <c r="D209">
        <f t="shared" si="96"/>
        <v>13.519096468745934</v>
      </c>
      <c r="E209">
        <f t="shared" si="97"/>
        <v>-1.5133443763967298</v>
      </c>
      <c r="F209">
        <f t="shared" si="98"/>
        <v>-0.78946547591034166</v>
      </c>
      <c r="G209">
        <f t="shared" si="99"/>
        <v>4.6056197046141429</v>
      </c>
      <c r="I209">
        <v>1.97</v>
      </c>
      <c r="J209">
        <f t="shared" si="100"/>
        <v>2.1103970174940239</v>
      </c>
      <c r="K209">
        <f t="shared" si="101"/>
        <v>1.1625101249214072</v>
      </c>
      <c r="L209">
        <f t="shared" si="102"/>
        <v>13.503570315617134</v>
      </c>
      <c r="M209">
        <f t="shared" si="103"/>
        <v>-1.5291419550333203E-2</v>
      </c>
      <c r="N209">
        <f t="shared" si="104"/>
        <v>-1.4980529568463968E-2</v>
      </c>
      <c r="O209">
        <f t="shared" si="105"/>
        <v>-7.9587829480949404E-3</v>
      </c>
      <c r="P209">
        <f t="shared" si="106"/>
        <v>-7.6956851854010442E-3</v>
      </c>
      <c r="Q209">
        <f t="shared" si="107"/>
        <v>4.6500404996856287E-2</v>
      </c>
      <c r="R209">
        <f t="shared" si="108"/>
        <v>4.6056197046141431E-2</v>
      </c>
      <c r="T209">
        <v>1.97</v>
      </c>
      <c r="U209">
        <f t="shared" si="109"/>
        <v>2.1037257741405941</v>
      </c>
      <c r="V209">
        <f t="shared" si="110"/>
        <v>1.1612469164897263</v>
      </c>
      <c r="W209">
        <f t="shared" si="111"/>
        <v>13.519996824084394</v>
      </c>
      <c r="X209">
        <f t="shared" si="112"/>
        <v>-1.5231023158957311E-2</v>
      </c>
      <c r="Y209">
        <f t="shared" si="113"/>
        <v>-1.5154868043162524E-2</v>
      </c>
      <c r="Z209">
        <f t="shared" si="114"/>
        <v>-1.5155248818741498E-2</v>
      </c>
      <c r="AA209">
        <f t="shared" si="115"/>
        <v>-1.5079470670769896E-2</v>
      </c>
      <c r="AB209">
        <f t="shared" si="116"/>
        <v>-7.9939151708372166E-3</v>
      </c>
      <c r="AC209">
        <f t="shared" si="117"/>
        <v>-7.8939912312017517E-3</v>
      </c>
      <c r="AD209">
        <f t="shared" si="118"/>
        <v>-7.8952402804471963E-3</v>
      </c>
      <c r="AE209">
        <f t="shared" si="119"/>
        <v>-7.7965341638260343E-3</v>
      </c>
      <c r="AF209">
        <f t="shared" si="90"/>
        <v>4.6449876659589051E-2</v>
      </c>
      <c r="AG209">
        <f t="shared" si="91"/>
        <v>4.6449876659589051E-2</v>
      </c>
      <c r="AH209">
        <f t="shared" si="92"/>
        <v>4.6449876659589051E-2</v>
      </c>
      <c r="AI209">
        <f t="shared" si="93"/>
        <v>4.6449876659589051E-2</v>
      </c>
    </row>
    <row r="210" spans="1:35" x14ac:dyDescent="0.45">
      <c r="A210">
        <v>1.98</v>
      </c>
      <c r="B210">
        <f t="shared" si="94"/>
        <v>2.0739133957095301</v>
      </c>
      <c r="C210">
        <f t="shared" si="95"/>
        <v>1.1435102713944323</v>
      </c>
      <c r="D210">
        <f t="shared" si="96"/>
        <v>13.565152665792075</v>
      </c>
      <c r="E210">
        <f t="shared" si="97"/>
        <v>-1.502158260012314</v>
      </c>
      <c r="F210">
        <f t="shared" si="98"/>
        <v>-0.78486228277655057</v>
      </c>
      <c r="G210">
        <f t="shared" si="99"/>
        <v>4.5740410855777291</v>
      </c>
      <c r="I210">
        <v>1.98</v>
      </c>
      <c r="J210">
        <f t="shared" si="100"/>
        <v>2.0952610429346255</v>
      </c>
      <c r="K210">
        <f t="shared" si="101"/>
        <v>1.1546828908546591</v>
      </c>
      <c r="L210">
        <f t="shared" si="102"/>
        <v>13.549848616638632</v>
      </c>
      <c r="M210">
        <f t="shared" si="103"/>
        <v>-1.5179195975072959E-2</v>
      </c>
      <c r="N210">
        <f t="shared" si="104"/>
        <v>-1.4869790640372412E-2</v>
      </c>
      <c r="O210">
        <f t="shared" si="105"/>
        <v>-7.9144618420202238E-3</v>
      </c>
      <c r="P210">
        <f t="shared" si="106"/>
        <v>-7.6507612817150019E-3</v>
      </c>
      <c r="Q210">
        <f t="shared" si="107"/>
        <v>4.618731563418637E-2</v>
      </c>
      <c r="R210">
        <f t="shared" si="108"/>
        <v>4.5740410855777291E-2</v>
      </c>
      <c r="T210">
        <v>1.98</v>
      </c>
      <c r="U210">
        <f t="shared" si="109"/>
        <v>2.0885706528816717</v>
      </c>
      <c r="V210">
        <f t="shared" si="110"/>
        <v>1.1533520977633995</v>
      </c>
      <c r="W210">
        <f t="shared" si="111"/>
        <v>13.566446700743983</v>
      </c>
      <c r="X210">
        <f t="shared" si="112"/>
        <v>-1.511894603999972E-2</v>
      </c>
      <c r="Y210">
        <f t="shared" si="113"/>
        <v>-1.5043351309799722E-2</v>
      </c>
      <c r="Z210">
        <f t="shared" si="114"/>
        <v>-1.5043729283450722E-2</v>
      </c>
      <c r="AA210">
        <f t="shared" si="115"/>
        <v>-1.496850874716521E-2</v>
      </c>
      <c r="AB210">
        <f t="shared" si="116"/>
        <v>-7.9480959152682714E-3</v>
      </c>
      <c r="AC210">
        <f t="shared" si="117"/>
        <v>-7.8487447163274153E-3</v>
      </c>
      <c r="AD210">
        <f t="shared" si="118"/>
        <v>-7.8499866063141792E-3</v>
      </c>
      <c r="AE210">
        <f t="shared" si="119"/>
        <v>-7.7518462501104174E-3</v>
      </c>
      <c r="AF210">
        <f t="shared" si="90"/>
        <v>4.6134083910535979E-2</v>
      </c>
      <c r="AG210">
        <f t="shared" si="91"/>
        <v>4.6134083910535979E-2</v>
      </c>
      <c r="AH210">
        <f t="shared" si="92"/>
        <v>4.6134083910535979E-2</v>
      </c>
      <c r="AI210">
        <f t="shared" si="93"/>
        <v>4.6134083910535979E-2</v>
      </c>
    </row>
    <row r="211" spans="1:35" x14ac:dyDescent="0.45">
      <c r="A211">
        <v>1.99</v>
      </c>
      <c r="B211">
        <f t="shared" si="94"/>
        <v>2.0588918131094069</v>
      </c>
      <c r="C211">
        <f t="shared" si="95"/>
        <v>1.1356616485666668</v>
      </c>
      <c r="D211">
        <f t="shared" si="96"/>
        <v>13.610893076647852</v>
      </c>
      <c r="E211">
        <f t="shared" si="97"/>
        <v>-1.4910609888260735</v>
      </c>
      <c r="F211">
        <f t="shared" si="98"/>
        <v>-0.78026230830726018</v>
      </c>
      <c r="G211">
        <f t="shared" si="99"/>
        <v>4.5426465942666674</v>
      </c>
      <c r="I211">
        <v>1.99</v>
      </c>
      <c r="J211">
        <f t="shared" si="100"/>
        <v>2.0802365496269029</v>
      </c>
      <c r="K211">
        <f t="shared" si="101"/>
        <v>1.1469002792927916</v>
      </c>
      <c r="L211">
        <f t="shared" si="102"/>
        <v>13.595812479883614</v>
      </c>
      <c r="M211">
        <f t="shared" si="103"/>
        <v>-1.5067864099805071E-2</v>
      </c>
      <c r="N211">
        <f t="shared" si="104"/>
        <v>-1.4759931247262683E-2</v>
      </c>
      <c r="O211">
        <f t="shared" si="105"/>
        <v>-7.870141486050761E-3</v>
      </c>
      <c r="P211">
        <f t="shared" si="106"/>
        <v>-7.6058695459213337E-3</v>
      </c>
      <c r="Q211">
        <f t="shared" si="107"/>
        <v>4.5876011171711667E-2</v>
      </c>
      <c r="R211">
        <f t="shared" si="108"/>
        <v>4.5426465942666673E-2</v>
      </c>
      <c r="T211">
        <v>1.99</v>
      </c>
      <c r="U211">
        <f t="shared" si="109"/>
        <v>2.0735270502193939</v>
      </c>
      <c r="V211">
        <f t="shared" si="110"/>
        <v>1.145502530294956</v>
      </c>
      <c r="W211">
        <f t="shared" si="111"/>
        <v>13.612580784654519</v>
      </c>
      <c r="X211">
        <f t="shared" si="112"/>
        <v>-1.5007757850719158E-2</v>
      </c>
      <c r="Y211">
        <f>0.01*(-$B$4*(U211+(X211/2))+$B$5*V211)</f>
        <v>-1.4932719061465566E-2</v>
      </c>
      <c r="Z211">
        <f t="shared" si="114"/>
        <v>-1.4933094255411831E-2</v>
      </c>
      <c r="AA211">
        <f t="shared" si="115"/>
        <v>-1.4858426908165039E-2</v>
      </c>
      <c r="AB211">
        <f t="shared" si="116"/>
        <v>-7.9022927551799602E-3</v>
      </c>
      <c r="AC211">
        <f t="shared" si="117"/>
        <v>-7.8035140957402093E-3</v>
      </c>
      <c r="AD211">
        <f>0.01*($B$4*U211-$B$5*(V211+AC211/2)-$B$6*(V211+AC211/2))</f>
        <v>-7.8047488289832078E-3</v>
      </c>
      <c r="AE211">
        <f t="shared" si="119"/>
        <v>-7.7071740344553819E-3</v>
      </c>
      <c r="AF211">
        <f t="shared" si="90"/>
        <v>4.5820101211798241E-2</v>
      </c>
      <c r="AG211">
        <f t="shared" si="91"/>
        <v>4.5820101211798241E-2</v>
      </c>
      <c r="AH211">
        <f t="shared" si="92"/>
        <v>4.5820101211798241E-2</v>
      </c>
      <c r="AI211">
        <f t="shared" si="93"/>
        <v>4.5820101211798241E-2</v>
      </c>
    </row>
    <row r="212" spans="1:35" x14ac:dyDescent="0.45">
      <c r="A212">
        <v>2</v>
      </c>
      <c r="B212">
        <f t="shared" si="94"/>
        <v>2.0439812032211462</v>
      </c>
      <c r="C212">
        <f t="shared" si="95"/>
        <v>1.1278590254835943</v>
      </c>
      <c r="D212">
        <f t="shared" si="96"/>
        <v>13.656319542590518</v>
      </c>
      <c r="E212">
        <f t="shared" si="97"/>
        <v>-1.480051690479349</v>
      </c>
      <c r="F212">
        <f t="shared" si="98"/>
        <v>-0.77566636048783955</v>
      </c>
      <c r="G212">
        <f t="shared" si="99"/>
        <v>4.5114361019343772</v>
      </c>
      <c r="I212">
        <v>2</v>
      </c>
      <c r="J212">
        <f t="shared" si="100"/>
        <v>2.0653226519533692</v>
      </c>
      <c r="K212">
        <f t="shared" si="101"/>
        <v>1.1391622737768055</v>
      </c>
      <c r="L212">
        <f t="shared" si="102"/>
        <v>13.641463718440804</v>
      </c>
      <c r="M212">
        <f t="shared" si="103"/>
        <v>-1.4957415150649665E-2</v>
      </c>
      <c r="N212">
        <f t="shared" si="104"/>
        <v>-1.4650942753286994E-2</v>
      </c>
      <c r="O212">
        <f t="shared" si="105"/>
        <v>-7.8258303248864448E-3</v>
      </c>
      <c r="P212">
        <f t="shared" si="106"/>
        <v>-7.5610178467562378E-3</v>
      </c>
      <c r="Q212">
        <f t="shared" si="107"/>
        <v>4.5566490951072222E-2</v>
      </c>
      <c r="R212">
        <f t="shared" si="108"/>
        <v>4.5114361019343775E-2</v>
      </c>
      <c r="T212">
        <v>2</v>
      </c>
      <c r="U212">
        <f t="shared" si="109"/>
        <v>2.0585940816539541</v>
      </c>
      <c r="V212">
        <f t="shared" si="110"/>
        <v>1.1376981981884422</v>
      </c>
      <c r="W212">
        <f t="shared" si="111"/>
        <v>13.658400885866318</v>
      </c>
      <c r="X212">
        <f t="shared" si="112"/>
        <v>-1.4897449825597332E-2</v>
      </c>
      <c r="Y212">
        <f t="shared" si="113"/>
        <v>-1.4822962576469343E-2</v>
      </c>
      <c r="Z212">
        <f t="shared" si="114"/>
        <v>-1.4823335012714982E-2</v>
      </c>
      <c r="AA212">
        <f t="shared" si="115"/>
        <v>-1.474921647547018E-2</v>
      </c>
      <c r="AB212">
        <f t="shared" si="116"/>
        <v>-7.8565141381715126E-3</v>
      </c>
      <c r="AC212">
        <f t="shared" si="117"/>
        <v>-7.758307711444372E-3</v>
      </c>
      <c r="AD212">
        <f t="shared" si="118"/>
        <v>-7.7595352917784613E-3</v>
      </c>
      <c r="AE212">
        <f t="shared" si="119"/>
        <v>-7.6625257558770527E-3</v>
      </c>
      <c r="AF212">
        <f t="shared" si="90"/>
        <v>4.5507927927537689E-2</v>
      </c>
      <c r="AG212">
        <f t="shared" si="91"/>
        <v>4.5507927927537689E-2</v>
      </c>
      <c r="AH212">
        <f t="shared" si="92"/>
        <v>4.5507927927537689E-2</v>
      </c>
      <c r="AI212">
        <f t="shared" si="93"/>
        <v>4.5507927927537689E-2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BAE3A-F663-44D5-ACBC-13F874810014}">
  <sheetPr codeName="Sheet3"/>
  <dimension ref="A1:F23"/>
  <sheetViews>
    <sheetView workbookViewId="0">
      <selection activeCell="A4" sqref="A4"/>
    </sheetView>
  </sheetViews>
  <sheetFormatPr defaultRowHeight="14.25" x14ac:dyDescent="0.45"/>
  <sheetData>
    <row r="1" spans="1:6" x14ac:dyDescent="0.45">
      <c r="A1">
        <v>3</v>
      </c>
      <c r="B1" t="s">
        <v>40</v>
      </c>
      <c r="C1">
        <v>0.1</v>
      </c>
      <c r="D1" t="s">
        <v>30</v>
      </c>
      <c r="E1">
        <v>2</v>
      </c>
      <c r="F1" t="s">
        <v>41</v>
      </c>
    </row>
    <row r="2" spans="1:6" x14ac:dyDescent="0.45">
      <c r="A2" t="s">
        <v>31</v>
      </c>
      <c r="B2" t="s">
        <v>32</v>
      </c>
      <c r="C2" t="s">
        <v>33</v>
      </c>
      <c r="D2" t="s">
        <v>34</v>
      </c>
    </row>
    <row r="3" spans="1:6" x14ac:dyDescent="0.45">
      <c r="A3">
        <v>0</v>
      </c>
      <c r="B3">
        <v>10</v>
      </c>
      <c r="C3">
        <v>0</v>
      </c>
      <c r="D3">
        <v>0</v>
      </c>
    </row>
    <row r="4" spans="1:6" x14ac:dyDescent="0.45">
      <c r="A4">
        <v>0.1</v>
      </c>
      <c r="B4">
        <v>9</v>
      </c>
      <c r="C4">
        <v>1</v>
      </c>
      <c r="D4">
        <v>0</v>
      </c>
    </row>
    <row r="5" spans="1:6" x14ac:dyDescent="0.45">
      <c r="A5">
        <v>0.2</v>
      </c>
      <c r="B5">
        <v>8.15</v>
      </c>
      <c r="C5">
        <v>1.6500000000000001</v>
      </c>
      <c r="D5">
        <v>0.4</v>
      </c>
    </row>
    <row r="6" spans="1:6" x14ac:dyDescent="0.45">
      <c r="A6">
        <v>0.30000000000000004</v>
      </c>
      <c r="B6">
        <v>7.4175000000000004</v>
      </c>
      <c r="C6">
        <v>2.0525000000000002</v>
      </c>
      <c r="D6">
        <v>1.06</v>
      </c>
    </row>
    <row r="7" spans="1:6" x14ac:dyDescent="0.45">
      <c r="A7">
        <v>0.4</v>
      </c>
      <c r="B7">
        <v>6.7783750000000005</v>
      </c>
      <c r="C7">
        <v>2.2811250000000003</v>
      </c>
      <c r="D7">
        <v>1.8810000000000002</v>
      </c>
    </row>
    <row r="8" spans="1:6" x14ac:dyDescent="0.45">
      <c r="A8">
        <v>0.5</v>
      </c>
      <c r="B8">
        <v>6.2145937500000006</v>
      </c>
      <c r="C8">
        <v>2.3886812500000003</v>
      </c>
      <c r="D8">
        <v>2.7934500000000004</v>
      </c>
    </row>
    <row r="9" spans="1:6" x14ac:dyDescent="0.45">
      <c r="A9">
        <v>0.6</v>
      </c>
      <c r="B9">
        <v>5.7125684375000008</v>
      </c>
      <c r="C9">
        <v>2.4129703125000002</v>
      </c>
      <c r="D9">
        <v>3.7489225000000008</v>
      </c>
    </row>
    <row r="10" spans="1:6" x14ac:dyDescent="0.45">
      <c r="A10">
        <v>0.7</v>
      </c>
      <c r="B10">
        <v>5.2619601093750008</v>
      </c>
      <c r="C10">
        <v>2.3809845781250001</v>
      </c>
      <c r="D10">
        <v>4.7141106250000009</v>
      </c>
    </row>
    <row r="11" spans="1:6" x14ac:dyDescent="0.45">
      <c r="A11">
        <v>0.79999999999999993</v>
      </c>
      <c r="B11">
        <v>4.8548133273437504</v>
      </c>
      <c r="C11">
        <v>2.31193444453125</v>
      </c>
      <c r="D11">
        <v>5.6665044562500011</v>
      </c>
    </row>
    <row r="12" spans="1:6" x14ac:dyDescent="0.45">
      <c r="A12">
        <v>0.89999999999999991</v>
      </c>
      <c r="B12">
        <v>4.4849287168359382</v>
      </c>
      <c r="C12">
        <v>2.2194321661328127</v>
      </c>
      <c r="D12">
        <v>6.5912782340625009</v>
      </c>
    </row>
    <row r="13" spans="1:6" x14ac:dyDescent="0.45">
      <c r="A13">
        <v>0.99999999999999989</v>
      </c>
      <c r="B13">
        <v>4.1474074534589853</v>
      </c>
      <c r="C13">
        <v>2.1130669962832034</v>
      </c>
      <c r="D13">
        <v>7.4790511005156262</v>
      </c>
    </row>
    <row r="14" spans="1:6" x14ac:dyDescent="0.45">
      <c r="A14">
        <v>1.0999999999999999</v>
      </c>
      <c r="B14">
        <v>3.838320057927247</v>
      </c>
      <c r="C14">
        <v>1.999540992558301</v>
      </c>
      <c r="D14">
        <v>8.3242778990289068</v>
      </c>
    </row>
    <row r="15" spans="1:6" x14ac:dyDescent="0.45">
      <c r="A15">
        <v>1.2</v>
      </c>
      <c r="B15">
        <v>3.5544651017624371</v>
      </c>
      <c r="C15">
        <v>1.8834877502114504</v>
      </c>
      <c r="D15">
        <v>9.1240942960522275</v>
      </c>
    </row>
    <row r="16" spans="1:6" x14ac:dyDescent="0.45">
      <c r="A16">
        <v>1.3</v>
      </c>
      <c r="B16">
        <v>3.2931929790967658</v>
      </c>
      <c r="C16">
        <v>1.7680623228348316</v>
      </c>
      <c r="D16">
        <v>9.8774893961368075</v>
      </c>
    </row>
    <row r="17" spans="1:4" x14ac:dyDescent="0.45">
      <c r="A17">
        <v>1.4000000000000001</v>
      </c>
      <c r="B17">
        <v>3.0522767973288309</v>
      </c>
      <c r="C17">
        <v>1.6553660400358003</v>
      </c>
      <c r="D17">
        <v>10.58471432527074</v>
      </c>
    </row>
    <row r="18" spans="1:4" x14ac:dyDescent="0.45">
      <c r="A18">
        <v>1.5000000000000002</v>
      </c>
      <c r="B18">
        <v>2.8298174195977377</v>
      </c>
      <c r="C18">
        <v>1.5467522097597333</v>
      </c>
      <c r="D18">
        <v>11.24686074128506</v>
      </c>
    </row>
    <row r="19" spans="1:4" x14ac:dyDescent="0.45">
      <c r="A19">
        <v>1.6000000000000003</v>
      </c>
      <c r="B19">
        <v>2.6241732881259505</v>
      </c>
      <c r="C19">
        <v>1.4430458992795736</v>
      </c>
      <c r="D19">
        <v>11.865561625188953</v>
      </c>
    </row>
    <row r="20" spans="1:4" x14ac:dyDescent="0.45">
      <c r="A20">
        <v>1.7000000000000004</v>
      </c>
      <c r="B20">
        <v>2.433908254277334</v>
      </c>
      <c r="C20">
        <v>1.3447017532722751</v>
      </c>
      <c r="D20">
        <v>12.442779984900783</v>
      </c>
    </row>
    <row r="21" spans="1:4" x14ac:dyDescent="0.45">
      <c r="A21">
        <v>1.8000000000000005</v>
      </c>
      <c r="B21">
        <v>2.2577525165132144</v>
      </c>
      <c r="C21">
        <v>1.2519171403819398</v>
      </c>
      <c r="D21">
        <v>12.980660686209694</v>
      </c>
    </row>
    <row r="22" spans="1:4" x14ac:dyDescent="0.45">
      <c r="A22">
        <v>1.9000000000000006</v>
      </c>
      <c r="B22">
        <v>2.0945731218809898</v>
      </c>
      <c r="C22">
        <v>1.1647131069377763</v>
      </c>
      <c r="D22">
        <v>13.48142754236247</v>
      </c>
    </row>
    <row r="23" spans="1:4" x14ac:dyDescent="0.45">
      <c r="A23">
        <v>2.0000000000000004</v>
      </c>
      <c r="B23">
        <v>1.9433514650397796</v>
      </c>
      <c r="C23">
        <v>1.0829921423914313</v>
      </c>
      <c r="D23">
        <v>13.94731278513758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BD77C-8BA0-4667-9C9A-D5C36298A977}">
  <sheetPr codeName="Sheet4"/>
  <dimension ref="A1:F23"/>
  <sheetViews>
    <sheetView workbookViewId="0">
      <selection activeCell="D23" sqref="D23"/>
    </sheetView>
  </sheetViews>
  <sheetFormatPr defaultRowHeight="14.25" x14ac:dyDescent="0.45"/>
  <sheetData>
    <row r="1" spans="1:6" x14ac:dyDescent="0.45">
      <c r="A1">
        <v>3</v>
      </c>
      <c r="B1" t="s">
        <v>40</v>
      </c>
      <c r="C1">
        <v>0.1</v>
      </c>
      <c r="D1" t="s">
        <v>30</v>
      </c>
      <c r="E1">
        <v>2</v>
      </c>
      <c r="F1" t="s">
        <v>41</v>
      </c>
    </row>
    <row r="2" spans="1:6" x14ac:dyDescent="0.45">
      <c r="A2" t="s">
        <v>31</v>
      </c>
      <c r="B2" t="s">
        <v>32</v>
      </c>
      <c r="C2" t="s">
        <v>33</v>
      </c>
      <c r="D2" t="s">
        <v>34</v>
      </c>
    </row>
    <row r="3" spans="1:6" x14ac:dyDescent="0.45">
      <c r="A3">
        <v>0</v>
      </c>
      <c r="B3">
        <v>10</v>
      </c>
      <c r="C3">
        <v>0</v>
      </c>
      <c r="D3">
        <v>0</v>
      </c>
    </row>
    <row r="4" spans="1:6" x14ac:dyDescent="0.45">
      <c r="A4">
        <v>0.1</v>
      </c>
      <c r="B4">
        <v>4.55</v>
      </c>
      <c r="C4">
        <v>5.375</v>
      </c>
      <c r="D4">
        <v>0</v>
      </c>
    </row>
    <row r="5" spans="1:6" x14ac:dyDescent="0.45">
      <c r="A5">
        <v>0.2</v>
      </c>
      <c r="B5">
        <v>3.5349374999999998</v>
      </c>
      <c r="C5">
        <v>0.59796875000000038</v>
      </c>
      <c r="D5">
        <v>11.824999999999999</v>
      </c>
    </row>
    <row r="6" spans="1:6" x14ac:dyDescent="0.45">
      <c r="A6">
        <v>0.30000000000000004</v>
      </c>
      <c r="B6">
        <v>1.7713430468750002</v>
      </c>
      <c r="C6">
        <v>1.6944771484374996</v>
      </c>
      <c r="D6">
        <v>13.14053125</v>
      </c>
    </row>
    <row r="7" spans="1:6" x14ac:dyDescent="0.45">
      <c r="A7">
        <v>0.4</v>
      </c>
      <c r="B7">
        <v>1.2677061092773438</v>
      </c>
      <c r="C7">
        <v>0.36962036791992214</v>
      </c>
      <c r="D7">
        <v>16.868380976562499</v>
      </c>
    </row>
    <row r="8" spans="1:6" x14ac:dyDescent="0.45">
      <c r="A8">
        <v>0.5</v>
      </c>
      <c r="B8">
        <v>0.67752782997937011</v>
      </c>
      <c r="C8">
        <v>0.55433503226409908</v>
      </c>
      <c r="D8">
        <v>17.681545785986327</v>
      </c>
    </row>
    <row r="9" spans="1:6" x14ac:dyDescent="0.45">
      <c r="A9">
        <v>0.6</v>
      </c>
      <c r="B9">
        <v>0.45933145893258043</v>
      </c>
      <c r="C9">
        <v>0.1736185412731274</v>
      </c>
      <c r="D9">
        <v>18.901082856967346</v>
      </c>
    </row>
    <row r="10" spans="1:6" x14ac:dyDescent="0.45">
      <c r="A10">
        <v>0.7</v>
      </c>
      <c r="B10">
        <v>0.25630686631125132</v>
      </c>
      <c r="C10">
        <v>0.18720928561362443</v>
      </c>
      <c r="D10">
        <v>19.283043647768228</v>
      </c>
    </row>
    <row r="11" spans="1:6" x14ac:dyDescent="0.45">
      <c r="A11">
        <v>0.79999999999999993</v>
      </c>
      <c r="B11">
        <v>0.16763415450133201</v>
      </c>
      <c r="C11">
        <v>7.3411748712614189E-2</v>
      </c>
      <c r="D11">
        <v>19.694904076118203</v>
      </c>
    </row>
    <row r="12" spans="1:6" x14ac:dyDescent="0.45">
      <c r="A12">
        <v>0.89999999999999991</v>
      </c>
      <c r="B12">
        <v>9.6278241822293428E-2</v>
      </c>
      <c r="C12">
        <v>6.4868069424504834E-2</v>
      </c>
      <c r="D12">
        <v>19.856409923285955</v>
      </c>
    </row>
    <row r="13" spans="1:6" x14ac:dyDescent="0.45">
      <c r="A13">
        <v>0.99999999999999989</v>
      </c>
      <c r="B13">
        <v>6.148314894732107E-2</v>
      </c>
      <c r="C13">
        <v>2.9451156114809182E-2</v>
      </c>
      <c r="D13">
        <v>19.999119676019866</v>
      </c>
    </row>
    <row r="14" spans="1:6" x14ac:dyDescent="0.45">
      <c r="A14">
        <v>1.0999999999999999</v>
      </c>
      <c r="B14">
        <v>3.6000272812316589E-2</v>
      </c>
      <c r="C14">
        <v>2.2923357644719419E-2</v>
      </c>
      <c r="D14">
        <v>20.063912219472446</v>
      </c>
    </row>
    <row r="15" spans="1:6" x14ac:dyDescent="0.45">
      <c r="A15">
        <v>1.2</v>
      </c>
      <c r="B15">
        <v>2.2626739087790091E-2</v>
      </c>
      <c r="C15">
        <v>1.1470242446247865E-2</v>
      </c>
      <c r="D15">
        <v>20.114343606290827</v>
      </c>
    </row>
    <row r="16" spans="1:6" x14ac:dyDescent="0.45">
      <c r="A16">
        <v>1.3</v>
      </c>
      <c r="B16">
        <v>1.3420807351547034E-2</v>
      </c>
      <c r="C16">
        <v>8.2189764187894712E-3</v>
      </c>
      <c r="D16">
        <v>20.139578139672572</v>
      </c>
    </row>
    <row r="17" spans="1:4" x14ac:dyDescent="0.45">
      <c r="A17">
        <v>1.4000000000000001</v>
      </c>
      <c r="B17">
        <v>8.3461384190740319E-3</v>
      </c>
      <c r="C17">
        <v>4.38841080749765E-3</v>
      </c>
      <c r="D17">
        <v>20.157659887793908</v>
      </c>
    </row>
    <row r="18" spans="1:4" x14ac:dyDescent="0.45">
      <c r="A18">
        <v>1.5000000000000002</v>
      </c>
      <c r="B18">
        <v>4.9933349257217947E-3</v>
      </c>
      <c r="C18">
        <v>2.9775331851749748E-3</v>
      </c>
      <c r="D18">
        <v>20.167314391570404</v>
      </c>
    </row>
    <row r="19" spans="1:4" x14ac:dyDescent="0.45">
      <c r="A19">
        <v>1.6000000000000003</v>
      </c>
      <c r="B19">
        <v>3.0833451841635975E-3</v>
      </c>
      <c r="C19">
        <v>1.6603904901715668E-3</v>
      </c>
      <c r="D19">
        <v>20.173864964577788</v>
      </c>
    </row>
    <row r="20" spans="1:4" x14ac:dyDescent="0.45">
      <c r="A20">
        <v>1.7000000000000004</v>
      </c>
      <c r="B20">
        <v>1.8553784673661889E-3</v>
      </c>
      <c r="C20">
        <v>1.0865388054914576E-3</v>
      </c>
      <c r="D20">
        <v>20.177517823656167</v>
      </c>
    </row>
    <row r="21" spans="1:4" x14ac:dyDescent="0.45">
      <c r="A21">
        <v>1.8000000000000005</v>
      </c>
      <c r="B21">
        <v>1.1402790271480381E-3</v>
      </c>
      <c r="C21">
        <v>6.2376821182163805E-4</v>
      </c>
      <c r="D21">
        <v>20.179908209028248</v>
      </c>
    </row>
    <row r="22" spans="1:4" x14ac:dyDescent="0.45">
      <c r="A22">
        <v>1.9000000000000006</v>
      </c>
      <c r="B22">
        <v>6.8880379507375367E-4</v>
      </c>
      <c r="C22">
        <v>3.9847965427838237E-4</v>
      </c>
      <c r="D22">
        <v>20.181280499094257</v>
      </c>
    </row>
    <row r="23" spans="1:4" x14ac:dyDescent="0.45">
      <c r="A23">
        <v>2.0000000000000004</v>
      </c>
      <c r="B23">
        <v>4.2199143254941711E-4</v>
      </c>
      <c r="C23">
        <v>2.3325465869394868E-4</v>
      </c>
      <c r="D23">
        <v>20.18215715433367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D6F30-DB77-4B4B-B1A3-6F810F18E7C8}">
  <sheetPr codeName="Sheet5"/>
  <dimension ref="A1:F3"/>
  <sheetViews>
    <sheetView tabSelected="1" workbookViewId="0">
      <selection activeCell="I14" sqref="I14"/>
    </sheetView>
  </sheetViews>
  <sheetFormatPr defaultRowHeight="14.25" x14ac:dyDescent="0.45"/>
  <sheetData>
    <row r="1" spans="1:6" x14ac:dyDescent="0.45">
      <c r="A1">
        <v>3</v>
      </c>
      <c r="B1" t="s">
        <v>40</v>
      </c>
      <c r="C1">
        <v>0.1</v>
      </c>
      <c r="D1" t="s">
        <v>30</v>
      </c>
      <c r="E1">
        <v>3</v>
      </c>
      <c r="F1" t="s">
        <v>41</v>
      </c>
    </row>
    <row r="2" spans="1:6" x14ac:dyDescent="0.45">
      <c r="A2" t="s">
        <v>31</v>
      </c>
      <c r="B2" t="s">
        <v>32</v>
      </c>
      <c r="C2" t="s">
        <v>33</v>
      </c>
      <c r="D2" t="s">
        <v>34</v>
      </c>
    </row>
    <row r="3" spans="1:6" x14ac:dyDescent="0.45">
      <c r="A3">
        <v>0</v>
      </c>
      <c r="B3">
        <v>10</v>
      </c>
      <c r="C3">
        <v>0</v>
      </c>
      <c r="D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Question 1</vt:lpstr>
      <vt:lpstr>Question 2</vt:lpstr>
      <vt:lpstr>Euler VBA</vt:lpstr>
      <vt:lpstr>2nd RK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Pabilic</dc:creator>
  <cp:lastModifiedBy>Sarah Pabilic</cp:lastModifiedBy>
  <dcterms:created xsi:type="dcterms:W3CDTF">2020-04-08T15:06:02Z</dcterms:created>
  <dcterms:modified xsi:type="dcterms:W3CDTF">2020-04-08T16:41:21Z</dcterms:modified>
</cp:coreProperties>
</file>