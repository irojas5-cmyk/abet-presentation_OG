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Khalfan_Alasam/Desktop/ChE 205/HW/HW 2/"/>
    </mc:Choice>
  </mc:AlternateContent>
  <xr:revisionPtr revIDLastSave="0" documentId="13_ncr:1_{46EFA542-AF81-B741-A931-C345CA32F877}" xr6:coauthVersionLast="45" xr6:coauthVersionMax="45" xr10:uidLastSave="{00000000-0000-0000-0000-000000000000}"/>
  <bookViews>
    <workbookView xWindow="0" yWindow="460" windowWidth="25600" windowHeight="14180" activeTab="1" xr2:uid="{5E499833-CD00-BD42-9DDB-3112AC46394B}"/>
  </bookViews>
  <sheets>
    <sheet name="Sheet1" sheetId="1" r:id="rId1"/>
    <sheet name="Sheet2" sheetId="2" r:id="rId2"/>
  </sheets>
  <externalReferences>
    <externalReference r:id="rId3"/>
  </externalReferences>
  <definedNames>
    <definedName name="_xlchart.v1.2" hidden="1">Sheet2!$Q$31:$Q$43</definedName>
    <definedName name="_xlchart.v1.3" hidden="1">Sheet2!$R$31:$R$43</definedName>
    <definedName name="_xlchart.v2.0" hidden="1">Sheet2!$Q$31:$Q$43</definedName>
    <definedName name="_xlchart.v2.1" hidden="1">Sheet2!$R$31:$R$43</definedName>
    <definedName name="solver_eng" localSheetId="1" hidden="1">1</definedName>
    <definedName name="solver_lin" localSheetId="1" hidden="1">2</definedName>
    <definedName name="solver_neg" localSheetId="1" hidden="1">1</definedName>
    <definedName name="solver_num" localSheetId="1" hidden="1">0</definedName>
    <definedName name="solver_opt" localSheetId="1" hidden="1">Sheet2!$K$34</definedName>
    <definedName name="solver_typ" localSheetId="1" hidden="1">1</definedName>
    <definedName name="solver_val" localSheetId="1" hidden="1">0</definedName>
    <definedName name="solver_ver" localSheetId="1" hidden="1">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37" i="2" l="1"/>
  <c r="J37" i="2"/>
  <c r="S32" i="2" l="1"/>
  <c r="S33" i="2"/>
  <c r="S34" i="2"/>
  <c r="S35" i="2"/>
  <c r="S36" i="2"/>
  <c r="S37" i="2"/>
  <c r="S38" i="2"/>
  <c r="S39" i="2"/>
  <c r="S40" i="2"/>
  <c r="S41" i="2"/>
  <c r="S42" i="2"/>
  <c r="S43" i="2"/>
  <c r="S31" i="2"/>
  <c r="J42" i="2"/>
  <c r="J43" i="2"/>
  <c r="J44" i="2"/>
  <c r="J45" i="2"/>
  <c r="J46" i="2"/>
  <c r="J38" i="2"/>
  <c r="J39" i="2"/>
  <c r="J40" i="2"/>
  <c r="J41" i="2"/>
  <c r="K34" i="2"/>
  <c r="J29" i="2"/>
  <c r="J28" i="2"/>
  <c r="B36" i="2"/>
  <c r="B37" i="2"/>
  <c r="B38" i="2"/>
  <c r="B39" i="2"/>
  <c r="B40" i="2"/>
  <c r="B41" i="2"/>
  <c r="B42" i="2"/>
  <c r="B43" i="2"/>
  <c r="B44" i="2"/>
  <c r="B45" i="2"/>
  <c r="B35" i="2"/>
  <c r="M7" i="2" l="1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3" i="2"/>
  <c r="E7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3" i="2"/>
  <c r="W69" i="1" l="1"/>
  <c r="Y69" i="1" s="1"/>
  <c r="X69" i="1"/>
  <c r="Y68" i="1"/>
  <c r="X68" i="1"/>
  <c r="W68" i="1"/>
  <c r="Y67" i="1"/>
  <c r="X67" i="1"/>
  <c r="P69" i="1"/>
  <c r="R69" i="1" s="1"/>
  <c r="Q69" i="1"/>
  <c r="R68" i="1"/>
  <c r="Q68" i="1"/>
  <c r="P68" i="1"/>
  <c r="R67" i="1"/>
  <c r="Q67" i="1"/>
  <c r="I77" i="1"/>
  <c r="K77" i="1" s="1"/>
  <c r="J77" i="1"/>
  <c r="I73" i="1"/>
  <c r="K73" i="1" s="1"/>
  <c r="J73" i="1"/>
  <c r="I69" i="1"/>
  <c r="J69" i="1" s="1"/>
  <c r="K68" i="1"/>
  <c r="J68" i="1"/>
  <c r="I68" i="1"/>
  <c r="K67" i="1"/>
  <c r="J67" i="1"/>
  <c r="D67" i="1"/>
  <c r="B68" i="1" s="1"/>
  <c r="C67" i="1"/>
  <c r="AB48" i="1"/>
  <c r="AA48" i="1"/>
  <c r="AC48" i="1" s="1"/>
  <c r="AA49" i="1"/>
  <c r="Y49" i="1"/>
  <c r="U49" i="1"/>
  <c r="R49" i="1"/>
  <c r="T49" i="1" s="1"/>
  <c r="U48" i="1"/>
  <c r="V48" i="1" s="1"/>
  <c r="S49" i="1" s="1"/>
  <c r="R50" i="1" s="1"/>
  <c r="T50" i="1" s="1"/>
  <c r="T48" i="1"/>
  <c r="P17" i="1"/>
  <c r="K49" i="1"/>
  <c r="M49" i="1" s="1"/>
  <c r="N48" i="1"/>
  <c r="D49" i="1"/>
  <c r="F49" i="1" s="1"/>
  <c r="M48" i="1"/>
  <c r="G48" i="1"/>
  <c r="F48" i="1"/>
  <c r="H48" i="1" s="1"/>
  <c r="E49" i="1" s="1"/>
  <c r="AA27" i="1"/>
  <c r="AB27" i="1" s="1"/>
  <c r="Z27" i="1"/>
  <c r="Y27" i="1"/>
  <c r="T27" i="1"/>
  <c r="U27" i="1" s="1"/>
  <c r="S27" i="1"/>
  <c r="R27" i="1"/>
  <c r="M27" i="1"/>
  <c r="N27" i="1" s="1"/>
  <c r="I28" i="1" s="1"/>
  <c r="L27" i="1"/>
  <c r="K27" i="1"/>
  <c r="E27" i="1"/>
  <c r="D27" i="1"/>
  <c r="F27" i="1"/>
  <c r="G27" i="1" s="1"/>
  <c r="W23" i="1"/>
  <c r="P23" i="1"/>
  <c r="I23" i="1"/>
  <c r="B23" i="1"/>
  <c r="W22" i="1"/>
  <c r="P22" i="1"/>
  <c r="I22" i="1"/>
  <c r="B22" i="1"/>
  <c r="W21" i="1"/>
  <c r="P21" i="1"/>
  <c r="I21" i="1"/>
  <c r="B21" i="1"/>
  <c r="W20" i="1"/>
  <c r="P20" i="1"/>
  <c r="I20" i="1"/>
  <c r="B20" i="1"/>
  <c r="W19" i="1"/>
  <c r="P19" i="1"/>
  <c r="I19" i="1"/>
  <c r="B19" i="1"/>
  <c r="W18" i="1"/>
  <c r="P18" i="1"/>
  <c r="I18" i="1"/>
  <c r="B18" i="1"/>
  <c r="W17" i="1"/>
  <c r="I17" i="1"/>
  <c r="B17" i="1"/>
  <c r="W16" i="1"/>
  <c r="P16" i="1"/>
  <c r="I16" i="1"/>
  <c r="B16" i="1"/>
  <c r="W15" i="1"/>
  <c r="P15" i="1"/>
  <c r="I15" i="1"/>
  <c r="B15" i="1"/>
  <c r="W14" i="1"/>
  <c r="P14" i="1"/>
  <c r="I14" i="1"/>
  <c r="B14" i="1"/>
  <c r="W13" i="1"/>
  <c r="P13" i="1"/>
  <c r="I13" i="1"/>
  <c r="B13" i="1"/>
  <c r="W12" i="1"/>
  <c r="P12" i="1"/>
  <c r="I12" i="1"/>
  <c r="B12" i="1"/>
  <c r="W11" i="1"/>
  <c r="P11" i="1"/>
  <c r="I11" i="1"/>
  <c r="B11" i="1"/>
  <c r="W10" i="1"/>
  <c r="P10" i="1"/>
  <c r="I10" i="1"/>
  <c r="B10" i="1"/>
  <c r="W9" i="1"/>
  <c r="P9" i="1"/>
  <c r="I9" i="1"/>
  <c r="B9" i="1"/>
  <c r="W8" i="1"/>
  <c r="P8" i="1"/>
  <c r="I8" i="1"/>
  <c r="B8" i="1"/>
  <c r="W7" i="1"/>
  <c r="P7" i="1"/>
  <c r="I7" i="1"/>
  <c r="B7" i="1"/>
  <c r="W6" i="1"/>
  <c r="P6" i="1"/>
  <c r="I6" i="1"/>
  <c r="B6" i="1"/>
  <c r="W5" i="1"/>
  <c r="P5" i="1"/>
  <c r="I5" i="1"/>
  <c r="B5" i="1"/>
  <c r="W4" i="1"/>
  <c r="P4" i="1"/>
  <c r="I4" i="1"/>
  <c r="B4" i="1"/>
  <c r="W3" i="1"/>
  <c r="P3" i="1"/>
  <c r="I3" i="1"/>
  <c r="B3" i="1"/>
  <c r="W70" i="1" l="1"/>
  <c r="P70" i="1"/>
  <c r="I78" i="1"/>
  <c r="I74" i="1"/>
  <c r="K69" i="1"/>
  <c r="I70" i="1" s="1"/>
  <c r="C68" i="1"/>
  <c r="B69" i="1" s="1"/>
  <c r="D68" i="1"/>
  <c r="Z49" i="1"/>
  <c r="O48" i="1"/>
  <c r="L49" i="1" s="1"/>
  <c r="V49" i="1"/>
  <c r="S50" i="1" s="1"/>
  <c r="R51" i="1"/>
  <c r="T51" i="1" s="1"/>
  <c r="U50" i="1"/>
  <c r="V50" i="1" s="1"/>
  <c r="S51" i="1" s="1"/>
  <c r="D50" i="1"/>
  <c r="F50" i="1" s="1"/>
  <c r="K50" i="1"/>
  <c r="M50" i="1" s="1"/>
  <c r="O49" i="1"/>
  <c r="L50" i="1" s="1"/>
  <c r="K51" i="1" s="1"/>
  <c r="M51" i="1" s="1"/>
  <c r="N49" i="1"/>
  <c r="G49" i="1"/>
  <c r="H49" i="1" s="1"/>
  <c r="E50" i="1" s="1"/>
  <c r="D51" i="1" s="1"/>
  <c r="F51" i="1" s="1"/>
  <c r="C28" i="1"/>
  <c r="E28" i="1" s="1"/>
  <c r="B28" i="1"/>
  <c r="K28" i="1"/>
  <c r="X28" i="1"/>
  <c r="Z28" i="1" s="1"/>
  <c r="W28" i="1"/>
  <c r="J28" i="1"/>
  <c r="L28" i="1" s="1"/>
  <c r="X70" i="1" l="1"/>
  <c r="Y70" i="1"/>
  <c r="W71" i="1" s="1"/>
  <c r="Q70" i="1"/>
  <c r="R70" i="1"/>
  <c r="P71" i="1" s="1"/>
  <c r="J78" i="1"/>
  <c r="K78" i="1"/>
  <c r="I79" i="1" s="1"/>
  <c r="J74" i="1"/>
  <c r="K74" i="1"/>
  <c r="I75" i="1" s="1"/>
  <c r="J70" i="1"/>
  <c r="K70" i="1"/>
  <c r="I71" i="1" s="1"/>
  <c r="C69" i="1"/>
  <c r="D69" i="1"/>
  <c r="B70" i="1" s="1"/>
  <c r="AB49" i="1"/>
  <c r="Y50" i="1"/>
  <c r="AA50" i="1" s="1"/>
  <c r="AC49" i="1"/>
  <c r="Z50" i="1" s="1"/>
  <c r="N50" i="1"/>
  <c r="O50" i="1" s="1"/>
  <c r="L51" i="1" s="1"/>
  <c r="U51" i="1"/>
  <c r="V51" i="1" s="1"/>
  <c r="S52" i="1" s="1"/>
  <c r="R52" i="1"/>
  <c r="T52" i="1" s="1"/>
  <c r="M28" i="1"/>
  <c r="N28" i="1" s="1"/>
  <c r="G50" i="1"/>
  <c r="H50" i="1" s="1"/>
  <c r="E51" i="1" s="1"/>
  <c r="D52" i="1" s="1"/>
  <c r="F52" i="1" s="1"/>
  <c r="N51" i="1"/>
  <c r="O51" i="1" s="1"/>
  <c r="L52" i="1" s="1"/>
  <c r="K52" i="1"/>
  <c r="M52" i="1" s="1"/>
  <c r="I29" i="1"/>
  <c r="J29" i="1"/>
  <c r="L29" i="1" s="1"/>
  <c r="Y28" i="1"/>
  <c r="AA28" i="1"/>
  <c r="AB28" i="1" s="1"/>
  <c r="D28" i="1"/>
  <c r="F28" i="1"/>
  <c r="G28" i="1" s="1"/>
  <c r="Y71" i="1" l="1"/>
  <c r="X71" i="1"/>
  <c r="W72" i="1" s="1"/>
  <c r="R71" i="1"/>
  <c r="Q71" i="1"/>
  <c r="P72" i="1" s="1"/>
  <c r="K79" i="1"/>
  <c r="J79" i="1"/>
  <c r="I80" i="1" s="1"/>
  <c r="K75" i="1"/>
  <c r="I76" i="1"/>
  <c r="J75" i="1"/>
  <c r="K71" i="1"/>
  <c r="J71" i="1"/>
  <c r="I72" i="1" s="1"/>
  <c r="D70" i="1"/>
  <c r="C70" i="1"/>
  <c r="B71" i="1" s="1"/>
  <c r="AB50" i="1"/>
  <c r="AC50" i="1" s="1"/>
  <c r="Z51" i="1" s="1"/>
  <c r="Y51" i="1"/>
  <c r="AA51" i="1" s="1"/>
  <c r="U52" i="1"/>
  <c r="V52" i="1"/>
  <c r="S53" i="1" s="1"/>
  <c r="R53" i="1"/>
  <c r="T53" i="1" s="1"/>
  <c r="G51" i="1"/>
  <c r="H51" i="1" s="1"/>
  <c r="E52" i="1" s="1"/>
  <c r="K53" i="1"/>
  <c r="M53" i="1" s="1"/>
  <c r="N52" i="1"/>
  <c r="O52" i="1" s="1"/>
  <c r="L53" i="1" s="1"/>
  <c r="K54" i="1" s="1"/>
  <c r="M54" i="1" s="1"/>
  <c r="W29" i="1"/>
  <c r="X29" i="1"/>
  <c r="Z29" i="1" s="1"/>
  <c r="B29" i="1"/>
  <c r="C29" i="1"/>
  <c r="E29" i="1" s="1"/>
  <c r="K29" i="1"/>
  <c r="M29" i="1"/>
  <c r="N29" i="1" s="1"/>
  <c r="X72" i="1" l="1"/>
  <c r="W73" i="1" s="1"/>
  <c r="Y72" i="1"/>
  <c r="Q72" i="1"/>
  <c r="P73" i="1" s="1"/>
  <c r="R72" i="1"/>
  <c r="J80" i="1"/>
  <c r="I81" i="1" s="1"/>
  <c r="K80" i="1"/>
  <c r="J76" i="1"/>
  <c r="K76" i="1"/>
  <c r="K72" i="1"/>
  <c r="J72" i="1"/>
  <c r="C71" i="1"/>
  <c r="D71" i="1"/>
  <c r="AB51" i="1"/>
  <c r="Y52" i="1"/>
  <c r="AA52" i="1" s="1"/>
  <c r="AC51" i="1"/>
  <c r="Z52" i="1" s="1"/>
  <c r="R54" i="1"/>
  <c r="T54" i="1" s="1"/>
  <c r="U53" i="1"/>
  <c r="V53" i="1"/>
  <c r="S54" i="1" s="1"/>
  <c r="D53" i="1"/>
  <c r="F53" i="1" s="1"/>
  <c r="G52" i="1"/>
  <c r="H52" i="1" s="1"/>
  <c r="E53" i="1" s="1"/>
  <c r="N53" i="1"/>
  <c r="O53" i="1" s="1"/>
  <c r="L54" i="1" s="1"/>
  <c r="D29" i="1"/>
  <c r="F29" i="1"/>
  <c r="G29" i="1" s="1"/>
  <c r="I30" i="1"/>
  <c r="J30" i="1"/>
  <c r="L30" i="1" s="1"/>
  <c r="Y29" i="1"/>
  <c r="AA29" i="1"/>
  <c r="AB29" i="1" s="1"/>
  <c r="X73" i="1" l="1"/>
  <c r="W74" i="1" s="1"/>
  <c r="Y73" i="1"/>
  <c r="R73" i="1"/>
  <c r="Q73" i="1"/>
  <c r="P74" i="1" s="1"/>
  <c r="K81" i="1"/>
  <c r="J81" i="1"/>
  <c r="AB52" i="1"/>
  <c r="AC52" i="1" s="1"/>
  <c r="Z53" i="1" s="1"/>
  <c r="Y53" i="1"/>
  <c r="AA53" i="1" s="1"/>
  <c r="U54" i="1"/>
  <c r="V54" i="1" s="1"/>
  <c r="S55" i="1" s="1"/>
  <c r="R55" i="1"/>
  <c r="T55" i="1" s="1"/>
  <c r="K55" i="1"/>
  <c r="M55" i="1" s="1"/>
  <c r="N54" i="1"/>
  <c r="O54" i="1" s="1"/>
  <c r="L55" i="1" s="1"/>
  <c r="G53" i="1"/>
  <c r="H53" i="1" s="1"/>
  <c r="M30" i="1"/>
  <c r="N30" i="1" s="1"/>
  <c r="K30" i="1"/>
  <c r="C30" i="1"/>
  <c r="E30" i="1" s="1"/>
  <c r="B30" i="1"/>
  <c r="X30" i="1"/>
  <c r="Z30" i="1" s="1"/>
  <c r="W30" i="1"/>
  <c r="X74" i="1" l="1"/>
  <c r="Y74" i="1"/>
  <c r="Q74" i="1"/>
  <c r="R74" i="1"/>
  <c r="AB53" i="1"/>
  <c r="AC53" i="1"/>
  <c r="Z54" i="1" s="1"/>
  <c r="Y54" i="1"/>
  <c r="AA54" i="1" s="1"/>
  <c r="U55" i="1"/>
  <c r="V55" i="1"/>
  <c r="S56" i="1" s="1"/>
  <c r="R56" i="1"/>
  <c r="T56" i="1" s="1"/>
  <c r="K56" i="1"/>
  <c r="M56" i="1" s="1"/>
  <c r="N55" i="1"/>
  <c r="O55" i="1" s="1"/>
  <c r="L56" i="1" s="1"/>
  <c r="F30" i="1"/>
  <c r="G30" i="1" s="1"/>
  <c r="D30" i="1"/>
  <c r="Y30" i="1"/>
  <c r="AA30" i="1"/>
  <c r="AB30" i="1" s="1"/>
  <c r="I31" i="1"/>
  <c r="J31" i="1"/>
  <c r="L31" i="1" s="1"/>
  <c r="AB54" i="1" l="1"/>
  <c r="AC54" i="1" s="1"/>
  <c r="Z55" i="1" s="1"/>
  <c r="Y55" i="1"/>
  <c r="AA55" i="1" s="1"/>
  <c r="R57" i="1"/>
  <c r="T57" i="1" s="1"/>
  <c r="U56" i="1"/>
  <c r="V56" i="1" s="1"/>
  <c r="S57" i="1" s="1"/>
  <c r="K57" i="1"/>
  <c r="M57" i="1" s="1"/>
  <c r="N56" i="1"/>
  <c r="O56" i="1" s="1"/>
  <c r="L57" i="1" s="1"/>
  <c r="N57" i="1" s="1"/>
  <c r="O57" i="1" s="1"/>
  <c r="W31" i="1"/>
  <c r="X31" i="1"/>
  <c r="Z31" i="1" s="1"/>
  <c r="K31" i="1"/>
  <c r="M31" i="1"/>
  <c r="N31" i="1" s="1"/>
  <c r="C31" i="1"/>
  <c r="E31" i="1" s="1"/>
  <c r="B31" i="1"/>
  <c r="Y56" i="1" l="1"/>
  <c r="AA56" i="1" s="1"/>
  <c r="AB55" i="1"/>
  <c r="AC55" i="1" s="1"/>
  <c r="Z56" i="1" s="1"/>
  <c r="U57" i="1"/>
  <c r="V57" i="1"/>
  <c r="I32" i="1"/>
  <c r="J32" i="1"/>
  <c r="L32" i="1" s="1"/>
  <c r="D31" i="1"/>
  <c r="F31" i="1"/>
  <c r="G31" i="1" s="1"/>
  <c r="AA31" i="1"/>
  <c r="AB31" i="1" s="1"/>
  <c r="Y31" i="1"/>
  <c r="Y57" i="1" l="1"/>
  <c r="AA57" i="1" s="1"/>
  <c r="AB56" i="1"/>
  <c r="AC56" i="1" s="1"/>
  <c r="Z57" i="1" s="1"/>
  <c r="B32" i="1"/>
  <c r="C32" i="1"/>
  <c r="E32" i="1" s="1"/>
  <c r="X32" i="1"/>
  <c r="Z32" i="1" s="1"/>
  <c r="W32" i="1"/>
  <c r="M32" i="1"/>
  <c r="N32" i="1" s="1"/>
  <c r="K32" i="1"/>
  <c r="AB57" i="1" l="1"/>
  <c r="AC57" i="1"/>
  <c r="Z58" i="1" s="1"/>
  <c r="Y58" i="1"/>
  <c r="AA58" i="1" s="1"/>
  <c r="Y32" i="1"/>
  <c r="AA32" i="1"/>
  <c r="AB32" i="1" s="1"/>
  <c r="J33" i="1"/>
  <c r="L33" i="1" s="1"/>
  <c r="I33" i="1"/>
  <c r="F32" i="1"/>
  <c r="G32" i="1" s="1"/>
  <c r="D32" i="1"/>
  <c r="AB58" i="1" l="1"/>
  <c r="AC58" i="1" s="1"/>
  <c r="K33" i="1"/>
  <c r="M33" i="1"/>
  <c r="N33" i="1" s="1"/>
  <c r="W33" i="1"/>
  <c r="X33" i="1"/>
  <c r="Z33" i="1" s="1"/>
  <c r="B33" i="1"/>
  <c r="C33" i="1"/>
  <c r="E33" i="1" s="1"/>
  <c r="Y33" i="1" l="1"/>
  <c r="AA33" i="1"/>
  <c r="AB33" i="1" s="1"/>
  <c r="I34" i="1"/>
  <c r="J34" i="1"/>
  <c r="L34" i="1" s="1"/>
  <c r="D33" i="1"/>
  <c r="F33" i="1"/>
  <c r="G33" i="1" s="1"/>
  <c r="M34" i="1" l="1"/>
  <c r="N34" i="1" s="1"/>
  <c r="K34" i="1"/>
  <c r="X34" i="1"/>
  <c r="Z34" i="1" s="1"/>
  <c r="W34" i="1"/>
  <c r="B34" i="1"/>
  <c r="C34" i="1"/>
  <c r="E34" i="1" s="1"/>
  <c r="Y34" i="1" l="1"/>
  <c r="AA34" i="1"/>
  <c r="AB34" i="1" s="1"/>
  <c r="F34" i="1"/>
  <c r="G34" i="1" s="1"/>
  <c r="D34" i="1"/>
  <c r="J35" i="1"/>
  <c r="L35" i="1" s="1"/>
  <c r="I35" i="1"/>
  <c r="B35" i="1" l="1"/>
  <c r="C35" i="1"/>
  <c r="E35" i="1" s="1"/>
  <c r="K35" i="1"/>
  <c r="M35" i="1"/>
  <c r="N35" i="1" s="1"/>
  <c r="W35" i="1"/>
  <c r="X35" i="1"/>
  <c r="Z35" i="1" s="1"/>
  <c r="I36" i="1" l="1"/>
  <c r="J36" i="1"/>
  <c r="L36" i="1" s="1"/>
  <c r="AA35" i="1"/>
  <c r="AB35" i="1" s="1"/>
  <c r="Y35" i="1"/>
  <c r="D35" i="1"/>
  <c r="F35" i="1"/>
  <c r="G35" i="1" s="1"/>
  <c r="X36" i="1" l="1"/>
  <c r="Z36" i="1" s="1"/>
  <c r="W36" i="1"/>
  <c r="B36" i="1"/>
  <c r="C36" i="1"/>
  <c r="E36" i="1" s="1"/>
  <c r="M36" i="1"/>
  <c r="N36" i="1" s="1"/>
  <c r="K36" i="1"/>
  <c r="F36" i="1" l="1"/>
  <c r="G36" i="1" s="1"/>
  <c r="D36" i="1"/>
  <c r="Y36" i="1"/>
  <c r="AA36" i="1"/>
  <c r="AB36" i="1" s="1"/>
  <c r="W37" i="1" l="1"/>
  <c r="X37" i="1"/>
  <c r="Z37" i="1" s="1"/>
  <c r="Y37" i="1" l="1"/>
  <c r="AA37" i="1"/>
  <c r="AB37" i="1" s="1"/>
  <c r="W38" i="1" l="1"/>
  <c r="X38" i="1"/>
  <c r="Z38" i="1" s="1"/>
  <c r="AA38" i="1" l="1"/>
  <c r="AB38" i="1" s="1"/>
  <c r="Y38" i="1"/>
  <c r="X39" i="1" l="1"/>
  <c r="Z39" i="1" s="1"/>
  <c r="W39" i="1"/>
  <c r="Y39" i="1" l="1"/>
  <c r="AA39" i="1"/>
  <c r="AB39" i="1" s="1"/>
</calcChain>
</file>

<file path=xl/sharedStrings.xml><?xml version="1.0" encoding="utf-8"?>
<sst xmlns="http://schemas.openxmlformats.org/spreadsheetml/2006/main" count="186" uniqueCount="70">
  <si>
    <t>f(x) =</t>
  </si>
  <si>
    <t>x-x^(1/3)-2</t>
  </si>
  <si>
    <t>xtan(x)-1</t>
  </si>
  <si>
    <t>x^4 - e^x + 1</t>
  </si>
  <si>
    <t>x^2*e^x-1</t>
  </si>
  <si>
    <t>x</t>
  </si>
  <si>
    <t>y</t>
  </si>
  <si>
    <t>Bisection Method</t>
  </si>
  <si>
    <t>V1</t>
  </si>
  <si>
    <t>V2</t>
  </si>
  <si>
    <t>f(V1)</t>
  </si>
  <si>
    <t>f(V2)</t>
  </si>
  <si>
    <t>Vnew</t>
  </si>
  <si>
    <t>f(Vnew)</t>
  </si>
  <si>
    <t xml:space="preserve">From the graph it is clear that the root fall between </t>
  </si>
  <si>
    <t>3 and 4</t>
  </si>
  <si>
    <t>0 and 1</t>
  </si>
  <si>
    <t>-1 and 1</t>
  </si>
  <si>
    <t>Secant Method</t>
  </si>
  <si>
    <t>v0</t>
  </si>
  <si>
    <t>v1</t>
  </si>
  <si>
    <t>f(v0)</t>
  </si>
  <si>
    <t>f(v1)</t>
  </si>
  <si>
    <t>v2</t>
  </si>
  <si>
    <t>Next guess = v2</t>
  </si>
  <si>
    <t>intial one</t>
  </si>
  <si>
    <t>v1-(f(v1)/f(v1)-f(v0))*(v1-v0)</t>
  </si>
  <si>
    <t xml:space="preserve">For secant method the intial values doesn’t matter so I am keeping it </t>
  </si>
  <si>
    <t>between -1 and 1</t>
  </si>
  <si>
    <t xml:space="preserve">two intial guess are </t>
  </si>
  <si>
    <t xml:space="preserve">v2 = </t>
  </si>
  <si>
    <t>between 3 and 4</t>
  </si>
  <si>
    <t>between 0 and 1</t>
  </si>
  <si>
    <t>Newton Method</t>
  </si>
  <si>
    <t>v</t>
  </si>
  <si>
    <t>f(v)</t>
  </si>
  <si>
    <t>f'(v)</t>
  </si>
  <si>
    <t>The intial guess for Newton Method is 3</t>
  </si>
  <si>
    <t>next guess = intial guess-(f(x)/f'(x))</t>
  </si>
  <si>
    <t>intial guess</t>
  </si>
  <si>
    <t>x^3-17*x+12</t>
  </si>
  <si>
    <t xml:space="preserve">f(x) </t>
  </si>
  <si>
    <t xml:space="preserve">Using goal seek to find the roots by seting the intial guess </t>
  </si>
  <si>
    <t>to 0</t>
  </si>
  <si>
    <t>f(x)</t>
  </si>
  <si>
    <t>a)</t>
  </si>
  <si>
    <t>b)</t>
  </si>
  <si>
    <t>=Besselj()</t>
  </si>
  <si>
    <t>to 3</t>
  </si>
  <si>
    <t>c)</t>
  </si>
  <si>
    <t>R =</t>
  </si>
  <si>
    <t>a =</t>
  </si>
  <si>
    <t>b =</t>
  </si>
  <si>
    <t>T(k) =</t>
  </si>
  <si>
    <t xml:space="preserve"> P(atm) =</t>
  </si>
  <si>
    <t>&lt;-- the root is between 2 and 3</t>
  </si>
  <si>
    <t>= (p+a/v^2)*(v-b)-R*T</t>
  </si>
  <si>
    <t>d)</t>
  </si>
  <si>
    <r>
      <t>N</t>
    </r>
    <r>
      <rPr>
        <sz val="10"/>
        <color theme="1"/>
        <rFont val="Calibri (Body)"/>
      </rPr>
      <t>RC</t>
    </r>
    <r>
      <rPr>
        <sz val="12"/>
        <color theme="1"/>
        <rFont val="Calibri"/>
        <family val="2"/>
        <scheme val="minor"/>
      </rPr>
      <t xml:space="preserve"> =</t>
    </r>
  </si>
  <si>
    <t>roughness =</t>
  </si>
  <si>
    <t>Friciton factor (f) =</t>
  </si>
  <si>
    <t>Colebrook euation =</t>
  </si>
  <si>
    <t>Colebrook euation --&gt;</t>
  </si>
  <si>
    <t>f</t>
  </si>
  <si>
    <t>Colebrook val</t>
  </si>
  <si>
    <t>--&gt; root is between 0.01 and 0.02</t>
  </si>
  <si>
    <t>e)</t>
  </si>
  <si>
    <t>Reynolds number</t>
  </si>
  <si>
    <t>Using Automate goal seek for different Reynolds number</t>
  </si>
  <si>
    <t>(1/f)^(1/2)+0.86ln(roughness/3.7 + 2.51/(Nrc*sqrt(f))) =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</si>
</sst>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scheme val="minor"/>
    </font>
    <font>
      <sz val="11"/>
      <color theme="1"/>
      <name val="Calibri (Body)"/>
    </font>
    <font>
      <sz val="10"/>
      <color theme="1"/>
      <name val="Calibri (Body)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quotePrefix="1"/>
    <xf numFmtId="0" fontId="0" fillId="2" borderId="0" xfId="0" applyFill="1"/>
    <xf numFmtId="0" fontId="0" fillId="0" borderId="0" xfId="0" applyFill="1"/>
    <xf numFmtId="0" fontId="0" fillId="3" borderId="0" xfId="0" applyFill="1"/>
    <xf numFmtId="0" fontId="0" fillId="0" borderId="0" xfId="0" applyFont="1"/>
    <xf numFmtId="0" fontId="0" fillId="2" borderId="0" xfId="0" applyFont="1" applyFill="1"/>
    <xf numFmtId="0" fontId="1" fillId="2" borderId="0" xfId="0" applyFont="1" applyFill="1"/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[1]Sheet1!$A$3:$A$23</c:f>
              <c:numCache>
                <c:formatCode>General</c:formatCode>
                <c:ptCount val="21"/>
                <c:pt idx="0">
                  <c:v>-10</c:v>
                </c:pt>
                <c:pt idx="1">
                  <c:v>-9</c:v>
                </c:pt>
                <c:pt idx="2">
                  <c:v>-8</c:v>
                </c:pt>
                <c:pt idx="3">
                  <c:v>-7</c:v>
                </c:pt>
                <c:pt idx="4">
                  <c:v>-6</c:v>
                </c:pt>
                <c:pt idx="5">
                  <c:v>-5</c:v>
                </c:pt>
                <c:pt idx="6">
                  <c:v>-4</c:v>
                </c:pt>
                <c:pt idx="7">
                  <c:v>-3</c:v>
                </c:pt>
                <c:pt idx="8">
                  <c:v>-2</c:v>
                </c:pt>
                <c:pt idx="9">
                  <c:v>-1</c:v>
                </c:pt>
                <c:pt idx="10">
                  <c:v>0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</c:numCache>
            </c:numRef>
          </c:xVal>
          <c:yVal>
            <c:numRef>
              <c:f>[1]Sheet1!$B$3:$B$23</c:f>
              <c:numCache>
                <c:formatCode>General</c:formatCode>
                <c:ptCount val="21"/>
                <c:pt idx="0">
                  <c:v>-9.8455653099681157</c:v>
                </c:pt>
                <c:pt idx="1">
                  <c:v>-8.9199161769480959</c:v>
                </c:pt>
                <c:pt idx="2">
                  <c:v>-8</c:v>
                </c:pt>
                <c:pt idx="3">
                  <c:v>-7.0870688172276113</c:v>
                </c:pt>
                <c:pt idx="4">
                  <c:v>-6.1828794071678601</c:v>
                </c:pt>
                <c:pt idx="5">
                  <c:v>-5.2900240533233029</c:v>
                </c:pt>
                <c:pt idx="6">
                  <c:v>-4.4125989480318006</c:v>
                </c:pt>
                <c:pt idx="7">
                  <c:v>-3.5577504296925917</c:v>
                </c:pt>
                <c:pt idx="8">
                  <c:v>-2.7400789501051266</c:v>
                </c:pt>
                <c:pt idx="9">
                  <c:v>-2</c:v>
                </c:pt>
                <c:pt idx="10">
                  <c:v>-2</c:v>
                </c:pt>
                <c:pt idx="11">
                  <c:v>-2</c:v>
                </c:pt>
                <c:pt idx="12">
                  <c:v>-1.2599210498948732</c:v>
                </c:pt>
                <c:pt idx="13">
                  <c:v>-0.4422495703074083</c:v>
                </c:pt>
                <c:pt idx="14">
                  <c:v>0.41259894803180064</c:v>
                </c:pt>
                <c:pt idx="15">
                  <c:v>1.2900240533233029</c:v>
                </c:pt>
                <c:pt idx="16">
                  <c:v>2.1828794071678601</c:v>
                </c:pt>
                <c:pt idx="17">
                  <c:v>3.0870688172276113</c:v>
                </c:pt>
                <c:pt idx="18">
                  <c:v>4</c:v>
                </c:pt>
                <c:pt idx="19">
                  <c:v>4.9199161769480959</c:v>
                </c:pt>
                <c:pt idx="20">
                  <c:v>5.8455653099681157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8CB-B24E-94F1-644E7305ED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2928784"/>
        <c:axId val="1443149104"/>
      </c:scatterChart>
      <c:valAx>
        <c:axId val="14429287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3149104"/>
        <c:crosses val="autoZero"/>
        <c:crossBetween val="midCat"/>
      </c:valAx>
      <c:valAx>
        <c:axId val="1443149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29287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[1]Sheet1!$H$3:$H$23</c:f>
              <c:numCache>
                <c:formatCode>General</c:formatCode>
                <c:ptCount val="21"/>
                <c:pt idx="0">
                  <c:v>-10</c:v>
                </c:pt>
                <c:pt idx="1">
                  <c:v>-9</c:v>
                </c:pt>
                <c:pt idx="2">
                  <c:v>-8</c:v>
                </c:pt>
                <c:pt idx="3">
                  <c:v>-7</c:v>
                </c:pt>
                <c:pt idx="4">
                  <c:v>-6</c:v>
                </c:pt>
                <c:pt idx="5">
                  <c:v>-5</c:v>
                </c:pt>
                <c:pt idx="6">
                  <c:v>-4</c:v>
                </c:pt>
                <c:pt idx="7">
                  <c:v>-3</c:v>
                </c:pt>
                <c:pt idx="8">
                  <c:v>-2</c:v>
                </c:pt>
                <c:pt idx="9">
                  <c:v>-1</c:v>
                </c:pt>
                <c:pt idx="10">
                  <c:v>0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</c:numCache>
            </c:numRef>
          </c:xVal>
          <c:yVal>
            <c:numRef>
              <c:f>[1]Sheet1!$I$3:$I$23</c:f>
              <c:numCache>
                <c:formatCode>General</c:formatCode>
                <c:ptCount val="21"/>
                <c:pt idx="0">
                  <c:v>5.4836082745908659</c:v>
                </c:pt>
                <c:pt idx="1">
                  <c:v>-5.0708409349762888</c:v>
                </c:pt>
                <c:pt idx="2">
                  <c:v>-55.397691641763032</c:v>
                </c:pt>
                <c:pt idx="3">
                  <c:v>5.1001358790702316</c:v>
                </c:pt>
                <c:pt idx="4">
                  <c:v>-2.7460371483084947</c:v>
                </c:pt>
                <c:pt idx="5">
                  <c:v>-17.902575031232928</c:v>
                </c:pt>
                <c:pt idx="6">
                  <c:v>3.6312851293983099</c:v>
                </c:pt>
                <c:pt idx="7">
                  <c:v>-1.4276396292228335</c:v>
                </c:pt>
                <c:pt idx="8">
                  <c:v>-5.3700797265230378</c:v>
                </c:pt>
                <c:pt idx="9">
                  <c:v>0.55740772465490229</c:v>
                </c:pt>
                <c:pt idx="10">
                  <c:v>-1</c:v>
                </c:pt>
                <c:pt idx="11">
                  <c:v>0.55740772465490229</c:v>
                </c:pt>
                <c:pt idx="12">
                  <c:v>-5.3700797265230378</c:v>
                </c:pt>
                <c:pt idx="13">
                  <c:v>-1.4276396292228335</c:v>
                </c:pt>
                <c:pt idx="14">
                  <c:v>3.6312851293983099</c:v>
                </c:pt>
                <c:pt idx="15">
                  <c:v>-17.902575031232928</c:v>
                </c:pt>
                <c:pt idx="16">
                  <c:v>-2.7460371483084947</c:v>
                </c:pt>
                <c:pt idx="17">
                  <c:v>5.1001358790702316</c:v>
                </c:pt>
                <c:pt idx="18">
                  <c:v>-55.397691641763032</c:v>
                </c:pt>
                <c:pt idx="19">
                  <c:v>-5.0708409349762888</c:v>
                </c:pt>
                <c:pt idx="20">
                  <c:v>5.4836082745908659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9EC-4B4C-A78D-3C124FDBA1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0534960"/>
        <c:axId val="977209200"/>
      </c:scatterChart>
      <c:valAx>
        <c:axId val="980534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7209200"/>
        <c:crosses val="autoZero"/>
        <c:crossBetween val="midCat"/>
      </c:valAx>
      <c:valAx>
        <c:axId val="977209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05349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[1]Sheet1!$O$3:$O$23</c:f>
              <c:numCache>
                <c:formatCode>General</c:formatCode>
                <c:ptCount val="21"/>
                <c:pt idx="0">
                  <c:v>-10</c:v>
                </c:pt>
                <c:pt idx="1">
                  <c:v>-9</c:v>
                </c:pt>
                <c:pt idx="2">
                  <c:v>-8</c:v>
                </c:pt>
                <c:pt idx="3">
                  <c:v>-7</c:v>
                </c:pt>
                <c:pt idx="4">
                  <c:v>-6</c:v>
                </c:pt>
                <c:pt idx="5">
                  <c:v>-5</c:v>
                </c:pt>
                <c:pt idx="6">
                  <c:v>-4</c:v>
                </c:pt>
                <c:pt idx="7">
                  <c:v>-3</c:v>
                </c:pt>
                <c:pt idx="8">
                  <c:v>-2</c:v>
                </c:pt>
                <c:pt idx="9">
                  <c:v>-1</c:v>
                </c:pt>
                <c:pt idx="10">
                  <c:v>0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</c:numCache>
            </c:numRef>
          </c:xVal>
          <c:yVal>
            <c:numRef>
              <c:f>[1]Sheet1!$P$3:$P$23</c:f>
              <c:numCache>
                <c:formatCode>General</c:formatCode>
                <c:ptCount val="21"/>
                <c:pt idx="0">
                  <c:v>10000.999954600071</c:v>
                </c:pt>
                <c:pt idx="1">
                  <c:v>6561.9998765901955</c:v>
                </c:pt>
                <c:pt idx="2">
                  <c:v>4096.9996645373722</c:v>
                </c:pt>
                <c:pt idx="3">
                  <c:v>2401.9990881180343</c:v>
                </c:pt>
                <c:pt idx="4">
                  <c:v>1296.9975212478234</c:v>
                </c:pt>
                <c:pt idx="5">
                  <c:v>625.99326205300088</c:v>
                </c:pt>
                <c:pt idx="6">
                  <c:v>256.98168436111126</c:v>
                </c:pt>
                <c:pt idx="7">
                  <c:v>81.950212931632137</c:v>
                </c:pt>
                <c:pt idx="8">
                  <c:v>16.864664716763386</c:v>
                </c:pt>
                <c:pt idx="9">
                  <c:v>1.6321205588285577</c:v>
                </c:pt>
                <c:pt idx="10">
                  <c:v>0</c:v>
                </c:pt>
                <c:pt idx="11">
                  <c:v>-0.71828182845904509</c:v>
                </c:pt>
                <c:pt idx="12">
                  <c:v>9.6109439010693496</c:v>
                </c:pt>
                <c:pt idx="13">
                  <c:v>61.914463076812332</c:v>
                </c:pt>
                <c:pt idx="14">
                  <c:v>202.40184996685576</c:v>
                </c:pt>
                <c:pt idx="15">
                  <c:v>477.58684089742337</c:v>
                </c:pt>
                <c:pt idx="16">
                  <c:v>893.57120650726483</c:v>
                </c:pt>
                <c:pt idx="17">
                  <c:v>1305.3668415715415</c:v>
                </c:pt>
                <c:pt idx="18">
                  <c:v>1116.0420129582717</c:v>
                </c:pt>
                <c:pt idx="19">
                  <c:v>-1541.0839275753842</c:v>
                </c:pt>
                <c:pt idx="20">
                  <c:v>-12025.465794806718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E7E-B544-9EF5-8E60372183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1274480"/>
        <c:axId val="981183552"/>
      </c:scatterChart>
      <c:valAx>
        <c:axId val="981274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1183552"/>
        <c:crosses val="autoZero"/>
        <c:crossBetween val="midCat"/>
      </c:valAx>
      <c:valAx>
        <c:axId val="981183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12744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[1]Sheet1!$V$3:$V$23</c:f>
              <c:numCache>
                <c:formatCode>General</c:formatCode>
                <c:ptCount val="21"/>
                <c:pt idx="0">
                  <c:v>-10</c:v>
                </c:pt>
                <c:pt idx="1">
                  <c:v>-9</c:v>
                </c:pt>
                <c:pt idx="2">
                  <c:v>-8</c:v>
                </c:pt>
                <c:pt idx="3">
                  <c:v>-7</c:v>
                </c:pt>
                <c:pt idx="4">
                  <c:v>-6</c:v>
                </c:pt>
                <c:pt idx="5">
                  <c:v>-5</c:v>
                </c:pt>
                <c:pt idx="6">
                  <c:v>-4</c:v>
                </c:pt>
                <c:pt idx="7">
                  <c:v>-3</c:v>
                </c:pt>
                <c:pt idx="8">
                  <c:v>-2</c:v>
                </c:pt>
                <c:pt idx="9">
                  <c:v>-1</c:v>
                </c:pt>
                <c:pt idx="10">
                  <c:v>0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</c:numCache>
            </c:numRef>
          </c:xVal>
          <c:yVal>
            <c:numRef>
              <c:f>[1]Sheet1!$W$3:$W$23</c:f>
              <c:numCache>
                <c:formatCode>General</c:formatCode>
                <c:ptCount val="21"/>
                <c:pt idx="0">
                  <c:v>-0.99546000702375148</c:v>
                </c:pt>
                <c:pt idx="1">
                  <c:v>-0.99000380586897896</c:v>
                </c:pt>
                <c:pt idx="2">
                  <c:v>-0.97853039181423929</c:v>
                </c:pt>
                <c:pt idx="3">
                  <c:v>-0.95531778368782871</c:v>
                </c:pt>
                <c:pt idx="4">
                  <c:v>-0.9107649216400111</c:v>
                </c:pt>
                <c:pt idx="5">
                  <c:v>-0.83155132502286333</c:v>
                </c:pt>
                <c:pt idx="6">
                  <c:v>-0.70694977778025314</c:v>
                </c:pt>
                <c:pt idx="7">
                  <c:v>-0.55191638468922455</c:v>
                </c:pt>
                <c:pt idx="8">
                  <c:v>-0.45865886705354919</c:v>
                </c:pt>
                <c:pt idx="9">
                  <c:v>-0.63212055882855767</c:v>
                </c:pt>
                <c:pt idx="10">
                  <c:v>-1</c:v>
                </c:pt>
                <c:pt idx="11">
                  <c:v>1.7182818284590451</c:v>
                </c:pt>
                <c:pt idx="12">
                  <c:v>28.556224395722602</c:v>
                </c:pt>
                <c:pt idx="13">
                  <c:v>179.76983230868902</c:v>
                </c:pt>
                <c:pt idx="14">
                  <c:v>872.57040053030778</c:v>
                </c:pt>
                <c:pt idx="15">
                  <c:v>3709.3289775644148</c:v>
                </c:pt>
                <c:pt idx="16">
                  <c:v>14522.436565738464</c:v>
                </c:pt>
                <c:pt idx="17">
                  <c:v>53734.024762994464</c:v>
                </c:pt>
                <c:pt idx="18">
                  <c:v>190780.31117067061</c:v>
                </c:pt>
                <c:pt idx="19">
                  <c:v>656348.79813360609</c:v>
                </c:pt>
                <c:pt idx="20">
                  <c:v>2202645.5794806718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3A8-EC4B-B37D-D0EB21D073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6551600"/>
        <c:axId val="1016553232"/>
      </c:scatterChart>
      <c:valAx>
        <c:axId val="1016551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6553232"/>
        <c:crosses val="autoZero"/>
        <c:crossBetween val="midCat"/>
      </c:valAx>
      <c:valAx>
        <c:axId val="1016553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65516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Sheet2!$A$3:$A$23</c:f>
              <c:numCache>
                <c:formatCode>General</c:formatCode>
                <c:ptCount val="21"/>
                <c:pt idx="0">
                  <c:v>-10</c:v>
                </c:pt>
                <c:pt idx="1">
                  <c:v>-9</c:v>
                </c:pt>
                <c:pt idx="2">
                  <c:v>-8</c:v>
                </c:pt>
                <c:pt idx="3">
                  <c:v>-7</c:v>
                </c:pt>
                <c:pt idx="4">
                  <c:v>-6</c:v>
                </c:pt>
                <c:pt idx="5">
                  <c:v>-5</c:v>
                </c:pt>
                <c:pt idx="6">
                  <c:v>-4</c:v>
                </c:pt>
                <c:pt idx="7">
                  <c:v>-3</c:v>
                </c:pt>
                <c:pt idx="8">
                  <c:v>-2</c:v>
                </c:pt>
                <c:pt idx="9">
                  <c:v>-1</c:v>
                </c:pt>
                <c:pt idx="10">
                  <c:v>0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</c:numCache>
            </c:numRef>
          </c:xVal>
          <c:yVal>
            <c:numRef>
              <c:f>Sheet2!$B$3:$B$23</c:f>
              <c:numCache>
                <c:formatCode>General</c:formatCode>
                <c:ptCount val="21"/>
                <c:pt idx="0">
                  <c:v>-818</c:v>
                </c:pt>
                <c:pt idx="1">
                  <c:v>-564</c:v>
                </c:pt>
                <c:pt idx="2">
                  <c:v>-364</c:v>
                </c:pt>
                <c:pt idx="3">
                  <c:v>-212</c:v>
                </c:pt>
                <c:pt idx="4">
                  <c:v>-102</c:v>
                </c:pt>
                <c:pt idx="5">
                  <c:v>-28</c:v>
                </c:pt>
                <c:pt idx="6">
                  <c:v>16</c:v>
                </c:pt>
                <c:pt idx="7">
                  <c:v>36</c:v>
                </c:pt>
                <c:pt idx="8">
                  <c:v>38</c:v>
                </c:pt>
                <c:pt idx="9">
                  <c:v>28</c:v>
                </c:pt>
                <c:pt idx="10">
                  <c:v>12</c:v>
                </c:pt>
                <c:pt idx="11">
                  <c:v>-4</c:v>
                </c:pt>
                <c:pt idx="12">
                  <c:v>-14</c:v>
                </c:pt>
                <c:pt idx="13">
                  <c:v>-12</c:v>
                </c:pt>
                <c:pt idx="14">
                  <c:v>8</c:v>
                </c:pt>
                <c:pt idx="15">
                  <c:v>52</c:v>
                </c:pt>
                <c:pt idx="16">
                  <c:v>126</c:v>
                </c:pt>
                <c:pt idx="17">
                  <c:v>236</c:v>
                </c:pt>
                <c:pt idx="18">
                  <c:v>388</c:v>
                </c:pt>
                <c:pt idx="19">
                  <c:v>588</c:v>
                </c:pt>
                <c:pt idx="20">
                  <c:v>842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93B-C147-9C07-11A920BDB0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6364672"/>
        <c:axId val="1166366304"/>
      </c:scatterChart>
      <c:valAx>
        <c:axId val="1166364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6366304"/>
        <c:crosses val="autoZero"/>
        <c:crossBetween val="midCat"/>
      </c:valAx>
      <c:valAx>
        <c:axId val="1166366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63646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Sheet2!$I$3:$I$23</c:f>
              <c:numCache>
                <c:formatCode>General</c:formatCode>
                <c:ptCount val="21"/>
                <c:pt idx="0">
                  <c:v>-10</c:v>
                </c:pt>
                <c:pt idx="1">
                  <c:v>-9</c:v>
                </c:pt>
                <c:pt idx="2">
                  <c:v>-8</c:v>
                </c:pt>
                <c:pt idx="3">
                  <c:v>-7</c:v>
                </c:pt>
                <c:pt idx="4">
                  <c:v>-6</c:v>
                </c:pt>
                <c:pt idx="5">
                  <c:v>-5</c:v>
                </c:pt>
                <c:pt idx="6">
                  <c:v>-4</c:v>
                </c:pt>
                <c:pt idx="7">
                  <c:v>-3</c:v>
                </c:pt>
                <c:pt idx="8">
                  <c:v>-2</c:v>
                </c:pt>
                <c:pt idx="9">
                  <c:v>-1</c:v>
                </c:pt>
                <c:pt idx="10">
                  <c:v>0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</c:numCache>
            </c:numRef>
          </c:xVal>
          <c:yVal>
            <c:numRef>
              <c:f>Sheet2!$J$3:$J$23</c:f>
              <c:numCache>
                <c:formatCode>General</c:formatCode>
                <c:ptCount val="21"/>
                <c:pt idx="0">
                  <c:v>-4.3472249652254151E-2</c:v>
                </c:pt>
                <c:pt idx="1">
                  <c:v>-0.24530741168292364</c:v>
                </c:pt>
                <c:pt idx="2">
                  <c:v>-0.2346283865070744</c:v>
                </c:pt>
                <c:pt idx="3">
                  <c:v>4.682825726925465E-3</c:v>
                </c:pt>
                <c:pt idx="4">
                  <c:v>0.27668385915946636</c:v>
                </c:pt>
                <c:pt idx="5">
                  <c:v>0.32757913856636323</c:v>
                </c:pt>
                <c:pt idx="6">
                  <c:v>6.6043327959084727E-2</c:v>
                </c:pt>
                <c:pt idx="7">
                  <c:v>-0.33905895827253579</c:v>
                </c:pt>
                <c:pt idx="8">
                  <c:v>-0.57672480789629377</c:v>
                </c:pt>
                <c:pt idx="9">
                  <c:v>-0.44005058567713012</c:v>
                </c:pt>
                <c:pt idx="10">
                  <c:v>0</c:v>
                </c:pt>
                <c:pt idx="11">
                  <c:v>0.44005058567713012</c:v>
                </c:pt>
                <c:pt idx="12">
                  <c:v>0.57672480789629377</c:v>
                </c:pt>
                <c:pt idx="13">
                  <c:v>0.33905895827253579</c:v>
                </c:pt>
                <c:pt idx="14">
                  <c:v>-6.6043327959084727E-2</c:v>
                </c:pt>
                <c:pt idx="15">
                  <c:v>-0.32757913856636323</c:v>
                </c:pt>
                <c:pt idx="16">
                  <c:v>-0.27668385915946636</c:v>
                </c:pt>
                <c:pt idx="17">
                  <c:v>-4.682825726925465E-3</c:v>
                </c:pt>
                <c:pt idx="18">
                  <c:v>0.2346283865070744</c:v>
                </c:pt>
                <c:pt idx="19">
                  <c:v>0.24530741168292364</c:v>
                </c:pt>
                <c:pt idx="20">
                  <c:v>4.3472249652254151E-2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E9F-F44B-87D7-851B014071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6537872"/>
        <c:axId val="1130133312"/>
      </c:scatterChart>
      <c:valAx>
        <c:axId val="1176537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0133312"/>
        <c:crosses val="autoZero"/>
        <c:crossBetween val="midCat"/>
      </c:valAx>
      <c:valAx>
        <c:axId val="1130133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65378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Sheet2!$A$35:$A$45</c:f>
              <c:numCache>
                <c:formatCode>General</c:formatCode>
                <c:ptCount val="11"/>
                <c:pt idx="0">
                  <c:v>-5</c:v>
                </c:pt>
                <c:pt idx="1">
                  <c:v>-4</c:v>
                </c:pt>
                <c:pt idx="2">
                  <c:v>-3</c:v>
                </c:pt>
                <c:pt idx="3">
                  <c:v>-2</c:v>
                </c:pt>
                <c:pt idx="4">
                  <c:v>-1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4</c:v>
                </c:pt>
                <c:pt idx="10">
                  <c:v>5</c:v>
                </c:pt>
              </c:numCache>
            </c:numRef>
          </c:xVal>
          <c:yVal>
            <c:numRef>
              <c:f>Sheet2!$B$35:$B$45</c:f>
              <c:numCache>
                <c:formatCode>General</c:formatCode>
                <c:ptCount val="11"/>
                <c:pt idx="0">
                  <c:v>-94.391907200000006</c:v>
                </c:pt>
                <c:pt idx="1">
                  <c:v>-83.048180000000002</c:v>
                </c:pt>
                <c:pt idx="2">
                  <c:v>-72.014942222222231</c:v>
                </c:pt>
                <c:pt idx="3">
                  <c:v>-61.772120000000001</c:v>
                </c:pt>
                <c:pt idx="4">
                  <c:v>-54.832880000000003</c:v>
                </c:pt>
                <c:pt idx="5">
                  <c:v>0</c:v>
                </c:pt>
                <c:pt idx="6">
                  <c:v>-13.492880000000003</c:v>
                </c:pt>
                <c:pt idx="7">
                  <c:v>-5.7021200000000043</c:v>
                </c:pt>
                <c:pt idx="8">
                  <c:v>4.698391111111107</c:v>
                </c:pt>
                <c:pt idx="9">
                  <c:v>15.786819999999999</c:v>
                </c:pt>
                <c:pt idx="10">
                  <c:v>27.156092799999996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9C1-7948-936C-8FF28A874F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1949456"/>
        <c:axId val="1132104512"/>
      </c:scatterChart>
      <c:valAx>
        <c:axId val="1131949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2104512"/>
        <c:crosses val="autoZero"/>
        <c:crossBetween val="midCat"/>
      </c:valAx>
      <c:valAx>
        <c:axId val="1132104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19494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Sheet2!$I$37:$I$46</c:f>
              <c:numCache>
                <c:formatCode>General</c:formatCode>
                <c:ptCount val="10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</c:numCache>
            </c:numRef>
          </c:xVal>
          <c:yVal>
            <c:numRef>
              <c:f>Sheet2!$J$37:$J$46</c:f>
              <c:numCache>
                <c:formatCode>General</c:formatCode>
                <c:ptCount val="10"/>
                <c:pt idx="0">
                  <c:v>2.9584986826493775</c:v>
                </c:pt>
                <c:pt idx="1">
                  <c:v>-0.23453726978444323</c:v>
                </c:pt>
                <c:pt idx="2">
                  <c:v>-1.6812814639251705</c:v>
                </c:pt>
                <c:pt idx="3">
                  <c:v>-2.5578251260430225</c:v>
                </c:pt>
                <c:pt idx="4">
                  <c:v>-3.1638394860653145</c:v>
                </c:pt>
                <c:pt idx="5">
                  <c:v>-3.616108229790302</c:v>
                </c:pt>
                <c:pt idx="6">
                  <c:v>-3.9709689043695491</c:v>
                </c:pt>
                <c:pt idx="7">
                  <c:v>-4.259432437612066</c:v>
                </c:pt>
                <c:pt idx="8">
                  <c:v>-4.5001862378384381</c:v>
                </c:pt>
                <c:pt idx="9">
                  <c:v>-4.7052630369287343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FEE-BC4D-B7F9-78C522D0D9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8023248"/>
        <c:axId val="1127725808"/>
      </c:scatterChart>
      <c:valAx>
        <c:axId val="11280232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7725808"/>
        <c:crosses val="autoZero"/>
        <c:crossBetween val="midCat"/>
      </c:valAx>
      <c:valAx>
        <c:axId val="1127725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80232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Sheet2!$Q$31:$Q$43</c:f>
              <c:numCache>
                <c:formatCode>General</c:formatCode>
                <c:ptCount val="13"/>
                <c:pt idx="0">
                  <c:v>3.81490131907933E-2</c:v>
                </c:pt>
                <c:pt idx="1">
                  <c:v>3.4732108220519607E-2</c:v>
                </c:pt>
                <c:pt idx="2">
                  <c:v>3.2463879684583474E-2</c:v>
                </c:pt>
                <c:pt idx="3">
                  <c:v>3.0816618483672523E-2</c:v>
                </c:pt>
                <c:pt idx="4">
                  <c:v>2.952523451466952E-2</c:v>
                </c:pt>
                <c:pt idx="5">
                  <c:v>2.8491086291353274E-2</c:v>
                </c:pt>
                <c:pt idx="6">
                  <c:v>2.7623552571233827E-2</c:v>
                </c:pt>
                <c:pt idx="7">
                  <c:v>2.688737985524868E-2</c:v>
                </c:pt>
                <c:pt idx="8">
                  <c:v>2.6256068555488975E-2</c:v>
                </c:pt>
                <c:pt idx="9">
                  <c:v>2.5699661356593757E-2</c:v>
                </c:pt>
                <c:pt idx="10">
                  <c:v>2.5206383706661038E-2</c:v>
                </c:pt>
                <c:pt idx="11">
                  <c:v>2.4762645703023139E-2</c:v>
                </c:pt>
                <c:pt idx="12">
                  <c:v>2.4362017241449579E-2</c:v>
                </c:pt>
              </c:numCache>
            </c:numRef>
          </c:xVal>
          <c:yVal>
            <c:numRef>
              <c:f>Sheet2!$R$31:$R$43</c:f>
              <c:numCache>
                <c:formatCode>General</c:formatCode>
                <c:ptCount val="13"/>
                <c:pt idx="0">
                  <c:v>5000</c:v>
                </c:pt>
                <c:pt idx="1">
                  <c:v>7000</c:v>
                </c:pt>
                <c:pt idx="2">
                  <c:v>9000</c:v>
                </c:pt>
                <c:pt idx="3">
                  <c:v>11000</c:v>
                </c:pt>
                <c:pt idx="4">
                  <c:v>13000</c:v>
                </c:pt>
                <c:pt idx="5">
                  <c:v>15000</c:v>
                </c:pt>
                <c:pt idx="6">
                  <c:v>17000</c:v>
                </c:pt>
                <c:pt idx="7">
                  <c:v>19000</c:v>
                </c:pt>
                <c:pt idx="8">
                  <c:v>21000</c:v>
                </c:pt>
                <c:pt idx="9">
                  <c:v>23000</c:v>
                </c:pt>
                <c:pt idx="10">
                  <c:v>25000</c:v>
                </c:pt>
                <c:pt idx="11">
                  <c:v>27000</c:v>
                </c:pt>
                <c:pt idx="12">
                  <c:v>29000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4FD-CB4F-854C-CE0B2F98FD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223984"/>
        <c:axId val="65225616"/>
      </c:scatterChart>
      <c:valAx>
        <c:axId val="65223984"/>
        <c:scaling>
          <c:orientation val="minMax"/>
          <c:min val="2.3000000000000007E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225616"/>
        <c:crosses val="autoZero"/>
        <c:crossBetween val="midCat"/>
      </c:valAx>
      <c:valAx>
        <c:axId val="65225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2239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5" Type="http://schemas.openxmlformats.org/officeDocument/2006/relationships/chart" Target="../charts/chart9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184150</xdr:colOff>
      <xdr:row>1</xdr:row>
      <xdr:rowOff>177800</xdr:rowOff>
    </xdr:from>
    <xdr:to>
      <xdr:col>6</xdr:col>
      <xdr:colOff>736600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276216E-0DB8-1C49-BCBC-8AA90D30AE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421471</xdr:colOff>
      <xdr:row>2</xdr:row>
      <xdr:rowOff>130628</xdr:rowOff>
    </xdr:from>
    <xdr:to>
      <xdr:col>13</xdr:col>
      <xdr:colOff>798286</xdr:colOff>
      <xdr:row>15</xdr:row>
      <xdr:rowOff>152399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B79A462-906C-2048-9630-C60BB92648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346250</xdr:colOff>
      <xdr:row>2</xdr:row>
      <xdr:rowOff>84853</xdr:rowOff>
    </xdr:from>
    <xdr:to>
      <xdr:col>21</xdr:col>
      <xdr:colOff>166914</xdr:colOff>
      <xdr:row>15</xdr:row>
      <xdr:rowOff>106624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01C3AFB-C7FF-3148-BA42-04C0552D36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23</xdr:col>
      <xdr:colOff>165938</xdr:colOff>
      <xdr:row>2</xdr:row>
      <xdr:rowOff>45496</xdr:rowOff>
    </xdr:from>
    <xdr:to>
      <xdr:col>28</xdr:col>
      <xdr:colOff>14514</xdr:colOff>
      <xdr:row>15</xdr:row>
      <xdr:rowOff>67267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9E720CE-5226-A846-9DBA-1D2FFE427A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317500</xdr:colOff>
      <xdr:row>9</xdr:row>
      <xdr:rowOff>114300</xdr:rowOff>
    </xdr:from>
    <xdr:to>
      <xdr:col>7</xdr:col>
      <xdr:colOff>762000</xdr:colOff>
      <xdr:row>23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498CC8F-3700-CB4D-859B-58FBEABB9D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247650</xdr:colOff>
      <xdr:row>9</xdr:row>
      <xdr:rowOff>50800</xdr:rowOff>
    </xdr:from>
    <xdr:to>
      <xdr:col>15</xdr:col>
      <xdr:colOff>692150</xdr:colOff>
      <xdr:row>22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4BEAF74-D3B6-DD43-AD0E-46DD6250B9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44450</xdr:colOff>
      <xdr:row>42</xdr:row>
      <xdr:rowOff>50800</xdr:rowOff>
    </xdr:from>
    <xdr:to>
      <xdr:col>7</xdr:col>
      <xdr:colOff>488950</xdr:colOff>
      <xdr:row>55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8A29115-2A57-7849-AB82-B001C8E203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139700</xdr:colOff>
      <xdr:row>37</xdr:row>
      <xdr:rowOff>127000</xdr:rowOff>
    </xdr:from>
    <xdr:to>
      <xdr:col>15</xdr:col>
      <xdr:colOff>584200</xdr:colOff>
      <xdr:row>51</xdr:row>
      <xdr:rowOff>25400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C85ED2E-A008-8440-858D-AE5CE19A83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254000</xdr:colOff>
      <xdr:row>30</xdr:row>
      <xdr:rowOff>63500</xdr:rowOff>
    </xdr:from>
    <xdr:to>
      <xdr:col>24</xdr:col>
      <xdr:colOff>698500</xdr:colOff>
      <xdr:row>43</xdr:row>
      <xdr:rowOff>165100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C22268D-BFB3-754A-88BF-45D3E15104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Khalfan_Alasam/Desktop/ChE%20205/HW/HW%201/HW-1%20ChE%2020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Sheet4"/>
    </sheetNames>
    <sheetDataSet>
      <sheetData sheetId="0">
        <row r="3">
          <cell r="A3">
            <v>-10</v>
          </cell>
          <cell r="B3">
            <v>-9.8455653099681157</v>
          </cell>
          <cell r="H3">
            <v>-10</v>
          </cell>
          <cell r="I3">
            <v>5.4836082745908659</v>
          </cell>
          <cell r="O3">
            <v>-10</v>
          </cell>
          <cell r="P3">
            <v>10000.999954600071</v>
          </cell>
          <cell r="V3">
            <v>-10</v>
          </cell>
          <cell r="W3">
            <v>-0.99546000702375148</v>
          </cell>
        </row>
        <row r="4">
          <cell r="A4">
            <v>-9</v>
          </cell>
          <cell r="B4">
            <v>-8.9199161769480959</v>
          </cell>
          <cell r="H4">
            <v>-9</v>
          </cell>
          <cell r="I4">
            <v>-5.0708409349762888</v>
          </cell>
          <cell r="O4">
            <v>-9</v>
          </cell>
          <cell r="P4">
            <v>6561.9998765901955</v>
          </cell>
          <cell r="V4">
            <v>-9</v>
          </cell>
          <cell r="W4">
            <v>-0.99000380586897896</v>
          </cell>
        </row>
        <row r="5">
          <cell r="A5">
            <v>-8</v>
          </cell>
          <cell r="B5">
            <v>-8</v>
          </cell>
          <cell r="H5">
            <v>-8</v>
          </cell>
          <cell r="I5">
            <v>-55.397691641763032</v>
          </cell>
          <cell r="O5">
            <v>-8</v>
          </cell>
          <cell r="P5">
            <v>4096.9996645373722</v>
          </cell>
          <cell r="V5">
            <v>-8</v>
          </cell>
          <cell r="W5">
            <v>-0.97853039181423929</v>
          </cell>
        </row>
        <row r="6">
          <cell r="A6">
            <v>-7</v>
          </cell>
          <cell r="B6">
            <v>-7.0870688172276113</v>
          </cell>
          <cell r="H6">
            <v>-7</v>
          </cell>
          <cell r="I6">
            <v>5.1001358790702316</v>
          </cell>
          <cell r="O6">
            <v>-7</v>
          </cell>
          <cell r="P6">
            <v>2401.9990881180343</v>
          </cell>
          <cell r="V6">
            <v>-7</v>
          </cell>
          <cell r="W6">
            <v>-0.95531778368782871</v>
          </cell>
        </row>
        <row r="7">
          <cell r="A7">
            <v>-6</v>
          </cell>
          <cell r="B7">
            <v>-6.1828794071678601</v>
          </cell>
          <cell r="H7">
            <v>-6</v>
          </cell>
          <cell r="I7">
            <v>-2.7460371483084947</v>
          </cell>
          <cell r="O7">
            <v>-6</v>
          </cell>
          <cell r="P7">
            <v>1296.9975212478234</v>
          </cell>
          <cell r="V7">
            <v>-6</v>
          </cell>
          <cell r="W7">
            <v>-0.9107649216400111</v>
          </cell>
        </row>
        <row r="8">
          <cell r="A8">
            <v>-5</v>
          </cell>
          <cell r="B8">
            <v>-5.2900240533233029</v>
          </cell>
          <cell r="H8">
            <v>-5</v>
          </cell>
          <cell r="I8">
            <v>-17.902575031232928</v>
          </cell>
          <cell r="O8">
            <v>-5</v>
          </cell>
          <cell r="P8">
            <v>625.99326205300088</v>
          </cell>
          <cell r="V8">
            <v>-5</v>
          </cell>
          <cell r="W8">
            <v>-0.83155132502286333</v>
          </cell>
        </row>
        <row r="9">
          <cell r="A9">
            <v>-4</v>
          </cell>
          <cell r="B9">
            <v>-4.4125989480318006</v>
          </cell>
          <cell r="H9">
            <v>-4</v>
          </cell>
          <cell r="I9">
            <v>3.6312851293983099</v>
          </cell>
          <cell r="O9">
            <v>-4</v>
          </cell>
          <cell r="P9">
            <v>256.98168436111126</v>
          </cell>
          <cell r="V9">
            <v>-4</v>
          </cell>
          <cell r="W9">
            <v>-0.70694977778025314</v>
          </cell>
        </row>
        <row r="10">
          <cell r="A10">
            <v>-3</v>
          </cell>
          <cell r="B10">
            <v>-3.5577504296925917</v>
          </cell>
          <cell r="H10">
            <v>-3</v>
          </cell>
          <cell r="I10">
            <v>-1.4276396292228335</v>
          </cell>
          <cell r="O10">
            <v>-3</v>
          </cell>
          <cell r="P10">
            <v>81.950212931632137</v>
          </cell>
          <cell r="V10">
            <v>-3</v>
          </cell>
          <cell r="W10">
            <v>-0.55191638468922455</v>
          </cell>
        </row>
        <row r="11">
          <cell r="A11">
            <v>-2</v>
          </cell>
          <cell r="B11">
            <v>-2.7400789501051266</v>
          </cell>
          <cell r="H11">
            <v>-2</v>
          </cell>
          <cell r="I11">
            <v>-5.3700797265230378</v>
          </cell>
          <cell r="O11">
            <v>-2</v>
          </cell>
          <cell r="P11">
            <v>16.864664716763386</v>
          </cell>
          <cell r="V11">
            <v>-2</v>
          </cell>
          <cell r="W11">
            <v>-0.45865886705354919</v>
          </cell>
        </row>
        <row r="12">
          <cell r="A12">
            <v>-1</v>
          </cell>
          <cell r="B12">
            <v>-2</v>
          </cell>
          <cell r="H12">
            <v>-1</v>
          </cell>
          <cell r="I12">
            <v>0.55740772465490229</v>
          </cell>
          <cell r="O12">
            <v>-1</v>
          </cell>
          <cell r="P12">
            <v>1.6321205588285577</v>
          </cell>
          <cell r="V12">
            <v>-1</v>
          </cell>
          <cell r="W12">
            <v>-0.63212055882855767</v>
          </cell>
        </row>
        <row r="13">
          <cell r="A13">
            <v>0</v>
          </cell>
          <cell r="B13">
            <v>-2</v>
          </cell>
          <cell r="H13">
            <v>0</v>
          </cell>
          <cell r="I13">
            <v>-1</v>
          </cell>
          <cell r="O13">
            <v>0</v>
          </cell>
          <cell r="P13">
            <v>0</v>
          </cell>
          <cell r="V13">
            <v>0</v>
          </cell>
          <cell r="W13">
            <v>-1</v>
          </cell>
        </row>
        <row r="14">
          <cell r="A14">
            <v>1</v>
          </cell>
          <cell r="B14">
            <v>-2</v>
          </cell>
          <cell r="H14">
            <v>1</v>
          </cell>
          <cell r="I14">
            <v>0.55740772465490229</v>
          </cell>
          <cell r="O14">
            <v>1</v>
          </cell>
          <cell r="P14">
            <v>-0.71828182845904509</v>
          </cell>
          <cell r="V14">
            <v>1</v>
          </cell>
          <cell r="W14">
            <v>1.7182818284590451</v>
          </cell>
        </row>
        <row r="15">
          <cell r="A15">
            <v>2</v>
          </cell>
          <cell r="B15">
            <v>-1.2599210498948732</v>
          </cell>
          <cell r="H15">
            <v>2</v>
          </cell>
          <cell r="I15">
            <v>-5.3700797265230378</v>
          </cell>
          <cell r="O15">
            <v>2</v>
          </cell>
          <cell r="P15">
            <v>9.6109439010693496</v>
          </cell>
          <cell r="V15">
            <v>2</v>
          </cell>
          <cell r="W15">
            <v>28.556224395722602</v>
          </cell>
        </row>
        <row r="16">
          <cell r="A16">
            <v>3</v>
          </cell>
          <cell r="B16">
            <v>-0.4422495703074083</v>
          </cell>
          <cell r="H16">
            <v>3</v>
          </cell>
          <cell r="I16">
            <v>-1.4276396292228335</v>
          </cell>
          <cell r="O16">
            <v>3</v>
          </cell>
          <cell r="P16">
            <v>61.914463076812332</v>
          </cell>
          <cell r="V16">
            <v>3</v>
          </cell>
          <cell r="W16">
            <v>179.76983230868902</v>
          </cell>
        </row>
        <row r="17">
          <cell r="A17">
            <v>4</v>
          </cell>
          <cell r="B17">
            <v>0.41259894803180064</v>
          </cell>
          <cell r="H17">
            <v>4</v>
          </cell>
          <cell r="I17">
            <v>3.6312851293983099</v>
          </cell>
          <cell r="O17">
            <v>4</v>
          </cell>
          <cell r="P17">
            <v>202.40184996685576</v>
          </cell>
          <cell r="V17">
            <v>4</v>
          </cell>
          <cell r="W17">
            <v>872.57040053030778</v>
          </cell>
        </row>
        <row r="18">
          <cell r="A18">
            <v>5</v>
          </cell>
          <cell r="B18">
            <v>1.2900240533233029</v>
          </cell>
          <cell r="H18">
            <v>5</v>
          </cell>
          <cell r="I18">
            <v>-17.902575031232928</v>
          </cell>
          <cell r="O18">
            <v>5</v>
          </cell>
          <cell r="P18">
            <v>477.58684089742337</v>
          </cell>
          <cell r="V18">
            <v>5</v>
          </cell>
          <cell r="W18">
            <v>3709.3289775644148</v>
          </cell>
        </row>
        <row r="19">
          <cell r="A19">
            <v>6</v>
          </cell>
          <cell r="B19">
            <v>2.1828794071678601</v>
          </cell>
          <cell r="H19">
            <v>6</v>
          </cell>
          <cell r="I19">
            <v>-2.7460371483084947</v>
          </cell>
          <cell r="O19">
            <v>6</v>
          </cell>
          <cell r="P19">
            <v>893.57120650726483</v>
          </cell>
          <cell r="V19">
            <v>6</v>
          </cell>
          <cell r="W19">
            <v>14522.436565738464</v>
          </cell>
        </row>
        <row r="20">
          <cell r="A20">
            <v>7</v>
          </cell>
          <cell r="B20">
            <v>3.0870688172276113</v>
          </cell>
          <cell r="H20">
            <v>7</v>
          </cell>
          <cell r="I20">
            <v>5.1001358790702316</v>
          </cell>
          <cell r="O20">
            <v>7</v>
          </cell>
          <cell r="P20">
            <v>1305.3668415715415</v>
          </cell>
          <cell r="V20">
            <v>7</v>
          </cell>
          <cell r="W20">
            <v>53734.024762994464</v>
          </cell>
        </row>
        <row r="21">
          <cell r="A21">
            <v>8</v>
          </cell>
          <cell r="B21">
            <v>4</v>
          </cell>
          <cell r="H21">
            <v>8</v>
          </cell>
          <cell r="I21">
            <v>-55.397691641763032</v>
          </cell>
          <cell r="O21">
            <v>8</v>
          </cell>
          <cell r="P21">
            <v>1116.0420129582717</v>
          </cell>
          <cell r="V21">
            <v>8</v>
          </cell>
          <cell r="W21">
            <v>190780.31117067061</v>
          </cell>
        </row>
        <row r="22">
          <cell r="A22">
            <v>9</v>
          </cell>
          <cell r="B22">
            <v>4.9199161769480959</v>
          </cell>
          <cell r="H22">
            <v>9</v>
          </cell>
          <cell r="I22">
            <v>-5.0708409349762888</v>
          </cell>
          <cell r="O22">
            <v>9</v>
          </cell>
          <cell r="P22">
            <v>-1541.0839275753842</v>
          </cell>
          <cell r="V22">
            <v>9</v>
          </cell>
          <cell r="W22">
            <v>656348.79813360609</v>
          </cell>
        </row>
        <row r="23">
          <cell r="A23">
            <v>10</v>
          </cell>
          <cell r="B23">
            <v>5.8455653099681157</v>
          </cell>
          <cell r="H23">
            <v>10</v>
          </cell>
          <cell r="I23">
            <v>5.4836082745908659</v>
          </cell>
          <cell r="O23">
            <v>10</v>
          </cell>
          <cell r="P23">
            <v>-12025.465794806718</v>
          </cell>
          <cell r="V23">
            <v>10</v>
          </cell>
          <cell r="W23">
            <v>2202645.5794806718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10007-C15A-C04B-8BD5-92BECBD15548}">
  <sheetPr codeName="Sheet1"/>
  <dimension ref="A1:AC81"/>
  <sheetViews>
    <sheetView workbookViewId="0">
      <selection activeCell="AE29" sqref="AE29"/>
    </sheetView>
  </sheetViews>
  <sheetFormatPr baseColWidth="10" defaultRowHeight="16"/>
  <sheetData>
    <row r="1" spans="1:26">
      <c r="D1" t="s">
        <v>0</v>
      </c>
      <c r="E1" s="1" t="s">
        <v>1</v>
      </c>
      <c r="K1" t="s">
        <v>0</v>
      </c>
      <c r="L1" t="s">
        <v>2</v>
      </c>
      <c r="R1" t="s">
        <v>0</v>
      </c>
      <c r="S1" t="s">
        <v>3</v>
      </c>
      <c r="Y1" t="s">
        <v>0</v>
      </c>
      <c r="Z1" t="s">
        <v>4</v>
      </c>
    </row>
    <row r="2" spans="1:26">
      <c r="A2" t="s">
        <v>5</v>
      </c>
      <c r="B2" t="s">
        <v>6</v>
      </c>
      <c r="E2" s="1"/>
      <c r="H2" t="s">
        <v>5</v>
      </c>
      <c r="I2" t="s">
        <v>6</v>
      </c>
      <c r="O2" t="s">
        <v>5</v>
      </c>
      <c r="P2" t="s">
        <v>6</v>
      </c>
      <c r="V2" t="s">
        <v>5</v>
      </c>
      <c r="W2" t="s">
        <v>6</v>
      </c>
    </row>
    <row r="3" spans="1:26">
      <c r="A3">
        <v>-10</v>
      </c>
      <c r="B3">
        <f>A3-A3^(1/3)-2</f>
        <v>-9.8455653099681157</v>
      </c>
      <c r="H3">
        <v>-10</v>
      </c>
      <c r="I3">
        <f>H3*TAN(H3)-1</f>
        <v>5.4836082745908659</v>
      </c>
      <c r="O3">
        <v>-10</v>
      </c>
      <c r="P3">
        <f>O3^4-EXP(O3)+1</f>
        <v>10000.999954600071</v>
      </c>
      <c r="V3">
        <v>-10</v>
      </c>
      <c r="W3">
        <f>(V3^2)*EXP(V3)-1</f>
        <v>-0.99546000702375148</v>
      </c>
    </row>
    <row r="4" spans="1:26">
      <c r="A4">
        <v>-9</v>
      </c>
      <c r="B4">
        <f t="shared" ref="B4:B23" si="0">A4-A4^(1/3)-2</f>
        <v>-8.9199161769480959</v>
      </c>
      <c r="H4">
        <v>-9</v>
      </c>
      <c r="I4">
        <f t="shared" ref="I4:I23" si="1">H4*TAN(H4)-1</f>
        <v>-5.0708409349762888</v>
      </c>
      <c r="O4">
        <v>-9</v>
      </c>
      <c r="P4">
        <f t="shared" ref="P4:P23" si="2">O4^4-EXP(O4)+1</f>
        <v>6561.9998765901955</v>
      </c>
      <c r="V4">
        <v>-9</v>
      </c>
      <c r="W4">
        <f t="shared" ref="W4:W23" si="3">(V4^2)*EXP(V4)-1</f>
        <v>-0.99000380586897896</v>
      </c>
    </row>
    <row r="5" spans="1:26">
      <c r="A5">
        <v>-8</v>
      </c>
      <c r="B5">
        <f t="shared" si="0"/>
        <v>-8</v>
      </c>
      <c r="H5">
        <v>-8</v>
      </c>
      <c r="I5">
        <f t="shared" si="1"/>
        <v>-55.397691641763032</v>
      </c>
      <c r="O5">
        <v>-8</v>
      </c>
      <c r="P5">
        <f t="shared" si="2"/>
        <v>4096.9996645373722</v>
      </c>
      <c r="V5">
        <v>-8</v>
      </c>
      <c r="W5">
        <f t="shared" si="3"/>
        <v>-0.97853039181423929</v>
      </c>
    </row>
    <row r="6" spans="1:26">
      <c r="A6">
        <v>-7</v>
      </c>
      <c r="B6">
        <f t="shared" si="0"/>
        <v>-7.0870688172276113</v>
      </c>
      <c r="H6">
        <v>-7</v>
      </c>
      <c r="I6">
        <f t="shared" si="1"/>
        <v>5.1001358790702316</v>
      </c>
      <c r="O6">
        <v>-7</v>
      </c>
      <c r="P6">
        <f t="shared" si="2"/>
        <v>2401.9990881180343</v>
      </c>
      <c r="V6">
        <v>-7</v>
      </c>
      <c r="W6">
        <f t="shared" si="3"/>
        <v>-0.95531778368782871</v>
      </c>
    </row>
    <row r="7" spans="1:26">
      <c r="A7">
        <v>-6</v>
      </c>
      <c r="B7">
        <f t="shared" si="0"/>
        <v>-6.1828794071678601</v>
      </c>
      <c r="H7">
        <v>-6</v>
      </c>
      <c r="I7">
        <f t="shared" si="1"/>
        <v>-2.7460371483084947</v>
      </c>
      <c r="O7">
        <v>-6</v>
      </c>
      <c r="P7">
        <f t="shared" si="2"/>
        <v>1296.9975212478234</v>
      </c>
      <c r="V7">
        <v>-6</v>
      </c>
      <c r="W7">
        <f t="shared" si="3"/>
        <v>-0.9107649216400111</v>
      </c>
    </row>
    <row r="8" spans="1:26">
      <c r="A8">
        <v>-5</v>
      </c>
      <c r="B8">
        <f t="shared" si="0"/>
        <v>-5.2900240533233029</v>
      </c>
      <c r="H8">
        <v>-5</v>
      </c>
      <c r="I8">
        <f t="shared" si="1"/>
        <v>-17.902575031232928</v>
      </c>
      <c r="O8">
        <v>-5</v>
      </c>
      <c r="P8">
        <f t="shared" si="2"/>
        <v>625.99326205300088</v>
      </c>
      <c r="V8">
        <v>-5</v>
      </c>
      <c r="W8">
        <f t="shared" si="3"/>
        <v>-0.83155132502286333</v>
      </c>
    </row>
    <row r="9" spans="1:26">
      <c r="A9">
        <v>-4</v>
      </c>
      <c r="B9">
        <f t="shared" si="0"/>
        <v>-4.4125989480318006</v>
      </c>
      <c r="H9">
        <v>-4</v>
      </c>
      <c r="I9">
        <f t="shared" si="1"/>
        <v>3.6312851293983099</v>
      </c>
      <c r="O9">
        <v>-4</v>
      </c>
      <c r="P9">
        <f t="shared" si="2"/>
        <v>256.98168436111126</v>
      </c>
      <c r="V9">
        <v>-4</v>
      </c>
      <c r="W9">
        <f t="shared" si="3"/>
        <v>-0.70694977778025314</v>
      </c>
    </row>
    <row r="10" spans="1:26">
      <c r="A10">
        <v>-3</v>
      </c>
      <c r="B10">
        <f t="shared" si="0"/>
        <v>-3.5577504296925917</v>
      </c>
      <c r="H10">
        <v>-3</v>
      </c>
      <c r="I10">
        <f t="shared" si="1"/>
        <v>-1.4276396292228335</v>
      </c>
      <c r="O10">
        <v>-3</v>
      </c>
      <c r="P10">
        <f t="shared" si="2"/>
        <v>81.950212931632137</v>
      </c>
      <c r="V10">
        <v>-3</v>
      </c>
      <c r="W10">
        <f t="shared" si="3"/>
        <v>-0.55191638468922455</v>
      </c>
    </row>
    <row r="11" spans="1:26">
      <c r="A11">
        <v>-2</v>
      </c>
      <c r="B11">
        <f t="shared" si="0"/>
        <v>-2.7400789501051266</v>
      </c>
      <c r="H11">
        <v>-2</v>
      </c>
      <c r="I11">
        <f t="shared" si="1"/>
        <v>-5.3700797265230378</v>
      </c>
      <c r="O11">
        <v>-2</v>
      </c>
      <c r="P11">
        <f t="shared" si="2"/>
        <v>16.864664716763386</v>
      </c>
      <c r="V11">
        <v>-2</v>
      </c>
      <c r="W11">
        <f t="shared" si="3"/>
        <v>-0.45865886705354919</v>
      </c>
    </row>
    <row r="12" spans="1:26">
      <c r="A12">
        <v>-1</v>
      </c>
      <c r="B12">
        <f t="shared" si="0"/>
        <v>-2</v>
      </c>
      <c r="H12">
        <v>-1</v>
      </c>
      <c r="I12">
        <f t="shared" si="1"/>
        <v>0.55740772465490229</v>
      </c>
      <c r="O12">
        <v>-1</v>
      </c>
      <c r="P12">
        <f t="shared" si="2"/>
        <v>1.6321205588285577</v>
      </c>
      <c r="V12">
        <v>-1</v>
      </c>
      <c r="W12">
        <f t="shared" si="3"/>
        <v>-0.63212055882855767</v>
      </c>
    </row>
    <row r="13" spans="1:26">
      <c r="A13">
        <v>0</v>
      </c>
      <c r="B13">
        <f t="shared" si="0"/>
        <v>-2</v>
      </c>
      <c r="H13">
        <v>0</v>
      </c>
      <c r="I13">
        <f t="shared" si="1"/>
        <v>-1</v>
      </c>
      <c r="O13">
        <v>0</v>
      </c>
      <c r="P13">
        <f t="shared" si="2"/>
        <v>0</v>
      </c>
      <c r="V13">
        <v>0</v>
      </c>
      <c r="W13">
        <f t="shared" si="3"/>
        <v>-1</v>
      </c>
    </row>
    <row r="14" spans="1:26">
      <c r="A14">
        <v>1</v>
      </c>
      <c r="B14">
        <f t="shared" si="0"/>
        <v>-2</v>
      </c>
      <c r="H14">
        <v>1</v>
      </c>
      <c r="I14">
        <f t="shared" si="1"/>
        <v>0.55740772465490229</v>
      </c>
      <c r="O14">
        <v>1</v>
      </c>
      <c r="P14">
        <f t="shared" si="2"/>
        <v>-0.71828182845904509</v>
      </c>
      <c r="V14">
        <v>1</v>
      </c>
      <c r="W14">
        <f t="shared" si="3"/>
        <v>1.7182818284590451</v>
      </c>
    </row>
    <row r="15" spans="1:26">
      <c r="A15">
        <v>2</v>
      </c>
      <c r="B15">
        <f t="shared" si="0"/>
        <v>-1.2599210498948732</v>
      </c>
      <c r="H15">
        <v>2</v>
      </c>
      <c r="I15">
        <f t="shared" si="1"/>
        <v>-5.3700797265230378</v>
      </c>
      <c r="O15">
        <v>2</v>
      </c>
      <c r="P15">
        <f t="shared" si="2"/>
        <v>9.6109439010693496</v>
      </c>
      <c r="V15">
        <v>2</v>
      </c>
      <c r="W15">
        <f t="shared" si="3"/>
        <v>28.556224395722602</v>
      </c>
    </row>
    <row r="16" spans="1:26">
      <c r="A16">
        <v>3</v>
      </c>
      <c r="B16">
        <f t="shared" si="0"/>
        <v>-0.4422495703074083</v>
      </c>
      <c r="H16">
        <v>3</v>
      </c>
      <c r="I16">
        <f t="shared" si="1"/>
        <v>-1.4276396292228335</v>
      </c>
      <c r="O16">
        <v>3</v>
      </c>
      <c r="P16">
        <f t="shared" si="2"/>
        <v>61.914463076812332</v>
      </c>
      <c r="V16">
        <v>3</v>
      </c>
      <c r="W16">
        <f t="shared" si="3"/>
        <v>179.76983230868902</v>
      </c>
    </row>
    <row r="17" spans="1:28">
      <c r="A17">
        <v>4</v>
      </c>
      <c r="B17">
        <f t="shared" si="0"/>
        <v>0.41259894803180064</v>
      </c>
      <c r="H17">
        <v>4</v>
      </c>
      <c r="I17">
        <f t="shared" si="1"/>
        <v>3.6312851293983099</v>
      </c>
      <c r="O17">
        <v>4</v>
      </c>
      <c r="P17">
        <f t="shared" si="2"/>
        <v>202.40184996685576</v>
      </c>
      <c r="V17">
        <v>4</v>
      </c>
      <c r="W17">
        <f t="shared" si="3"/>
        <v>872.57040053030778</v>
      </c>
    </row>
    <row r="18" spans="1:28">
      <c r="A18">
        <v>5</v>
      </c>
      <c r="B18">
        <f t="shared" si="0"/>
        <v>1.2900240533233029</v>
      </c>
      <c r="D18" t="s">
        <v>14</v>
      </c>
      <c r="H18">
        <v>5</v>
      </c>
      <c r="I18">
        <f t="shared" si="1"/>
        <v>-17.902575031232928</v>
      </c>
      <c r="K18" t="s">
        <v>14</v>
      </c>
      <c r="O18">
        <v>5</v>
      </c>
      <c r="P18">
        <f t="shared" si="2"/>
        <v>477.58684089742337</v>
      </c>
      <c r="R18" t="s">
        <v>14</v>
      </c>
      <c r="V18">
        <v>5</v>
      </c>
      <c r="W18">
        <f t="shared" si="3"/>
        <v>3709.3289775644148</v>
      </c>
      <c r="Y18" t="s">
        <v>14</v>
      </c>
    </row>
    <row r="19" spans="1:28">
      <c r="A19">
        <v>6</v>
      </c>
      <c r="B19">
        <f t="shared" si="0"/>
        <v>2.1828794071678601</v>
      </c>
      <c r="D19" t="s">
        <v>15</v>
      </c>
      <c r="H19">
        <v>6</v>
      </c>
      <c r="I19">
        <f t="shared" si="1"/>
        <v>-2.7460371483084947</v>
      </c>
      <c r="K19" t="s">
        <v>16</v>
      </c>
      <c r="O19">
        <v>6</v>
      </c>
      <c r="P19">
        <f t="shared" si="2"/>
        <v>893.57120650726483</v>
      </c>
      <c r="R19" s="1" t="s">
        <v>17</v>
      </c>
      <c r="V19">
        <v>6</v>
      </c>
      <c r="W19">
        <f t="shared" si="3"/>
        <v>14522.436565738464</v>
      </c>
      <c r="Y19" t="s">
        <v>16</v>
      </c>
    </row>
    <row r="20" spans="1:28">
      <c r="A20">
        <v>7</v>
      </c>
      <c r="B20">
        <f t="shared" si="0"/>
        <v>3.0870688172276113</v>
      </c>
      <c r="H20">
        <v>7</v>
      </c>
      <c r="I20">
        <f t="shared" si="1"/>
        <v>5.1001358790702316</v>
      </c>
      <c r="O20">
        <v>7</v>
      </c>
      <c r="P20">
        <f t="shared" si="2"/>
        <v>1305.3668415715415</v>
      </c>
      <c r="V20">
        <v>7</v>
      </c>
      <c r="W20">
        <f t="shared" si="3"/>
        <v>53734.024762994464</v>
      </c>
    </row>
    <row r="21" spans="1:28">
      <c r="A21">
        <v>8</v>
      </c>
      <c r="B21">
        <f t="shared" si="0"/>
        <v>4</v>
      </c>
      <c r="H21">
        <v>8</v>
      </c>
      <c r="I21">
        <f t="shared" si="1"/>
        <v>-55.397691641763032</v>
      </c>
      <c r="O21">
        <v>8</v>
      </c>
      <c r="P21">
        <f t="shared" si="2"/>
        <v>1116.0420129582717</v>
      </c>
      <c r="V21">
        <v>8</v>
      </c>
      <c r="W21">
        <f t="shared" si="3"/>
        <v>190780.31117067061</v>
      </c>
    </row>
    <row r="22" spans="1:28">
      <c r="A22">
        <v>9</v>
      </c>
      <c r="B22">
        <f t="shared" si="0"/>
        <v>4.9199161769480959</v>
      </c>
      <c r="H22">
        <v>9</v>
      </c>
      <c r="I22">
        <f t="shared" si="1"/>
        <v>-5.0708409349762888</v>
      </c>
      <c r="O22">
        <v>9</v>
      </c>
      <c r="P22">
        <f t="shared" si="2"/>
        <v>-1541.0839275753842</v>
      </c>
      <c r="V22">
        <v>9</v>
      </c>
      <c r="W22">
        <f t="shared" si="3"/>
        <v>656348.79813360609</v>
      </c>
    </row>
    <row r="23" spans="1:28">
      <c r="A23">
        <v>10</v>
      </c>
      <c r="B23">
        <f t="shared" si="0"/>
        <v>5.8455653099681157</v>
      </c>
      <c r="H23">
        <v>10</v>
      </c>
      <c r="I23">
        <f t="shared" si="1"/>
        <v>5.4836082745908659</v>
      </c>
      <c r="O23">
        <v>10</v>
      </c>
      <c r="P23">
        <f t="shared" si="2"/>
        <v>-12025.465794806718</v>
      </c>
      <c r="V23">
        <v>10</v>
      </c>
      <c r="W23">
        <f t="shared" si="3"/>
        <v>2202645.5794806718</v>
      </c>
    </row>
    <row r="25" spans="1:28">
      <c r="B25" s="2" t="s">
        <v>7</v>
      </c>
      <c r="I25" s="2" t="s">
        <v>7</v>
      </c>
      <c r="P25" s="2" t="s">
        <v>7</v>
      </c>
      <c r="W25" s="2" t="s">
        <v>7</v>
      </c>
    </row>
    <row r="26" spans="1:28">
      <c r="B26" t="s">
        <v>8</v>
      </c>
      <c r="C26" t="s">
        <v>9</v>
      </c>
      <c r="D26" t="s">
        <v>10</v>
      </c>
      <c r="E26" t="s">
        <v>11</v>
      </c>
      <c r="F26" t="s">
        <v>12</v>
      </c>
      <c r="G26" t="s">
        <v>13</v>
      </c>
      <c r="I26" t="s">
        <v>8</v>
      </c>
      <c r="J26" t="s">
        <v>9</v>
      </c>
      <c r="K26" t="s">
        <v>10</v>
      </c>
      <c r="L26" t="s">
        <v>11</v>
      </c>
      <c r="M26" t="s">
        <v>12</v>
      </c>
      <c r="N26" t="s">
        <v>13</v>
      </c>
      <c r="P26" t="s">
        <v>8</v>
      </c>
      <c r="Q26" t="s">
        <v>9</v>
      </c>
      <c r="R26" t="s">
        <v>10</v>
      </c>
      <c r="S26" t="s">
        <v>11</v>
      </c>
      <c r="T26" t="s">
        <v>12</v>
      </c>
      <c r="U26" t="s">
        <v>13</v>
      </c>
      <c r="W26" t="s">
        <v>8</v>
      </c>
      <c r="X26" t="s">
        <v>9</v>
      </c>
      <c r="Y26" t="s">
        <v>10</v>
      </c>
      <c r="Z26" t="s">
        <v>11</v>
      </c>
      <c r="AA26" t="s">
        <v>12</v>
      </c>
      <c r="AB26" t="s">
        <v>13</v>
      </c>
    </row>
    <row r="27" spans="1:28">
      <c r="B27">
        <v>3</v>
      </c>
      <c r="C27">
        <v>4</v>
      </c>
      <c r="D27">
        <f>B27-B27^(1/3)-2</f>
        <v>-0.4422495703074083</v>
      </c>
      <c r="E27">
        <f>C27-C27^(1/3)-2</f>
        <v>0.41259894803180064</v>
      </c>
      <c r="F27">
        <f>(B27+C27)/2</f>
        <v>3.5</v>
      </c>
      <c r="G27">
        <f>F27-F27^(1/3)-2</f>
        <v>-1.829448593783134E-2</v>
      </c>
      <c r="I27">
        <v>0</v>
      </c>
      <c r="J27">
        <v>1</v>
      </c>
      <c r="K27">
        <f>I27*TAN(I27)-1</f>
        <v>-1</v>
      </c>
      <c r="L27">
        <f>J27*TAN(J27)-1</f>
        <v>0.55740772465490229</v>
      </c>
      <c r="M27">
        <f>(I27+J27)/2</f>
        <v>0.5</v>
      </c>
      <c r="N27">
        <f>M27*TAN(M27)-1</f>
        <v>-0.72684875507810476</v>
      </c>
      <c r="P27">
        <v>-1</v>
      </c>
      <c r="Q27">
        <v>1</v>
      </c>
      <c r="R27">
        <f>P27^4-EXP(P27)+1</f>
        <v>1.6321205588285577</v>
      </c>
      <c r="S27">
        <f>Q27^4-EXP(Q27)+1</f>
        <v>-0.71828182845904509</v>
      </c>
      <c r="T27" s="2">
        <f>(P27+Q27)/2</f>
        <v>0</v>
      </c>
      <c r="U27">
        <f>T27^4-EXP(T27)+1</f>
        <v>0</v>
      </c>
      <c r="W27">
        <v>0</v>
      </c>
      <c r="X27">
        <v>1</v>
      </c>
      <c r="Y27">
        <f>(W27^2)*EXP(W27)-1</f>
        <v>-1</v>
      </c>
      <c r="Z27">
        <f>(X27^2)*EXP(X27)-1</f>
        <v>1.7182818284590451</v>
      </c>
      <c r="AA27">
        <f>(W27+X27)/2</f>
        <v>0.5</v>
      </c>
      <c r="AB27">
        <f>(AA27^2)*EXP(AA27)-1</f>
        <v>-0.58781968232496795</v>
      </c>
    </row>
    <row r="28" spans="1:28">
      <c r="B28">
        <f>IF(G27&lt;0,F27,B27)</f>
        <v>3.5</v>
      </c>
      <c r="C28">
        <f>IF(G27&gt;0,F27,C27)</f>
        <v>4</v>
      </c>
      <c r="D28">
        <f>B28-B28^(1/3)-2</f>
        <v>-1.829448593783134E-2</v>
      </c>
      <c r="E28">
        <f>C28-C28^(1/3)-2</f>
        <v>0.41259894803180064</v>
      </c>
      <c r="F28">
        <f>(B28+C28)/2</f>
        <v>3.75</v>
      </c>
      <c r="G28">
        <f>F28-F28^(1/3)-2</f>
        <v>0.19638374702307093</v>
      </c>
      <c r="I28">
        <f>IF(N27&lt;0,M27,I27)</f>
        <v>0.5</v>
      </c>
      <c r="J28">
        <f>IF(N27&gt;0,M27,J27)</f>
        <v>1</v>
      </c>
      <c r="K28">
        <f>I28*TAN(I28)-1</f>
        <v>-0.72684875507810476</v>
      </c>
      <c r="L28">
        <f>J28*TAN(J28)-1</f>
        <v>0.55740772465490229</v>
      </c>
      <c r="M28">
        <f>(I28+J28)/2</f>
        <v>0.75</v>
      </c>
      <c r="N28">
        <f>M28*TAN(M28)-1</f>
        <v>-0.30130265504194564</v>
      </c>
      <c r="W28">
        <f>IF(AB27&lt;0,AA27,W27)</f>
        <v>0.5</v>
      </c>
      <c r="X28">
        <f>IF(AB27&gt;0,AA27,X27)</f>
        <v>1</v>
      </c>
      <c r="Y28">
        <f>(W28^2)*EXP(W28)-1</f>
        <v>-0.58781968232496795</v>
      </c>
      <c r="Z28">
        <f>(X28^2)*EXP(X28)-1</f>
        <v>1.7182818284590451</v>
      </c>
      <c r="AA28">
        <f>(W28+X28)/2</f>
        <v>0.75</v>
      </c>
      <c r="AB28">
        <f>(AA28^2)*EXP(AA28)-1</f>
        <v>0.19081250934462957</v>
      </c>
    </row>
    <row r="29" spans="1:28">
      <c r="B29">
        <f t="shared" ref="B29:B32" si="4">IF(G28&lt;0,F28,B28)</f>
        <v>3.5</v>
      </c>
      <c r="C29">
        <f t="shared" ref="C29:C32" si="5">IF(G28&gt;0,F28,C28)</f>
        <v>3.75</v>
      </c>
      <c r="D29">
        <f t="shared" ref="D29:D32" si="6">B29-B29^(1/3)-2</f>
        <v>-1.829448593783134E-2</v>
      </c>
      <c r="E29">
        <f t="shared" ref="E29:E32" si="7">C29-C29^(1/3)-2</f>
        <v>0.19638374702307093</v>
      </c>
      <c r="F29">
        <f t="shared" ref="F29:F32" si="8">(B29+C29)/2</f>
        <v>3.625</v>
      </c>
      <c r="G29">
        <f t="shared" ref="G29:G36" si="9">F29-F29^(1/3)-2</f>
        <v>8.8841587157076241E-2</v>
      </c>
      <c r="I29">
        <f t="shared" ref="I29:I36" si="10">IF(N28&lt;0,M28,I28)</f>
        <v>0.75</v>
      </c>
      <c r="J29">
        <f t="shared" ref="J29:J36" si="11">IF(N28&gt;0,M28,J28)</f>
        <v>1</v>
      </c>
      <c r="K29">
        <f t="shared" ref="K29:K36" si="12">I29*TAN(I29)-1</f>
        <v>-0.30130265504194564</v>
      </c>
      <c r="L29">
        <f t="shared" ref="L29:L36" si="13">J29*TAN(J29)-1</f>
        <v>0.55740772465490229</v>
      </c>
      <c r="M29">
        <f t="shared" ref="M29:M36" si="14">(I29+J29)/2</f>
        <v>0.875</v>
      </c>
      <c r="N29">
        <f t="shared" ref="N29:N36" si="15">M29*TAN(M29)-1</f>
        <v>4.7743925580054469E-2</v>
      </c>
      <c r="W29">
        <f t="shared" ref="W29:W36" si="16">IF(AB28&lt;0,AA28,W28)</f>
        <v>0.5</v>
      </c>
      <c r="X29">
        <f t="shared" ref="X29:X36" si="17">IF(AB28&gt;0,AA28,X28)</f>
        <v>0.75</v>
      </c>
      <c r="Y29">
        <f t="shared" ref="Y29:Y36" si="18">(W29^2)*EXP(W29)-1</f>
        <v>-0.58781968232496795</v>
      </c>
      <c r="Z29">
        <f t="shared" ref="Z29:Z36" si="19">(X29^2)*EXP(X29)-1</f>
        <v>0.19081250934462957</v>
      </c>
      <c r="AA29">
        <f t="shared" ref="AA29:AA36" si="20">(W29+X29)/2</f>
        <v>0.625</v>
      </c>
      <c r="AB29">
        <f t="shared" ref="AB29:AB39" si="21">(AA29^2)*EXP(AA29)-1</f>
        <v>-0.27021642287803815</v>
      </c>
    </row>
    <row r="30" spans="1:28">
      <c r="B30">
        <f t="shared" si="4"/>
        <v>3.5</v>
      </c>
      <c r="C30">
        <f t="shared" si="5"/>
        <v>3.625</v>
      </c>
      <c r="D30">
        <f t="shared" si="6"/>
        <v>-1.829448593783134E-2</v>
      </c>
      <c r="E30">
        <f t="shared" si="7"/>
        <v>8.8841587157076241E-2</v>
      </c>
      <c r="F30">
        <f t="shared" si="8"/>
        <v>3.5625</v>
      </c>
      <c r="G30">
        <f t="shared" si="9"/>
        <v>3.522131392759853E-2</v>
      </c>
      <c r="I30">
        <f t="shared" si="10"/>
        <v>0.75</v>
      </c>
      <c r="J30">
        <f t="shared" si="11"/>
        <v>0.875</v>
      </c>
      <c r="K30">
        <f t="shared" si="12"/>
        <v>-0.30130265504194564</v>
      </c>
      <c r="L30">
        <f t="shared" si="13"/>
        <v>4.7743925580054469E-2</v>
      </c>
      <c r="M30">
        <f t="shared" si="14"/>
        <v>0.8125</v>
      </c>
      <c r="N30">
        <f t="shared" si="15"/>
        <v>-0.14222129297781505</v>
      </c>
      <c r="W30">
        <f t="shared" si="16"/>
        <v>0.625</v>
      </c>
      <c r="X30">
        <f t="shared" si="17"/>
        <v>0.75</v>
      </c>
      <c r="Y30">
        <f t="shared" si="18"/>
        <v>-0.27021642287803815</v>
      </c>
      <c r="Z30">
        <f t="shared" si="19"/>
        <v>0.19081250934462957</v>
      </c>
      <c r="AA30">
        <f t="shared" si="20"/>
        <v>0.6875</v>
      </c>
      <c r="AB30">
        <f t="shared" si="21"/>
        <v>-6.0010805392744837E-2</v>
      </c>
    </row>
    <row r="31" spans="1:28">
      <c r="B31">
        <f t="shared" si="4"/>
        <v>3.5</v>
      </c>
      <c r="C31">
        <f t="shared" si="5"/>
        <v>3.5625</v>
      </c>
      <c r="D31">
        <f t="shared" si="6"/>
        <v>-1.829448593783134E-2</v>
      </c>
      <c r="E31">
        <f t="shared" si="7"/>
        <v>3.522131392759853E-2</v>
      </c>
      <c r="F31">
        <f t="shared" si="8"/>
        <v>3.53125</v>
      </c>
      <c r="G31">
        <f t="shared" si="9"/>
        <v>8.4501627700537263E-3</v>
      </c>
      <c r="I31">
        <f t="shared" si="10"/>
        <v>0.8125</v>
      </c>
      <c r="J31">
        <f t="shared" si="11"/>
        <v>0.875</v>
      </c>
      <c r="K31">
        <f t="shared" si="12"/>
        <v>-0.14222129297781505</v>
      </c>
      <c r="L31">
        <f t="shared" si="13"/>
        <v>4.7743925580054469E-2</v>
      </c>
      <c r="M31">
        <f t="shared" si="14"/>
        <v>0.84375</v>
      </c>
      <c r="N31">
        <f t="shared" si="15"/>
        <v>-5.155316759302675E-2</v>
      </c>
      <c r="W31">
        <f t="shared" si="16"/>
        <v>0.6875</v>
      </c>
      <c r="X31">
        <f t="shared" si="17"/>
        <v>0.75</v>
      </c>
      <c r="Y31">
        <f t="shared" si="18"/>
        <v>-6.0010805392744837E-2</v>
      </c>
      <c r="Z31">
        <f t="shared" si="19"/>
        <v>0.19081250934462957</v>
      </c>
      <c r="AA31">
        <f t="shared" si="20"/>
        <v>0.71875</v>
      </c>
      <c r="AB31">
        <f t="shared" si="21"/>
        <v>5.9997581225722296E-2</v>
      </c>
    </row>
    <row r="32" spans="1:28">
      <c r="B32">
        <f t="shared" si="4"/>
        <v>3.5</v>
      </c>
      <c r="C32">
        <f t="shared" si="5"/>
        <v>3.53125</v>
      </c>
      <c r="D32">
        <f t="shared" si="6"/>
        <v>-1.829448593783134E-2</v>
      </c>
      <c r="E32">
        <f t="shared" si="7"/>
        <v>8.4501627700537263E-3</v>
      </c>
      <c r="F32">
        <f t="shared" si="8"/>
        <v>3.515625</v>
      </c>
      <c r="G32">
        <f t="shared" si="9"/>
        <v>-4.9254988933500332E-3</v>
      </c>
      <c r="I32">
        <f t="shared" si="10"/>
        <v>0.84375</v>
      </c>
      <c r="J32">
        <f t="shared" si="11"/>
        <v>0.875</v>
      </c>
      <c r="K32">
        <f t="shared" si="12"/>
        <v>-5.155316759302675E-2</v>
      </c>
      <c r="L32">
        <f t="shared" si="13"/>
        <v>4.7743925580054469E-2</v>
      </c>
      <c r="M32">
        <f t="shared" si="14"/>
        <v>0.859375</v>
      </c>
      <c r="N32">
        <f t="shared" si="15"/>
        <v>-3.048803436389691E-3</v>
      </c>
      <c r="W32">
        <f t="shared" si="16"/>
        <v>0.6875</v>
      </c>
      <c r="X32">
        <f t="shared" si="17"/>
        <v>0.71875</v>
      </c>
      <c r="Y32">
        <f t="shared" si="18"/>
        <v>-6.0010805392744837E-2</v>
      </c>
      <c r="Z32">
        <f t="shared" si="19"/>
        <v>5.9997581225722296E-2</v>
      </c>
      <c r="AA32">
        <f t="shared" si="20"/>
        <v>0.703125</v>
      </c>
      <c r="AB32">
        <f t="shared" si="21"/>
        <v>-1.3153213842503897E-3</v>
      </c>
    </row>
    <row r="33" spans="2:29">
      <c r="B33">
        <f>IF(G32&lt;0,F32,B32)</f>
        <v>3.515625</v>
      </c>
      <c r="C33">
        <f>IF(G32&gt;0,F32,C32)</f>
        <v>3.53125</v>
      </c>
      <c r="D33">
        <f>B33-B33^(1/3)-2</f>
        <v>-4.9254988933500332E-3</v>
      </c>
      <c r="E33">
        <f>C33-C33^(1/3)-2</f>
        <v>8.4501627700537263E-3</v>
      </c>
      <c r="F33">
        <f>(B33+C33)/2</f>
        <v>3.5234375</v>
      </c>
      <c r="G33">
        <f>F33-F33^(1/3)-2</f>
        <v>1.7615006965243651E-3</v>
      </c>
      <c r="I33">
        <f t="shared" si="10"/>
        <v>0.859375</v>
      </c>
      <c r="J33">
        <f t="shared" si="11"/>
        <v>0.875</v>
      </c>
      <c r="K33">
        <f t="shared" si="12"/>
        <v>-3.048803436389691E-3</v>
      </c>
      <c r="L33">
        <f t="shared" si="13"/>
        <v>4.7743925580054469E-2</v>
      </c>
      <c r="M33">
        <f t="shared" si="14"/>
        <v>0.8671875</v>
      </c>
      <c r="N33">
        <f t="shared" si="15"/>
        <v>2.2052678273232873E-2</v>
      </c>
      <c r="W33">
        <f t="shared" si="16"/>
        <v>0.703125</v>
      </c>
      <c r="X33">
        <f t="shared" si="17"/>
        <v>0.71875</v>
      </c>
      <c r="Y33">
        <f t="shared" si="18"/>
        <v>-1.3153213842503897E-3</v>
      </c>
      <c r="Z33">
        <f t="shared" si="19"/>
        <v>5.9997581225722296E-2</v>
      </c>
      <c r="AA33">
        <f t="shared" si="20"/>
        <v>0.7109375</v>
      </c>
      <c r="AB33">
        <f t="shared" si="21"/>
        <v>2.9008775701908185E-2</v>
      </c>
    </row>
    <row r="34" spans="2:29">
      <c r="B34">
        <f t="shared" ref="B34" si="22">IF(G33&lt;0,F33,B33)</f>
        <v>3.515625</v>
      </c>
      <c r="C34">
        <f t="shared" ref="C34" si="23">IF(G33&gt;0,F33,C33)</f>
        <v>3.5234375</v>
      </c>
      <c r="D34">
        <f t="shared" ref="D34" si="24">B34-B34^(1/3)-2</f>
        <v>-4.9254988933500332E-3</v>
      </c>
      <c r="E34">
        <f t="shared" ref="E34" si="25">C34-C34^(1/3)-2</f>
        <v>1.7615006965243651E-3</v>
      </c>
      <c r="F34">
        <f t="shared" ref="F34" si="26">(B34+C34)/2</f>
        <v>3.51953125</v>
      </c>
      <c r="G34">
        <f t="shared" si="9"/>
        <v>-1.5822072931346298E-3</v>
      </c>
      <c r="I34">
        <f t="shared" si="10"/>
        <v>0.859375</v>
      </c>
      <c r="J34">
        <f t="shared" si="11"/>
        <v>0.8671875</v>
      </c>
      <c r="K34">
        <f t="shared" si="12"/>
        <v>-3.048803436389691E-3</v>
      </c>
      <c r="L34">
        <f t="shared" si="13"/>
        <v>2.2052678273232873E-2</v>
      </c>
      <c r="M34">
        <f t="shared" si="14"/>
        <v>0.86328125</v>
      </c>
      <c r="N34">
        <f t="shared" si="15"/>
        <v>9.4293520782287032E-3</v>
      </c>
      <c r="W34">
        <f t="shared" si="16"/>
        <v>0.703125</v>
      </c>
      <c r="X34">
        <f t="shared" si="17"/>
        <v>0.7109375</v>
      </c>
      <c r="Y34">
        <f t="shared" si="18"/>
        <v>-1.3153213842503897E-3</v>
      </c>
      <c r="Z34">
        <f t="shared" si="19"/>
        <v>2.9008775701908185E-2</v>
      </c>
      <c r="AA34">
        <f t="shared" si="20"/>
        <v>0.70703125</v>
      </c>
      <c r="AB34">
        <f t="shared" si="21"/>
        <v>1.376429106124144E-2</v>
      </c>
    </row>
    <row r="35" spans="2:29">
      <c r="B35">
        <f t="shared" ref="B35:B36" si="27">IF(G34&lt;0,F34,B34)</f>
        <v>3.51953125</v>
      </c>
      <c r="C35">
        <f t="shared" ref="C35:C36" si="28">IF(G34&gt;0,F34,C34)</f>
        <v>3.5234375</v>
      </c>
      <c r="D35">
        <f t="shared" ref="D35:D36" si="29">B35-B35^(1/3)-2</f>
        <v>-1.5822072931346298E-3</v>
      </c>
      <c r="E35">
        <f t="shared" ref="E35:E36" si="30">C35-C35^(1/3)-2</f>
        <v>1.7615006965243651E-3</v>
      </c>
      <c r="F35">
        <f t="shared" ref="F35:F36" si="31">(B35+C35)/2</f>
        <v>3.521484375</v>
      </c>
      <c r="G35">
        <f t="shared" si="9"/>
        <v>8.9594701136341826E-5</v>
      </c>
      <c r="I35">
        <f t="shared" si="10"/>
        <v>0.859375</v>
      </c>
      <c r="J35">
        <f t="shared" si="11"/>
        <v>0.86328125</v>
      </c>
      <c r="K35">
        <f t="shared" si="12"/>
        <v>-3.048803436389691E-3</v>
      </c>
      <c r="L35">
        <f t="shared" si="13"/>
        <v>9.4293520782287032E-3</v>
      </c>
      <c r="M35">
        <f t="shared" si="14"/>
        <v>0.861328125</v>
      </c>
      <c r="N35">
        <f t="shared" si="15"/>
        <v>3.172267152278696E-3</v>
      </c>
      <c r="W35">
        <f t="shared" si="16"/>
        <v>0.703125</v>
      </c>
      <c r="X35">
        <f t="shared" si="17"/>
        <v>0.70703125</v>
      </c>
      <c r="Y35">
        <f t="shared" si="18"/>
        <v>-1.3153213842503897E-3</v>
      </c>
      <c r="Z35">
        <f t="shared" si="19"/>
        <v>1.376429106124144E-2</v>
      </c>
      <c r="AA35">
        <f t="shared" si="20"/>
        <v>0.705078125</v>
      </c>
      <c r="AB35">
        <f t="shared" si="21"/>
        <v>6.2039569010177154E-3</v>
      </c>
    </row>
    <row r="36" spans="2:29">
      <c r="B36">
        <f t="shared" si="27"/>
        <v>3.51953125</v>
      </c>
      <c r="C36">
        <f t="shared" si="28"/>
        <v>3.521484375</v>
      </c>
      <c r="D36">
        <f t="shared" si="29"/>
        <v>-1.5822072931346298E-3</v>
      </c>
      <c r="E36">
        <f t="shared" si="30"/>
        <v>8.9594701136341826E-5</v>
      </c>
      <c r="F36" s="2">
        <f t="shared" si="31"/>
        <v>3.5205078125</v>
      </c>
      <c r="G36">
        <f t="shared" si="9"/>
        <v>-7.4631930214841269E-4</v>
      </c>
      <c r="I36">
        <f t="shared" si="10"/>
        <v>0.859375</v>
      </c>
      <c r="J36">
        <f t="shared" si="11"/>
        <v>0.861328125</v>
      </c>
      <c r="K36">
        <f t="shared" si="12"/>
        <v>-3.048803436389691E-3</v>
      </c>
      <c r="L36">
        <f t="shared" si="13"/>
        <v>3.172267152278696E-3</v>
      </c>
      <c r="M36" s="2">
        <f t="shared" si="14"/>
        <v>0.8603515625</v>
      </c>
      <c r="N36">
        <f t="shared" si="15"/>
        <v>5.7247293026252422E-5</v>
      </c>
      <c r="W36">
        <f t="shared" si="16"/>
        <v>0.703125</v>
      </c>
      <c r="X36">
        <f t="shared" si="17"/>
        <v>0.705078125</v>
      </c>
      <c r="Y36">
        <f t="shared" si="18"/>
        <v>-1.3153213842503897E-3</v>
      </c>
      <c r="Z36">
        <f t="shared" si="19"/>
        <v>6.2039569010177154E-3</v>
      </c>
      <c r="AA36">
        <f t="shared" si="20"/>
        <v>0.7041015625</v>
      </c>
      <c r="AB36">
        <f t="shared" si="21"/>
        <v>2.4391958806209146E-3</v>
      </c>
    </row>
    <row r="37" spans="2:29">
      <c r="W37">
        <f t="shared" ref="W37:W39" si="32">IF(AB36&lt;0,AA36,W36)</f>
        <v>0.703125</v>
      </c>
      <c r="X37">
        <f t="shared" ref="X37:X39" si="33">IF(AB36&gt;0,AA36,X36)</f>
        <v>0.7041015625</v>
      </c>
      <c r="Y37">
        <f t="shared" ref="Y37:Y39" si="34">(W37^2)*EXP(W37)-1</f>
        <v>-1.3153213842503897E-3</v>
      </c>
      <c r="Z37">
        <f t="shared" ref="Z37:Z39" si="35">(X37^2)*EXP(X37)-1</f>
        <v>2.4391958806209146E-3</v>
      </c>
      <c r="AA37">
        <f t="shared" ref="AA37:AA39" si="36">(W37+X37)/2</f>
        <v>0.70361328125</v>
      </c>
      <c r="AB37">
        <f t="shared" si="21"/>
        <v>5.6065804024574284E-4</v>
      </c>
    </row>
    <row r="38" spans="2:29">
      <c r="W38">
        <f t="shared" si="32"/>
        <v>0.703125</v>
      </c>
      <c r="X38">
        <f t="shared" si="33"/>
        <v>0.70361328125</v>
      </c>
      <c r="Y38">
        <f t="shared" si="34"/>
        <v>-1.3153213842503897E-3</v>
      </c>
      <c r="Z38">
        <f t="shared" si="35"/>
        <v>5.6065804024574284E-4</v>
      </c>
      <c r="AA38">
        <f t="shared" si="36"/>
        <v>0.703369140625</v>
      </c>
      <c r="AB38">
        <f t="shared" si="21"/>
        <v>-3.7765131641342986E-4</v>
      </c>
    </row>
    <row r="39" spans="2:29">
      <c r="W39">
        <f t="shared" si="32"/>
        <v>0.703369140625</v>
      </c>
      <c r="X39">
        <f t="shared" si="33"/>
        <v>0.70361328125</v>
      </c>
      <c r="Y39">
        <f t="shared" si="34"/>
        <v>-3.7765131641342986E-4</v>
      </c>
      <c r="Z39">
        <f t="shared" si="35"/>
        <v>5.6065804024574284E-4</v>
      </c>
      <c r="AA39" s="2">
        <f t="shared" si="36"/>
        <v>0.7034912109375</v>
      </c>
      <c r="AB39">
        <f t="shared" si="21"/>
        <v>9.1423431121784304E-5</v>
      </c>
    </row>
    <row r="42" spans="2:29">
      <c r="B42" s="2" t="s">
        <v>27</v>
      </c>
      <c r="I42" s="2" t="s">
        <v>27</v>
      </c>
      <c r="P42" s="2" t="s">
        <v>27</v>
      </c>
      <c r="W42" s="2" t="s">
        <v>27</v>
      </c>
    </row>
    <row r="43" spans="2:29">
      <c r="B43" s="2" t="s">
        <v>31</v>
      </c>
      <c r="I43" s="2" t="s">
        <v>32</v>
      </c>
      <c r="P43" s="2" t="s">
        <v>28</v>
      </c>
      <c r="W43" s="2" t="s">
        <v>32</v>
      </c>
    </row>
    <row r="44" spans="2:29">
      <c r="D44" t="s">
        <v>30</v>
      </c>
      <c r="E44" t="s">
        <v>26</v>
      </c>
      <c r="K44" t="s">
        <v>30</v>
      </c>
      <c r="L44" t="s">
        <v>26</v>
      </c>
      <c r="R44" t="s">
        <v>30</v>
      </c>
      <c r="S44" t="s">
        <v>26</v>
      </c>
      <c r="Y44" t="s">
        <v>30</v>
      </c>
      <c r="Z44" t="s">
        <v>26</v>
      </c>
    </row>
    <row r="46" spans="2:29">
      <c r="B46" s="2" t="s">
        <v>18</v>
      </c>
      <c r="D46" t="s">
        <v>19</v>
      </c>
      <c r="E46" t="s">
        <v>20</v>
      </c>
      <c r="F46" t="s">
        <v>21</v>
      </c>
      <c r="G46" t="s">
        <v>22</v>
      </c>
      <c r="H46" t="s">
        <v>23</v>
      </c>
      <c r="I46" s="2" t="s">
        <v>18</v>
      </c>
      <c r="K46" t="s">
        <v>19</v>
      </c>
      <c r="L46" t="s">
        <v>20</v>
      </c>
      <c r="M46" t="s">
        <v>21</v>
      </c>
      <c r="N46" t="s">
        <v>22</v>
      </c>
      <c r="O46" t="s">
        <v>23</v>
      </c>
      <c r="P46" s="2" t="s">
        <v>18</v>
      </c>
      <c r="R46" t="s">
        <v>19</v>
      </c>
      <c r="S46" t="s">
        <v>20</v>
      </c>
      <c r="T46" t="s">
        <v>21</v>
      </c>
      <c r="U46" t="s">
        <v>22</v>
      </c>
      <c r="V46" t="s">
        <v>23</v>
      </c>
      <c r="W46" s="2" t="s">
        <v>18</v>
      </c>
      <c r="Y46" t="s">
        <v>19</v>
      </c>
      <c r="Z46" t="s">
        <v>20</v>
      </c>
      <c r="AA46" t="s">
        <v>21</v>
      </c>
      <c r="AB46" t="s">
        <v>22</v>
      </c>
      <c r="AC46" t="s">
        <v>23</v>
      </c>
    </row>
    <row r="47" spans="2:29">
      <c r="B47" t="s">
        <v>24</v>
      </c>
      <c r="D47" t="s">
        <v>25</v>
      </c>
      <c r="E47" t="s">
        <v>25</v>
      </c>
      <c r="F47" s="1" t="s">
        <v>1</v>
      </c>
      <c r="G47" s="1" t="s">
        <v>1</v>
      </c>
      <c r="I47" t="s">
        <v>24</v>
      </c>
      <c r="K47" t="s">
        <v>25</v>
      </c>
      <c r="L47" t="s">
        <v>25</v>
      </c>
      <c r="M47" t="s">
        <v>2</v>
      </c>
      <c r="N47" t="s">
        <v>2</v>
      </c>
      <c r="P47" t="s">
        <v>24</v>
      </c>
      <c r="R47" t="s">
        <v>25</v>
      </c>
      <c r="S47" t="s">
        <v>25</v>
      </c>
      <c r="T47" t="s">
        <v>3</v>
      </c>
      <c r="U47" t="s">
        <v>3</v>
      </c>
      <c r="W47" t="s">
        <v>24</v>
      </c>
      <c r="Y47" t="s">
        <v>25</v>
      </c>
      <c r="Z47" t="s">
        <v>25</v>
      </c>
      <c r="AA47" t="s">
        <v>4</v>
      </c>
      <c r="AB47" t="s">
        <v>4</v>
      </c>
    </row>
    <row r="48" spans="2:29">
      <c r="B48" t="s">
        <v>29</v>
      </c>
      <c r="D48">
        <v>3</v>
      </c>
      <c r="E48">
        <v>4</v>
      </c>
      <c r="F48">
        <f>D48-D48^(1/3)-2</f>
        <v>-0.4422495703074083</v>
      </c>
      <c r="G48">
        <f>E48-E48^(1/3)-2</f>
        <v>0.41259894803180064</v>
      </c>
      <c r="H48">
        <f xml:space="preserve"> E48-((G48/(G48-F48))*(E48-D48))</f>
        <v>3.5173426178085987</v>
      </c>
      <c r="I48" t="s">
        <v>29</v>
      </c>
      <c r="K48">
        <v>0</v>
      </c>
      <c r="L48">
        <v>1</v>
      </c>
      <c r="M48">
        <f>K48*TAN(K48)-1</f>
        <v>-1</v>
      </c>
      <c r="N48">
        <f>L48*TAN(L48)-1</f>
        <v>0.55740772465490229</v>
      </c>
      <c r="O48">
        <f>L48-(N48/(N48-M48))*(L48-K48)</f>
        <v>0.64209261593433076</v>
      </c>
      <c r="P48" t="s">
        <v>29</v>
      </c>
      <c r="R48">
        <v>-1</v>
      </c>
      <c r="S48">
        <v>1</v>
      </c>
      <c r="T48">
        <f>R48^4-EXP(R48)+1</f>
        <v>1.6321205588285577</v>
      </c>
      <c r="U48">
        <f>S48^4-EXP(S48)+1</f>
        <v>-0.71828182845904509</v>
      </c>
      <c r="V48">
        <f>S48-(U48/(U48-T48)*(S48-R48))</f>
        <v>0.38880097097931188</v>
      </c>
      <c r="W48" t="s">
        <v>29</v>
      </c>
      <c r="Y48">
        <v>0</v>
      </c>
      <c r="Z48">
        <v>1</v>
      </c>
      <c r="AA48">
        <f>(Y48^2)*EXP(Y48)-1</f>
        <v>-1</v>
      </c>
      <c r="AB48">
        <f>(Z48^2)*EXP(Z48)-1</f>
        <v>1.7182818284590451</v>
      </c>
      <c r="AC48">
        <f>Z48-(AB48/(AB48-AA48))*(Z48-Y48)</f>
        <v>0.36787944117144233</v>
      </c>
    </row>
    <row r="49" spans="2:29">
      <c r="D49">
        <f>E48</f>
        <v>4</v>
      </c>
      <c r="E49">
        <f>H48</f>
        <v>3.5173426178085987</v>
      </c>
      <c r="F49">
        <f>D49-D49^(1/3)-2</f>
        <v>0.41259894803180064</v>
      </c>
      <c r="G49">
        <f>E49-E49^(1/3)-2</f>
        <v>-3.4554709535195016E-3</v>
      </c>
      <c r="H49">
        <f xml:space="preserve"> E49-((G49/(G49-F49))*(E49-D49))</f>
        <v>3.5213512486236049</v>
      </c>
      <c r="K49">
        <f>L48</f>
        <v>1</v>
      </c>
      <c r="L49">
        <f>O48</f>
        <v>0.64209261593433076</v>
      </c>
      <c r="M49">
        <f>K49*TAN(K49)-1</f>
        <v>0.55740772465490229</v>
      </c>
      <c r="N49">
        <f>L49*TAN(L49)-1</f>
        <v>-0.51984214602842327</v>
      </c>
      <c r="O49">
        <f>L49-(N49/(N49-M49))*(L49-K49)</f>
        <v>0.81480588114372665</v>
      </c>
      <c r="R49">
        <f>S48</f>
        <v>1</v>
      </c>
      <c r="S49">
        <f>V48</f>
        <v>0.38880097097931188</v>
      </c>
      <c r="T49">
        <f>R49^4-EXP(R49)+1</f>
        <v>-0.71828182845904509</v>
      </c>
      <c r="U49">
        <f>S49^4-EXP(S49)+1</f>
        <v>-0.4523596938082981</v>
      </c>
      <c r="V49">
        <f>S49-(U49/(U49-T49)*(S49-R49))</f>
        <v>-0.65090866427481719</v>
      </c>
      <c r="Y49">
        <f>Z48</f>
        <v>1</v>
      </c>
      <c r="Z49">
        <f>AC48</f>
        <v>0.36787944117144233</v>
      </c>
      <c r="AA49">
        <f>(Y49^2)*EXP(Y49)-1</f>
        <v>1.7182818284590451</v>
      </c>
      <c r="AB49">
        <f>(Z49^2)*EXP(Z49)-1</f>
        <v>-0.80448546584741187</v>
      </c>
      <c r="AC49">
        <f>Z49-(AB49/(AB49-AA49))*(Z49-Y49)</f>
        <v>0.56945641713296113</v>
      </c>
    </row>
    <row r="50" spans="2:29">
      <c r="D50">
        <f t="shared" ref="D50:D53" si="37">E49</f>
        <v>3.5173426178085987</v>
      </c>
      <c r="E50">
        <f t="shared" ref="E50:E53" si="38">H49</f>
        <v>3.5213512486236049</v>
      </c>
      <c r="F50">
        <f t="shared" ref="F50:F53" si="39">D50-D50^(1/3)-2</f>
        <v>-3.4554709535195016E-3</v>
      </c>
      <c r="G50">
        <f t="shared" ref="G50:G53" si="40">E50-E50^(1/3)-2</f>
        <v>-2.4359804829288123E-5</v>
      </c>
      <c r="H50">
        <f t="shared" ref="H50:H53" si="41" xml:space="preserve"> E50-((G50/(G50-F50))*(E50-D50))</f>
        <v>3.5213797086355529</v>
      </c>
      <c r="K50">
        <f t="shared" ref="K50:K57" si="42">L49</f>
        <v>0.64209261593433076</v>
      </c>
      <c r="L50">
        <f t="shared" ref="L50:L53" si="43">O49</f>
        <v>0.81480588114372665</v>
      </c>
      <c r="M50">
        <f t="shared" ref="M50:M53" si="44">K50*TAN(K50)-1</f>
        <v>-0.51984214602842327</v>
      </c>
      <c r="N50">
        <f t="shared" ref="N50:N53" si="45">L50*TAN(L50)-1</f>
        <v>-0.13580427503342629</v>
      </c>
      <c r="O50">
        <f t="shared" ref="O50:O53" si="46">L50-(N50/(N50-M50))*(L50-K50)</f>
        <v>0.87588110716153644</v>
      </c>
      <c r="R50">
        <f t="shared" ref="R50:R57" si="47">S49</f>
        <v>0.38880097097931188</v>
      </c>
      <c r="S50">
        <f t="shared" ref="S50:S57" si="48">V49</f>
        <v>-0.65090866427481719</v>
      </c>
      <c r="T50">
        <f t="shared" ref="T50:T57" si="49">R50^4-EXP(R50)+1</f>
        <v>-0.4523596938082981</v>
      </c>
      <c r="U50">
        <f t="shared" ref="U50:U57" si="50">S50^4-EXP(S50)+1</f>
        <v>0.65793488486506702</v>
      </c>
      <c r="V50">
        <f t="shared" ref="V50:V57" si="51">S50-(U50/(U50-T50)*(S50-R50))</f>
        <v>-3.4800784164858989E-2</v>
      </c>
      <c r="Y50">
        <f t="shared" ref="Y50:Y57" si="52">Z49</f>
        <v>0.36787944117144233</v>
      </c>
      <c r="Z50">
        <f t="shared" ref="Z50:Z57" si="53">AC49</f>
        <v>0.56945641713296113</v>
      </c>
      <c r="AA50">
        <f t="shared" ref="AA50:AA57" si="54">(Y50^2)*EXP(Y50)-1</f>
        <v>-0.80448546584741187</v>
      </c>
      <c r="AB50">
        <f t="shared" ref="AB50:AB57" si="55">(Z50^2)*EXP(Z50)-1</f>
        <v>-0.42689689384112528</v>
      </c>
      <c r="AC50">
        <f t="shared" ref="AC50:AC57" si="56">Z50-(AB50/(AB50-AA50))*(Z50-Y50)</f>
        <v>0.79735681266301128</v>
      </c>
    </row>
    <row r="51" spans="2:29">
      <c r="D51">
        <f t="shared" si="37"/>
        <v>3.5213512486236049</v>
      </c>
      <c r="E51">
        <f t="shared" si="38"/>
        <v>3.5213797086355529</v>
      </c>
      <c r="F51">
        <f t="shared" si="39"/>
        <v>-2.4359804829288123E-5</v>
      </c>
      <c r="G51">
        <f t="shared" si="40"/>
        <v>1.5672987352388645E-9</v>
      </c>
      <c r="H51">
        <f t="shared" si="41"/>
        <v>3.5213797068045665</v>
      </c>
      <c r="K51">
        <f t="shared" si="42"/>
        <v>0.81480588114372665</v>
      </c>
      <c r="L51">
        <f t="shared" si="43"/>
        <v>0.87588110716153644</v>
      </c>
      <c r="M51">
        <f t="shared" si="44"/>
        <v>-0.13580427503342629</v>
      </c>
      <c r="N51">
        <f t="shared" si="45"/>
        <v>5.0679254219015091E-2</v>
      </c>
      <c r="O51">
        <f t="shared" si="46"/>
        <v>0.85928314315770005</v>
      </c>
      <c r="R51">
        <f t="shared" si="47"/>
        <v>-0.65090866427481719</v>
      </c>
      <c r="S51">
        <f t="shared" si="48"/>
        <v>-3.4800784164858989E-2</v>
      </c>
      <c r="T51">
        <f t="shared" si="49"/>
        <v>0.65793488486506702</v>
      </c>
      <c r="U51">
        <f t="shared" si="50"/>
        <v>3.4203667440856234E-2</v>
      </c>
      <c r="V51">
        <f t="shared" si="51"/>
        <v>-1.0151591227189061E-3</v>
      </c>
      <c r="Y51">
        <f t="shared" si="52"/>
        <v>0.56945641713296113</v>
      </c>
      <c r="Z51">
        <f t="shared" si="53"/>
        <v>0.79735681266301128</v>
      </c>
      <c r="AA51">
        <f t="shared" si="54"/>
        <v>-0.42689689384112528</v>
      </c>
      <c r="AB51">
        <f t="shared" si="55"/>
        <v>0.41121466950829633</v>
      </c>
      <c r="AC51">
        <f t="shared" si="56"/>
        <v>0.68553878040227756</v>
      </c>
    </row>
    <row r="52" spans="2:29">
      <c r="D52">
        <f t="shared" si="37"/>
        <v>3.5213797086355529</v>
      </c>
      <c r="E52">
        <f t="shared" si="38"/>
        <v>3.5213797068045665</v>
      </c>
      <c r="F52">
        <f t="shared" si="39"/>
        <v>1.5672987352388645E-9</v>
      </c>
      <c r="G52">
        <f t="shared" si="40"/>
        <v>0</v>
      </c>
      <c r="H52" s="2">
        <f t="shared" si="41"/>
        <v>3.5213797068045665</v>
      </c>
      <c r="K52">
        <f t="shared" si="42"/>
        <v>0.87588110716153644</v>
      </c>
      <c r="L52">
        <f t="shared" si="43"/>
        <v>0.85928314315770005</v>
      </c>
      <c r="M52">
        <f t="shared" si="44"/>
        <v>5.0679254219015091E-2</v>
      </c>
      <c r="N52">
        <f t="shared" si="45"/>
        <v>-3.3405026652917336E-3</v>
      </c>
      <c r="O52">
        <f t="shared" si="46"/>
        <v>0.86030953694751255</v>
      </c>
      <c r="R52">
        <f t="shared" si="47"/>
        <v>-3.4800784164858989E-2</v>
      </c>
      <c r="S52">
        <f t="shared" si="48"/>
        <v>-1.0151591227189061E-3</v>
      </c>
      <c r="T52">
        <f t="shared" si="49"/>
        <v>3.4203667440856234E-2</v>
      </c>
      <c r="U52">
        <f t="shared" si="50"/>
        <v>1.014644024076139E-3</v>
      </c>
      <c r="V52">
        <f t="shared" si="51"/>
        <v>1.7724012111530307E-5</v>
      </c>
      <c r="Y52">
        <f t="shared" si="52"/>
        <v>0.79735681266301128</v>
      </c>
      <c r="Z52">
        <f t="shared" si="53"/>
        <v>0.68553878040227756</v>
      </c>
      <c r="AA52">
        <f t="shared" si="54"/>
        <v>0.41121466950829633</v>
      </c>
      <c r="AB52">
        <f t="shared" si="55"/>
        <v>-6.7197364376644586E-2</v>
      </c>
      <c r="AC52">
        <f t="shared" si="56"/>
        <v>0.70124465008261894</v>
      </c>
    </row>
    <row r="53" spans="2:29">
      <c r="D53">
        <f t="shared" si="37"/>
        <v>3.5213797068045665</v>
      </c>
      <c r="E53">
        <f t="shared" si="38"/>
        <v>3.5213797068045665</v>
      </c>
      <c r="F53">
        <f t="shared" si="39"/>
        <v>0</v>
      </c>
      <c r="G53">
        <f t="shared" si="40"/>
        <v>0</v>
      </c>
      <c r="H53" t="e">
        <f t="shared" si="41"/>
        <v>#DIV/0!</v>
      </c>
      <c r="K53">
        <f t="shared" si="42"/>
        <v>0.85928314315770005</v>
      </c>
      <c r="L53">
        <f t="shared" si="43"/>
        <v>0.86030953694751255</v>
      </c>
      <c r="M53">
        <f t="shared" si="44"/>
        <v>-3.3405026652917336E-3</v>
      </c>
      <c r="N53">
        <f t="shared" si="45"/>
        <v>-7.6603447626499843E-5</v>
      </c>
      <c r="O53">
        <f t="shared" si="46"/>
        <v>0.86033362632579258</v>
      </c>
      <c r="R53">
        <f t="shared" si="47"/>
        <v>-1.0151591227189061E-3</v>
      </c>
      <c r="S53">
        <f t="shared" si="48"/>
        <v>1.7724012111530307E-5</v>
      </c>
      <c r="T53">
        <f t="shared" si="49"/>
        <v>1.014644024076139E-3</v>
      </c>
      <c r="U53">
        <f t="shared" si="50"/>
        <v>-1.772416918277564E-5</v>
      </c>
      <c r="V53">
        <f t="shared" si="51"/>
        <v>-8.9978235975390539E-9</v>
      </c>
      <c r="Y53">
        <f t="shared" si="52"/>
        <v>0.68553878040227756</v>
      </c>
      <c r="Z53">
        <f t="shared" si="53"/>
        <v>0.70124465008261894</v>
      </c>
      <c r="AA53">
        <f t="shared" si="54"/>
        <v>-6.7197364376644586E-2</v>
      </c>
      <c r="AB53">
        <f t="shared" si="55"/>
        <v>-8.5157860169428057E-3</v>
      </c>
      <c r="AC53">
        <f t="shared" si="56"/>
        <v>0.70352386323854221</v>
      </c>
    </row>
    <row r="54" spans="2:29">
      <c r="K54">
        <f>L53</f>
        <v>0.86030953694751255</v>
      </c>
      <c r="L54">
        <f>O53</f>
        <v>0.86033362632579258</v>
      </c>
      <c r="M54">
        <f>K54*TAN(K54)-1</f>
        <v>-7.6603447626499843E-5</v>
      </c>
      <c r="N54">
        <f>L54*TAN(L54)-1</f>
        <v>1.1882142580965649E-7</v>
      </c>
      <c r="O54">
        <f>L54-(N54/(N54-M54))*(L54-K54)</f>
        <v>0.86033358901805512</v>
      </c>
      <c r="R54">
        <f t="shared" si="47"/>
        <v>1.7724012111530307E-5</v>
      </c>
      <c r="S54">
        <f t="shared" si="48"/>
        <v>-8.9978235975390539E-9</v>
      </c>
      <c r="T54">
        <f t="shared" si="49"/>
        <v>-1.772416918277564E-5</v>
      </c>
      <c r="U54">
        <f t="shared" si="50"/>
        <v>8.9978235973120491E-9</v>
      </c>
      <c r="V54">
        <f t="shared" si="51"/>
        <v>-7.9698306608021162E-14</v>
      </c>
      <c r="Y54">
        <f t="shared" si="52"/>
        <v>0.70124465008261894</v>
      </c>
      <c r="Z54">
        <f t="shared" si="53"/>
        <v>0.70352386323854221</v>
      </c>
      <c r="AA54">
        <f t="shared" si="54"/>
        <v>-8.5157860169428057E-3</v>
      </c>
      <c r="AB54">
        <f t="shared" si="55"/>
        <v>2.1692223096891894E-4</v>
      </c>
      <c r="AC54">
        <f t="shared" si="56"/>
        <v>0.70346724712489217</v>
      </c>
    </row>
    <row r="55" spans="2:29">
      <c r="K55">
        <f t="shared" si="42"/>
        <v>0.86033362632579258</v>
      </c>
      <c r="L55">
        <f t="shared" ref="L55" si="57">O54</f>
        <v>0.86033358901805512</v>
      </c>
      <c r="M55">
        <f t="shared" ref="M55" si="58">K55*TAN(K55)-1</f>
        <v>1.1882142580965649E-7</v>
      </c>
      <c r="N55">
        <f t="shared" ref="N55" si="59">L55*TAN(L55)-1</f>
        <v>-4.2189585158780574E-12</v>
      </c>
      <c r="O55">
        <f t="shared" ref="O55" si="60">L55-(N55/(N55-M55))*(L55-K55)</f>
        <v>0.86033358901937973</v>
      </c>
      <c r="R55">
        <f t="shared" si="47"/>
        <v>-8.9978235975390539E-9</v>
      </c>
      <c r="S55">
        <f t="shared" si="48"/>
        <v>-7.9698306608021162E-14</v>
      </c>
      <c r="T55">
        <f t="shared" si="49"/>
        <v>8.9978235973120491E-9</v>
      </c>
      <c r="U55">
        <f t="shared" si="50"/>
        <v>7.971401316808624E-14</v>
      </c>
      <c r="V55">
        <f t="shared" si="51"/>
        <v>1.5706701225841939E-17</v>
      </c>
      <c r="Y55">
        <f t="shared" si="52"/>
        <v>0.70352386323854221</v>
      </c>
      <c r="Z55">
        <f t="shared" si="53"/>
        <v>0.70346724712489217</v>
      </c>
      <c r="AA55">
        <f t="shared" si="54"/>
        <v>2.1692223096891894E-4</v>
      </c>
      <c r="AB55">
        <f t="shared" si="55"/>
        <v>-6.7397069358765549E-7</v>
      </c>
      <c r="AC55">
        <f t="shared" si="56"/>
        <v>0.70346742248457717</v>
      </c>
    </row>
    <row r="56" spans="2:29">
      <c r="K56">
        <f>L55</f>
        <v>0.86033358901805512</v>
      </c>
      <c r="L56">
        <f>O55</f>
        <v>0.86033358901937973</v>
      </c>
      <c r="M56">
        <f>K56*TAN(K56)-1</f>
        <v>-4.2189585158780574E-12</v>
      </c>
      <c r="N56">
        <f>L56*TAN(L56)-1</f>
        <v>0</v>
      </c>
      <c r="O56" s="2">
        <f>L56-(N56/(N56-M56))*(L56-K56)</f>
        <v>0.86033358901937973</v>
      </c>
      <c r="R56">
        <f t="shared" si="47"/>
        <v>-7.9698306608021162E-14</v>
      </c>
      <c r="S56">
        <f t="shared" si="48"/>
        <v>1.5706701225841939E-17</v>
      </c>
      <c r="T56">
        <f t="shared" si="49"/>
        <v>7.971401316808624E-14</v>
      </c>
      <c r="U56">
        <f t="shared" si="50"/>
        <v>0</v>
      </c>
      <c r="V56" s="2">
        <f t="shared" si="51"/>
        <v>1.5706701225841939E-17</v>
      </c>
      <c r="Y56">
        <f t="shared" si="52"/>
        <v>0.70346724712489217</v>
      </c>
      <c r="Z56">
        <f t="shared" si="53"/>
        <v>0.70346742248457717</v>
      </c>
      <c r="AA56">
        <f t="shared" si="54"/>
        <v>-6.7397069358765549E-7</v>
      </c>
      <c r="AB56">
        <f t="shared" si="55"/>
        <v>-5.3089865836852823E-11</v>
      </c>
      <c r="AC56">
        <f t="shared" si="56"/>
        <v>0.70346742249839167</v>
      </c>
    </row>
    <row r="57" spans="2:29">
      <c r="K57">
        <f t="shared" si="42"/>
        <v>0.86033358901937973</v>
      </c>
      <c r="L57">
        <f t="shared" ref="L57" si="61">O56</f>
        <v>0.86033358901937973</v>
      </c>
      <c r="M57">
        <f t="shared" ref="M57" si="62">K57*TAN(K57)-1</f>
        <v>0</v>
      </c>
      <c r="N57">
        <f t="shared" ref="N57" si="63">L57*TAN(L57)-1</f>
        <v>0</v>
      </c>
      <c r="O57" t="e">
        <f t="shared" ref="O57" si="64">L57-(N57/(N57-M57))*(L57-K57)</f>
        <v>#DIV/0!</v>
      </c>
      <c r="R57">
        <f t="shared" si="47"/>
        <v>1.5706701225841939E-17</v>
      </c>
      <c r="S57">
        <f t="shared" si="48"/>
        <v>1.5706701225841939E-17</v>
      </c>
      <c r="T57">
        <f t="shared" si="49"/>
        <v>0</v>
      </c>
      <c r="U57">
        <f t="shared" si="50"/>
        <v>0</v>
      </c>
      <c r="V57" t="e">
        <f t="shared" si="51"/>
        <v>#DIV/0!</v>
      </c>
      <c r="Y57">
        <f t="shared" si="52"/>
        <v>0.70346742248457717</v>
      </c>
      <c r="Z57">
        <f t="shared" si="53"/>
        <v>0.70346742249839167</v>
      </c>
      <c r="AA57">
        <f t="shared" si="54"/>
        <v>-5.3089865836852823E-11</v>
      </c>
      <c r="AB57">
        <f t="shared" si="55"/>
        <v>0</v>
      </c>
      <c r="AC57" s="2">
        <f t="shared" si="56"/>
        <v>0.70346742249839167</v>
      </c>
    </row>
    <row r="58" spans="2:29">
      <c r="Y58">
        <f t="shared" ref="Y58" si="65">Z57</f>
        <v>0.70346742249839167</v>
      </c>
      <c r="Z58">
        <f t="shared" ref="Z58" si="66">AC57</f>
        <v>0.70346742249839167</v>
      </c>
      <c r="AA58">
        <f t="shared" ref="AA58" si="67">(Y58^2)*EXP(Y58)-1</f>
        <v>0</v>
      </c>
      <c r="AB58">
        <f t="shared" ref="AB58" si="68">(Z58^2)*EXP(Z58)-1</f>
        <v>0</v>
      </c>
      <c r="AC58" t="e">
        <f t="shared" ref="AC58" si="69">Z58-((AB58/(AB58-AA58))*(Z58-Y58))</f>
        <v>#DIV/0!</v>
      </c>
    </row>
    <row r="63" spans="2:29">
      <c r="B63" t="s">
        <v>37</v>
      </c>
    </row>
    <row r="65" spans="1:25">
      <c r="B65" s="2" t="s">
        <v>33</v>
      </c>
      <c r="D65" s="2" t="s">
        <v>38</v>
      </c>
      <c r="E65" s="2"/>
      <c r="F65" s="2"/>
      <c r="I65" s="2" t="s">
        <v>33</v>
      </c>
      <c r="K65" s="2" t="s">
        <v>38</v>
      </c>
      <c r="P65" s="2" t="s">
        <v>33</v>
      </c>
      <c r="R65" s="2" t="s">
        <v>38</v>
      </c>
      <c r="W65" s="2" t="s">
        <v>33</v>
      </c>
    </row>
    <row r="66" spans="1:25">
      <c r="B66" t="s">
        <v>34</v>
      </c>
      <c r="C66" t="s">
        <v>35</v>
      </c>
      <c r="D66" t="s">
        <v>36</v>
      </c>
      <c r="I66" t="s">
        <v>34</v>
      </c>
      <c r="J66" t="s">
        <v>35</v>
      </c>
      <c r="K66" t="s">
        <v>36</v>
      </c>
      <c r="P66" t="s">
        <v>34</v>
      </c>
      <c r="Q66" t="s">
        <v>35</v>
      </c>
      <c r="R66" t="s">
        <v>36</v>
      </c>
      <c r="W66" t="s">
        <v>34</v>
      </c>
      <c r="X66" t="s">
        <v>35</v>
      </c>
      <c r="Y66" t="s">
        <v>36</v>
      </c>
    </row>
    <row r="67" spans="1:25">
      <c r="A67" s="2" t="s">
        <v>39</v>
      </c>
      <c r="B67">
        <v>3</v>
      </c>
      <c r="C67">
        <f>B67-B67^(1/3)-2</f>
        <v>-0.4422495703074083</v>
      </c>
      <c r="D67">
        <f>1-1/3*(B67)^(-2/3)</f>
        <v>0.83975004774362128</v>
      </c>
      <c r="H67" s="2" t="s">
        <v>39</v>
      </c>
      <c r="I67">
        <v>1</v>
      </c>
      <c r="J67">
        <f>I67*TAN(I67)-1</f>
        <v>0.55740772465490229</v>
      </c>
      <c r="K67">
        <f>I67*(1/TAN(I67))^2+TAN(I67)</f>
        <v>1.9696906520922941</v>
      </c>
      <c r="O67" s="2" t="s">
        <v>39</v>
      </c>
      <c r="P67">
        <v>-1</v>
      </c>
      <c r="Q67">
        <f>P67^4-EXP(P67)+1</f>
        <v>1.6321205588285577</v>
      </c>
      <c r="R67">
        <f>4*P67^3-EXP(P67)</f>
        <v>-4.3678794411714428</v>
      </c>
      <c r="V67" s="2" t="s">
        <v>39</v>
      </c>
      <c r="W67">
        <v>1</v>
      </c>
      <c r="X67">
        <f>(W67^2)*EXP(W67)-1</f>
        <v>1.7182818284590451</v>
      </c>
      <c r="Y67">
        <f>2*W67*EXP(W67)+EXP(W67)*(W67)^2</f>
        <v>8.1548454853771357</v>
      </c>
    </row>
    <row r="68" spans="1:25">
      <c r="B68">
        <f>B67-(C67/D67)</f>
        <v>3.5266442931390327</v>
      </c>
      <c r="C68">
        <f>B68-B68^(1/3)-2</f>
        <v>4.5067918211101343E-3</v>
      </c>
      <c r="D68">
        <f>1-1/3*(B68)^((1/3)-1)</f>
        <v>0.85612975822566995</v>
      </c>
      <c r="I68">
        <f>I67-(J67/K67)</f>
        <v>0.71700747827441902</v>
      </c>
      <c r="J68">
        <f>I68*TAN(I68)-1</f>
        <v>-0.37492203618678388</v>
      </c>
      <c r="K68">
        <f>I68*(1/TAN(I68))^2+TAN(I68)</f>
        <v>1.8152020161844087</v>
      </c>
      <c r="P68">
        <f>P67-(Q67/R67)</f>
        <v>-0.62633571260134613</v>
      </c>
      <c r="Q68">
        <f>P68^4-EXP(P68)+1</f>
        <v>0.61934953461463027</v>
      </c>
      <c r="R68">
        <f>4*P68^3-EXP(P68)</f>
        <v>-1.5173839936711608</v>
      </c>
      <c r="W68">
        <f>W67-(X67/Y67)</f>
        <v>0.78929314705714748</v>
      </c>
      <c r="X68">
        <f>(W68^2)*EXP(W68)-1</f>
        <v>0.37171005642936561</v>
      </c>
      <c r="Y68">
        <f>2*W68*EXP(W68)+EXP(W68)*(W68)^2</f>
        <v>4.8475037119139968</v>
      </c>
    </row>
    <row r="69" spans="1:25">
      <c r="B69">
        <f t="shared" ref="B69:B71" si="70">B68-(C68/D68)</f>
        <v>3.5213801473973283</v>
      </c>
      <c r="C69">
        <f t="shared" ref="C69:C71" si="71">B69-B69^(1/3)-2</f>
        <v>3.7714141409850299E-7</v>
      </c>
      <c r="D69">
        <f t="shared" ref="D69:D71" si="72">1-1/3*(B69)^((1/3)-1)</f>
        <v>0.85598641190155944</v>
      </c>
      <c r="I69">
        <f t="shared" ref="I69:I72" si="73">I68-(J68/K68)</f>
        <v>0.92355310396454338</v>
      </c>
      <c r="J69">
        <f t="shared" ref="J69:J81" si="74">I69*TAN(I69)-1</f>
        <v>0.22185164208773034</v>
      </c>
      <c r="K69">
        <f t="shared" ref="K69:K72" si="75">I69*(1/TAN(I69))^2+TAN(I69)</f>
        <v>1.8506434366100268</v>
      </c>
      <c r="P69">
        <f t="shared" ref="P69:P74" si="76">P68-(Q68/R68)</f>
        <v>-0.21816643099704031</v>
      </c>
      <c r="Q69">
        <f t="shared" ref="Q69:Q74" si="77">P69^4-EXP(P69)+1</f>
        <v>0.1982738141294822</v>
      </c>
      <c r="R69">
        <f t="shared" ref="R69:R74" si="78">4*P69^3-EXP(P69)</f>
        <v>-0.84552753548397463</v>
      </c>
      <c r="W69">
        <f t="shared" ref="W69:W74" si="79">W68-(X68/Y68)</f>
        <v>0.71261243085350812</v>
      </c>
      <c r="X69">
        <f t="shared" ref="X69:X74" si="80">(W69^2)*EXP(W69)-1</f>
        <v>3.5596167003339341E-2</v>
      </c>
      <c r="Y69">
        <f t="shared" ref="Y69:Y74" si="81">2*W69*EXP(W69)+EXP(W69)*(W69)^2</f>
        <v>3.9420741406277626</v>
      </c>
    </row>
    <row r="70" spans="1:25">
      <c r="B70">
        <f t="shared" si="70"/>
        <v>3.52137970680457</v>
      </c>
      <c r="C70">
        <f t="shared" si="71"/>
        <v>0</v>
      </c>
      <c r="D70">
        <f t="shared" si="72"/>
        <v>0.85598639988896819</v>
      </c>
      <c r="I70">
        <f t="shared" si="73"/>
        <v>0.80367499146648491</v>
      </c>
      <c r="J70">
        <f t="shared" si="74"/>
        <v>-0.16639743571161969</v>
      </c>
      <c r="K70">
        <f t="shared" si="75"/>
        <v>1.784243007410927</v>
      </c>
      <c r="P70">
        <f t="shared" si="76"/>
        <v>1.6330738886364521E-2</v>
      </c>
      <c r="Q70">
        <f t="shared" si="77"/>
        <v>-1.6464743133112636E-2</v>
      </c>
      <c r="R70">
        <f t="shared" si="78"/>
        <v>-1.016447393081175</v>
      </c>
      <c r="W70">
        <f t="shared" si="79"/>
        <v>0.70358262427618412</v>
      </c>
      <c r="X70">
        <f t="shared" si="80"/>
        <v>4.427985204056295E-4</v>
      </c>
      <c r="Y70">
        <f t="shared" si="81"/>
        <v>3.8442958557206701</v>
      </c>
    </row>
    <row r="71" spans="1:25">
      <c r="B71" s="2">
        <f t="shared" si="70"/>
        <v>3.52137970680457</v>
      </c>
      <c r="C71">
        <f t="shared" si="71"/>
        <v>0</v>
      </c>
      <c r="D71">
        <f t="shared" si="72"/>
        <v>0.85598639988896819</v>
      </c>
      <c r="I71">
        <f t="shared" si="73"/>
        <v>0.89693439336436598</v>
      </c>
      <c r="J71">
        <f t="shared" si="74"/>
        <v>0.12319052337775616</v>
      </c>
      <c r="K71">
        <f t="shared" si="75"/>
        <v>1.8242274682911757</v>
      </c>
      <c r="P71">
        <f t="shared" si="76"/>
        <v>1.3241593803881707E-4</v>
      </c>
      <c r="Q71">
        <f t="shared" si="77"/>
        <v>-1.3242470541596774E-4</v>
      </c>
      <c r="R71">
        <f t="shared" si="78"/>
        <v>-1.0001324246961292</v>
      </c>
      <c r="W71">
        <f t="shared" si="79"/>
        <v>0.70346744101843706</v>
      </c>
      <c r="X71">
        <f t="shared" si="80"/>
        <v>7.1173645199706925E-8</v>
      </c>
      <c r="Y71">
        <f t="shared" si="81"/>
        <v>3.843060070442144</v>
      </c>
    </row>
    <row r="72" spans="1:25">
      <c r="I72">
        <f t="shared" si="73"/>
        <v>0.82940415082660091</v>
      </c>
      <c r="J72">
        <f t="shared" si="74"/>
        <v>-9.4186556267057853E-2</v>
      </c>
      <c r="K72">
        <f t="shared" si="75"/>
        <v>1.7875037538299745</v>
      </c>
      <c r="P72">
        <f t="shared" si="76"/>
        <v>8.7666022921344643E-9</v>
      </c>
      <c r="Q72">
        <f t="shared" si="77"/>
        <v>-8.7666023329546761E-9</v>
      </c>
      <c r="R72">
        <f t="shared" si="78"/>
        <v>-1.0000000087666023</v>
      </c>
      <c r="W72">
        <f t="shared" si="79"/>
        <v>0.70346742249839211</v>
      </c>
      <c r="X72">
        <f t="shared" si="80"/>
        <v>1.7763568394002505E-15</v>
      </c>
      <c r="Y72">
        <f t="shared" si="81"/>
        <v>3.8430598717662381</v>
      </c>
    </row>
    <row r="73" spans="1:25">
      <c r="I73">
        <f>I72-(J72/K72)</f>
        <v>0.88209581990156094</v>
      </c>
      <c r="J73">
        <f>I73*TAN(I73)-1</f>
        <v>7.1605159698521437E-2</v>
      </c>
      <c r="K73">
        <f>I73*(1/TAN(I73))^2+TAN(I73)</f>
        <v>1.8125322108432624</v>
      </c>
      <c r="P73">
        <f t="shared" si="76"/>
        <v>3.6033104176636832E-17</v>
      </c>
      <c r="Q73">
        <f t="shared" si="77"/>
        <v>0</v>
      </c>
      <c r="R73">
        <f t="shared" si="78"/>
        <v>-1</v>
      </c>
      <c r="W73">
        <f t="shared" si="79"/>
        <v>0.70346742249839167</v>
      </c>
      <c r="X73">
        <f t="shared" si="80"/>
        <v>0</v>
      </c>
      <c r="Y73">
        <f t="shared" si="81"/>
        <v>3.8430598717662332</v>
      </c>
    </row>
    <row r="74" spans="1:25">
      <c r="I74">
        <f t="shared" ref="I74:I81" si="82">I73-(J73/K73)</f>
        <v>0.84259022696911434</v>
      </c>
      <c r="J74">
        <f t="shared" si="74"/>
        <v>-5.5065960660990343E-2</v>
      </c>
      <c r="K74">
        <f t="shared" ref="K74:K81" si="83">I74*(1/TAN(I74))^2+TAN(I74)</f>
        <v>1.791419302358189</v>
      </c>
      <c r="P74" s="2">
        <f t="shared" si="76"/>
        <v>3.6033104176636832E-17</v>
      </c>
      <c r="Q74">
        <f t="shared" si="77"/>
        <v>0</v>
      </c>
      <c r="R74">
        <f t="shared" si="78"/>
        <v>-1</v>
      </c>
      <c r="W74" s="2">
        <f t="shared" si="79"/>
        <v>0.70346742249839167</v>
      </c>
      <c r="X74">
        <f t="shared" si="80"/>
        <v>0</v>
      </c>
      <c r="Y74">
        <f t="shared" si="81"/>
        <v>3.8430598717662332</v>
      </c>
    </row>
    <row r="75" spans="1:25">
      <c r="I75">
        <f t="shared" si="82"/>
        <v>0.87332896054673215</v>
      </c>
      <c r="J75">
        <f t="shared" si="74"/>
        <v>4.219824146459783E-2</v>
      </c>
      <c r="K75">
        <f t="shared" si="83"/>
        <v>1.8066061844666095</v>
      </c>
    </row>
    <row r="76" spans="1:25">
      <c r="I76">
        <f t="shared" si="82"/>
        <v>0.84997121837390954</v>
      </c>
      <c r="J76">
        <f t="shared" si="74"/>
        <v>-3.2506118442553356E-2</v>
      </c>
      <c r="K76">
        <f t="shared" si="83"/>
        <v>1.7942853175458069</v>
      </c>
    </row>
    <row r="77" spans="1:25">
      <c r="I77">
        <f t="shared" si="82"/>
        <v>0.86808768966455951</v>
      </c>
      <c r="J77">
        <f t="shared" si="74"/>
        <v>2.4982524470013479E-2</v>
      </c>
      <c r="K77">
        <f t="shared" si="83"/>
        <v>1.803406056914155</v>
      </c>
    </row>
    <row r="78" spans="1:25">
      <c r="I78">
        <f t="shared" si="82"/>
        <v>0.85423472273332857</v>
      </c>
      <c r="J78">
        <f t="shared" si="74"/>
        <v>-1.9251451908388839E-2</v>
      </c>
      <c r="K78">
        <f t="shared" si="83"/>
        <v>1.7961635843140042</v>
      </c>
    </row>
    <row r="79" spans="1:25">
      <c r="I79">
        <f t="shared" si="82"/>
        <v>0.86495281772006183</v>
      </c>
      <c r="J79">
        <f t="shared" si="74"/>
        <v>1.4813243065748383E-2</v>
      </c>
      <c r="K79">
        <f t="shared" si="83"/>
        <v>1.8016133902874052</v>
      </c>
    </row>
    <row r="80" spans="1:25">
      <c r="I80">
        <f t="shared" si="82"/>
        <v>0.85673060803533851</v>
      </c>
      <c r="J80">
        <f t="shared" si="74"/>
        <v>-1.1414788132359965E-2</v>
      </c>
      <c r="K80">
        <f t="shared" si="83"/>
        <v>1.7973393169508634</v>
      </c>
    </row>
    <row r="81" spans="9:11">
      <c r="I81" s="2">
        <f t="shared" si="82"/>
        <v>0.86308154468080445</v>
      </c>
      <c r="J81">
        <f t="shared" si="74"/>
        <v>8.7879096411340729E-3</v>
      </c>
      <c r="K81">
        <f t="shared" si="83"/>
        <v>1.8005863656317653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6BEFC-9EC2-4548-A21D-10B6149CDAF4}">
  <sheetPr codeName="Sheet2"/>
  <dimension ref="A1:S46"/>
  <sheetViews>
    <sheetView tabSelected="1" workbookViewId="0">
      <selection activeCell="P32" sqref="P32"/>
    </sheetView>
  </sheetViews>
  <sheetFormatPr baseColWidth="10" defaultRowHeight="16"/>
  <cols>
    <col min="18" max="18" width="15.33203125" customWidth="1"/>
  </cols>
  <sheetData>
    <row r="1" spans="1:17">
      <c r="A1" s="4" t="s">
        <v>45</v>
      </c>
      <c r="C1" t="s">
        <v>0</v>
      </c>
      <c r="D1" t="s">
        <v>40</v>
      </c>
      <c r="I1" s="4" t="s">
        <v>46</v>
      </c>
      <c r="K1" t="s">
        <v>0</v>
      </c>
      <c r="L1" s="1" t="s">
        <v>47</v>
      </c>
      <c r="Q1" s="3"/>
    </row>
    <row r="2" spans="1:17">
      <c r="A2" t="s">
        <v>5</v>
      </c>
      <c r="B2" t="s">
        <v>41</v>
      </c>
      <c r="I2" t="s">
        <v>5</v>
      </c>
      <c r="J2" t="s">
        <v>44</v>
      </c>
    </row>
    <row r="3" spans="1:17">
      <c r="A3">
        <v>-10</v>
      </c>
      <c r="B3">
        <f>(A3)^3-(17*A3)+12</f>
        <v>-818</v>
      </c>
      <c r="D3" s="3" t="s">
        <v>42</v>
      </c>
      <c r="I3">
        <v>-10</v>
      </c>
      <c r="J3">
        <f>BESSELJ(I3,1)</f>
        <v>-4.3472249652254151E-2</v>
      </c>
      <c r="L3" s="3" t="s">
        <v>42</v>
      </c>
    </row>
    <row r="4" spans="1:17">
      <c r="A4">
        <v>-9</v>
      </c>
      <c r="B4">
        <f t="shared" ref="B4:B23" si="0">(A4)^3-(17*A4)+12</f>
        <v>-564</v>
      </c>
      <c r="D4" s="2" t="s">
        <v>43</v>
      </c>
      <c r="I4">
        <v>-9</v>
      </c>
      <c r="J4">
        <f t="shared" ref="J4:J23" si="1">BESSELJ(I4,1)</f>
        <v>-0.24530741168292364</v>
      </c>
      <c r="L4" t="s">
        <v>48</v>
      </c>
    </row>
    <row r="5" spans="1:17">
      <c r="A5">
        <v>-8</v>
      </c>
      <c r="B5">
        <f t="shared" si="0"/>
        <v>-364</v>
      </c>
      <c r="I5">
        <v>-8</v>
      </c>
      <c r="J5">
        <f t="shared" si="1"/>
        <v>-0.2346283865070744</v>
      </c>
    </row>
    <row r="6" spans="1:17">
      <c r="A6">
        <v>-7</v>
      </c>
      <c r="B6">
        <f t="shared" si="0"/>
        <v>-212</v>
      </c>
      <c r="D6" s="2" t="s">
        <v>5</v>
      </c>
      <c r="E6" s="2" t="s">
        <v>44</v>
      </c>
      <c r="I6">
        <v>-7</v>
      </c>
      <c r="J6">
        <f t="shared" si="1"/>
        <v>4.682825726925465E-3</v>
      </c>
      <c r="L6" s="2" t="s">
        <v>5</v>
      </c>
      <c r="M6" s="2" t="s">
        <v>44</v>
      </c>
    </row>
    <row r="7" spans="1:17">
      <c r="A7">
        <v>-6</v>
      </c>
      <c r="B7">
        <f t="shared" si="0"/>
        <v>-102</v>
      </c>
      <c r="D7" s="2">
        <v>0.72863564232316103</v>
      </c>
      <c r="E7" s="2">
        <f>(D7)^3-(17*D7)+12</f>
        <v>3.3955971982635447E-5</v>
      </c>
      <c r="I7">
        <v>-6</v>
      </c>
      <c r="J7">
        <f t="shared" si="1"/>
        <v>0.27668385915946636</v>
      </c>
      <c r="L7" s="2">
        <v>3.8323723823744849</v>
      </c>
      <c r="M7" s="2">
        <f>BESSELJ(L7,1)</f>
        <v>-2.6838038524441561E-4</v>
      </c>
    </row>
    <row r="8" spans="1:17">
      <c r="A8">
        <v>-5</v>
      </c>
      <c r="B8">
        <f t="shared" si="0"/>
        <v>-28</v>
      </c>
      <c r="I8">
        <v>-5</v>
      </c>
      <c r="J8">
        <f t="shared" si="1"/>
        <v>0.32757913856636323</v>
      </c>
    </row>
    <row r="9" spans="1:17">
      <c r="A9">
        <v>-4</v>
      </c>
      <c r="B9">
        <f t="shared" si="0"/>
        <v>16</v>
      </c>
      <c r="I9">
        <v>-4</v>
      </c>
      <c r="J9">
        <f t="shared" si="1"/>
        <v>6.6043327959084727E-2</v>
      </c>
    </row>
    <row r="10" spans="1:17">
      <c r="A10">
        <v>-3</v>
      </c>
      <c r="B10">
        <f t="shared" si="0"/>
        <v>36</v>
      </c>
      <c r="I10">
        <v>-3</v>
      </c>
      <c r="J10">
        <f t="shared" si="1"/>
        <v>-0.33905895827253579</v>
      </c>
    </row>
    <row r="11" spans="1:17">
      <c r="A11">
        <v>-2</v>
      </c>
      <c r="B11">
        <f t="shared" si="0"/>
        <v>38</v>
      </c>
      <c r="I11">
        <v>-2</v>
      </c>
      <c r="J11">
        <f t="shared" si="1"/>
        <v>-0.57672480789629377</v>
      </c>
    </row>
    <row r="12" spans="1:17">
      <c r="A12">
        <v>-1</v>
      </c>
      <c r="B12">
        <f t="shared" si="0"/>
        <v>28</v>
      </c>
      <c r="I12">
        <v>-1</v>
      </c>
      <c r="J12">
        <f t="shared" si="1"/>
        <v>-0.44005058567713012</v>
      </c>
    </row>
    <row r="13" spans="1:17">
      <c r="A13">
        <v>0</v>
      </c>
      <c r="B13">
        <f t="shared" si="0"/>
        <v>12</v>
      </c>
      <c r="I13">
        <v>0</v>
      </c>
      <c r="J13">
        <f t="shared" si="1"/>
        <v>0</v>
      </c>
    </row>
    <row r="14" spans="1:17">
      <c r="A14">
        <v>1</v>
      </c>
      <c r="B14">
        <f t="shared" si="0"/>
        <v>-4</v>
      </c>
      <c r="I14">
        <v>1</v>
      </c>
      <c r="J14">
        <f t="shared" si="1"/>
        <v>0.44005058567713012</v>
      </c>
    </row>
    <row r="15" spans="1:17">
      <c r="A15">
        <v>2</v>
      </c>
      <c r="B15">
        <f t="shared" si="0"/>
        <v>-14</v>
      </c>
      <c r="I15">
        <v>2</v>
      </c>
      <c r="J15">
        <f t="shared" si="1"/>
        <v>0.57672480789629377</v>
      </c>
    </row>
    <row r="16" spans="1:17">
      <c r="A16">
        <v>3</v>
      </c>
      <c r="B16">
        <f t="shared" si="0"/>
        <v>-12</v>
      </c>
      <c r="I16">
        <v>3</v>
      </c>
      <c r="J16">
        <f t="shared" si="1"/>
        <v>0.33905895827253579</v>
      </c>
    </row>
    <row r="17" spans="1:19">
      <c r="A17">
        <v>4</v>
      </c>
      <c r="B17">
        <f t="shared" si="0"/>
        <v>8</v>
      </c>
      <c r="I17">
        <v>4</v>
      </c>
      <c r="J17">
        <f t="shared" si="1"/>
        <v>-6.6043327959084727E-2</v>
      </c>
    </row>
    <row r="18" spans="1:19">
      <c r="A18">
        <v>5</v>
      </c>
      <c r="B18">
        <f t="shared" si="0"/>
        <v>52</v>
      </c>
      <c r="I18">
        <v>5</v>
      </c>
      <c r="J18">
        <f t="shared" si="1"/>
        <v>-0.32757913856636323</v>
      </c>
    </row>
    <row r="19" spans="1:19">
      <c r="A19">
        <v>6</v>
      </c>
      <c r="B19">
        <f t="shared" si="0"/>
        <v>126</v>
      </c>
      <c r="I19">
        <v>6</v>
      </c>
      <c r="J19">
        <f t="shared" si="1"/>
        <v>-0.27668385915946636</v>
      </c>
    </row>
    <row r="20" spans="1:19">
      <c r="A20">
        <v>7</v>
      </c>
      <c r="B20">
        <f t="shared" si="0"/>
        <v>236</v>
      </c>
      <c r="I20">
        <v>7</v>
      </c>
      <c r="J20">
        <f t="shared" si="1"/>
        <v>-4.682825726925465E-3</v>
      </c>
    </row>
    <row r="21" spans="1:19">
      <c r="A21">
        <v>8</v>
      </c>
      <c r="B21">
        <f t="shared" si="0"/>
        <v>388</v>
      </c>
      <c r="I21">
        <v>8</v>
      </c>
      <c r="J21">
        <f t="shared" si="1"/>
        <v>0.2346283865070744</v>
      </c>
    </row>
    <row r="22" spans="1:19">
      <c r="A22">
        <v>9</v>
      </c>
      <c r="B22">
        <f t="shared" si="0"/>
        <v>588</v>
      </c>
      <c r="I22">
        <v>9</v>
      </c>
      <c r="J22">
        <f t="shared" si="1"/>
        <v>0.24530741168292364</v>
      </c>
    </row>
    <row r="23" spans="1:19">
      <c r="A23">
        <v>10</v>
      </c>
      <c r="B23">
        <f t="shared" si="0"/>
        <v>842</v>
      </c>
      <c r="I23">
        <v>10</v>
      </c>
      <c r="J23">
        <f t="shared" si="1"/>
        <v>4.3472249652254151E-2</v>
      </c>
    </row>
    <row r="27" spans="1:19">
      <c r="A27" s="4" t="s">
        <v>49</v>
      </c>
      <c r="I27" s="4" t="s">
        <v>57</v>
      </c>
      <c r="Q27" s="4" t="s">
        <v>66</v>
      </c>
      <c r="R27" t="s">
        <v>68</v>
      </c>
    </row>
    <row r="28" spans="1:19">
      <c r="A28" t="s">
        <v>53</v>
      </c>
      <c r="B28">
        <v>400</v>
      </c>
      <c r="I28" t="s">
        <v>58</v>
      </c>
      <c r="J28">
        <f>10^5</f>
        <v>100000</v>
      </c>
    </row>
    <row r="29" spans="1:19">
      <c r="A29" t="s">
        <v>54</v>
      </c>
      <c r="B29">
        <v>11.8</v>
      </c>
      <c r="I29" t="s">
        <v>59</v>
      </c>
      <c r="J29">
        <f>10^(-4)</f>
        <v>1E-4</v>
      </c>
    </row>
    <row r="30" spans="1:19">
      <c r="A30" t="s">
        <v>50</v>
      </c>
      <c r="B30">
        <v>8.2100000000000006E-2</v>
      </c>
      <c r="I30" s="5" t="s">
        <v>62</v>
      </c>
      <c r="K30" t="s">
        <v>69</v>
      </c>
      <c r="Q30" t="s">
        <v>63</v>
      </c>
      <c r="R30" t="s">
        <v>67</v>
      </c>
      <c r="S30" t="s">
        <v>64</v>
      </c>
    </row>
    <row r="31" spans="1:19">
      <c r="A31" t="s">
        <v>51</v>
      </c>
      <c r="B31">
        <v>8.8699999999999992</v>
      </c>
      <c r="Q31" s="2">
        <v>3.81490131907933E-2</v>
      </c>
      <c r="R31" s="2">
        <v>5000</v>
      </c>
      <c r="S31">
        <f>SQRT(1/Q31)+0.86*LN(($J$29/3.7) + (2.51/(R31*SQRT(Q31))))</f>
        <v>6.1501931165608426E-6</v>
      </c>
    </row>
    <row r="32" spans="1:19">
      <c r="A32" t="s">
        <v>52</v>
      </c>
      <c r="B32">
        <v>6.4000000000000001E-2</v>
      </c>
      <c r="Q32" s="2">
        <v>3.4732108220519607E-2</v>
      </c>
      <c r="R32" s="2">
        <v>7000</v>
      </c>
      <c r="S32">
        <f t="shared" ref="S32:S51" si="2">SQRT(1/Q32)+0.86*LN(($J$29/3.7) + (2.51/(R32*SQRT(Q32))))</f>
        <v>-7.4275607531149035E-5</v>
      </c>
    </row>
    <row r="33" spans="1:19">
      <c r="I33" s="2" t="s">
        <v>60</v>
      </c>
      <c r="J33" s="2"/>
      <c r="K33" s="2">
        <v>1.8849976628408257E-2</v>
      </c>
      <c r="Q33" s="2">
        <v>3.2463879684583474E-2</v>
      </c>
      <c r="R33" s="2">
        <v>9000</v>
      </c>
      <c r="S33">
        <f t="shared" si="2"/>
        <v>1.3978095365629883E-5</v>
      </c>
    </row>
    <row r="34" spans="1:19">
      <c r="A34" t="s">
        <v>34</v>
      </c>
      <c r="B34" t="s">
        <v>35</v>
      </c>
      <c r="D34" t="s">
        <v>44</v>
      </c>
      <c r="E34" s="1" t="s">
        <v>56</v>
      </c>
      <c r="I34" s="6" t="s">
        <v>61</v>
      </c>
      <c r="J34" s="7"/>
      <c r="K34" s="2">
        <f>SQRT(1/K33)+0.86*LN(($J$29/3.7) + (2.51/($J$28*SQRT(K33))))</f>
        <v>1.1232945585515353E-4</v>
      </c>
      <c r="Q34" s="2">
        <v>3.0816618483672523E-2</v>
      </c>
      <c r="R34" s="2">
        <v>11000</v>
      </c>
      <c r="S34">
        <f t="shared" si="2"/>
        <v>-9.5426689913313822E-4</v>
      </c>
    </row>
    <row r="35" spans="1:19">
      <c r="A35">
        <v>-5</v>
      </c>
      <c r="B35">
        <f>($B$29+$B$31/A35^2)*(A35-$B$32)-($B$28*$B$30)</f>
        <v>-94.391907200000006</v>
      </c>
      <c r="Q35" s="2">
        <v>2.952523451466952E-2</v>
      </c>
      <c r="R35" s="2">
        <v>13000</v>
      </c>
      <c r="S35">
        <f t="shared" si="2"/>
        <v>-2.2651741229218203E-4</v>
      </c>
    </row>
    <row r="36" spans="1:19">
      <c r="A36">
        <v>-4</v>
      </c>
      <c r="B36">
        <f t="shared" ref="B36:B45" si="3">($B$29+$B$31/A36^2)*(A36-$B$32)-($B$28*$B$30)</f>
        <v>-83.048180000000002</v>
      </c>
      <c r="D36" s="2" t="s">
        <v>5</v>
      </c>
      <c r="E36" s="2" t="s">
        <v>44</v>
      </c>
      <c r="I36" t="s">
        <v>63</v>
      </c>
      <c r="J36" t="s">
        <v>64</v>
      </c>
      <c r="Q36" s="2">
        <v>2.8491086291353274E-2</v>
      </c>
      <c r="R36" s="2">
        <v>15000</v>
      </c>
      <c r="S36">
        <f t="shared" si="2"/>
        <v>-5.9161768429039086E-4</v>
      </c>
    </row>
    <row r="37" spans="1:19">
      <c r="A37">
        <v>-3</v>
      </c>
      <c r="B37">
        <f t="shared" si="3"/>
        <v>-72.014942222222231</v>
      </c>
      <c r="D37" s="2">
        <v>2.5608536489776061</v>
      </c>
      <c r="E37" s="2">
        <f>($B$29+$B$31/D37^2)*(D37-$B$32)-($B$28*$B$30)</f>
        <v>-1.5359279146309746E-6</v>
      </c>
      <c r="I37">
        <v>0.01</v>
      </c>
      <c r="J37">
        <f>SQRT(1/I37)+0.86*LN(($J$29/3.7) + (2.51/($J$28*SQRT(I37))))</f>
        <v>2.9584986826493775</v>
      </c>
      <c r="K37" s="8" t="s">
        <v>65</v>
      </c>
      <c r="Q37" s="2">
        <v>2.7623552571233827E-2</v>
      </c>
      <c r="R37" s="2">
        <v>17000</v>
      </c>
      <c r="S37">
        <f t="shared" si="2"/>
        <v>1.7693812239372164E-5</v>
      </c>
    </row>
    <row r="38" spans="1:19">
      <c r="A38">
        <v>-2</v>
      </c>
      <c r="B38">
        <f t="shared" si="3"/>
        <v>-61.772120000000001</v>
      </c>
      <c r="I38">
        <v>0.02</v>
      </c>
      <c r="J38">
        <f>SQRT(1/I38)+0.86*LN(($J$29/3.7) + (2.51/($J$28*SQRT(I38))))</f>
        <v>-0.23453726978444323</v>
      </c>
      <c r="Q38" s="2">
        <v>2.688737985524868E-2</v>
      </c>
      <c r="R38" s="2">
        <v>19000</v>
      </c>
      <c r="S38">
        <f t="shared" si="2"/>
        <v>3.9366848670940868E-4</v>
      </c>
    </row>
    <row r="39" spans="1:19">
      <c r="A39">
        <v>-1</v>
      </c>
      <c r="B39">
        <f t="shared" si="3"/>
        <v>-54.832880000000003</v>
      </c>
      <c r="I39">
        <v>0.03</v>
      </c>
      <c r="J39">
        <f>SQRT(1/I39)+0.86*LN(($J$29/3.7) + (2.51/($J$28*SQRT(I39))))</f>
        <v>-1.6812814639251705</v>
      </c>
      <c r="Q39" s="2">
        <v>2.6256068555488975E-2</v>
      </c>
      <c r="R39" s="2">
        <v>21000</v>
      </c>
      <c r="S39">
        <f t="shared" si="2"/>
        <v>-8.9154037521410601E-6</v>
      </c>
    </row>
    <row r="40" spans="1:19">
      <c r="A40">
        <v>0</v>
      </c>
      <c r="B40" t="e">
        <f t="shared" si="3"/>
        <v>#DIV/0!</v>
      </c>
      <c r="I40">
        <v>0.04</v>
      </c>
      <c r="J40">
        <f>SQRT(1/I40)+0.86*LN(($J$29/3.7) + (2.51/($J$28*SQRT(I40))))</f>
        <v>-2.5578251260430225</v>
      </c>
      <c r="Q40" s="2">
        <v>2.5699661356593757E-2</v>
      </c>
      <c r="R40" s="2">
        <v>23000</v>
      </c>
      <c r="S40">
        <f t="shared" si="2"/>
        <v>-4.874008483746195E-5</v>
      </c>
    </row>
    <row r="41" spans="1:19">
      <c r="A41">
        <v>1</v>
      </c>
      <c r="B41">
        <f t="shared" si="3"/>
        <v>-13.492880000000003</v>
      </c>
      <c r="I41">
        <v>0.05</v>
      </c>
      <c r="J41">
        <f>SQRT(1/I41)+0.86*LN(($J$29/3.7) + (2.51/($J$28*SQRT(I41))))</f>
        <v>-3.1638394860653145</v>
      </c>
      <c r="Q41" s="2">
        <v>2.5206383706661038E-2</v>
      </c>
      <c r="R41" s="2">
        <v>25000</v>
      </c>
      <c r="S41">
        <f t="shared" si="2"/>
        <v>-1.7508580040725974E-4</v>
      </c>
    </row>
    <row r="42" spans="1:19">
      <c r="A42">
        <v>2</v>
      </c>
      <c r="B42">
        <f t="shared" si="3"/>
        <v>-5.7021200000000043</v>
      </c>
      <c r="C42" t="s">
        <v>55</v>
      </c>
      <c r="I42">
        <v>0.06</v>
      </c>
      <c r="J42">
        <f t="shared" ref="J42:J46" si="4">SQRT(1/I42)+0.86*LN(($J$29/3.7) + (2.51/($J$28*SQRT(I42))))</f>
        <v>-3.616108229790302</v>
      </c>
      <c r="Q42" s="2">
        <v>2.4762645703023139E-2</v>
      </c>
      <c r="R42" s="2">
        <v>27000</v>
      </c>
      <c r="S42">
        <f t="shared" si="2"/>
        <v>-6.074053877824781E-5</v>
      </c>
    </row>
    <row r="43" spans="1:19">
      <c r="A43">
        <v>3</v>
      </c>
      <c r="B43">
        <f t="shared" si="3"/>
        <v>4.698391111111107</v>
      </c>
      <c r="I43">
        <v>7.0000000000000007E-2</v>
      </c>
      <c r="J43">
        <f t="shared" si="4"/>
        <v>-3.9709689043695491</v>
      </c>
      <c r="Q43" s="2">
        <v>2.4362017241449579E-2</v>
      </c>
      <c r="R43" s="2">
        <v>29000</v>
      </c>
      <c r="S43">
        <f t="shared" si="2"/>
        <v>-7.933715930441565E-6</v>
      </c>
    </row>
    <row r="44" spans="1:19">
      <c r="A44">
        <v>4</v>
      </c>
      <c r="B44">
        <f t="shared" si="3"/>
        <v>15.786819999999999</v>
      </c>
      <c r="I44">
        <v>0.08</v>
      </c>
      <c r="J44">
        <f t="shared" si="4"/>
        <v>-4.259432437612066</v>
      </c>
    </row>
    <row r="45" spans="1:19">
      <c r="A45">
        <v>5</v>
      </c>
      <c r="B45">
        <f t="shared" si="3"/>
        <v>27.156092799999996</v>
      </c>
      <c r="I45">
        <v>0.09</v>
      </c>
      <c r="J45">
        <f t="shared" si="4"/>
        <v>-4.5001862378384381</v>
      </c>
    </row>
    <row r="46" spans="1:19">
      <c r="I46">
        <v>0.1</v>
      </c>
      <c r="J46">
        <f t="shared" si="4"/>
        <v>-4.7052630369287343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2020-01-31T02:45:36Z</dcterms:created>
  <dcterms:modified xsi:type="dcterms:W3CDTF">2020-02-02T01:18:18Z</dcterms:modified>
</cp:coreProperties>
</file>