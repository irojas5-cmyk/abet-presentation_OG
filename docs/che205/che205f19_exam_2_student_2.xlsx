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uoZhen/Desktop/CHE205_Fall19/strong/exam2/"/>
    </mc:Choice>
  </mc:AlternateContent>
  <xr:revisionPtr revIDLastSave="0" documentId="13_ncr:1_{D760909A-0DC4-5741-BB24-0C7D278F8A17}" xr6:coauthVersionLast="41" xr6:coauthVersionMax="45" xr10:uidLastSave="{00000000-0000-0000-0000-000000000000}"/>
  <bookViews>
    <workbookView xWindow="-21620" yWindow="1540" windowWidth="19420" windowHeight="10420" xr2:uid="{951B8F74-0AA3-4552-9F6C-372DB483FC2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M26" i="1" a="1"/>
  <c r="M28" i="1" l="1"/>
  <c r="M29" i="1"/>
  <c r="M30" i="1"/>
  <c r="M31" i="1"/>
  <c r="M32" i="1"/>
  <c r="M33" i="1"/>
  <c r="M26" i="1"/>
  <c r="M34" i="1"/>
  <c r="M27" i="1"/>
  <c r="L30" i="1"/>
  <c r="E29" i="1" l="1"/>
  <c r="C28" i="1"/>
  <c r="B27" i="1"/>
  <c r="C26" i="1"/>
  <c r="A26" i="1"/>
  <c r="A27" i="1" s="1"/>
  <c r="A28" i="1" s="1"/>
  <c r="A29" i="1" s="1"/>
  <c r="A30" i="1" s="1"/>
  <c r="A31" i="1" s="1"/>
  <c r="C7" i="1"/>
  <c r="A7" i="1"/>
  <c r="A8" i="1" s="1"/>
  <c r="A9" i="1" s="1"/>
  <c r="A10" i="1" s="1"/>
  <c r="A11" i="1" s="1"/>
  <c r="A12" i="1" s="1"/>
  <c r="A13" i="1" s="1"/>
  <c r="A14" i="1" s="1"/>
  <c r="A15" i="1" s="1"/>
  <c r="B8" i="1" l="1"/>
  <c r="D28" i="1"/>
  <c r="E28" i="1"/>
  <c r="A32" i="1"/>
  <c r="G31" i="1"/>
  <c r="F31" i="1"/>
  <c r="H31" i="1"/>
  <c r="C27" i="1"/>
  <c r="B26" i="1"/>
  <c r="D27" i="1"/>
  <c r="D29" i="1"/>
  <c r="F29" i="1"/>
  <c r="C8" i="1"/>
  <c r="B9" i="1" s="1"/>
  <c r="A33" i="1" l="1"/>
  <c r="I32" i="1"/>
  <c r="H32" i="1"/>
  <c r="G32" i="1"/>
  <c r="C9" i="1"/>
  <c r="B10" i="1" s="1"/>
  <c r="A34" i="1" l="1"/>
  <c r="I33" i="1"/>
  <c r="H33" i="1"/>
  <c r="J33" i="1"/>
  <c r="C10" i="1"/>
  <c r="B11" i="1" s="1"/>
  <c r="J34" i="1" l="1"/>
  <c r="I34" i="1"/>
  <c r="H34" i="1"/>
  <c r="C11" i="1"/>
  <c r="B12" i="1" s="1"/>
  <c r="C12" i="1" l="1"/>
  <c r="B13" i="1" s="1"/>
  <c r="C13" i="1" l="1"/>
  <c r="B14" i="1" s="1"/>
  <c r="C14" i="1" l="1"/>
  <c r="B15" i="1" s="1"/>
  <c r="C15" i="1" l="1"/>
</calcChain>
</file>

<file path=xl/sharedStrings.xml><?xml version="1.0" encoding="utf-8"?>
<sst xmlns="http://schemas.openxmlformats.org/spreadsheetml/2006/main" count="12" uniqueCount="10">
  <si>
    <t>dx</t>
  </si>
  <si>
    <t>alpha</t>
  </si>
  <si>
    <t>beta</t>
  </si>
  <si>
    <t>x</t>
  </si>
  <si>
    <t>u</t>
  </si>
  <si>
    <t>V</t>
  </si>
  <si>
    <t>A</t>
  </si>
  <si>
    <t>B</t>
  </si>
  <si>
    <t>a)</t>
  </si>
  <si>
    <t>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</si>
</sst>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Sheet1!$A$6:$A$15</c:f>
              <c:numCache>
                <c:formatCode>General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</c:numCache>
            </c:numRef>
          </c:xVal>
          <c:yVal>
            <c:numRef>
              <c:f>Sheet1!$C$6:$C$15</c:f>
              <c:numCache>
                <c:formatCode>General</c:formatCode>
                <c:ptCount val="10"/>
                <c:pt idx="0">
                  <c:v>0</c:v>
                </c:pt>
                <c:pt idx="1">
                  <c:v>0.10795641120593141</c:v>
                </c:pt>
                <c:pt idx="2">
                  <c:v>0.21591282241186283</c:v>
                </c:pt>
                <c:pt idx="3">
                  <c:v>0.29333610721611664</c:v>
                </c:pt>
                <c:pt idx="4">
                  <c:v>0.30651260521684054</c:v>
                </c:pt>
                <c:pt idx="5">
                  <c:v>0.22385367213537594</c:v>
                </c:pt>
                <c:pt idx="6">
                  <c:v>2.3853672135376425E-2</c:v>
                </c:pt>
                <c:pt idx="7">
                  <c:v>-0.29235446338544008</c:v>
                </c:pt>
                <c:pt idx="8">
                  <c:v>-0.67903303312986729</c:v>
                </c:pt>
                <c:pt idx="9">
                  <c:v>-0.99988544747936869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A4-4A6C-AB82-18C1AFAEF8C8}"/>
            </c:ext>
          </c:extLst>
        </c:ser>
        <c:ser>
          <c:idx val="1"/>
          <c:order val="1"/>
          <c:tx>
            <c:v>CD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Sheet1!$A$25:$A$34</c:f>
              <c:numCache>
                <c:formatCode>General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</c:numCache>
            </c:numRef>
          </c:xVal>
          <c:yVal>
            <c:numRef>
              <c:f>Sheet1!$M$25:$M$34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A4-4A6C-AB82-18C1AFAEF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523152"/>
        <c:axId val="541521840"/>
      </c:scatterChart>
      <c:valAx>
        <c:axId val="54152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521840"/>
        <c:crosses val="autoZero"/>
        <c:crossBetween val="midCat"/>
      </c:valAx>
      <c:valAx>
        <c:axId val="54152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523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327025</xdr:colOff>
      <xdr:row>1</xdr:row>
      <xdr:rowOff>6350</xdr:rowOff>
    </xdr:from>
    <xdr:to>
      <xdr:col>18</xdr:col>
      <xdr:colOff>22225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D89D0C-DCDB-488C-B6F3-42CBCBD78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0</xdr:colOff>
      <xdr:row>14</xdr:row>
      <xdr:rowOff>0</xdr:rowOff>
    </xdr:from>
    <xdr:ext cx="1886222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A59AB57-04CC-E845-8FB5-7A7BDC57868A}"/>
            </a:ext>
          </a:extLst>
        </xdr:cNvPr>
        <xdr:cNvSpPr/>
      </xdr:nvSpPr>
      <xdr:spPr>
        <a:xfrm>
          <a:off x="4038600" y="2667000"/>
          <a:ext cx="1886222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10/10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ganes/Desktop/matrix_v23(1)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x"/>
      <sheetName val="WorkArea"/>
      <sheetName val="CommandBarMenu"/>
      <sheetName val="Functions"/>
      <sheetName val="matrix_v23(1)"/>
    </sheetNames>
    <definedNames>
      <definedName name="SysLin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D7277-983A-4EEB-A7CF-017301514377}">
  <sheetPr codeName="Sheet1"/>
  <dimension ref="A1:M34"/>
  <sheetViews>
    <sheetView tabSelected="1" topLeftCell="A6" workbookViewId="0">
      <selection activeCell="G15" sqref="G15"/>
    </sheetView>
  </sheetViews>
  <sheetFormatPr baseColWidth="10" defaultColWidth="8.83203125" defaultRowHeight="15"/>
  <sheetData>
    <row r="1" spans="1:3">
      <c r="A1" t="s">
        <v>0</v>
      </c>
      <c r="B1">
        <v>0.1</v>
      </c>
    </row>
    <row r="2" spans="1:3">
      <c r="A2" t="s">
        <v>1</v>
      </c>
      <c r="B2">
        <v>-2</v>
      </c>
    </row>
    <row r="3" spans="1:3">
      <c r="A3" t="s">
        <v>2</v>
      </c>
      <c r="B3">
        <v>30</v>
      </c>
    </row>
    <row r="4" spans="1:3">
      <c r="A4" t="s">
        <v>8</v>
      </c>
    </row>
    <row r="5" spans="1:3">
      <c r="A5" t="s">
        <v>3</v>
      </c>
      <c r="B5" t="s">
        <v>4</v>
      </c>
      <c r="C5" t="s">
        <v>5</v>
      </c>
    </row>
    <row r="6" spans="1:3">
      <c r="A6">
        <v>0</v>
      </c>
      <c r="B6">
        <v>1.079564112059314</v>
      </c>
      <c r="C6">
        <v>0</v>
      </c>
    </row>
    <row r="7" spans="1:3">
      <c r="A7">
        <f>A6+$B$1</f>
        <v>0.1</v>
      </c>
      <c r="B7">
        <f>B6-(($B$3*C6*$B$1)/(1-A6^2)+($B$2*A6*B6*$B$1)/(1-A6^2))</f>
        <v>1.079564112059314</v>
      </c>
      <c r="C7">
        <f>C6+B6*$B$1</f>
        <v>0.10795641120593141</v>
      </c>
    </row>
    <row r="8" spans="1:3">
      <c r="A8">
        <f t="shared" ref="A8:A14" si="0">A7+$B$1</f>
        <v>0.2</v>
      </c>
      <c r="B8">
        <f t="shared" ref="B8:B15" si="1">B7-(($B$3*C7*$B$1)/(1-A7^2)+($B$2*A7*B7*$B$1)/(1-A7^2))</f>
        <v>0.77423284804253822</v>
      </c>
      <c r="C8">
        <f t="shared" ref="C8:C15" si="2">C7+B7*$B$1</f>
        <v>0.21591282241186283</v>
      </c>
    </row>
    <row r="9" spans="1:3">
      <c r="A9">
        <f t="shared" si="0"/>
        <v>0.30000000000000004</v>
      </c>
      <c r="B9">
        <f t="shared" si="1"/>
        <v>0.13176498000723924</v>
      </c>
      <c r="C9">
        <f t="shared" si="2"/>
        <v>0.29333610721611664</v>
      </c>
    </row>
    <row r="10" spans="1:3">
      <c r="A10">
        <f t="shared" si="0"/>
        <v>0.4</v>
      </c>
      <c r="B10">
        <f t="shared" si="1"/>
        <v>-0.82658933081464603</v>
      </c>
      <c r="C10">
        <f t="shared" si="2"/>
        <v>0.30651260521684054</v>
      </c>
    </row>
    <row r="11" spans="1:3">
      <c r="A11">
        <f t="shared" si="0"/>
        <v>0.5</v>
      </c>
      <c r="B11">
        <f t="shared" si="1"/>
        <v>-1.9999999999999951</v>
      </c>
      <c r="C11">
        <f t="shared" si="2"/>
        <v>0.22385367213537594</v>
      </c>
    </row>
    <row r="12" spans="1:3">
      <c r="A12">
        <f t="shared" si="0"/>
        <v>0.6</v>
      </c>
      <c r="B12">
        <f t="shared" si="1"/>
        <v>-3.1620813552081648</v>
      </c>
      <c r="C12">
        <f t="shared" si="2"/>
        <v>2.3853672135376425E-2</v>
      </c>
    </row>
    <row r="13" spans="1:3">
      <c r="A13">
        <f t="shared" si="0"/>
        <v>0.7</v>
      </c>
      <c r="B13">
        <f t="shared" si="1"/>
        <v>-3.8667856974442727</v>
      </c>
      <c r="C13">
        <f t="shared" si="2"/>
        <v>-0.29235446338544008</v>
      </c>
    </row>
    <row r="14" spans="1:3">
      <c r="A14">
        <f t="shared" si="0"/>
        <v>0.79999999999999993</v>
      </c>
      <c r="B14">
        <f t="shared" si="1"/>
        <v>-3.2085241434950138</v>
      </c>
      <c r="C14">
        <f t="shared" si="2"/>
        <v>-0.67903303312986729</v>
      </c>
    </row>
    <row r="15" spans="1:3">
      <c r="A15">
        <f>A14+$B$1</f>
        <v>0.89999999999999991</v>
      </c>
      <c r="B15">
        <f t="shared" si="1"/>
        <v>1.0240737354783169</v>
      </c>
      <c r="C15">
        <f t="shared" si="2"/>
        <v>-0.99988544747936869</v>
      </c>
    </row>
    <row r="23" spans="1:13">
      <c r="A23" t="s">
        <v>9</v>
      </c>
    </row>
    <row r="24" spans="1:13">
      <c r="A24" t="s">
        <v>3</v>
      </c>
      <c r="B24" s="1" t="s">
        <v>6</v>
      </c>
      <c r="C24" s="1"/>
      <c r="D24" s="1"/>
      <c r="E24" s="1"/>
      <c r="F24" s="1"/>
      <c r="G24" s="1"/>
      <c r="H24" s="1"/>
      <c r="I24" s="1"/>
      <c r="J24" s="1"/>
      <c r="K24" s="1"/>
      <c r="L24" t="s">
        <v>7</v>
      </c>
      <c r="M24" t="s">
        <v>5</v>
      </c>
    </row>
    <row r="25" spans="1:13">
      <c r="A25">
        <v>0</v>
      </c>
      <c r="M25">
        <v>0</v>
      </c>
    </row>
    <row r="26" spans="1:13">
      <c r="A26">
        <f>A25+$B$1</f>
        <v>0.1</v>
      </c>
      <c r="B26">
        <f>(-2/$B$1^2)+$B$3/(1-$A26^2)</f>
        <v>-169.69696969696966</v>
      </c>
      <c r="C26">
        <f>1/$B$1^2+($B$2*$A26)/((1-$A26^2)*2*$B$1)</f>
        <v>98.989898989898975</v>
      </c>
      <c r="L26">
        <v>0</v>
      </c>
      <c r="M26" t="e">
        <f t="array" aca="1" ref="M26:M34" ca="1">[1]!SysLin(B26:J34,L26:L34)</f>
        <v>#NAME?</v>
      </c>
    </row>
    <row r="27" spans="1:13">
      <c r="A27">
        <f t="shared" ref="A27:A33" si="3">A26+$B$1</f>
        <v>0.2</v>
      </c>
      <c r="B27">
        <f>1/$B$1^2-($B$2*$A27)/((1-$A27^2)*2*$B$1)</f>
        <v>102.08333333333331</v>
      </c>
      <c r="C27">
        <f>(-2/$B$1^2)+$B$3/(1-$A27^2)</f>
        <v>-168.74999999999997</v>
      </c>
      <c r="D27">
        <f>1/$B$1^2+($B$2*$A27)/((1-$A27^2)*2*$B$1)</f>
        <v>97.916666666666657</v>
      </c>
      <c r="L27">
        <v>0</v>
      </c>
      <c r="M27" t="e">
        <f ca="1"/>
        <v>#NAME?</v>
      </c>
    </row>
    <row r="28" spans="1:13">
      <c r="A28">
        <f t="shared" si="3"/>
        <v>0.30000000000000004</v>
      </c>
      <c r="C28">
        <f>1/$B$1^2-($B$2*$A28)/((1-$A28^2)*2*$B$1)</f>
        <v>103.29670329670328</v>
      </c>
      <c r="D28">
        <f>(-2/$B$1^2)+$B$3/(1-$A28^2)</f>
        <v>-167.03296703296701</v>
      </c>
      <c r="E28">
        <f>1/$B$1^2+($B$2*$A28)/((1-$A28^2)*2*$B$1)</f>
        <v>96.703296703296687</v>
      </c>
      <c r="L28">
        <v>0</v>
      </c>
      <c r="M28" t="e">
        <f ca="1"/>
        <v>#NAME?</v>
      </c>
    </row>
    <row r="29" spans="1:13">
      <c r="A29">
        <f t="shared" si="3"/>
        <v>0.4</v>
      </c>
      <c r="D29">
        <f>1/$B$1^2-($B$2*$A29)/((1-$A29^2)*2*$B$1)</f>
        <v>104.76190476190474</v>
      </c>
      <c r="E29">
        <f>(-2/$B$1^2)+$B$3/(1-$A29^2)</f>
        <v>-164.28571428571425</v>
      </c>
      <c r="F29">
        <f>1/$B$1^2+($B$2*$A29)/((1-$A29^2)*2*$B$1)</f>
        <v>95.238095238095227</v>
      </c>
      <c r="L29">
        <v>0</v>
      </c>
      <c r="M29" t="e">
        <f ca="1"/>
        <v>#NAME?</v>
      </c>
    </row>
    <row r="30" spans="1:13">
      <c r="A30">
        <f t="shared" si="3"/>
        <v>0.5</v>
      </c>
      <c r="E30">
        <v>-1</v>
      </c>
      <c r="G30">
        <v>1</v>
      </c>
      <c r="L30">
        <f>-4*$B$1</f>
        <v>-0.4</v>
      </c>
      <c r="M30" t="e">
        <f ca="1"/>
        <v>#NAME?</v>
      </c>
    </row>
    <row r="31" spans="1:13">
      <c r="A31">
        <f t="shared" si="3"/>
        <v>0.6</v>
      </c>
      <c r="F31">
        <f>1/$B$1^2-($B$2*$A31)/((1-$A31^2)*2*$B$1)</f>
        <v>109.37499999999999</v>
      </c>
      <c r="G31">
        <f>(-2/$B$1^2)+$B$3/(1-$A31^2)</f>
        <v>-153.12499999999997</v>
      </c>
      <c r="H31">
        <f>1/$B$1^2+($B$2*$A31)/((1-$A31^2)*2*$B$1)</f>
        <v>90.624999999999986</v>
      </c>
      <c r="L31">
        <v>0</v>
      </c>
      <c r="M31" t="e">
        <f ca="1"/>
        <v>#NAME?</v>
      </c>
    </row>
    <row r="32" spans="1:13">
      <c r="A32">
        <f t="shared" si="3"/>
        <v>0.7</v>
      </c>
      <c r="G32">
        <f>1/$B$1^2-($B$2*$A32)/((1-$A32^2)*2*$B$1)</f>
        <v>113.72549019607841</v>
      </c>
      <c r="H32">
        <f>(-2/$B$1^2)+$B$3/(1-$A32^2)</f>
        <v>-141.17647058823528</v>
      </c>
      <c r="I32">
        <f>1/$B$1^2+($B$2*$A32)/((1-$A32^2)*2*$B$1)</f>
        <v>86.274509803921561</v>
      </c>
      <c r="L32">
        <v>0</v>
      </c>
      <c r="M32" t="e">
        <f ca="1"/>
        <v>#NAME?</v>
      </c>
    </row>
    <row r="33" spans="1:13">
      <c r="A33">
        <f t="shared" si="3"/>
        <v>0.79999999999999993</v>
      </c>
      <c r="H33">
        <f>1/$B$1^2-($B$2*$A33)/((1-$A33^2)*2*$B$1)</f>
        <v>122.2222222222222</v>
      </c>
      <c r="I33">
        <f>(-2/$B$1^2)+$B$3/(1-$A33^2)</f>
        <v>-116.66666666666666</v>
      </c>
      <c r="J33">
        <f>1/$B$1^2+($B$2*$A33)/((1-$A33^2)*2*$B$1)</f>
        <v>77.777777777777771</v>
      </c>
      <c r="L33">
        <v>0</v>
      </c>
      <c r="M33" t="e">
        <f ca="1"/>
        <v>#NAME?</v>
      </c>
    </row>
    <row r="34" spans="1:13">
      <c r="A34">
        <f>A33+$B$1</f>
        <v>0.89999999999999991</v>
      </c>
      <c r="H34">
        <f>1/$B$1^2-($B$2*$A34)/((1-$A34^2)*2*$B$1)</f>
        <v>147.3684210526315</v>
      </c>
      <c r="I34">
        <f>(-2/$B$1^2)+$B$3/(1-$A34^2)</f>
        <v>-42.105263157894854</v>
      </c>
      <c r="J34">
        <f>1/$B$1^2+($B$2*$A34)/((1-$A34^2)*2*$B$1)</f>
        <v>52.631578947368453</v>
      </c>
      <c r="L34">
        <v>0</v>
      </c>
      <c r="M34" t="e">
        <f ca="1"/>
        <v>#NAME?</v>
      </c>
    </row>
  </sheetData>
  <mergeCells count="1">
    <mergeCell ref="B24:K2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</dc:creator>
  <cp:lastModifiedBy>Zhen Luo</cp:lastModifiedBy>
  <dcterms:created xsi:type="dcterms:W3CDTF">2019-11-08T14:09:41Z</dcterms:created>
  <dcterms:modified xsi:type="dcterms:W3CDTF">2020-05-13T01:50:46Z</dcterms:modified>
</cp:coreProperties>
</file>