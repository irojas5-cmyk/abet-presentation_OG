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bi\Downloads\"/>
    </mc:Choice>
  </mc:AlternateContent>
  <xr:revisionPtr revIDLastSave="0" documentId="13_ncr:1_{B0F6FA3D-C814-4D73-8BE3-9345D3D781F0}" xr6:coauthVersionLast="45" xr6:coauthVersionMax="45" xr10:uidLastSave="{00000000-0000-0000-0000-000000000000}"/>
  <bookViews>
    <workbookView xWindow="-98" yWindow="-98" windowWidth="22695" windowHeight="14595" activeTab="3" xr2:uid="{D3477FB8-77D0-4246-A778-A3B30ED1F429}"/>
  </bookViews>
  <sheets>
    <sheet name="Sheet1" sheetId="1" r:id="rId1"/>
    <sheet name="Sheet2" sheetId="2" r:id="rId2"/>
    <sheet name="Sheet5" sheetId="5" r:id="rId3"/>
    <sheet name="CHE 205 HW 1" sheetId="3" r:id="rId4"/>
  </sheets>
  <definedNames>
    <definedName name="a">Sheet1!$J$2:$J$7</definedName>
    <definedName name="solver_adj" localSheetId="3" hidden="1">'CHE 205 HW 1'!$C$151,'CHE 205 HW 1'!$C$152</definedName>
    <definedName name="solver_adj" localSheetId="1" hidden="1">Sheet2!$M$12:$M$13</definedName>
    <definedName name="solver_adj" localSheetId="2" hidden="1">Sheet5!$B$7</definedName>
    <definedName name="solver_cvg" localSheetId="3" hidden="1">0.0001</definedName>
    <definedName name="solver_cvg" localSheetId="1" hidden="1">0.0001</definedName>
    <definedName name="solver_cvg" localSheetId="2" hidden="1">0.0001</definedName>
    <definedName name="solver_drv" localSheetId="3" hidden="1">1</definedName>
    <definedName name="solver_drv" localSheetId="1" hidden="1">1</definedName>
    <definedName name="solver_drv" localSheetId="2" hidden="1">1</definedName>
    <definedName name="solver_eng" localSheetId="3" hidden="1">1</definedName>
    <definedName name="solver_eng" localSheetId="1" hidden="1">1</definedName>
    <definedName name="solver_eng" localSheetId="2" hidden="1">1</definedName>
    <definedName name="solver_est" localSheetId="3" hidden="1">1</definedName>
    <definedName name="solver_est" localSheetId="1" hidden="1">1</definedName>
    <definedName name="solver_est" localSheetId="2" hidden="1">1</definedName>
    <definedName name="solver_itr" localSheetId="3" hidden="1">2147483647</definedName>
    <definedName name="solver_itr" localSheetId="1" hidden="1">2147483647</definedName>
    <definedName name="solver_itr" localSheetId="2" hidden="1">2147483647</definedName>
    <definedName name="solver_lhs1" localSheetId="3" hidden="1">'CHE 205 HW 1'!$A$155</definedName>
    <definedName name="solver_lhs1" localSheetId="1" hidden="1">Sheet2!$M$15</definedName>
    <definedName name="solver_lhs2" localSheetId="3" hidden="1">'CHE 205 HW 1'!$A$158</definedName>
    <definedName name="solver_lhs3" localSheetId="3" hidden="1">'CHE 205 HW 1'!$C$151</definedName>
    <definedName name="solver_lhs4" localSheetId="3" hidden="1">'CHE 205 HW 1'!$C$152</definedName>
    <definedName name="solver_lhs5" localSheetId="3" hidden="1">'CHE 205 HW 1'!$E$127</definedName>
    <definedName name="solver_mip" localSheetId="3" hidden="1">2147483647</definedName>
    <definedName name="solver_mip" localSheetId="1" hidden="1">2147483647</definedName>
    <definedName name="solver_mip" localSheetId="2" hidden="1">2147483647</definedName>
    <definedName name="solver_mni" localSheetId="3" hidden="1">30</definedName>
    <definedName name="solver_mni" localSheetId="1" hidden="1">30</definedName>
    <definedName name="solver_mni" localSheetId="2" hidden="1">30</definedName>
    <definedName name="solver_mrt" localSheetId="3" hidden="1">0.075</definedName>
    <definedName name="solver_mrt" localSheetId="1" hidden="1">0.075</definedName>
    <definedName name="solver_mrt" localSheetId="2" hidden="1">0.075</definedName>
    <definedName name="solver_msl" localSheetId="3" hidden="1">2</definedName>
    <definedName name="solver_msl" localSheetId="1" hidden="1">2</definedName>
    <definedName name="solver_msl" localSheetId="2" hidden="1">2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od" localSheetId="3" hidden="1">2147483647</definedName>
    <definedName name="solver_nod" localSheetId="1" hidden="1">2147483647</definedName>
    <definedName name="solver_nod" localSheetId="2" hidden="1">2147483647</definedName>
    <definedName name="solver_num" localSheetId="3" hidden="1">4</definedName>
    <definedName name="solver_num" localSheetId="1" hidden="1">1</definedName>
    <definedName name="solver_num" localSheetId="2" hidden="1">0</definedName>
    <definedName name="solver_nwt" localSheetId="3" hidden="1">1</definedName>
    <definedName name="solver_nwt" localSheetId="1" hidden="1">1</definedName>
    <definedName name="solver_nwt" localSheetId="2" hidden="1">1</definedName>
    <definedName name="solver_opt" localSheetId="3" hidden="1">'CHE 205 HW 1'!$A$155</definedName>
    <definedName name="solver_opt" localSheetId="1" hidden="1">Sheet2!$M$18</definedName>
    <definedName name="solver_opt" localSheetId="2" hidden="1">Sheet5!$B$11</definedName>
    <definedName name="solver_pre" localSheetId="3" hidden="1">0.000001</definedName>
    <definedName name="solver_pre" localSheetId="1" hidden="1">0.000001</definedName>
    <definedName name="solver_pre" localSheetId="2" hidden="1">0.000001</definedName>
    <definedName name="solver_rbv" localSheetId="3" hidden="1">1</definedName>
    <definedName name="solver_rbv" localSheetId="1" hidden="1">1</definedName>
    <definedName name="solver_rbv" localSheetId="2" hidden="1">1</definedName>
    <definedName name="solver_rel1" localSheetId="3" hidden="1">1</definedName>
    <definedName name="solver_rel1" localSheetId="1" hidden="1">2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hs1" localSheetId="3" hidden="1">'CHE 205 HW 1'!$E$146</definedName>
    <definedName name="solver_rhs1" localSheetId="1" hidden="1">1</definedName>
    <definedName name="solver_rhs2" localSheetId="3" hidden="1">'CHE 205 HW 1'!$E$149</definedName>
    <definedName name="solver_rhs3" localSheetId="3" hidden="1">'CHE 205 HW 1'!$A$147</definedName>
    <definedName name="solver_rhs4" localSheetId="3" hidden="1">'CHE 205 HW 1'!$A$148</definedName>
    <definedName name="solver_rhs5" localSheetId="3" hidden="1">'CHE 205 HW 1'!$F$123</definedName>
    <definedName name="solver_rlx" localSheetId="3" hidden="1">2</definedName>
    <definedName name="solver_rlx" localSheetId="1" hidden="1">2</definedName>
    <definedName name="solver_rlx" localSheetId="2" hidden="1">2</definedName>
    <definedName name="solver_rsd" localSheetId="3" hidden="1">0</definedName>
    <definedName name="solver_rsd" localSheetId="1" hidden="1">0</definedName>
    <definedName name="solver_rsd" localSheetId="2" hidden="1">0</definedName>
    <definedName name="solver_scl" localSheetId="3" hidden="1">1</definedName>
    <definedName name="solver_scl" localSheetId="1" hidden="1">1</definedName>
    <definedName name="solver_scl" localSheetId="2" hidden="1">1</definedName>
    <definedName name="solver_sho" localSheetId="3" hidden="1">2</definedName>
    <definedName name="solver_sho" localSheetId="1" hidden="1">2</definedName>
    <definedName name="solver_sho" localSheetId="2" hidden="1">2</definedName>
    <definedName name="solver_ssz" localSheetId="3" hidden="1">100</definedName>
    <definedName name="solver_ssz" localSheetId="1" hidden="1">100</definedName>
    <definedName name="solver_ssz" localSheetId="2" hidden="1">100</definedName>
    <definedName name="solver_tim" localSheetId="3" hidden="1">2147483647</definedName>
    <definedName name="solver_tim" localSheetId="1" hidden="1">2147483647</definedName>
    <definedName name="solver_tim" localSheetId="2" hidden="1">2147483647</definedName>
    <definedName name="solver_tol" localSheetId="3" hidden="1">0.01</definedName>
    <definedName name="solver_tol" localSheetId="1" hidden="1">0.01</definedName>
    <definedName name="solver_tol" localSheetId="2" hidden="1">0.01</definedName>
    <definedName name="solver_typ" localSheetId="3" hidden="1">1</definedName>
    <definedName name="solver_typ" localSheetId="1" hidden="1">2</definedName>
    <definedName name="solver_typ" localSheetId="2" hidden="1">3</definedName>
    <definedName name="solver_val" localSheetId="3" hidden="1">0</definedName>
    <definedName name="solver_val" localSheetId="1" hidden="1">0</definedName>
    <definedName name="solver_val" localSheetId="2" hidden="1">6150</definedName>
    <definedName name="solver_ver" localSheetId="3" hidden="1">3</definedName>
    <definedName name="solver_ver" localSheetId="1" hidden="1">3</definedName>
    <definedName name="solver_ver" localSheetId="2" hidden="1">3</definedName>
    <definedName name="x">Sheet1!$B$2:$B$5</definedName>
    <definedName name="y">Sheet1!$F$2:$F$5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0" i="3" l="1"/>
  <c r="E29" i="3"/>
  <c r="E28" i="3"/>
  <c r="E27" i="3"/>
  <c r="E26" i="3"/>
  <c r="E25" i="3"/>
  <c r="B25" i="3"/>
  <c r="B26" i="3"/>
  <c r="B27" i="3"/>
  <c r="B28" i="3"/>
  <c r="B29" i="3"/>
  <c r="B30" i="3"/>
  <c r="B31" i="3"/>
  <c r="B32" i="3"/>
  <c r="B33" i="3"/>
  <c r="B34" i="3"/>
  <c r="B11" i="5"/>
  <c r="B3" i="5"/>
  <c r="B10" i="5"/>
  <c r="B2" i="5"/>
  <c r="B6" i="5"/>
  <c r="B161" i="3"/>
  <c r="B160" i="3"/>
  <c r="A158" i="3"/>
  <c r="A155" i="3"/>
  <c r="E133" i="3"/>
  <c r="E129" i="3"/>
  <c r="E128" i="3"/>
  <c r="E125" i="3"/>
  <c r="E124" i="3"/>
  <c r="B133" i="3"/>
  <c r="B130" i="3"/>
  <c r="B126" i="3"/>
  <c r="E97" i="3"/>
  <c r="E96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94" i="3"/>
  <c r="E94" i="3" s="1"/>
  <c r="F72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E46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E2" i="3"/>
  <c r="B2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" i="3"/>
  <c r="M17" i="2"/>
  <c r="M16" i="2"/>
  <c r="M15" i="2"/>
  <c r="F13" i="2"/>
  <c r="D13" i="2"/>
  <c r="D6" i="2"/>
  <c r="J8" i="1"/>
  <c r="B14" i="1"/>
  <c r="B13" i="1"/>
  <c r="B12" i="1"/>
  <c r="B11" i="1"/>
  <c r="B10" i="1"/>
  <c r="D3" i="1"/>
  <c r="D4" i="1"/>
  <c r="D5" i="1"/>
  <c r="D7" i="1" s="1"/>
  <c r="D2" i="1"/>
  <c r="B9" i="1"/>
  <c r="B8" i="1"/>
  <c r="B7" i="1"/>
  <c r="E93" i="3" l="1"/>
  <c r="B163" i="3"/>
  <c r="M18" i="2"/>
</calcChain>
</file>

<file path=xl/sharedStrings.xml><?xml version="1.0" encoding="utf-8"?>
<sst xmlns="http://schemas.openxmlformats.org/spreadsheetml/2006/main" count="111" uniqueCount="83">
  <si>
    <t>sum</t>
  </si>
  <si>
    <t>min</t>
  </si>
  <si>
    <t>sumsq</t>
  </si>
  <si>
    <t>sq</t>
  </si>
  <si>
    <t>sumif</t>
  </si>
  <si>
    <t>countif</t>
  </si>
  <si>
    <t>sumproduct (product first, then sum)</t>
  </si>
  <si>
    <t>count (counts only the cells that have a number)</t>
  </si>
  <si>
    <t>counta (counts cells that have number/text)</t>
  </si>
  <si>
    <t>Quiz1</t>
  </si>
  <si>
    <t>GOAL SEEK</t>
  </si>
  <si>
    <t>to solve nonlinear equations</t>
  </si>
  <si>
    <t>xsin(x)-1=0</t>
  </si>
  <si>
    <t>x</t>
  </si>
  <si>
    <t>f(x)</t>
  </si>
  <si>
    <t>Data-WhatifAnalysis-Goal Seek</t>
  </si>
  <si>
    <t>Example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</si>
  <si>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</si>
  <si>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e</t>
    </r>
    <r>
      <rPr>
        <vertAlign val="superscript"/>
        <sz val="11"/>
        <color theme="1"/>
        <rFont val="Calibri"/>
        <family val="2"/>
        <scheme val="minor"/>
      </rPr>
      <t>x/4</t>
    </r>
    <r>
      <rPr>
        <sz val="11"/>
        <color theme="1"/>
        <rFont val="Calibri"/>
        <family val="2"/>
        <scheme val="minor"/>
      </rPr>
      <t>(2-x)-1=0</t>
    </r>
  </si>
  <si>
    <t>function</t>
  </si>
  <si>
    <r>
      <t>e</t>
    </r>
    <r>
      <rPr>
        <vertAlign val="superscript"/>
        <sz val="11"/>
        <color theme="1"/>
        <rFont val="Calibri"/>
        <family val="2"/>
        <scheme val="minor"/>
      </rPr>
      <t>x/4</t>
    </r>
    <r>
      <rPr>
        <sz val="11"/>
        <color theme="1"/>
        <rFont val="Calibri"/>
        <family val="2"/>
        <scheme val="minor"/>
      </rPr>
      <t>(2-x)=1</t>
    </r>
  </si>
  <si>
    <t>SOLVER</t>
  </si>
  <si>
    <t>more features</t>
  </si>
  <si>
    <t>minimum or maximum</t>
  </si>
  <si>
    <t>constraints</t>
  </si>
  <si>
    <t>adjust more than 1 cell</t>
  </si>
  <si>
    <t>remembers</t>
  </si>
  <si>
    <t>Optimization problem</t>
  </si>
  <si>
    <t>minimize the total surface area of conical bin, including the top</t>
  </si>
  <si>
    <t>Vol of bin is 1 m3</t>
  </si>
  <si>
    <t>Volume= 1/3*pi*r^2*h</t>
  </si>
  <si>
    <t>Atotal=Aside + Atop</t>
  </si>
  <si>
    <t>ASide=pi*r*sqrt(r^2+h^2)</t>
  </si>
  <si>
    <t>Atop=pi*r^2</t>
  </si>
  <si>
    <t>radius</t>
  </si>
  <si>
    <t>m</t>
  </si>
  <si>
    <t>height</t>
  </si>
  <si>
    <t>volume</t>
  </si>
  <si>
    <t>Aside</t>
  </si>
  <si>
    <t>Atop</t>
  </si>
  <si>
    <t>Atot</t>
  </si>
  <si>
    <t>root of f(x)</t>
  </si>
  <si>
    <t>x guess</t>
  </si>
  <si>
    <t>b.</t>
  </si>
  <si>
    <t>c.</t>
  </si>
  <si>
    <t>roots of f(x)</t>
  </si>
  <si>
    <t>d.</t>
  </si>
  <si>
    <t>max</t>
  </si>
  <si>
    <t>min (+x)</t>
  </si>
  <si>
    <t>max (+x)</t>
  </si>
  <si>
    <t>Brewery</t>
  </si>
  <si>
    <t>lbs corn</t>
  </si>
  <si>
    <t>ozs hops</t>
  </si>
  <si>
    <t>lbs malt</t>
  </si>
  <si>
    <t>Ybarrel = 1 oz hops, 25 lbs malt</t>
  </si>
  <si>
    <t>Obarrel = 25 lbs corn, 2 ozs hops, 8 lbs malt</t>
  </si>
  <si>
    <t>total profit</t>
  </si>
  <si>
    <t>Yhops</t>
  </si>
  <si>
    <t>Ohops</t>
  </si>
  <si>
    <t>total hops</t>
  </si>
  <si>
    <t>Ymalt</t>
  </si>
  <si>
    <t>Omalt</t>
  </si>
  <si>
    <t>total malt</t>
  </si>
  <si>
    <t>Ocorn</t>
  </si>
  <si>
    <t>total corn</t>
  </si>
  <si>
    <t># Ybarrels</t>
  </si>
  <si>
    <t># Obarrels</t>
  </si>
  <si>
    <t>Max Ybarrels produced</t>
  </si>
  <si>
    <t>Max Obarrels produced</t>
  </si>
  <si>
    <t>met.tons.reg</t>
  </si>
  <si>
    <t>met.tons.prem</t>
  </si>
  <si>
    <t>Max met.tons</t>
  </si>
  <si>
    <t>Max work hours</t>
  </si>
  <si>
    <t>Can store:</t>
  </si>
  <si>
    <t>Summation</t>
  </si>
  <si>
    <t>Work hours</t>
  </si>
  <si>
    <t>reg profit</t>
  </si>
  <si>
    <t>prem profit</t>
  </si>
  <si>
    <t>kg/day</t>
  </si>
  <si>
    <t>benzene</t>
  </si>
  <si>
    <t>glucose</t>
  </si>
  <si>
    <t>$/kg</t>
  </si>
  <si>
    <t>$/day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</si>
</sst>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</c:f>
              <c:numCache>
                <c:formatCode>General</c:formatCode>
                <c:ptCount val="4"/>
                <c:pt idx="0">
                  <c:v>5</c:v>
                </c:pt>
                <c:pt idx="1">
                  <c:v>11</c:v>
                </c:pt>
                <c:pt idx="2">
                  <c:v>23</c:v>
                </c:pt>
                <c:pt idx="3">
                  <c:v>13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25</c:v>
                </c:pt>
                <c:pt idx="1">
                  <c:v>121</c:v>
                </c:pt>
                <c:pt idx="2">
                  <c:v>529</c:v>
                </c:pt>
                <c:pt idx="3">
                  <c:v>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8-47AD-909A-9962580B3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421576"/>
        <c:axId val="535425512"/>
      </c:scatterChart>
      <c:valAx>
        <c:axId val="53542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25512"/>
        <c:crosses val="autoZero"/>
        <c:crossBetween val="midCat"/>
      </c:valAx>
      <c:valAx>
        <c:axId val="53542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21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'CHE 205 HW 1'!$B$1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 205 HW 1'!$A$2:$A$21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'CHE 205 HW 1'!$B$2:$B$21</c:f>
              <c:numCache>
                <c:formatCode>General</c:formatCode>
                <c:ptCount val="20"/>
                <c:pt idx="0">
                  <c:v>-2</c:v>
                </c:pt>
                <c:pt idx="1">
                  <c:v>-1.2599210498948732</c:v>
                </c:pt>
                <c:pt idx="2">
                  <c:v>-0.4422495703074083</c:v>
                </c:pt>
                <c:pt idx="3">
                  <c:v>0.41259894803180064</c:v>
                </c:pt>
                <c:pt idx="4">
                  <c:v>1.2900240533233029</c:v>
                </c:pt>
                <c:pt idx="5">
                  <c:v>2.1828794071678601</c:v>
                </c:pt>
                <c:pt idx="6">
                  <c:v>3.0870688172276113</c:v>
                </c:pt>
                <c:pt idx="7">
                  <c:v>4</c:v>
                </c:pt>
                <c:pt idx="8">
                  <c:v>4.9199161769480959</c:v>
                </c:pt>
                <c:pt idx="9">
                  <c:v>5.8455653099681157</c:v>
                </c:pt>
                <c:pt idx="10">
                  <c:v>6.7760199094306834</c:v>
                </c:pt>
                <c:pt idx="11">
                  <c:v>7.7105715148933367</c:v>
                </c:pt>
                <c:pt idx="12">
                  <c:v>8.6486653122792418</c:v>
                </c:pt>
                <c:pt idx="13">
                  <c:v>9.5898577358247703</c:v>
                </c:pt>
                <c:pt idx="14">
                  <c:v>10.533787925669529</c:v>
                </c:pt>
                <c:pt idx="15">
                  <c:v>11.480157900210255</c:v>
                </c:pt>
                <c:pt idx="16">
                  <c:v>12.428718409341766</c:v>
                </c:pt>
                <c:pt idx="17">
                  <c:v>13.379258605791104</c:v>
                </c:pt>
                <c:pt idx="18">
                  <c:v>14.331598351278057</c:v>
                </c:pt>
                <c:pt idx="19">
                  <c:v>15.285582383405092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2F-4A21-9EFF-9363008F7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546760"/>
        <c:axId val="428548728"/>
      </c:scatterChart>
      <c:valAx>
        <c:axId val="42854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48728"/>
        <c:crosses val="autoZero"/>
        <c:crossBetween val="midCat"/>
      </c:valAx>
      <c:valAx>
        <c:axId val="42854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46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'CHE 205 HW 1'!$B$45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 205 HW 1'!$A$46:$A$60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'CHE 205 HW 1'!$B$46:$B$60</c:f>
              <c:numCache>
                <c:formatCode>General</c:formatCode>
                <c:ptCount val="15"/>
                <c:pt idx="0">
                  <c:v>-0.71828182845904509</c:v>
                </c:pt>
                <c:pt idx="1">
                  <c:v>9.6109439010693496</c:v>
                </c:pt>
                <c:pt idx="2">
                  <c:v>61.914463076812332</c:v>
                </c:pt>
                <c:pt idx="3">
                  <c:v>202.40184996685576</c:v>
                </c:pt>
                <c:pt idx="4">
                  <c:v>477.58684089742337</c:v>
                </c:pt>
                <c:pt idx="5">
                  <c:v>893.57120650726483</c:v>
                </c:pt>
                <c:pt idx="6">
                  <c:v>1305.3668415715415</c:v>
                </c:pt>
                <c:pt idx="7">
                  <c:v>1116.0420129582717</c:v>
                </c:pt>
                <c:pt idx="8">
                  <c:v>-1541.0839275753842</c:v>
                </c:pt>
                <c:pt idx="9">
                  <c:v>-12025.465794806718</c:v>
                </c:pt>
                <c:pt idx="10">
                  <c:v>-45232.141715197817</c:v>
                </c:pt>
                <c:pt idx="11">
                  <c:v>-142017.79141900392</c:v>
                </c:pt>
                <c:pt idx="12">
                  <c:v>-413851.39200892049</c:v>
                </c:pt>
                <c:pt idx="13">
                  <c:v>-1164187.2841647768</c:v>
                </c:pt>
                <c:pt idx="14">
                  <c:v>-3218391.3724721107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1D-4D86-9CE4-07D5215B4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59248"/>
        <c:axId val="89750720"/>
      </c:scatterChart>
      <c:valAx>
        <c:axId val="8975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0720"/>
        <c:crosses val="autoZero"/>
        <c:crossBetween val="midCat"/>
      </c:valAx>
      <c:valAx>
        <c:axId val="89750720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'CHE 205 HW 1'!$B$71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 205 HW 1'!$A$72:$A$85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'CHE 205 HW 1'!$B$72:$B$85</c:f>
              <c:numCache>
                <c:formatCode>General</c:formatCode>
                <c:ptCount val="14"/>
                <c:pt idx="0">
                  <c:v>1.7182818284590451</c:v>
                </c:pt>
                <c:pt idx="1">
                  <c:v>28.556224395722602</c:v>
                </c:pt>
                <c:pt idx="2">
                  <c:v>179.76983230868902</c:v>
                </c:pt>
                <c:pt idx="3">
                  <c:v>872.57040053030778</c:v>
                </c:pt>
                <c:pt idx="4">
                  <c:v>3709.3289775644148</c:v>
                </c:pt>
                <c:pt idx="5">
                  <c:v>14522.436565738464</c:v>
                </c:pt>
                <c:pt idx="6">
                  <c:v>53734.024762994464</c:v>
                </c:pt>
                <c:pt idx="7">
                  <c:v>190780.31117067061</c:v>
                </c:pt>
                <c:pt idx="8">
                  <c:v>656348.79813360609</c:v>
                </c:pt>
                <c:pt idx="9">
                  <c:v>2202645.5794806718</c:v>
                </c:pt>
                <c:pt idx="10">
                  <c:v>7244770.1475389358</c:v>
                </c:pt>
                <c:pt idx="11">
                  <c:v>23436688.964336563</c:v>
                </c:pt>
                <c:pt idx="12">
                  <c:v>74767862.249507561</c:v>
                </c:pt>
                <c:pt idx="13">
                  <c:v>235710438.69629624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99-4925-9253-B4B506E1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434696"/>
        <c:axId val="535435024"/>
      </c:scatterChart>
      <c:valAx>
        <c:axId val="53543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5024"/>
        <c:crosses val="autoZero"/>
        <c:crossBetween val="midCat"/>
      </c:valAx>
      <c:valAx>
        <c:axId val="5354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4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'CHE 205 HW 1'!$B$24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'CHE 205 HW 1'!$A$25:$A$41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'CHE 205 HW 1'!$B$25:$B$41</c:f>
              <c:numCache>
                <c:formatCode>General</c:formatCode>
                <c:ptCount val="17"/>
                <c:pt idx="0">
                  <c:v>0.55740772465490229</c:v>
                </c:pt>
                <c:pt idx="1">
                  <c:v>-5.3700797265230378</c:v>
                </c:pt>
                <c:pt idx="2">
                  <c:v>-1.4276396292228335</c:v>
                </c:pt>
                <c:pt idx="3">
                  <c:v>3.6312851293983099</c:v>
                </c:pt>
                <c:pt idx="4">
                  <c:v>-17.902575031232928</c:v>
                </c:pt>
                <c:pt idx="5">
                  <c:v>-2.7460371483084947</c:v>
                </c:pt>
                <c:pt idx="6">
                  <c:v>5.1001358790702316</c:v>
                </c:pt>
                <c:pt idx="7">
                  <c:v>-55.397691641763032</c:v>
                </c:pt>
                <c:pt idx="8">
                  <c:v>-5.0708409349762888</c:v>
                </c:pt>
                <c:pt idx="9">
                  <c:v>5.4836082745908659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B0-4384-94ED-BD8C74DE3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534704"/>
        <c:axId val="738536016"/>
      </c:scatterChart>
      <c:valAx>
        <c:axId val="73853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36016"/>
        <c:crosses val="autoZero"/>
        <c:crossBetween val="midCat"/>
      </c:valAx>
      <c:valAx>
        <c:axId val="7385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3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606846</xdr:colOff>
      <xdr:row>8</xdr:row>
      <xdr:rowOff>150167</xdr:rowOff>
    </xdr:from>
    <xdr:to>
      <xdr:col>13</xdr:col>
      <xdr:colOff>647030</xdr:colOff>
      <xdr:row>23</xdr:row>
      <xdr:rowOff>158650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47DDD-F23F-4AB6-8F77-B467F4477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264318</xdr:colOff>
      <xdr:row>4</xdr:row>
      <xdr:rowOff>26194</xdr:rowOff>
    </xdr:from>
    <xdr:to>
      <xdr:col>9</xdr:col>
      <xdr:colOff>302418</xdr:colOff>
      <xdr:row>19</xdr:row>
      <xdr:rowOff>54769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7AB4E0-D61E-4262-8639-1D3C732D0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588168</xdr:colOff>
      <xdr:row>50</xdr:row>
      <xdr:rowOff>54768</xdr:rowOff>
    </xdr:from>
    <xdr:to>
      <xdr:col>9</xdr:col>
      <xdr:colOff>626268</xdr:colOff>
      <xdr:row>65</xdr:row>
      <xdr:rowOff>83343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81DBE-47B8-4346-B489-B94558E23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426244</xdr:colOff>
      <xdr:row>73</xdr:row>
      <xdr:rowOff>111918</xdr:rowOff>
    </xdr:from>
    <xdr:to>
      <xdr:col>9</xdr:col>
      <xdr:colOff>464344</xdr:colOff>
      <xdr:row>88</xdr:row>
      <xdr:rowOff>140493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8CCB55-B162-4FAE-902C-1A0F56730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197642</xdr:colOff>
      <xdr:row>24</xdr:row>
      <xdr:rowOff>35718</xdr:rowOff>
    </xdr:from>
    <xdr:to>
      <xdr:col>12</xdr:col>
      <xdr:colOff>235742</xdr:colOff>
      <xdr:row>39</xdr:row>
      <xdr:rowOff>64293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A53833-335E-4261-95D9-703657FA3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A7AF-7898-4FC9-A22B-CFC745BD826E}">
  <dimension ref="B1:J14"/>
  <sheetViews>
    <sheetView zoomScale="128" workbookViewId="0">
      <selection activeCell="D2" activeCellId="1" sqref="B2:B5 D2:D5"/>
    </sheetView>
  </sheetViews>
  <sheetFormatPr defaultRowHeight="14.25" x14ac:dyDescent="0.45"/>
  <sheetData>
    <row r="1" spans="2:10" x14ac:dyDescent="0.45">
      <c r="D1" t="s">
        <v>3</v>
      </c>
    </row>
    <row r="2" spans="2:10" x14ac:dyDescent="0.45">
      <c r="B2">
        <v>5</v>
      </c>
      <c r="D2">
        <f>B2^2</f>
        <v>25</v>
      </c>
      <c r="F2">
        <v>13</v>
      </c>
      <c r="I2" t="s">
        <v>9</v>
      </c>
      <c r="J2">
        <v>65</v>
      </c>
    </row>
    <row r="3" spans="2:10" x14ac:dyDescent="0.45">
      <c r="B3">
        <v>11</v>
      </c>
      <c r="D3">
        <f t="shared" ref="D3:D5" si="0">B3^2</f>
        <v>121</v>
      </c>
      <c r="F3">
        <v>22</v>
      </c>
      <c r="I3">
        <v>2</v>
      </c>
      <c r="J3">
        <v>70</v>
      </c>
    </row>
    <row r="4" spans="2:10" x14ac:dyDescent="0.45">
      <c r="B4">
        <v>23</v>
      </c>
      <c r="D4">
        <f t="shared" si="0"/>
        <v>529</v>
      </c>
      <c r="F4">
        <v>69</v>
      </c>
      <c r="I4">
        <v>3</v>
      </c>
      <c r="J4">
        <v>68</v>
      </c>
    </row>
    <row r="5" spans="2:10" x14ac:dyDescent="0.45">
      <c r="B5">
        <v>13</v>
      </c>
      <c r="D5">
        <f t="shared" si="0"/>
        <v>169</v>
      </c>
      <c r="F5">
        <v>10</v>
      </c>
      <c r="I5">
        <v>4</v>
      </c>
      <c r="J5">
        <v>84</v>
      </c>
    </row>
    <row r="6" spans="2:10" x14ac:dyDescent="0.45">
      <c r="I6">
        <v>5</v>
      </c>
      <c r="J6">
        <v>91</v>
      </c>
    </row>
    <row r="7" spans="2:10" x14ac:dyDescent="0.45">
      <c r="B7">
        <f>SUM(x)</f>
        <v>52</v>
      </c>
      <c r="C7" t="s">
        <v>0</v>
      </c>
      <c r="D7">
        <f>SUM(D2:D5)</f>
        <v>844</v>
      </c>
      <c r="I7">
        <v>6</v>
      </c>
      <c r="J7">
        <v>40</v>
      </c>
    </row>
    <row r="8" spans="2:10" x14ac:dyDescent="0.45">
      <c r="B8">
        <f>MIN(x)</f>
        <v>5</v>
      </c>
      <c r="C8" t="s">
        <v>1</v>
      </c>
      <c r="J8">
        <f>(SUM(a)-MIN(a))/(COUNT(a)-1)</f>
        <v>75.599999999999994</v>
      </c>
    </row>
    <row r="9" spans="2:10" x14ac:dyDescent="0.45">
      <c r="B9">
        <f>SUMSQ(x)</f>
        <v>844</v>
      </c>
      <c r="C9" t="s">
        <v>2</v>
      </c>
    </row>
    <row r="10" spans="2:10" x14ac:dyDescent="0.45">
      <c r="B10">
        <f>SUMPRODUCT(x,F2:F5)</f>
        <v>2024</v>
      </c>
      <c r="C10" t="s">
        <v>6</v>
      </c>
    </row>
    <row r="11" spans="2:10" x14ac:dyDescent="0.45">
      <c r="B11">
        <f>SUMIF(x,"&gt;10")</f>
        <v>47</v>
      </c>
      <c r="C11" t="s">
        <v>4</v>
      </c>
    </row>
    <row r="12" spans="2:10" x14ac:dyDescent="0.45">
      <c r="B12">
        <f>COUNT(x)</f>
        <v>4</v>
      </c>
      <c r="C12" t="s">
        <v>7</v>
      </c>
    </row>
    <row r="13" spans="2:10" x14ac:dyDescent="0.45">
      <c r="B13">
        <f>COUNTA(x)</f>
        <v>4</v>
      </c>
      <c r="C13" t="s">
        <v>8</v>
      </c>
    </row>
    <row r="14" spans="2:10" x14ac:dyDescent="0.45">
      <c r="B14">
        <f>COUNTIF(y,"&gt;10")</f>
        <v>3</v>
      </c>
      <c r="C14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21EB-1D14-40F7-895B-2BAF7BDE78B6}">
  <dimension ref="A1:N18"/>
  <sheetViews>
    <sheetView zoomScale="97" workbookViewId="0">
      <selection activeCell="M15" sqref="M15"/>
    </sheetView>
  </sheetViews>
  <sheetFormatPr defaultRowHeight="14.25" x14ac:dyDescent="0.45"/>
  <sheetData>
    <row r="1" spans="1:14" x14ac:dyDescent="0.45">
      <c r="A1" t="s">
        <v>10</v>
      </c>
      <c r="C1" t="s">
        <v>15</v>
      </c>
      <c r="I1" t="s">
        <v>21</v>
      </c>
      <c r="L1" t="s">
        <v>27</v>
      </c>
    </row>
    <row r="2" spans="1:14" x14ac:dyDescent="0.45">
      <c r="A2" t="s">
        <v>11</v>
      </c>
      <c r="I2" t="s">
        <v>22</v>
      </c>
      <c r="L2" t="s">
        <v>28</v>
      </c>
    </row>
    <row r="3" spans="1:14" x14ac:dyDescent="0.45">
      <c r="A3" t="s">
        <v>12</v>
      </c>
      <c r="I3" t="s">
        <v>23</v>
      </c>
      <c r="L3" t="s">
        <v>29</v>
      </c>
    </row>
    <row r="4" spans="1:14" x14ac:dyDescent="0.45">
      <c r="I4" t="s">
        <v>24</v>
      </c>
    </row>
    <row r="5" spans="1:14" x14ac:dyDescent="0.45">
      <c r="C5" t="s">
        <v>13</v>
      </c>
      <c r="D5">
        <v>9.3172467186782466</v>
      </c>
      <c r="I5" t="s">
        <v>25</v>
      </c>
    </row>
    <row r="6" spans="1:14" x14ac:dyDescent="0.45">
      <c r="C6" t="s">
        <v>14</v>
      </c>
      <c r="D6">
        <f>D5*SIN(D5)-1</f>
        <v>-3.4585006724707767E-5</v>
      </c>
      <c r="I6" t="s">
        <v>26</v>
      </c>
    </row>
    <row r="7" spans="1:14" x14ac:dyDescent="0.45">
      <c r="L7" t="s">
        <v>30</v>
      </c>
    </row>
    <row r="8" spans="1:14" x14ac:dyDescent="0.45">
      <c r="L8" t="s">
        <v>32</v>
      </c>
    </row>
    <row r="9" spans="1:14" x14ac:dyDescent="0.45">
      <c r="A9" t="s">
        <v>16</v>
      </c>
      <c r="F9" t="s">
        <v>19</v>
      </c>
      <c r="L9" t="s">
        <v>33</v>
      </c>
    </row>
    <row r="10" spans="1:14" ht="15.75" x14ac:dyDescent="0.45">
      <c r="A10" t="s">
        <v>18</v>
      </c>
      <c r="F10" t="s">
        <v>20</v>
      </c>
      <c r="L10" t="s">
        <v>31</v>
      </c>
    </row>
    <row r="11" spans="1:14" ht="15.75" x14ac:dyDescent="0.45">
      <c r="A11" t="s">
        <v>17</v>
      </c>
    </row>
    <row r="12" spans="1:14" x14ac:dyDescent="0.45">
      <c r="C12" t="s">
        <v>13</v>
      </c>
      <c r="D12">
        <v>1.2719017925076639</v>
      </c>
      <c r="F12">
        <v>1.2723901487414067</v>
      </c>
      <c r="L12" t="s">
        <v>34</v>
      </c>
      <c r="M12">
        <v>0.69628205144387079</v>
      </c>
      <c r="N12" t="s">
        <v>35</v>
      </c>
    </row>
    <row r="13" spans="1:14" x14ac:dyDescent="0.45">
      <c r="C13" t="s">
        <v>14</v>
      </c>
      <c r="D13">
        <f>EXP(D12/4)*(2-D12)-1</f>
        <v>6.5632393114256615E-4</v>
      </c>
      <c r="F13">
        <f>EXP(F12/4)*(2-F12)</f>
        <v>1.0001072498942252</v>
      </c>
      <c r="L13" t="s">
        <v>36</v>
      </c>
      <c r="M13">
        <v>1.9697040685523797</v>
      </c>
      <c r="N13" t="s">
        <v>35</v>
      </c>
    </row>
    <row r="15" spans="1:14" x14ac:dyDescent="0.45">
      <c r="L15" t="s">
        <v>37</v>
      </c>
      <c r="M15">
        <f>(1/3)*PI()*M12^2*M13</f>
        <v>1.0000000008173724</v>
      </c>
    </row>
    <row r="16" spans="1:14" x14ac:dyDescent="0.45">
      <c r="L16" t="s">
        <v>38</v>
      </c>
      <c r="M16">
        <f>PI()*M12*SQRT(M12^2+M13^2)</f>
        <v>4.5698763775602282</v>
      </c>
    </row>
    <row r="17" spans="12:13" x14ac:dyDescent="0.45">
      <c r="L17" t="s">
        <v>39</v>
      </c>
      <c r="M17">
        <f>PI()*M12^2</f>
        <v>1.5230714351201733</v>
      </c>
    </row>
    <row r="18" spans="12:13" x14ac:dyDescent="0.45">
      <c r="L18" t="s">
        <v>40</v>
      </c>
      <c r="M18">
        <f>M17+M16</f>
        <v>6.0929478126804018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BEDB-A54E-4C17-9854-2A569C6BEC5B}">
  <dimension ref="A1:B11"/>
  <sheetViews>
    <sheetView workbookViewId="0">
      <selection activeCell="B12" sqref="B12"/>
    </sheetView>
  </sheetViews>
  <sheetFormatPr defaultRowHeight="14.25" x14ac:dyDescent="0.45"/>
  <sheetData>
    <row r="1" spans="1:2" x14ac:dyDescent="0.45">
      <c r="A1" t="s">
        <v>78</v>
      </c>
    </row>
    <row r="2" spans="1:2" x14ac:dyDescent="0.45">
      <c r="A2" t="s">
        <v>79</v>
      </c>
      <c r="B2">
        <f>15000</f>
        <v>15000</v>
      </c>
    </row>
    <row r="3" spans="1:2" x14ac:dyDescent="0.45">
      <c r="A3" t="s">
        <v>80</v>
      </c>
      <c r="B3">
        <f>80850</f>
        <v>80850</v>
      </c>
    </row>
    <row r="5" spans="1:2" x14ac:dyDescent="0.45">
      <c r="A5" t="s">
        <v>81</v>
      </c>
    </row>
    <row r="6" spans="1:2" x14ac:dyDescent="0.45">
      <c r="A6" t="s">
        <v>79</v>
      </c>
      <c r="B6">
        <f>0.41</f>
        <v>0.41</v>
      </c>
    </row>
    <row r="7" spans="1:2" x14ac:dyDescent="0.45">
      <c r="A7" t="s">
        <v>80</v>
      </c>
      <c r="B7">
        <v>7.6066790352504632E-2</v>
      </c>
    </row>
    <row r="9" spans="1:2" x14ac:dyDescent="0.45">
      <c r="A9" t="s">
        <v>82</v>
      </c>
    </row>
    <row r="10" spans="1:2" x14ac:dyDescent="0.45">
      <c r="A10" t="s">
        <v>79</v>
      </c>
      <c r="B10">
        <f>B6*B2</f>
        <v>6150</v>
      </c>
    </row>
    <row r="11" spans="1:2" x14ac:dyDescent="0.45">
      <c r="A11" t="s">
        <v>80</v>
      </c>
      <c r="B11">
        <f>B7*B3</f>
        <v>6149.9999999999991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11CA-E123-4405-887F-51B8361942A6}">
  <dimension ref="A1:G163"/>
  <sheetViews>
    <sheetView tabSelected="1" topLeftCell="A52" workbookViewId="0">
      <selection activeCell="M73" sqref="M73"/>
    </sheetView>
  </sheetViews>
  <sheetFormatPr defaultRowHeight="14.25" x14ac:dyDescent="0.45"/>
  <sheetData>
    <row r="1" spans="1:5" x14ac:dyDescent="0.45">
      <c r="A1" t="s">
        <v>13</v>
      </c>
      <c r="B1" t="s">
        <v>14</v>
      </c>
      <c r="D1" t="s">
        <v>42</v>
      </c>
      <c r="E1" t="s">
        <v>41</v>
      </c>
    </row>
    <row r="2" spans="1:5" x14ac:dyDescent="0.45">
      <c r="A2">
        <v>1</v>
      </c>
      <c r="B2">
        <f>A2-A2^(1/3)-2</f>
        <v>-2</v>
      </c>
      <c r="D2">
        <v>3.5216289573906079</v>
      </c>
      <c r="E2">
        <f>D2-D2^(1/3)-2</f>
        <v>2.1335595870031199E-4</v>
      </c>
    </row>
    <row r="3" spans="1:5" x14ac:dyDescent="0.45">
      <c r="A3">
        <v>2</v>
      </c>
      <c r="B3">
        <f t="shared" ref="B3:B21" si="0">A3-A3^(1/3)-2</f>
        <v>-1.2599210498948732</v>
      </c>
    </row>
    <row r="4" spans="1:5" x14ac:dyDescent="0.45">
      <c r="A4">
        <v>3</v>
      </c>
      <c r="B4">
        <f t="shared" si="0"/>
        <v>-0.4422495703074083</v>
      </c>
    </row>
    <row r="5" spans="1:5" x14ac:dyDescent="0.45">
      <c r="A5">
        <v>4</v>
      </c>
      <c r="B5">
        <f t="shared" si="0"/>
        <v>0.41259894803180064</v>
      </c>
    </row>
    <row r="6" spans="1:5" x14ac:dyDescent="0.45">
      <c r="A6">
        <v>5</v>
      </c>
      <c r="B6">
        <f t="shared" si="0"/>
        <v>1.2900240533233029</v>
      </c>
    </row>
    <row r="7" spans="1:5" x14ac:dyDescent="0.45">
      <c r="A7">
        <v>6</v>
      </c>
      <c r="B7">
        <f t="shared" si="0"/>
        <v>2.1828794071678601</v>
      </c>
    </row>
    <row r="8" spans="1:5" x14ac:dyDescent="0.45">
      <c r="A8">
        <v>7</v>
      </c>
      <c r="B8">
        <f t="shared" si="0"/>
        <v>3.0870688172276113</v>
      </c>
    </row>
    <row r="9" spans="1:5" x14ac:dyDescent="0.45">
      <c r="A9">
        <v>8</v>
      </c>
      <c r="B9">
        <f t="shared" si="0"/>
        <v>4</v>
      </c>
    </row>
    <row r="10" spans="1:5" x14ac:dyDescent="0.45">
      <c r="A10">
        <v>9</v>
      </c>
      <c r="B10">
        <f t="shared" si="0"/>
        <v>4.9199161769480959</v>
      </c>
    </row>
    <row r="11" spans="1:5" x14ac:dyDescent="0.45">
      <c r="A11">
        <v>10</v>
      </c>
      <c r="B11">
        <f t="shared" si="0"/>
        <v>5.8455653099681157</v>
      </c>
    </row>
    <row r="12" spans="1:5" x14ac:dyDescent="0.45">
      <c r="A12">
        <v>11</v>
      </c>
      <c r="B12">
        <f t="shared" si="0"/>
        <v>6.7760199094306834</v>
      </c>
    </row>
    <row r="13" spans="1:5" x14ac:dyDescent="0.45">
      <c r="A13">
        <v>12</v>
      </c>
      <c r="B13">
        <f t="shared" si="0"/>
        <v>7.7105715148933367</v>
      </c>
    </row>
    <row r="14" spans="1:5" x14ac:dyDescent="0.45">
      <c r="A14">
        <v>13</v>
      </c>
      <c r="B14">
        <f t="shared" si="0"/>
        <v>8.6486653122792418</v>
      </c>
    </row>
    <row r="15" spans="1:5" x14ac:dyDescent="0.45">
      <c r="A15">
        <v>14</v>
      </c>
      <c r="B15">
        <f t="shared" si="0"/>
        <v>9.5898577358247703</v>
      </c>
    </row>
    <row r="16" spans="1:5" x14ac:dyDescent="0.45">
      <c r="A16">
        <v>15</v>
      </c>
      <c r="B16">
        <f t="shared" si="0"/>
        <v>10.533787925669529</v>
      </c>
    </row>
    <row r="17" spans="1:5" x14ac:dyDescent="0.45">
      <c r="A17">
        <v>16</v>
      </c>
      <c r="B17">
        <f t="shared" si="0"/>
        <v>11.480157900210255</v>
      </c>
    </row>
    <row r="18" spans="1:5" x14ac:dyDescent="0.45">
      <c r="A18">
        <v>17</v>
      </c>
      <c r="B18">
        <f t="shared" si="0"/>
        <v>12.428718409341766</v>
      </c>
    </row>
    <row r="19" spans="1:5" x14ac:dyDescent="0.45">
      <c r="A19">
        <v>18</v>
      </c>
      <c r="B19">
        <f t="shared" si="0"/>
        <v>13.379258605791104</v>
      </c>
    </row>
    <row r="20" spans="1:5" x14ac:dyDescent="0.45">
      <c r="A20">
        <v>19</v>
      </c>
      <c r="B20">
        <f t="shared" si="0"/>
        <v>14.331598351278057</v>
      </c>
    </row>
    <row r="21" spans="1:5" x14ac:dyDescent="0.45">
      <c r="A21">
        <v>20</v>
      </c>
      <c r="B21">
        <f t="shared" si="0"/>
        <v>15.285582383405092</v>
      </c>
    </row>
    <row r="23" spans="1:5" x14ac:dyDescent="0.45">
      <c r="A23" t="s">
        <v>43</v>
      </c>
    </row>
    <row r="24" spans="1:5" x14ac:dyDescent="0.45">
      <c r="A24" t="s">
        <v>13</v>
      </c>
      <c r="B24" t="s">
        <v>14</v>
      </c>
      <c r="D24" t="s">
        <v>13</v>
      </c>
      <c r="E24" t="s">
        <v>45</v>
      </c>
    </row>
    <row r="25" spans="1:5" x14ac:dyDescent="0.45">
      <c r="A25">
        <v>1</v>
      </c>
      <c r="B25">
        <f>A25*TAN(A25)-1</f>
        <v>0.55740772465490229</v>
      </c>
      <c r="D25">
        <v>0.86057524028434473</v>
      </c>
      <c r="E25">
        <f>D25*TAN(D25)-1</f>
        <v>7.6993714738682328E-4</v>
      </c>
    </row>
    <row r="26" spans="1:5" x14ac:dyDescent="0.45">
      <c r="A26">
        <v>2</v>
      </c>
      <c r="B26">
        <f t="shared" ref="B26:B41" si="1">A26*TAN(A26)-1</f>
        <v>-5.3700797265230378</v>
      </c>
      <c r="D26">
        <v>3.4256107383210344</v>
      </c>
      <c r="E26">
        <f>D26*TAN(D26)-1</f>
        <v>-3.0957514183693746E-5</v>
      </c>
    </row>
    <row r="27" spans="1:5" x14ac:dyDescent="0.45">
      <c r="A27">
        <v>3</v>
      </c>
      <c r="B27">
        <f t="shared" si="1"/>
        <v>-1.4276396292228335</v>
      </c>
      <c r="D27">
        <v>3.4256203564079852</v>
      </c>
      <c r="E27">
        <f>D27*TAN(D27)-1</f>
        <v>7.6056475946106872E-6</v>
      </c>
    </row>
    <row r="28" spans="1:5" x14ac:dyDescent="0.45">
      <c r="A28">
        <v>4</v>
      </c>
      <c r="B28">
        <f t="shared" si="1"/>
        <v>3.6312851293983099</v>
      </c>
      <c r="D28">
        <v>6.4372970091416191</v>
      </c>
      <c r="E28">
        <f>D28*TAN(D28)-1</f>
        <v>-7.8953472607556918E-6</v>
      </c>
    </row>
    <row r="29" spans="1:5" x14ac:dyDescent="0.45">
      <c r="A29">
        <v>5</v>
      </c>
      <c r="B29">
        <f t="shared" si="1"/>
        <v>-17.902575031232928</v>
      </c>
      <c r="D29">
        <v>6.4373182836689855</v>
      </c>
      <c r="E29">
        <f>D29*TAN(D29)-1</f>
        <v>1.3566572324563708E-4</v>
      </c>
    </row>
    <row r="30" spans="1:5" x14ac:dyDescent="0.45">
      <c r="A30">
        <v>6</v>
      </c>
      <c r="B30">
        <f t="shared" si="1"/>
        <v>-2.7460371483084947</v>
      </c>
      <c r="D30">
        <v>9.5293308894841573</v>
      </c>
      <c r="E30">
        <f>D30*TAN(D30)-1</f>
        <v>-3.4241856620376154E-5</v>
      </c>
    </row>
    <row r="31" spans="1:5" x14ac:dyDescent="0.45">
      <c r="A31">
        <v>7</v>
      </c>
      <c r="B31">
        <f t="shared" si="1"/>
        <v>5.1001358790702316</v>
      </c>
    </row>
    <row r="32" spans="1:5" x14ac:dyDescent="0.45">
      <c r="A32">
        <v>8</v>
      </c>
      <c r="B32">
        <f t="shared" si="1"/>
        <v>-55.397691641763032</v>
      </c>
    </row>
    <row r="33" spans="1:5" x14ac:dyDescent="0.45">
      <c r="A33">
        <v>9</v>
      </c>
      <c r="B33">
        <f t="shared" si="1"/>
        <v>-5.0708409349762888</v>
      </c>
    </row>
    <row r="34" spans="1:5" x14ac:dyDescent="0.45">
      <c r="A34">
        <v>10</v>
      </c>
      <c r="B34">
        <f t="shared" si="1"/>
        <v>5.4836082745908659</v>
      </c>
    </row>
    <row r="44" spans="1:5" x14ac:dyDescent="0.45">
      <c r="A44" t="s">
        <v>44</v>
      </c>
    </row>
    <row r="45" spans="1:5" x14ac:dyDescent="0.45">
      <c r="A45" t="s">
        <v>13</v>
      </c>
      <c r="B45" t="s">
        <v>14</v>
      </c>
      <c r="D45" t="s">
        <v>42</v>
      </c>
      <c r="E45" t="s">
        <v>45</v>
      </c>
    </row>
    <row r="46" spans="1:5" x14ac:dyDescent="0.45">
      <c r="A46">
        <v>1</v>
      </c>
      <c r="B46">
        <f>A46^4-EXP(A46)+1</f>
        <v>-0.71828182845904509</v>
      </c>
      <c r="D46">
        <v>1.261132807920323</v>
      </c>
      <c r="E46">
        <f>D46^4-EXP(D46)+1</f>
        <v>1.3278258777793539E-4</v>
      </c>
    </row>
    <row r="47" spans="1:5" x14ac:dyDescent="0.45">
      <c r="A47">
        <v>2</v>
      </c>
      <c r="B47">
        <f t="shared" ref="B47:B60" si="2">A47^4-EXP(A47)+1</f>
        <v>9.6109439010693496</v>
      </c>
    </row>
    <row r="48" spans="1:5" x14ac:dyDescent="0.45">
      <c r="A48">
        <v>3</v>
      </c>
      <c r="B48">
        <f t="shared" si="2"/>
        <v>61.914463076812332</v>
      </c>
    </row>
    <row r="49" spans="1:2" x14ac:dyDescent="0.45">
      <c r="A49">
        <v>4</v>
      </c>
      <c r="B49">
        <f t="shared" si="2"/>
        <v>202.40184996685576</v>
      </c>
    </row>
    <row r="50" spans="1:2" x14ac:dyDescent="0.45">
      <c r="A50">
        <v>5</v>
      </c>
      <c r="B50">
        <f t="shared" si="2"/>
        <v>477.58684089742337</v>
      </c>
    </row>
    <row r="51" spans="1:2" x14ac:dyDescent="0.45">
      <c r="A51">
        <v>6</v>
      </c>
      <c r="B51">
        <f t="shared" si="2"/>
        <v>893.57120650726483</v>
      </c>
    </row>
    <row r="52" spans="1:2" x14ac:dyDescent="0.45">
      <c r="A52">
        <v>7</v>
      </c>
      <c r="B52">
        <f t="shared" si="2"/>
        <v>1305.3668415715415</v>
      </c>
    </row>
    <row r="53" spans="1:2" x14ac:dyDescent="0.45">
      <c r="A53">
        <v>8</v>
      </c>
      <c r="B53">
        <f t="shared" si="2"/>
        <v>1116.0420129582717</v>
      </c>
    </row>
    <row r="54" spans="1:2" x14ac:dyDescent="0.45">
      <c r="A54">
        <v>9</v>
      </c>
      <c r="B54">
        <f t="shared" si="2"/>
        <v>-1541.0839275753842</v>
      </c>
    </row>
    <row r="55" spans="1:2" x14ac:dyDescent="0.45">
      <c r="A55">
        <v>10</v>
      </c>
      <c r="B55">
        <f t="shared" si="2"/>
        <v>-12025.465794806718</v>
      </c>
    </row>
    <row r="56" spans="1:2" x14ac:dyDescent="0.45">
      <c r="A56">
        <v>11</v>
      </c>
      <c r="B56">
        <f t="shared" si="2"/>
        <v>-45232.141715197817</v>
      </c>
    </row>
    <row r="57" spans="1:2" x14ac:dyDescent="0.45">
      <c r="A57">
        <v>12</v>
      </c>
      <c r="B57">
        <f t="shared" si="2"/>
        <v>-142017.79141900392</v>
      </c>
    </row>
    <row r="58" spans="1:2" x14ac:dyDescent="0.45">
      <c r="A58">
        <v>13</v>
      </c>
      <c r="B58">
        <f t="shared" si="2"/>
        <v>-413851.39200892049</v>
      </c>
    </row>
    <row r="59" spans="1:2" x14ac:dyDescent="0.45">
      <c r="A59">
        <v>14</v>
      </c>
      <c r="B59">
        <f t="shared" si="2"/>
        <v>-1164187.2841647768</v>
      </c>
    </row>
    <row r="60" spans="1:2" x14ac:dyDescent="0.45">
      <c r="A60">
        <v>15</v>
      </c>
      <c r="B60">
        <f t="shared" si="2"/>
        <v>-3218391.3724721107</v>
      </c>
    </row>
    <row r="70" spans="1:6" x14ac:dyDescent="0.45">
      <c r="A70" t="s">
        <v>46</v>
      </c>
    </row>
    <row r="71" spans="1:6" x14ac:dyDescent="0.45">
      <c r="A71" t="s">
        <v>13</v>
      </c>
      <c r="B71" t="s">
        <v>14</v>
      </c>
      <c r="E71" t="s">
        <v>42</v>
      </c>
      <c r="F71" t="s">
        <v>14</v>
      </c>
    </row>
    <row r="72" spans="1:6" x14ac:dyDescent="0.45">
      <c r="A72">
        <v>1</v>
      </c>
      <c r="B72">
        <f>A72^2*EXP(A72)-1</f>
        <v>1.7182818284590451</v>
      </c>
      <c r="E72">
        <v>0.70348276779946639</v>
      </c>
      <c r="F72">
        <f>E72^2*EXP(E72)-1</f>
        <v>5.8974173853476586E-5</v>
      </c>
    </row>
    <row r="73" spans="1:6" x14ac:dyDescent="0.45">
      <c r="A73">
        <v>2</v>
      </c>
      <c r="B73">
        <f t="shared" ref="B73:B85" si="3">A73^2*EXP(A73)-1</f>
        <v>28.556224395722602</v>
      </c>
    </row>
    <row r="74" spans="1:6" x14ac:dyDescent="0.45">
      <c r="A74">
        <v>3</v>
      </c>
      <c r="B74">
        <f t="shared" si="3"/>
        <v>179.76983230868902</v>
      </c>
    </row>
    <row r="75" spans="1:6" x14ac:dyDescent="0.45">
      <c r="A75">
        <v>4</v>
      </c>
      <c r="B75">
        <f t="shared" si="3"/>
        <v>872.57040053030778</v>
      </c>
    </row>
    <row r="76" spans="1:6" x14ac:dyDescent="0.45">
      <c r="A76">
        <v>5</v>
      </c>
      <c r="B76">
        <f t="shared" si="3"/>
        <v>3709.3289775644148</v>
      </c>
    </row>
    <row r="77" spans="1:6" x14ac:dyDescent="0.45">
      <c r="A77">
        <v>6</v>
      </c>
      <c r="B77">
        <f t="shared" si="3"/>
        <v>14522.436565738464</v>
      </c>
    </row>
    <row r="78" spans="1:6" x14ac:dyDescent="0.45">
      <c r="A78">
        <v>7</v>
      </c>
      <c r="B78">
        <f t="shared" si="3"/>
        <v>53734.024762994464</v>
      </c>
    </row>
    <row r="79" spans="1:6" x14ac:dyDescent="0.45">
      <c r="A79">
        <v>8</v>
      </c>
      <c r="B79">
        <f t="shared" si="3"/>
        <v>190780.31117067061</v>
      </c>
    </row>
    <row r="80" spans="1:6" x14ac:dyDescent="0.45">
      <c r="A80">
        <v>9</v>
      </c>
      <c r="B80">
        <f t="shared" si="3"/>
        <v>656348.79813360609</v>
      </c>
    </row>
    <row r="81" spans="1:5" x14ac:dyDescent="0.45">
      <c r="A81">
        <v>10</v>
      </c>
      <c r="B81">
        <f t="shared" si="3"/>
        <v>2202645.5794806718</v>
      </c>
    </row>
    <row r="82" spans="1:5" x14ac:dyDescent="0.45">
      <c r="A82">
        <v>11</v>
      </c>
      <c r="B82">
        <f t="shared" si="3"/>
        <v>7244770.1475389358</v>
      </c>
    </row>
    <row r="83" spans="1:5" x14ac:dyDescent="0.45">
      <c r="A83">
        <v>12</v>
      </c>
      <c r="B83">
        <f t="shared" si="3"/>
        <v>23436688.964336563</v>
      </c>
    </row>
    <row r="84" spans="1:5" x14ac:dyDescent="0.45">
      <c r="A84">
        <v>13</v>
      </c>
      <c r="B84">
        <f t="shared" si="3"/>
        <v>74767862.249507561</v>
      </c>
    </row>
    <row r="85" spans="1:5" x14ac:dyDescent="0.45">
      <c r="A85">
        <v>14</v>
      </c>
      <c r="B85">
        <f t="shared" si="3"/>
        <v>235710438.69629624</v>
      </c>
    </row>
    <row r="92" spans="1:5" x14ac:dyDescent="0.45">
      <c r="A92">
        <v>2</v>
      </c>
    </row>
    <row r="93" spans="1:5" x14ac:dyDescent="0.45">
      <c r="A93" t="s">
        <v>13</v>
      </c>
      <c r="B93" t="s">
        <v>14</v>
      </c>
      <c r="D93" t="s">
        <v>1</v>
      </c>
      <c r="E93">
        <f>MIN(B94:B114)</f>
        <v>-14.721385289546491</v>
      </c>
    </row>
    <row r="94" spans="1:5" x14ac:dyDescent="0.45">
      <c r="A94">
        <v>-10</v>
      </c>
      <c r="B94">
        <f>EXP(-0.3*A94)*SIN(A94+1)</f>
        <v>-8.2776210520514741</v>
      </c>
      <c r="D94" t="s">
        <v>47</v>
      </c>
      <c r="E94">
        <f>MAX(B94:B114)</f>
        <v>5.8011538067798778</v>
      </c>
    </row>
    <row r="95" spans="1:5" x14ac:dyDescent="0.45">
      <c r="A95">
        <v>-9</v>
      </c>
      <c r="B95">
        <f t="shared" ref="B95:B114" si="4">EXP(-0.3*A95)*SIN(A95+1)</f>
        <v>-14.721385289546491</v>
      </c>
    </row>
    <row r="96" spans="1:5" x14ac:dyDescent="0.45">
      <c r="A96">
        <v>-8</v>
      </c>
      <c r="B96">
        <f t="shared" si="4"/>
        <v>-7.2420791573950174</v>
      </c>
      <c r="D96" t="s">
        <v>48</v>
      </c>
      <c r="E96">
        <f>_xlfn.MINIFS(B94:B114,A94:A114,"&gt;0")</f>
        <v>-0.30769293300818079</v>
      </c>
    </row>
    <row r="97" spans="1:5" x14ac:dyDescent="0.45">
      <c r="A97">
        <v>-7</v>
      </c>
      <c r="B97">
        <f t="shared" si="4"/>
        <v>2.2817544344971692</v>
      </c>
      <c r="D97" t="s">
        <v>49</v>
      </c>
      <c r="E97">
        <f>_xlfn.MAXIFS(B94:B114,A94:A114,"&gt;0")</f>
        <v>0.67362410181146604</v>
      </c>
    </row>
    <row r="98" spans="1:5" x14ac:dyDescent="0.45">
      <c r="A98">
        <v>-6</v>
      </c>
      <c r="B98">
        <f t="shared" si="4"/>
        <v>5.8011538067798778</v>
      </c>
    </row>
    <row r="99" spans="1:5" x14ac:dyDescent="0.45">
      <c r="A99">
        <v>-5</v>
      </c>
      <c r="B99">
        <f t="shared" si="4"/>
        <v>3.3917534716261164</v>
      </c>
    </row>
    <row r="100" spans="1:5" x14ac:dyDescent="0.45">
      <c r="A100">
        <v>-4</v>
      </c>
      <c r="B100">
        <f t="shared" si="4"/>
        <v>-0.46853492689628307</v>
      </c>
    </row>
    <row r="101" spans="1:5" x14ac:dyDescent="0.45">
      <c r="A101">
        <v>-3</v>
      </c>
      <c r="B101">
        <f t="shared" si="4"/>
        <v>-2.2365107799874551</v>
      </c>
    </row>
    <row r="102" spans="1:5" x14ac:dyDescent="0.45">
      <c r="A102">
        <v>-2</v>
      </c>
      <c r="B102">
        <f t="shared" si="4"/>
        <v>-1.5332601014015845</v>
      </c>
    </row>
    <row r="103" spans="1:5" x14ac:dyDescent="0.45">
      <c r="A103">
        <v>-1</v>
      </c>
      <c r="B103">
        <f t="shared" si="4"/>
        <v>0</v>
      </c>
    </row>
    <row r="104" spans="1:5" x14ac:dyDescent="0.45">
      <c r="A104">
        <v>0</v>
      </c>
      <c r="B104">
        <f t="shared" si="4"/>
        <v>0.8414709848078965</v>
      </c>
    </row>
    <row r="105" spans="1:5" x14ac:dyDescent="0.45">
      <c r="A105">
        <v>1</v>
      </c>
      <c r="B105">
        <f t="shared" si="4"/>
        <v>0.67362410181146604</v>
      </c>
    </row>
    <row r="106" spans="1:5" x14ac:dyDescent="0.45">
      <c r="A106">
        <v>2</v>
      </c>
      <c r="B106">
        <f t="shared" si="4"/>
        <v>7.7448302508937916E-2</v>
      </c>
    </row>
    <row r="107" spans="1:5" x14ac:dyDescent="0.45">
      <c r="A107">
        <v>3</v>
      </c>
      <c r="B107">
        <f t="shared" si="4"/>
        <v>-0.30769293300818079</v>
      </c>
    </row>
    <row r="108" spans="1:5" x14ac:dyDescent="0.45">
      <c r="A108">
        <v>4</v>
      </c>
      <c r="B108">
        <f t="shared" si="4"/>
        <v>-0.28882244119064404</v>
      </c>
    </row>
    <row r="109" spans="1:5" x14ac:dyDescent="0.45">
      <c r="A109">
        <v>5</v>
      </c>
      <c r="B109">
        <f t="shared" si="4"/>
        <v>-6.2346024861079631E-2</v>
      </c>
    </row>
    <row r="110" spans="1:5" x14ac:dyDescent="0.45">
      <c r="A110">
        <v>6</v>
      </c>
      <c r="B110">
        <f t="shared" si="4"/>
        <v>0.10859915434469745</v>
      </c>
    </row>
    <row r="111" spans="1:5" x14ac:dyDescent="0.45">
      <c r="A111">
        <v>7</v>
      </c>
      <c r="B111">
        <f t="shared" si="4"/>
        <v>0.12115327714413213</v>
      </c>
    </row>
    <row r="112" spans="1:5" x14ac:dyDescent="0.45">
      <c r="A112">
        <v>8</v>
      </c>
      <c r="B112">
        <f t="shared" si="4"/>
        <v>3.7386545493865116E-2</v>
      </c>
    </row>
    <row r="113" spans="1:7" x14ac:dyDescent="0.45">
      <c r="A113">
        <v>9</v>
      </c>
      <c r="B113">
        <f t="shared" si="4"/>
        <v>-3.656121769856837E-2</v>
      </c>
    </row>
    <row r="114" spans="1:7" x14ac:dyDescent="0.45">
      <c r="A114">
        <v>10</v>
      </c>
      <c r="B114">
        <f t="shared" si="4"/>
        <v>-4.9786580780734259E-2</v>
      </c>
    </row>
    <row r="120" spans="1:7" x14ac:dyDescent="0.45">
      <c r="F120" t="s">
        <v>50</v>
      </c>
    </row>
    <row r="121" spans="1:7" x14ac:dyDescent="0.45">
      <c r="A121" t="s">
        <v>54</v>
      </c>
      <c r="F121">
        <v>500</v>
      </c>
      <c r="G121" t="s">
        <v>51</v>
      </c>
    </row>
    <row r="122" spans="1:7" x14ac:dyDescent="0.45">
      <c r="A122" t="s">
        <v>55</v>
      </c>
      <c r="F122">
        <v>60</v>
      </c>
      <c r="G122" t="s">
        <v>52</v>
      </c>
    </row>
    <row r="123" spans="1:7" x14ac:dyDescent="0.45">
      <c r="F123">
        <v>900</v>
      </c>
      <c r="G123" t="s">
        <v>53</v>
      </c>
    </row>
    <row r="124" spans="1:7" x14ac:dyDescent="0.45">
      <c r="A124" t="s">
        <v>57</v>
      </c>
      <c r="B124">
        <v>12.400000000000002</v>
      </c>
      <c r="D124" t="s">
        <v>65</v>
      </c>
      <c r="E124" s="1">
        <f>B124/1</f>
        <v>12.400000000000002</v>
      </c>
    </row>
    <row r="125" spans="1:7" x14ac:dyDescent="0.45">
      <c r="A125" t="s">
        <v>58</v>
      </c>
      <c r="B125">
        <v>47.600000000000009</v>
      </c>
      <c r="D125" t="s">
        <v>66</v>
      </c>
      <c r="E125" s="1">
        <f>B125/2</f>
        <v>23.800000000000004</v>
      </c>
    </row>
    <row r="126" spans="1:7" x14ac:dyDescent="0.45">
      <c r="A126" t="s">
        <v>59</v>
      </c>
      <c r="B126">
        <f>B125+B124</f>
        <v>60.000000000000014</v>
      </c>
    </row>
    <row r="128" spans="1:7" x14ac:dyDescent="0.45">
      <c r="A128" t="s">
        <v>60</v>
      </c>
      <c r="B128">
        <v>811.46588972411428</v>
      </c>
      <c r="D128" t="s">
        <v>65</v>
      </c>
      <c r="E128">
        <f>B128/25</f>
        <v>32.458635588964569</v>
      </c>
    </row>
    <row r="129" spans="1:7" x14ac:dyDescent="0.45">
      <c r="A129" t="s">
        <v>61</v>
      </c>
      <c r="B129">
        <v>88.534110275885837</v>
      </c>
      <c r="D129" t="s">
        <v>66</v>
      </c>
      <c r="E129">
        <f>B129/8</f>
        <v>11.06676378448573</v>
      </c>
    </row>
    <row r="130" spans="1:7" x14ac:dyDescent="0.45">
      <c r="A130" t="s">
        <v>62</v>
      </c>
      <c r="B130">
        <f>B128+B129</f>
        <v>900.00000000000011</v>
      </c>
    </row>
    <row r="132" spans="1:7" x14ac:dyDescent="0.45">
      <c r="A132" t="s">
        <v>63</v>
      </c>
      <c r="B132">
        <v>500</v>
      </c>
    </row>
    <row r="133" spans="1:7" x14ac:dyDescent="0.45">
      <c r="A133" t="s">
        <v>64</v>
      </c>
      <c r="B133">
        <f>B132</f>
        <v>500</v>
      </c>
      <c r="D133" t="s">
        <v>66</v>
      </c>
      <c r="E133">
        <f>B132/25</f>
        <v>20</v>
      </c>
    </row>
    <row r="135" spans="1:7" x14ac:dyDescent="0.45">
      <c r="D135" t="s">
        <v>67</v>
      </c>
      <c r="G135">
        <v>12</v>
      </c>
    </row>
    <row r="136" spans="1:7" x14ac:dyDescent="0.45">
      <c r="D136" t="s">
        <v>68</v>
      </c>
      <c r="G136">
        <v>11</v>
      </c>
    </row>
    <row r="145" spans="1:5" x14ac:dyDescent="0.45">
      <c r="E145" t="s">
        <v>71</v>
      </c>
    </row>
    <row r="146" spans="1:5" x14ac:dyDescent="0.45">
      <c r="A146" t="s">
        <v>73</v>
      </c>
      <c r="E146">
        <v>77</v>
      </c>
    </row>
    <row r="147" spans="1:5" x14ac:dyDescent="0.45">
      <c r="A147">
        <v>9</v>
      </c>
      <c r="B147" t="s">
        <v>69</v>
      </c>
    </row>
    <row r="148" spans="1:5" x14ac:dyDescent="0.45">
      <c r="A148">
        <v>7</v>
      </c>
      <c r="B148" t="s">
        <v>70</v>
      </c>
      <c r="E148" t="s">
        <v>72</v>
      </c>
    </row>
    <row r="149" spans="1:5" x14ac:dyDescent="0.45">
      <c r="E149">
        <v>80</v>
      </c>
    </row>
    <row r="151" spans="1:5" x14ac:dyDescent="0.45">
      <c r="A151" t="s">
        <v>69</v>
      </c>
      <c r="C151">
        <v>4.8888888596388425</v>
      </c>
    </row>
    <row r="152" spans="1:5" x14ac:dyDescent="0.45">
      <c r="A152" t="s">
        <v>70</v>
      </c>
      <c r="C152">
        <v>3.8888889075025563</v>
      </c>
    </row>
    <row r="154" spans="1:5" x14ac:dyDescent="0.45">
      <c r="A154" t="s">
        <v>74</v>
      </c>
    </row>
    <row r="155" spans="1:5" x14ac:dyDescent="0.45">
      <c r="A155">
        <f>7*C151+11*C152</f>
        <v>77.000000000000028</v>
      </c>
    </row>
    <row r="157" spans="1:5" x14ac:dyDescent="0.45">
      <c r="A157" t="s">
        <v>75</v>
      </c>
    </row>
    <row r="158" spans="1:5" x14ac:dyDescent="0.45">
      <c r="A158">
        <f>10*C151+8*C152</f>
        <v>79.999999856408877</v>
      </c>
    </row>
    <row r="160" spans="1:5" x14ac:dyDescent="0.45">
      <c r="A160" t="s">
        <v>76</v>
      </c>
      <c r="B160">
        <f>125*C151</f>
        <v>611.1111074548553</v>
      </c>
    </row>
    <row r="161" spans="1:2" x14ac:dyDescent="0.45">
      <c r="A161" t="s">
        <v>77</v>
      </c>
      <c r="B161">
        <f>150*C152</f>
        <v>583.33333612538343</v>
      </c>
    </row>
    <row r="163" spans="1:2" x14ac:dyDescent="0.45">
      <c r="A163" t="s">
        <v>56</v>
      </c>
      <c r="B163">
        <f>B160+B161</f>
        <v>1194.4444435802388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Sheet5</vt:lpstr>
      <vt:lpstr>CHE 205 HW 1</vt:lpstr>
      <vt:lpstr>a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Pabilic</dc:creator>
  <cp:lastModifiedBy>Sarah Pabilic</cp:lastModifiedBy>
  <dcterms:created xsi:type="dcterms:W3CDTF">2020-01-22T16:00:16Z</dcterms:created>
  <dcterms:modified xsi:type="dcterms:W3CDTF">2020-01-26T18:32:49Z</dcterms:modified>
</cp:coreProperties>
</file>