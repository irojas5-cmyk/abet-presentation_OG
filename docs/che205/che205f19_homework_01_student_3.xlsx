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uoZhen/Desktop/CHE205_Fall19/mid/hw1/"/>
    </mc:Choice>
  </mc:AlternateContent>
  <xr:revisionPtr revIDLastSave="0" documentId="13_ncr:1_{5E40464F-5C0A-C143-B204-CC89C1892284}" xr6:coauthVersionLast="41" xr6:coauthVersionMax="44" xr10:uidLastSave="{00000000-0000-0000-0000-000000000000}"/>
  <bookViews>
    <workbookView xWindow="-31680" yWindow="-3460" windowWidth="23640" windowHeight="15540" activeTab="3" xr2:uid="{C85A352F-133D-4D7A-AE99-D5EF1826FA8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3" l="1"/>
  <c r="A49" i="3"/>
  <c r="D48" i="3"/>
  <c r="E48" i="3" s="1"/>
  <c r="B49" i="3" s="1"/>
  <c r="C48" i="3"/>
  <c r="A35" i="3"/>
  <c r="C35" i="3" s="1"/>
  <c r="D34" i="3"/>
  <c r="C34" i="3"/>
  <c r="E34" i="3" s="1"/>
  <c r="B35" i="3" s="1"/>
  <c r="C6" i="3"/>
  <c r="C5" i="3"/>
  <c r="A6" i="3"/>
  <c r="D5" i="3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9" i="1"/>
  <c r="E40" i="1"/>
  <c r="E41" i="1"/>
  <c r="E42" i="1"/>
  <c r="E43" i="1"/>
  <c r="E44" i="1"/>
  <c r="A19" i="3"/>
  <c r="C19" i="3" s="1"/>
  <c r="E18" i="3"/>
  <c r="B19" i="3" s="1"/>
  <c r="D18" i="3"/>
  <c r="C18" i="3"/>
  <c r="A50" i="3" l="1"/>
  <c r="C50" i="3" s="1"/>
  <c r="D49" i="3"/>
  <c r="E49" i="3" s="1"/>
  <c r="B50" i="3" s="1"/>
  <c r="D35" i="3"/>
  <c r="A36" i="3"/>
  <c r="C36" i="3" s="1"/>
  <c r="E35" i="3"/>
  <c r="B36" i="3" s="1"/>
  <c r="E5" i="3"/>
  <c r="B6" i="3" s="1"/>
  <c r="D6" i="3" s="1"/>
  <c r="E6" i="3" s="1"/>
  <c r="B7" i="3" s="1"/>
  <c r="A20" i="3"/>
  <c r="C20" i="3" s="1"/>
  <c r="D19" i="3"/>
  <c r="E19" i="3" s="1"/>
  <c r="B20" i="3" s="1"/>
  <c r="I53" i="3"/>
  <c r="I54" i="3"/>
  <c r="I55" i="3"/>
  <c r="I56" i="3"/>
  <c r="I46" i="3"/>
  <c r="I47" i="3"/>
  <c r="I48" i="3"/>
  <c r="I49" i="3"/>
  <c r="I50" i="3"/>
  <c r="I51" i="3"/>
  <c r="I52" i="3"/>
  <c r="I45" i="3"/>
  <c r="I39" i="3"/>
  <c r="I40" i="3"/>
  <c r="I41" i="3"/>
  <c r="I42" i="3"/>
  <c r="I32" i="3"/>
  <c r="I33" i="3"/>
  <c r="I34" i="3"/>
  <c r="I35" i="3"/>
  <c r="I36" i="3"/>
  <c r="I37" i="3"/>
  <c r="I38" i="3"/>
  <c r="I31" i="3"/>
  <c r="I24" i="3"/>
  <c r="I25" i="3"/>
  <c r="I26" i="3"/>
  <c r="I27" i="3"/>
  <c r="I28" i="3"/>
  <c r="I18" i="3"/>
  <c r="I19" i="3"/>
  <c r="I20" i="3"/>
  <c r="I21" i="3"/>
  <c r="I22" i="3"/>
  <c r="I23" i="3"/>
  <c r="I4" i="3"/>
  <c r="I5" i="3"/>
  <c r="I6" i="3"/>
  <c r="I7" i="3"/>
  <c r="I8" i="3"/>
  <c r="I9" i="3"/>
  <c r="I10" i="3"/>
  <c r="I11" i="3"/>
  <c r="I12" i="3"/>
  <c r="I13" i="3"/>
  <c r="I14" i="3"/>
  <c r="J45" i="2"/>
  <c r="H45" i="2"/>
  <c r="G45" i="2"/>
  <c r="I66" i="2"/>
  <c r="J66" i="2" s="1"/>
  <c r="H66" i="2"/>
  <c r="G66" i="2"/>
  <c r="I45" i="2"/>
  <c r="I24" i="2"/>
  <c r="J24" i="2" s="1"/>
  <c r="H24" i="2"/>
  <c r="G24" i="2"/>
  <c r="J3" i="2"/>
  <c r="F4" i="2" s="1"/>
  <c r="H4" i="2" s="1"/>
  <c r="I3" i="2"/>
  <c r="H3" i="2"/>
  <c r="G3" i="2"/>
  <c r="B25" i="1"/>
  <c r="B40" i="1"/>
  <c r="B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57" i="1"/>
  <c r="E45" i="1"/>
  <c r="E46" i="1"/>
  <c r="E47" i="1"/>
  <c r="E48" i="1"/>
  <c r="E49" i="1"/>
  <c r="E50" i="1"/>
  <c r="E51" i="1"/>
  <c r="E52" i="1"/>
  <c r="E53" i="1"/>
  <c r="E4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50" i="3" l="1"/>
  <c r="E50" i="3" s="1"/>
  <c r="B51" i="3" s="1"/>
  <c r="A51" i="3"/>
  <c r="C51" i="3" s="1"/>
  <c r="A37" i="3"/>
  <c r="C37" i="3" s="1"/>
  <c r="D36" i="3"/>
  <c r="E36" i="3" s="1"/>
  <c r="B37" i="3" s="1"/>
  <c r="A7" i="3"/>
  <c r="C7" i="3" s="1"/>
  <c r="A8" i="3"/>
  <c r="C8" i="3" s="1"/>
  <c r="D7" i="3"/>
  <c r="A21" i="3"/>
  <c r="C21" i="3" s="1"/>
  <c r="D20" i="3"/>
  <c r="E20" i="3" s="1"/>
  <c r="B21" i="3" s="1"/>
  <c r="F46" i="2"/>
  <c r="H46" i="2" s="1"/>
  <c r="E46" i="2"/>
  <c r="G46" i="2" s="1"/>
  <c r="F67" i="2"/>
  <c r="H67" i="2" s="1"/>
  <c r="E67" i="2"/>
  <c r="E4" i="2"/>
  <c r="F25" i="2"/>
  <c r="H25" i="2" s="1"/>
  <c r="E25" i="2"/>
  <c r="I4" i="2"/>
  <c r="J4" i="2" s="1"/>
  <c r="G4" i="2"/>
  <c r="B5" i="1"/>
  <c r="D51" i="3" l="1"/>
  <c r="A52" i="3"/>
  <c r="C52" i="3" s="1"/>
  <c r="E51" i="3"/>
  <c r="B52" i="3" s="1"/>
  <c r="D37" i="3"/>
  <c r="E37" i="3" s="1"/>
  <c r="B38" i="3" s="1"/>
  <c r="A38" i="3"/>
  <c r="C38" i="3" s="1"/>
  <c r="E7" i="3"/>
  <c r="B8" i="3" s="1"/>
  <c r="D8" i="3" s="1"/>
  <c r="E8" i="3" s="1"/>
  <c r="B9" i="3" s="1"/>
  <c r="A9" i="3"/>
  <c r="C9" i="3" s="1"/>
  <c r="D21" i="3"/>
  <c r="E21" i="3" s="1"/>
  <c r="B22" i="3" s="1"/>
  <c r="A22" i="3"/>
  <c r="C22" i="3" s="1"/>
  <c r="I46" i="2"/>
  <c r="J46" i="2" s="1"/>
  <c r="F47" i="2" s="1"/>
  <c r="H47" i="2" s="1"/>
  <c r="G67" i="2"/>
  <c r="I67" i="2"/>
  <c r="J67" i="2" s="1"/>
  <c r="G25" i="2"/>
  <c r="I25" i="2"/>
  <c r="J25" i="2" s="1"/>
  <c r="F5" i="2"/>
  <c r="H5" i="2" s="1"/>
  <c r="E5" i="2"/>
  <c r="I3" i="3"/>
  <c r="I17" i="3"/>
  <c r="A53" i="3" l="1"/>
  <c r="C53" i="3" s="1"/>
  <c r="D52" i="3"/>
  <c r="E52" i="3" s="1"/>
  <c r="B53" i="3" s="1"/>
  <c r="D38" i="3"/>
  <c r="A39" i="3"/>
  <c r="C39" i="3" s="1"/>
  <c r="E38" i="3"/>
  <c r="B39" i="3" s="1"/>
  <c r="D9" i="3"/>
  <c r="E9" i="3" s="1"/>
  <c r="B10" i="3" s="1"/>
  <c r="A10" i="3"/>
  <c r="C10" i="3" s="1"/>
  <c r="D22" i="3"/>
  <c r="A23" i="3"/>
  <c r="C23" i="3" s="1"/>
  <c r="E22" i="3"/>
  <c r="B23" i="3" s="1"/>
  <c r="I47" i="2"/>
  <c r="J47" i="2" s="1"/>
  <c r="E48" i="2" s="1"/>
  <c r="F68" i="2"/>
  <c r="H68" i="2" s="1"/>
  <c r="E68" i="2"/>
  <c r="G47" i="2"/>
  <c r="F26" i="2"/>
  <c r="H26" i="2" s="1"/>
  <c r="E26" i="2"/>
  <c r="I5" i="2"/>
  <c r="J5" i="2" s="1"/>
  <c r="G5" i="2"/>
  <c r="A54" i="3" l="1"/>
  <c r="C54" i="3" s="1"/>
  <c r="D53" i="3"/>
  <c r="E53" i="3" s="1"/>
  <c r="B54" i="3" s="1"/>
  <c r="A40" i="3"/>
  <c r="C40" i="3" s="1"/>
  <c r="D39" i="3"/>
  <c r="E39" i="3" s="1"/>
  <c r="B40" i="3" s="1"/>
  <c r="D10" i="3"/>
  <c r="E10" i="3" s="1"/>
  <c r="B11" i="3" s="1"/>
  <c r="A11" i="3"/>
  <c r="C11" i="3" s="1"/>
  <c r="A24" i="3"/>
  <c r="C24" i="3" s="1"/>
  <c r="D23" i="3"/>
  <c r="E23" i="3" s="1"/>
  <c r="B24" i="3" s="1"/>
  <c r="I68" i="2"/>
  <c r="J68" i="2" s="1"/>
  <c r="G68" i="2"/>
  <c r="F48" i="2"/>
  <c r="H48" i="2" s="1"/>
  <c r="I26" i="2"/>
  <c r="J26" i="2" s="1"/>
  <c r="G26" i="2"/>
  <c r="E6" i="2"/>
  <c r="F6" i="2"/>
  <c r="H6" i="2" s="1"/>
  <c r="D54" i="3" l="1"/>
  <c r="E54" i="3" s="1"/>
  <c r="B55" i="3" s="1"/>
  <c r="A55" i="3"/>
  <c r="C55" i="3" s="1"/>
  <c r="A41" i="3"/>
  <c r="C41" i="3" s="1"/>
  <c r="D40" i="3"/>
  <c r="E40" i="3" s="1"/>
  <c r="B41" i="3" s="1"/>
  <c r="A12" i="3"/>
  <c r="C12" i="3" s="1"/>
  <c r="D11" i="3"/>
  <c r="E11" i="3" s="1"/>
  <c r="B12" i="3" s="1"/>
  <c r="A25" i="3"/>
  <c r="C25" i="3" s="1"/>
  <c r="D24" i="3"/>
  <c r="E24" i="3" s="1"/>
  <c r="B25" i="3" s="1"/>
  <c r="F69" i="2"/>
  <c r="H69" i="2" s="1"/>
  <c r="E69" i="2"/>
  <c r="G48" i="2"/>
  <c r="I48" i="2"/>
  <c r="J48" i="2" s="1"/>
  <c r="F27" i="2"/>
  <c r="H27" i="2" s="1"/>
  <c r="E27" i="2"/>
  <c r="G6" i="2"/>
  <c r="I6" i="2"/>
  <c r="J6" i="2" s="1"/>
  <c r="D55" i="3" l="1"/>
  <c r="A56" i="3"/>
  <c r="C56" i="3" s="1"/>
  <c r="E55" i="3"/>
  <c r="B56" i="3" s="1"/>
  <c r="D41" i="3"/>
  <c r="E41" i="3" s="1"/>
  <c r="B42" i="3" s="1"/>
  <c r="A42" i="3"/>
  <c r="C42" i="3" s="1"/>
  <c r="A13" i="3"/>
  <c r="C13" i="3" s="1"/>
  <c r="D12" i="3"/>
  <c r="E12" i="3" s="1"/>
  <c r="B13" i="3" s="1"/>
  <c r="D25" i="3"/>
  <c r="E25" i="3" s="1"/>
  <c r="B26" i="3" s="1"/>
  <c r="A26" i="3"/>
  <c r="C26" i="3" s="1"/>
  <c r="G69" i="2"/>
  <c r="I69" i="2"/>
  <c r="J69" i="2" s="1"/>
  <c r="F49" i="2"/>
  <c r="H49" i="2" s="1"/>
  <c r="G27" i="2"/>
  <c r="I27" i="2"/>
  <c r="J27" i="2" s="1"/>
  <c r="F7" i="2"/>
  <c r="H7" i="2" s="1"/>
  <c r="E7" i="2"/>
  <c r="A57" i="3" l="1"/>
  <c r="C57" i="3" s="1"/>
  <c r="D56" i="3"/>
  <c r="E56" i="3" s="1"/>
  <c r="B57" i="3" s="1"/>
  <c r="D42" i="3"/>
  <c r="A43" i="3"/>
  <c r="C43" i="3" s="1"/>
  <c r="E42" i="3"/>
  <c r="B43" i="3" s="1"/>
  <c r="D13" i="3"/>
  <c r="E13" i="3" s="1"/>
  <c r="B14" i="3" s="1"/>
  <c r="A14" i="3"/>
  <c r="C14" i="3" s="1"/>
  <c r="D26" i="3"/>
  <c r="A27" i="3"/>
  <c r="C27" i="3" s="1"/>
  <c r="E26" i="3"/>
  <c r="B27" i="3" s="1"/>
  <c r="F70" i="2"/>
  <c r="H70" i="2" s="1"/>
  <c r="E70" i="2"/>
  <c r="I49" i="2"/>
  <c r="J49" i="2" s="1"/>
  <c r="G49" i="2"/>
  <c r="F28" i="2"/>
  <c r="H28" i="2" s="1"/>
  <c r="E28" i="2"/>
  <c r="I7" i="2"/>
  <c r="J7" i="2" s="1"/>
  <c r="G7" i="2"/>
  <c r="A58" i="3" l="1"/>
  <c r="C58" i="3" s="1"/>
  <c r="D57" i="3"/>
  <c r="E57" i="3" s="1"/>
  <c r="B58" i="3" s="1"/>
  <c r="A44" i="3"/>
  <c r="C44" i="3" s="1"/>
  <c r="D43" i="3"/>
  <c r="E43" i="3" s="1"/>
  <c r="B44" i="3" s="1"/>
  <c r="D14" i="3"/>
  <c r="A15" i="3"/>
  <c r="C15" i="3" s="1"/>
  <c r="E14" i="3"/>
  <c r="B15" i="3" s="1"/>
  <c r="A28" i="3"/>
  <c r="C28" i="3" s="1"/>
  <c r="D27" i="3"/>
  <c r="E27" i="3" s="1"/>
  <c r="B28" i="3" s="1"/>
  <c r="E50" i="2"/>
  <c r="I70" i="2"/>
  <c r="J70" i="2" s="1"/>
  <c r="G70" i="2"/>
  <c r="F50" i="2"/>
  <c r="H50" i="2" s="1"/>
  <c r="I28" i="2"/>
  <c r="J28" i="2" s="1"/>
  <c r="G28" i="2"/>
  <c r="E8" i="2"/>
  <c r="F8" i="2"/>
  <c r="H8" i="2" s="1"/>
  <c r="D58" i="3" l="1"/>
  <c r="E58" i="3" s="1"/>
  <c r="B59" i="3" s="1"/>
  <c r="D59" i="3" s="1"/>
  <c r="A59" i="3"/>
  <c r="C59" i="3" s="1"/>
  <c r="A45" i="3"/>
  <c r="C45" i="3" s="1"/>
  <c r="D44" i="3"/>
  <c r="E44" i="3" s="1"/>
  <c r="B45" i="3" s="1"/>
  <c r="A16" i="3"/>
  <c r="C16" i="3" s="1"/>
  <c r="D15" i="3"/>
  <c r="E15" i="3" s="1"/>
  <c r="B16" i="3" s="1"/>
  <c r="A29" i="3"/>
  <c r="C29" i="3" s="1"/>
  <c r="D28" i="3"/>
  <c r="E28" i="3"/>
  <c r="B29" i="3" s="1"/>
  <c r="F71" i="2"/>
  <c r="H71" i="2" s="1"/>
  <c r="E71" i="2"/>
  <c r="G50" i="2"/>
  <c r="I50" i="2"/>
  <c r="J50" i="2" s="1"/>
  <c r="F29" i="2"/>
  <c r="H29" i="2" s="1"/>
  <c r="E29" i="2"/>
  <c r="G8" i="2"/>
  <c r="I8" i="2"/>
  <c r="J8" i="2" s="1"/>
  <c r="D45" i="3" l="1"/>
  <c r="D16" i="3"/>
  <c r="E16" i="3" s="1"/>
  <c r="D29" i="3"/>
  <c r="E29" i="3" s="1"/>
  <c r="G71" i="2"/>
  <c r="I71" i="2"/>
  <c r="J71" i="2" s="1"/>
  <c r="F51" i="2"/>
  <c r="H51" i="2" s="1"/>
  <c r="G29" i="2"/>
  <c r="I29" i="2"/>
  <c r="J29" i="2" s="1"/>
  <c r="F9" i="2"/>
  <c r="H9" i="2" s="1"/>
  <c r="E9" i="2"/>
  <c r="F72" i="2" l="1"/>
  <c r="H72" i="2" s="1"/>
  <c r="E72" i="2"/>
  <c r="I51" i="2"/>
  <c r="J51" i="2" s="1"/>
  <c r="E52" i="2" s="1"/>
  <c r="G51" i="2"/>
  <c r="F30" i="2"/>
  <c r="H30" i="2" s="1"/>
  <c r="E30" i="2"/>
  <c r="I9" i="2"/>
  <c r="J9" i="2" s="1"/>
  <c r="G9" i="2"/>
  <c r="I72" i="2" l="1"/>
  <c r="J72" i="2" s="1"/>
  <c r="G72" i="2"/>
  <c r="F52" i="2"/>
  <c r="H52" i="2" s="1"/>
  <c r="I30" i="2"/>
  <c r="J30" i="2" s="1"/>
  <c r="G30" i="2"/>
  <c r="E10" i="2"/>
  <c r="F10" i="2"/>
  <c r="H10" i="2" s="1"/>
  <c r="F73" i="2" l="1"/>
  <c r="H73" i="2" s="1"/>
  <c r="E73" i="2"/>
  <c r="G52" i="2"/>
  <c r="I52" i="2"/>
  <c r="J52" i="2" s="1"/>
  <c r="F31" i="2"/>
  <c r="H31" i="2" s="1"/>
  <c r="E31" i="2"/>
  <c r="G10" i="2"/>
  <c r="I10" i="2"/>
  <c r="J10" i="2" s="1"/>
  <c r="G73" i="2" l="1"/>
  <c r="I73" i="2"/>
  <c r="J73" i="2" s="1"/>
  <c r="F53" i="2"/>
  <c r="H53" i="2" s="1"/>
  <c r="G31" i="2"/>
  <c r="I31" i="2"/>
  <c r="J31" i="2" s="1"/>
  <c r="F11" i="2"/>
  <c r="H11" i="2" s="1"/>
  <c r="E11" i="2"/>
  <c r="F74" i="2" l="1"/>
  <c r="H74" i="2" s="1"/>
  <c r="E74" i="2"/>
  <c r="I53" i="2"/>
  <c r="J53" i="2" s="1"/>
  <c r="G53" i="2"/>
  <c r="F32" i="2"/>
  <c r="H32" i="2" s="1"/>
  <c r="E32" i="2"/>
  <c r="I11" i="2"/>
  <c r="J11" i="2" s="1"/>
  <c r="G11" i="2"/>
  <c r="E54" i="2" l="1"/>
  <c r="I74" i="2"/>
  <c r="J74" i="2" s="1"/>
  <c r="G74" i="2"/>
  <c r="F54" i="2"/>
  <c r="H54" i="2" s="1"/>
  <c r="I32" i="2"/>
  <c r="J32" i="2" s="1"/>
  <c r="G32" i="2"/>
  <c r="F12" i="2"/>
  <c r="H12" i="2" s="1"/>
  <c r="E12" i="2"/>
  <c r="F75" i="2" l="1"/>
  <c r="H75" i="2" s="1"/>
  <c r="E75" i="2"/>
  <c r="G54" i="2"/>
  <c r="I54" i="2"/>
  <c r="J54" i="2" s="1"/>
  <c r="F33" i="2"/>
  <c r="H33" i="2" s="1"/>
  <c r="E33" i="2"/>
  <c r="G12" i="2"/>
  <c r="I12" i="2"/>
  <c r="J12" i="2" s="1"/>
  <c r="G75" i="2" l="1"/>
  <c r="I75" i="2"/>
  <c r="J75" i="2" s="1"/>
  <c r="F55" i="2"/>
  <c r="H55" i="2" s="1"/>
  <c r="G33" i="2"/>
  <c r="I33" i="2"/>
  <c r="J33" i="2" s="1"/>
  <c r="F13" i="2"/>
  <c r="H13" i="2" s="1"/>
  <c r="E13" i="2"/>
  <c r="F76" i="2" l="1"/>
  <c r="H76" i="2" s="1"/>
  <c r="E76" i="2"/>
  <c r="I55" i="2"/>
  <c r="J55" i="2" s="1"/>
  <c r="G55" i="2"/>
  <c r="F34" i="2"/>
  <c r="H34" i="2" s="1"/>
  <c r="E34" i="2"/>
  <c r="G13" i="2"/>
  <c r="I13" i="2"/>
  <c r="J13" i="2" s="1"/>
  <c r="E56" i="2" l="1"/>
  <c r="I76" i="2"/>
  <c r="J76" i="2" s="1"/>
  <c r="G76" i="2"/>
  <c r="F56" i="2"/>
  <c r="H56" i="2" s="1"/>
  <c r="I34" i="2"/>
  <c r="J34" i="2" s="1"/>
  <c r="G34" i="2"/>
  <c r="F14" i="2"/>
  <c r="H14" i="2" s="1"/>
  <c r="E14" i="2"/>
  <c r="F77" i="2" l="1"/>
  <c r="H77" i="2" s="1"/>
  <c r="E77" i="2"/>
  <c r="G56" i="2"/>
  <c r="I56" i="2"/>
  <c r="J56" i="2" s="1"/>
  <c r="F35" i="2"/>
  <c r="H35" i="2" s="1"/>
  <c r="E35" i="2"/>
  <c r="G14" i="2"/>
  <c r="I14" i="2"/>
  <c r="J14" i="2" s="1"/>
  <c r="G77" i="2" l="1"/>
  <c r="I77" i="2"/>
  <c r="J77" i="2" s="1"/>
  <c r="F57" i="2"/>
  <c r="H57" i="2" s="1"/>
  <c r="G35" i="2"/>
  <c r="I35" i="2"/>
  <c r="J35" i="2" s="1"/>
  <c r="F15" i="2"/>
  <c r="H15" i="2" s="1"/>
  <c r="E15" i="2"/>
  <c r="F78" i="2" l="1"/>
  <c r="H78" i="2" s="1"/>
  <c r="E78" i="2"/>
  <c r="I57" i="2"/>
  <c r="J57" i="2" s="1"/>
  <c r="G57" i="2"/>
  <c r="F36" i="2"/>
  <c r="H36" i="2" s="1"/>
  <c r="E36" i="2"/>
  <c r="I15" i="2"/>
  <c r="J15" i="2" s="1"/>
  <c r="G15" i="2"/>
  <c r="E58" i="2" l="1"/>
  <c r="I78" i="2"/>
  <c r="J78" i="2" s="1"/>
  <c r="G78" i="2"/>
  <c r="F58" i="2"/>
  <c r="H58" i="2" s="1"/>
  <c r="I36" i="2"/>
  <c r="J36" i="2" s="1"/>
  <c r="G36" i="2"/>
  <c r="F16" i="2"/>
  <c r="H16" i="2" s="1"/>
  <c r="E16" i="2"/>
  <c r="F79" i="2" l="1"/>
  <c r="H79" i="2" s="1"/>
  <c r="E79" i="2"/>
  <c r="G58" i="2"/>
  <c r="I58" i="2"/>
  <c r="J58" i="2" s="1"/>
  <c r="F37" i="2"/>
  <c r="H37" i="2" s="1"/>
  <c r="E37" i="2"/>
  <c r="G16" i="2"/>
  <c r="I16" i="2"/>
  <c r="J16" i="2" s="1"/>
  <c r="G79" i="2" l="1"/>
  <c r="I79" i="2"/>
  <c r="J79" i="2" s="1"/>
  <c r="F59" i="2"/>
  <c r="H59" i="2" s="1"/>
  <c r="G37" i="2"/>
  <c r="I37" i="2"/>
  <c r="J37" i="2" s="1"/>
  <c r="F17" i="2"/>
  <c r="H17" i="2" s="1"/>
  <c r="E17" i="2"/>
  <c r="F80" i="2" l="1"/>
  <c r="H80" i="2" s="1"/>
  <c r="E80" i="2"/>
  <c r="I59" i="2"/>
  <c r="J59" i="2" s="1"/>
  <c r="G59" i="2"/>
  <c r="F38" i="2"/>
  <c r="H38" i="2" s="1"/>
  <c r="E38" i="2"/>
  <c r="I17" i="2"/>
  <c r="J17" i="2" s="1"/>
  <c r="G17" i="2"/>
  <c r="E60" i="2" l="1"/>
  <c r="I80" i="2"/>
  <c r="J80" i="2" s="1"/>
  <c r="G80" i="2"/>
  <c r="F60" i="2"/>
  <c r="H60" i="2" s="1"/>
  <c r="I38" i="2"/>
  <c r="J38" i="2" s="1"/>
  <c r="G38" i="2"/>
  <c r="F18" i="2"/>
  <c r="H18" i="2" s="1"/>
  <c r="E18" i="2"/>
  <c r="F81" i="2" l="1"/>
  <c r="H81" i="2" s="1"/>
  <c r="E81" i="2"/>
  <c r="G60" i="2"/>
  <c r="I60" i="2"/>
  <c r="J60" i="2" s="1"/>
  <c r="F39" i="2"/>
  <c r="H39" i="2" s="1"/>
  <c r="E39" i="2"/>
  <c r="G18" i="2"/>
  <c r="I18" i="2"/>
  <c r="J18" i="2" s="1"/>
  <c r="G81" i="2" l="1"/>
  <c r="I81" i="2"/>
  <c r="J81" i="2" s="1"/>
  <c r="F61" i="2"/>
  <c r="H61" i="2" s="1"/>
  <c r="G39" i="2"/>
  <c r="I39" i="2"/>
  <c r="J39" i="2" s="1"/>
  <c r="F19" i="2"/>
  <c r="H19" i="2" s="1"/>
  <c r="E19" i="2"/>
  <c r="F82" i="2" l="1"/>
  <c r="H82" i="2" s="1"/>
  <c r="E82" i="2"/>
  <c r="I61" i="2"/>
  <c r="J61" i="2" s="1"/>
  <c r="E62" i="2" s="1"/>
  <c r="G61" i="2"/>
  <c r="F40" i="2"/>
  <c r="H40" i="2" s="1"/>
  <c r="E40" i="2"/>
  <c r="I19" i="2"/>
  <c r="J19" i="2" s="1"/>
  <c r="G19" i="2"/>
  <c r="I82" i="2" l="1"/>
  <c r="J82" i="2" s="1"/>
  <c r="G82" i="2"/>
  <c r="F62" i="2"/>
  <c r="H62" i="2" s="1"/>
  <c r="I40" i="2"/>
  <c r="J40" i="2" s="1"/>
  <c r="G40" i="2"/>
  <c r="E20" i="2"/>
  <c r="F20" i="2"/>
  <c r="H20" i="2" s="1"/>
  <c r="F83" i="2" l="1"/>
  <c r="H83" i="2" s="1"/>
  <c r="E83" i="2"/>
  <c r="G62" i="2"/>
  <c r="I62" i="2"/>
  <c r="J62" i="2" s="1"/>
  <c r="F41" i="2"/>
  <c r="H41" i="2" s="1"/>
  <c r="E41" i="2"/>
  <c r="G20" i="2"/>
  <c r="I20" i="2"/>
  <c r="J20" i="2" s="1"/>
  <c r="G83" i="2" l="1"/>
  <c r="I83" i="2"/>
  <c r="J83" i="2" s="1"/>
  <c r="F63" i="2"/>
  <c r="H63" i="2" s="1"/>
  <c r="G41" i="2"/>
  <c r="I41" i="2"/>
  <c r="J41" i="2" s="1"/>
  <c r="F21" i="2"/>
  <c r="H21" i="2" s="1"/>
  <c r="E21" i="2"/>
  <c r="F84" i="2" l="1"/>
  <c r="H84" i="2" s="1"/>
  <c r="E84" i="2"/>
  <c r="I63" i="2"/>
  <c r="J63" i="2" s="1"/>
  <c r="G63" i="2"/>
  <c r="F42" i="2"/>
  <c r="H42" i="2" s="1"/>
  <c r="E42" i="2"/>
  <c r="I21" i="2"/>
  <c r="J21" i="2" s="1"/>
  <c r="G21" i="2"/>
  <c r="I84" i="2" l="1"/>
  <c r="J84" i="2" s="1"/>
  <c r="G84" i="2"/>
  <c r="I42" i="2"/>
  <c r="J42" i="2" s="1"/>
  <c r="G42" i="2"/>
  <c r="E45" i="3" l="1"/>
  <c r="E59" i="3"/>
</calcChain>
</file>

<file path=xl/sharedStrings.xml><?xml version="1.0" encoding="utf-8"?>
<sst xmlns="http://schemas.openxmlformats.org/spreadsheetml/2006/main" count="86" uniqueCount="32">
  <si>
    <t>Exercise 1.1</t>
  </si>
  <si>
    <t>Exercise 1.2</t>
  </si>
  <si>
    <t>Exercise 1.3</t>
  </si>
  <si>
    <t>Exercise 1.6</t>
  </si>
  <si>
    <t>Newton Method</t>
  </si>
  <si>
    <t>Secant Method</t>
  </si>
  <si>
    <t>Bisection Method</t>
  </si>
  <si>
    <t>Goal Seek</t>
  </si>
  <si>
    <t>x</t>
  </si>
  <si>
    <t xml:space="preserve">x = </t>
  </si>
  <si>
    <t xml:space="preserve">f(x) = </t>
  </si>
  <si>
    <t>f(x)</t>
  </si>
  <si>
    <t>x − x^1/3 − 2</t>
  </si>
  <si>
    <t>x^4 − e^x + 1</t>
  </si>
  <si>
    <t>x^2e^x − 1</t>
  </si>
  <si>
    <t>x1</t>
  </si>
  <si>
    <t>x2</t>
  </si>
  <si>
    <t>f(x1)</t>
  </si>
  <si>
    <t>f(x2)</t>
  </si>
  <si>
    <t>x3</t>
  </si>
  <si>
    <t>x^2*e^x − 1</t>
  </si>
  <si>
    <t>x tanx − 1</t>
  </si>
  <si>
    <t>x* tanx-1</t>
  </si>
  <si>
    <t>x =</t>
  </si>
  <si>
    <t>f(x)=</t>
  </si>
  <si>
    <t>f(x) =</t>
  </si>
  <si>
    <t>a</t>
  </si>
  <si>
    <t>b</t>
  </si>
  <si>
    <t>f(a)</t>
  </si>
  <si>
    <t>f(b)</t>
  </si>
  <si>
    <t>c</t>
  </si>
  <si>
    <t>f(c)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</si>
</sst>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Sheet1!$D$4:$D$18</c:f>
              <c:numCache>
                <c:formatCode>General</c:formatCode>
                <c:ptCount val="15"/>
                <c:pt idx="0">
                  <c:v>2.2000000000000002</c:v>
                </c:pt>
                <c:pt idx="1">
                  <c:v>2.2999999999999998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2.7</c:v>
                </c:pt>
                <c:pt idx="6">
                  <c:v>2.8</c:v>
                </c:pt>
                <c:pt idx="7">
                  <c:v>2.9</c:v>
                </c:pt>
                <c:pt idx="8">
                  <c:v>3</c:v>
                </c:pt>
                <c:pt idx="9">
                  <c:v>3.1</c:v>
                </c:pt>
                <c:pt idx="10">
                  <c:v>3.2</c:v>
                </c:pt>
                <c:pt idx="11">
                  <c:v>3.4</c:v>
                </c:pt>
                <c:pt idx="12">
                  <c:v>3.5</c:v>
                </c:pt>
                <c:pt idx="13">
                  <c:v>3.6</c:v>
                </c:pt>
                <c:pt idx="14">
                  <c:v>3.7</c:v>
                </c:pt>
              </c:numCache>
            </c:numRef>
          </c:xVal>
          <c:yVal>
            <c:numRef>
              <c:f>Sheet1!$E$4:$E$18</c:f>
              <c:numCache>
                <c:formatCode>General</c:formatCode>
                <c:ptCount val="15"/>
                <c:pt idx="0">
                  <c:v>-1.1005914468513869</c:v>
                </c:pt>
                <c:pt idx="1">
                  <c:v>-1.0200061217959124</c:v>
                </c:pt>
                <c:pt idx="2">
                  <c:v>-0.93886590016433913</c:v>
                </c:pt>
                <c:pt idx="3">
                  <c:v>-0.85720880829745338</c:v>
                </c:pt>
                <c:pt idx="4">
                  <c:v>-0.7750688670741408</c:v>
                </c:pt>
                <c:pt idx="5">
                  <c:v>-0.69247665008383352</c:v>
                </c:pt>
                <c:pt idx="6">
                  <c:v>-0.60945974641297851</c:v>
                </c:pt>
                <c:pt idx="7">
                  <c:v>-0.52604314714240874</c:v>
                </c:pt>
                <c:pt idx="8">
                  <c:v>-0.4422495703074083</c:v>
                </c:pt>
                <c:pt idx="9">
                  <c:v>-0.35809973582671151</c:v>
                </c:pt>
                <c:pt idx="10">
                  <c:v>-0.27361259945615446</c:v>
                </c:pt>
                <c:pt idx="11">
                  <c:v>-0.1036945962049749</c:v>
                </c:pt>
                <c:pt idx="12">
                  <c:v>-1.829448593783134E-2</c:v>
                </c:pt>
                <c:pt idx="13">
                  <c:v>6.7381135212893906E-2</c:v>
                </c:pt>
                <c:pt idx="14">
                  <c:v>0.15331962622796436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1B-4BB4-A3C3-932FE57D5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128088"/>
        <c:axId val="409130384"/>
      </c:scatterChart>
      <c:valAx>
        <c:axId val="409128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130384"/>
        <c:crosses val="autoZero"/>
        <c:crossBetween val="midCat"/>
      </c:valAx>
      <c:valAx>
        <c:axId val="4091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128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Sheet1!$D$21:$D$35</c:f>
              <c:numCache>
                <c:formatCode>General</c:formatCode>
                <c:ptCount val="15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</c:numCache>
            </c:numRef>
          </c:xVal>
          <c:yVal>
            <c:numRef>
              <c:f>Sheet1!$E$21:$E$35</c:f>
              <c:numCache>
                <c:formatCode>General</c:formatCode>
                <c:ptCount val="15"/>
                <c:pt idx="0">
                  <c:v>-5.3700797265230378</c:v>
                </c:pt>
                <c:pt idx="1">
                  <c:v>-4.5906777400994656</c:v>
                </c:pt>
                <c:pt idx="2">
                  <c:v>-4.0224107248913477</c:v>
                </c:pt>
                <c:pt idx="3">
                  <c:v>-3.5741913759885047</c:v>
                </c:pt>
                <c:pt idx="4">
                  <c:v>-3.1984342952161855</c:v>
                </c:pt>
                <c:pt idx="5">
                  <c:v>-2.8675557430966507</c:v>
                </c:pt>
                <c:pt idx="6">
                  <c:v>-2.5641511940333723</c:v>
                </c:pt>
                <c:pt idx="7">
                  <c:v>-2.2763645985782008</c:v>
                </c:pt>
                <c:pt idx="8">
                  <c:v>-1.9954835286232928</c:v>
                </c:pt>
                <c:pt idx="9">
                  <c:v>-1.7145756425187022</c:v>
                </c:pt>
                <c:pt idx="10">
                  <c:v>-1.4276396292228335</c:v>
                </c:pt>
                <c:pt idx="11">
                  <c:v>-1.1290116292154713</c:v>
                </c:pt>
                <c:pt idx="12">
                  <c:v>-0.81288366572934834</c:v>
                </c:pt>
                <c:pt idx="13">
                  <c:v>-0.47283903272189376</c:v>
                </c:pt>
                <c:pt idx="14">
                  <c:v>-0.10132253705075456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E4-4791-8C58-3618281CD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012272"/>
        <c:axId val="406012600"/>
      </c:scatterChart>
      <c:valAx>
        <c:axId val="40601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12600"/>
        <c:crosses val="autoZero"/>
        <c:crossBetween val="midCat"/>
      </c:valAx>
      <c:valAx>
        <c:axId val="40601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1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Sheet1!$E$38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Sheet1!$D$39:$D$53</c:f>
              <c:numCache>
                <c:formatCode>General</c:formatCode>
                <c:ptCount val="1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</c:numCache>
            </c:numRef>
          </c:xVal>
          <c:yVal>
            <c:numRef>
              <c:f>Sheet1!$E$39:$E$53</c:f>
              <c:numCache>
                <c:formatCode>General</c:formatCode>
                <c:ptCount val="15"/>
                <c:pt idx="0">
                  <c:v>-0.10507091807564772</c:v>
                </c:pt>
                <c:pt idx="1">
                  <c:v>-0.21980275816016981</c:v>
                </c:pt>
                <c:pt idx="2">
                  <c:v>-0.34175880757600319</c:v>
                </c:pt>
                <c:pt idx="3">
                  <c:v>-0.46622469764127028</c:v>
                </c:pt>
                <c:pt idx="4">
                  <c:v>-0.58622127070012819</c:v>
                </c:pt>
                <c:pt idx="5">
                  <c:v>-0.69251880039050895</c:v>
                </c:pt>
                <c:pt idx="6">
                  <c:v>-0.77365270747047665</c:v>
                </c:pt>
                <c:pt idx="7">
                  <c:v>-0.81594092849246769</c:v>
                </c:pt>
                <c:pt idx="8">
                  <c:v>-0.80350311115694972</c:v>
                </c:pt>
                <c:pt idx="9">
                  <c:v>-0.71828182845904509</c:v>
                </c:pt>
                <c:pt idx="10">
                  <c:v>-0.54006602394643299</c:v>
                </c:pt>
                <c:pt idx="11">
                  <c:v>-0.24651692273654735</c:v>
                </c:pt>
                <c:pt idx="12">
                  <c:v>0.18680333238075608</c:v>
                </c:pt>
                <c:pt idx="13">
                  <c:v>0.78640003315532425</c:v>
                </c:pt>
                <c:pt idx="14">
                  <c:v>1.5808109296619355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B6-49B0-875F-1C21AF07B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618424"/>
        <c:axId val="498619736"/>
      </c:scatterChart>
      <c:valAx>
        <c:axId val="498618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19736"/>
        <c:crosses val="autoZero"/>
        <c:crossBetween val="midCat"/>
      </c:valAx>
      <c:valAx>
        <c:axId val="49861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18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Sheet1!$E$56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Sheet1!$D$57:$D$71</c:f>
              <c:numCache>
                <c:formatCode>General</c:formatCode>
                <c:ptCount val="1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</c:numCache>
            </c:numRef>
          </c:xVal>
          <c:yVal>
            <c:numRef>
              <c:f>Sheet1!$E$57:$E$71</c:f>
              <c:numCache>
                <c:formatCode>General</c:formatCode>
                <c:ptCount val="15"/>
                <c:pt idx="0">
                  <c:v>-0.98894829081924351</c:v>
                </c:pt>
                <c:pt idx="1">
                  <c:v>-0.9511438896735932</c:v>
                </c:pt>
                <c:pt idx="2">
                  <c:v>-0.87851270731815978</c:v>
                </c:pt>
                <c:pt idx="3">
                  <c:v>-0.76130804837739663</c:v>
                </c:pt>
                <c:pt idx="4">
                  <c:v>-0.58781968232496795</c:v>
                </c:pt>
                <c:pt idx="5">
                  <c:v>-0.34403723185941681</c:v>
                </c:pt>
                <c:pt idx="6">
                  <c:v>-1.3261173339466525E-2</c:v>
                </c:pt>
                <c:pt idx="7">
                  <c:v>0.42434619423517961</c:v>
                </c:pt>
                <c:pt idx="8">
                  <c:v>0.99227852003712957</c:v>
                </c:pt>
                <c:pt idx="9">
                  <c:v>1.7182818284590451</c:v>
                </c:pt>
                <c:pt idx="10">
                  <c:v>2.6350408889751851</c:v>
                </c:pt>
                <c:pt idx="11">
                  <c:v>3.7809683687406279</c:v>
                </c:pt>
                <c:pt idx="12">
                  <c:v>5.201111368276524</c:v>
                </c:pt>
                <c:pt idx="13">
                  <c:v>6.9481919350155614</c:v>
                </c:pt>
                <c:pt idx="14">
                  <c:v>9.0838004082606449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82-49EA-9284-0D3BAE6C5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803528"/>
        <c:axId val="505803200"/>
      </c:scatterChart>
      <c:valAx>
        <c:axId val="505803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03200"/>
        <c:crosses val="autoZero"/>
        <c:crossBetween val="midCat"/>
      </c:valAx>
      <c:valAx>
        <c:axId val="50580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03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0</xdr:row>
      <xdr:rowOff>100012</xdr:rowOff>
    </xdr:from>
    <xdr:to>
      <xdr:col>14</xdr:col>
      <xdr:colOff>28575</xdr:colOff>
      <xdr:row>14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468F9-A2A5-4918-A150-1885A7F87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16</xdr:row>
      <xdr:rowOff>185737</xdr:rowOff>
    </xdr:from>
    <xdr:to>
      <xdr:col>14</xdr:col>
      <xdr:colOff>38100</xdr:colOff>
      <xdr:row>31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1646B5-BBC2-430E-9252-2E704D4DD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333375</xdr:colOff>
      <xdr:row>36</xdr:row>
      <xdr:rowOff>14287</xdr:rowOff>
    </xdr:from>
    <xdr:to>
      <xdr:col>14</xdr:col>
      <xdr:colOff>28575</xdr:colOff>
      <xdr:row>50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3BEE79-56AE-4336-A6BC-A052BB1EE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333375</xdr:colOff>
      <xdr:row>53</xdr:row>
      <xdr:rowOff>14287</xdr:rowOff>
    </xdr:from>
    <xdr:to>
      <xdr:col>14</xdr:col>
      <xdr:colOff>28575</xdr:colOff>
      <xdr:row>67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66687A-4356-493E-8FB2-BE5A5704C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16</xdr:col>
      <xdr:colOff>292271</xdr:colOff>
      <xdr:row>17</xdr:row>
      <xdr:rowOff>13785</xdr:rowOff>
    </xdr:from>
    <xdr:ext cx="647357" cy="483722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5B97ECC-CF92-444B-B3F7-D2422D39B4ED}"/>
            </a:ext>
          </a:extLst>
        </xdr:cNvPr>
        <xdr:cNvSpPr/>
      </xdr:nvSpPr>
      <xdr:spPr>
        <a:xfrm>
          <a:off x="11061871" y="3252285"/>
          <a:ext cx="647357" cy="48372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5/5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74</xdr:row>
      <xdr:rowOff>0</xdr:rowOff>
    </xdr:from>
    <xdr:ext cx="647357" cy="483722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13F810A-2132-9841-9878-497A1F0CD57E}"/>
            </a:ext>
          </a:extLst>
        </xdr:cNvPr>
        <xdr:cNvSpPr/>
      </xdr:nvSpPr>
      <xdr:spPr>
        <a:xfrm>
          <a:off x="9423400" y="14097000"/>
          <a:ext cx="647357" cy="48372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5/5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18</xdr:row>
      <xdr:rowOff>0</xdr:rowOff>
    </xdr:from>
    <xdr:ext cx="647357" cy="483722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BD7EE39-6239-EE45-AFCD-CF582C95E446}"/>
            </a:ext>
          </a:extLst>
        </xdr:cNvPr>
        <xdr:cNvSpPr/>
      </xdr:nvSpPr>
      <xdr:spPr>
        <a:xfrm>
          <a:off x="9423400" y="3429000"/>
          <a:ext cx="647357" cy="48372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5/5</a:t>
          </a:r>
        </a:p>
      </xdr:txBody>
    </xdr:sp>
    <xdr:clientData/>
  </xdr:oneCellAnchor>
  <xdr:oneCellAnchor>
    <xdr:from>
      <xdr:col>13</xdr:col>
      <xdr:colOff>333799</xdr:colOff>
      <xdr:row>47</xdr:row>
      <xdr:rowOff>64585</xdr:rowOff>
    </xdr:from>
    <xdr:ext cx="3307508" cy="875111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401CC5-799B-1841-BFD2-1FDAFE47F5CE}"/>
            </a:ext>
          </a:extLst>
        </xdr:cNvPr>
        <xdr:cNvSpPr/>
      </xdr:nvSpPr>
      <xdr:spPr>
        <a:xfrm>
          <a:off x="9084099" y="9018085"/>
          <a:ext cx="3307508" cy="875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2/5</a:t>
          </a:r>
        </a:p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Wrong</a:t>
          </a:r>
          <a:r>
            <a:rPr lang="en-US" altLang="zh-CN" sz="25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implementation</a:t>
          </a:r>
          <a:endParaRPr lang="en-US" altLang="zh-CN" sz="25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227581</xdr:colOff>
      <xdr:row>16</xdr:row>
      <xdr:rowOff>13785</xdr:rowOff>
    </xdr:from>
    <xdr:ext cx="2148345" cy="8751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D94D908-FB18-C94C-A800-C2E1AA50D973}"/>
            </a:ext>
          </a:extLst>
        </xdr:cNvPr>
        <xdr:cNvSpPr/>
      </xdr:nvSpPr>
      <xdr:spPr>
        <a:xfrm>
          <a:off x="6285481" y="3061785"/>
          <a:ext cx="2148345" cy="875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0/5</a:t>
          </a:r>
        </a:p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missing results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7FE1-D6B5-47A9-89E8-109E77F4C8C6}">
  <sheetPr codeName="Sheet1"/>
  <dimension ref="A1:E71"/>
  <sheetViews>
    <sheetView workbookViewId="0">
      <selection activeCell="S18" sqref="S18"/>
    </sheetView>
  </sheetViews>
  <sheetFormatPr baseColWidth="10" defaultColWidth="8.83203125" defaultRowHeight="15"/>
  <sheetData>
    <row r="1" spans="1:5">
      <c r="A1" t="s">
        <v>0</v>
      </c>
      <c r="C1" t="s">
        <v>7</v>
      </c>
    </row>
    <row r="2" spans="1:5">
      <c r="A2" t="s">
        <v>12</v>
      </c>
    </row>
    <row r="3" spans="1:5">
      <c r="D3" t="s">
        <v>8</v>
      </c>
      <c r="E3" t="s">
        <v>11</v>
      </c>
    </row>
    <row r="4" spans="1:5">
      <c r="A4" t="s">
        <v>9</v>
      </c>
      <c r="B4">
        <v>2.9999999999999991</v>
      </c>
      <c r="D4">
        <v>2.2000000000000002</v>
      </c>
      <c r="E4">
        <f>D4-D4^(1/3)-2</f>
        <v>-1.1005914468513869</v>
      </c>
    </row>
    <row r="5" spans="1:5">
      <c r="A5" t="s">
        <v>10</v>
      </c>
      <c r="B5">
        <f>B4-B4^1/3-2</f>
        <v>0</v>
      </c>
      <c r="D5">
        <v>2.2999999999999998</v>
      </c>
      <c r="E5">
        <f t="shared" ref="E5:E18" si="0">D5-D5^(1/3)-2</f>
        <v>-1.0200061217959124</v>
      </c>
    </row>
    <row r="6" spans="1:5">
      <c r="D6">
        <v>2.4</v>
      </c>
      <c r="E6">
        <f t="shared" si="0"/>
        <v>-0.93886590016433913</v>
      </c>
    </row>
    <row r="7" spans="1:5">
      <c r="D7">
        <v>2.5</v>
      </c>
      <c r="E7">
        <f t="shared" si="0"/>
        <v>-0.85720880829745338</v>
      </c>
    </row>
    <row r="8" spans="1:5">
      <c r="D8">
        <v>2.6</v>
      </c>
      <c r="E8">
        <f t="shared" si="0"/>
        <v>-0.7750688670741408</v>
      </c>
    </row>
    <row r="9" spans="1:5">
      <c r="D9">
        <v>2.7</v>
      </c>
      <c r="E9">
        <f t="shared" si="0"/>
        <v>-0.69247665008383352</v>
      </c>
    </row>
    <row r="10" spans="1:5">
      <c r="D10">
        <v>2.8</v>
      </c>
      <c r="E10">
        <f t="shared" si="0"/>
        <v>-0.60945974641297851</v>
      </c>
    </row>
    <row r="11" spans="1:5">
      <c r="D11">
        <v>2.9</v>
      </c>
      <c r="E11">
        <f t="shared" si="0"/>
        <v>-0.52604314714240874</v>
      </c>
    </row>
    <row r="12" spans="1:5">
      <c r="D12">
        <v>3</v>
      </c>
      <c r="E12">
        <f t="shared" si="0"/>
        <v>-0.4422495703074083</v>
      </c>
    </row>
    <row r="13" spans="1:5">
      <c r="D13">
        <v>3.1</v>
      </c>
      <c r="E13">
        <f t="shared" si="0"/>
        <v>-0.35809973582671151</v>
      </c>
    </row>
    <row r="14" spans="1:5">
      <c r="D14">
        <v>3.2</v>
      </c>
      <c r="E14">
        <f t="shared" si="0"/>
        <v>-0.27361259945615446</v>
      </c>
    </row>
    <row r="15" spans="1:5">
      <c r="D15">
        <v>3.4</v>
      </c>
      <c r="E15">
        <f t="shared" si="0"/>
        <v>-0.1036945962049749</v>
      </c>
    </row>
    <row r="16" spans="1:5">
      <c r="D16">
        <v>3.5</v>
      </c>
      <c r="E16">
        <f t="shared" si="0"/>
        <v>-1.829448593783134E-2</v>
      </c>
    </row>
    <row r="17" spans="1:5">
      <c r="D17">
        <v>3.6</v>
      </c>
      <c r="E17">
        <f t="shared" si="0"/>
        <v>6.7381135212893906E-2</v>
      </c>
    </row>
    <row r="18" spans="1:5">
      <c r="D18">
        <v>3.7</v>
      </c>
      <c r="E18">
        <f t="shared" si="0"/>
        <v>0.15331962622796436</v>
      </c>
    </row>
    <row r="20" spans="1:5">
      <c r="D20" t="s">
        <v>8</v>
      </c>
      <c r="E20" t="s">
        <v>11</v>
      </c>
    </row>
    <row r="21" spans="1:5">
      <c r="D21">
        <v>2</v>
      </c>
      <c r="E21">
        <f>D21*TAN(D21)-1</f>
        <v>-5.3700797265230378</v>
      </c>
    </row>
    <row r="22" spans="1:5">
      <c r="A22" t="s">
        <v>22</v>
      </c>
      <c r="D22">
        <v>2.1</v>
      </c>
      <c r="E22">
        <f t="shared" ref="E22:E35" si="1">D22*TAN(D22)-1</f>
        <v>-4.5906777400994656</v>
      </c>
    </row>
    <row r="23" spans="1:5">
      <c r="D23">
        <v>2.2000000000000002</v>
      </c>
      <c r="E23">
        <f t="shared" si="1"/>
        <v>-4.0224107248913477</v>
      </c>
    </row>
    <row r="24" spans="1:5">
      <c r="A24" t="s">
        <v>23</v>
      </c>
      <c r="B24">
        <v>0.86032914173101216</v>
      </c>
      <c r="D24">
        <v>2.2999999999999998</v>
      </c>
      <c r="E24">
        <f t="shared" si="1"/>
        <v>-3.5741913759885047</v>
      </c>
    </row>
    <row r="25" spans="1:5">
      <c r="A25" t="s">
        <v>24</v>
      </c>
      <c r="B25">
        <f>B24*TAN(B24)-1</f>
        <v>-1.4164579399067456E-5</v>
      </c>
      <c r="D25">
        <v>2.4</v>
      </c>
      <c r="E25">
        <f t="shared" si="1"/>
        <v>-3.1984342952161855</v>
      </c>
    </row>
    <row r="26" spans="1:5">
      <c r="D26">
        <v>2.5</v>
      </c>
      <c r="E26">
        <f t="shared" si="1"/>
        <v>-2.8675557430966507</v>
      </c>
    </row>
    <row r="27" spans="1:5">
      <c r="D27">
        <v>2.6</v>
      </c>
      <c r="E27">
        <f t="shared" si="1"/>
        <v>-2.5641511940333723</v>
      </c>
    </row>
    <row r="28" spans="1:5">
      <c r="D28">
        <v>2.7</v>
      </c>
      <c r="E28">
        <f t="shared" si="1"/>
        <v>-2.2763645985782008</v>
      </c>
    </row>
    <row r="29" spans="1:5">
      <c r="D29">
        <v>2.8</v>
      </c>
      <c r="E29">
        <f t="shared" si="1"/>
        <v>-1.9954835286232928</v>
      </c>
    </row>
    <row r="30" spans="1:5">
      <c r="D30">
        <v>2.9</v>
      </c>
      <c r="E30">
        <f t="shared" si="1"/>
        <v>-1.7145756425187022</v>
      </c>
    </row>
    <row r="31" spans="1:5">
      <c r="D31">
        <v>3</v>
      </c>
      <c r="E31">
        <f t="shared" si="1"/>
        <v>-1.4276396292228335</v>
      </c>
    </row>
    <row r="32" spans="1:5">
      <c r="D32">
        <v>3.1</v>
      </c>
      <c r="E32">
        <f t="shared" si="1"/>
        <v>-1.1290116292154713</v>
      </c>
    </row>
    <row r="33" spans="1:5">
      <c r="D33">
        <v>3.2</v>
      </c>
      <c r="E33">
        <f t="shared" si="1"/>
        <v>-0.81288366572934834</v>
      </c>
    </row>
    <row r="34" spans="1:5">
      <c r="D34">
        <v>3.3</v>
      </c>
      <c r="E34">
        <f t="shared" si="1"/>
        <v>-0.47283903272189376</v>
      </c>
    </row>
    <row r="35" spans="1:5">
      <c r="D35">
        <v>3.4</v>
      </c>
      <c r="E35">
        <f t="shared" si="1"/>
        <v>-0.10132253705075456</v>
      </c>
    </row>
    <row r="37" spans="1:5">
      <c r="A37" t="s">
        <v>13</v>
      </c>
    </row>
    <row r="38" spans="1:5">
      <c r="D38" t="s">
        <v>8</v>
      </c>
      <c r="E38" t="s">
        <v>11</v>
      </c>
    </row>
    <row r="39" spans="1:5">
      <c r="A39" t="s">
        <v>9</v>
      </c>
      <c r="B39">
        <v>0</v>
      </c>
      <c r="D39">
        <v>0.1</v>
      </c>
      <c r="E39">
        <f>D39^4-EXP(D39)+1</f>
        <v>-0.10507091807564772</v>
      </c>
    </row>
    <row r="40" spans="1:5">
      <c r="A40" t="s">
        <v>25</v>
      </c>
      <c r="B40">
        <f>B39^4-EXP(B39)+1</f>
        <v>0</v>
      </c>
      <c r="D40">
        <v>0.2</v>
      </c>
      <c r="E40">
        <f t="shared" ref="E40:E53" si="2">D40^4-EXP(D40)+1</f>
        <v>-0.21980275816016981</v>
      </c>
    </row>
    <row r="41" spans="1:5">
      <c r="D41">
        <v>0.3</v>
      </c>
      <c r="E41">
        <f t="shared" si="2"/>
        <v>-0.34175880757600319</v>
      </c>
    </row>
    <row r="42" spans="1:5">
      <c r="D42">
        <v>0.4</v>
      </c>
      <c r="E42">
        <f t="shared" si="2"/>
        <v>-0.46622469764127028</v>
      </c>
    </row>
    <row r="43" spans="1:5">
      <c r="D43">
        <v>0.5</v>
      </c>
      <c r="E43">
        <f t="shared" si="2"/>
        <v>-0.58622127070012819</v>
      </c>
    </row>
    <row r="44" spans="1:5">
      <c r="D44">
        <v>0.6</v>
      </c>
      <c r="E44">
        <f t="shared" si="2"/>
        <v>-0.69251880039050895</v>
      </c>
    </row>
    <row r="45" spans="1:5">
      <c r="D45">
        <v>0.7</v>
      </c>
      <c r="E45">
        <f t="shared" si="2"/>
        <v>-0.77365270747047665</v>
      </c>
    </row>
    <row r="46" spans="1:5">
      <c r="D46">
        <v>0.8</v>
      </c>
      <c r="E46">
        <f t="shared" si="2"/>
        <v>-0.81594092849246769</v>
      </c>
    </row>
    <row r="47" spans="1:5">
      <c r="D47">
        <v>0.9</v>
      </c>
      <c r="E47">
        <f t="shared" si="2"/>
        <v>-0.80350311115694972</v>
      </c>
    </row>
    <row r="48" spans="1:5">
      <c r="D48">
        <v>1</v>
      </c>
      <c r="E48">
        <f t="shared" si="2"/>
        <v>-0.71828182845904509</v>
      </c>
    </row>
    <row r="49" spans="1:5">
      <c r="D49">
        <v>1.1000000000000001</v>
      </c>
      <c r="E49">
        <f t="shared" si="2"/>
        <v>-0.54006602394643299</v>
      </c>
    </row>
    <row r="50" spans="1:5">
      <c r="D50">
        <v>1.2</v>
      </c>
      <c r="E50">
        <f t="shared" si="2"/>
        <v>-0.24651692273654735</v>
      </c>
    </row>
    <row r="51" spans="1:5">
      <c r="D51">
        <v>1.3</v>
      </c>
      <c r="E51">
        <f t="shared" si="2"/>
        <v>0.18680333238075608</v>
      </c>
    </row>
    <row r="52" spans="1:5">
      <c r="D52">
        <v>1.4</v>
      </c>
      <c r="E52">
        <f t="shared" si="2"/>
        <v>0.78640003315532425</v>
      </c>
    </row>
    <row r="53" spans="1:5">
      <c r="D53">
        <v>1.5</v>
      </c>
      <c r="E53">
        <f t="shared" si="2"/>
        <v>1.5808109296619355</v>
      </c>
    </row>
    <row r="54" spans="1:5">
      <c r="A54" t="s">
        <v>20</v>
      </c>
    </row>
    <row r="56" spans="1:5">
      <c r="A56" t="s">
        <v>23</v>
      </c>
      <c r="B56">
        <v>0.70342372223970395</v>
      </c>
      <c r="D56" t="s">
        <v>8</v>
      </c>
      <c r="E56" t="s">
        <v>11</v>
      </c>
    </row>
    <row r="57" spans="1:5">
      <c r="A57" t="s">
        <v>25</v>
      </c>
      <c r="B57">
        <f>B56^2*EXP(B56)-1</f>
        <v>-1.6793246751933832E-4</v>
      </c>
      <c r="D57">
        <v>0.1</v>
      </c>
      <c r="E57">
        <f>D57^2*EXP(D57)-1</f>
        <v>-0.98894829081924351</v>
      </c>
    </row>
    <row r="58" spans="1:5">
      <c r="D58">
        <v>0.2</v>
      </c>
      <c r="E58">
        <f t="shared" ref="E58:E71" si="3">D58^2*EXP(D58)-1</f>
        <v>-0.9511438896735932</v>
      </c>
    </row>
    <row r="59" spans="1:5">
      <c r="D59">
        <v>0.3</v>
      </c>
      <c r="E59">
        <f t="shared" si="3"/>
        <v>-0.87851270731815978</v>
      </c>
    </row>
    <row r="60" spans="1:5">
      <c r="D60">
        <v>0.4</v>
      </c>
      <c r="E60">
        <f t="shared" si="3"/>
        <v>-0.76130804837739663</v>
      </c>
    </row>
    <row r="61" spans="1:5">
      <c r="D61">
        <v>0.5</v>
      </c>
      <c r="E61">
        <f t="shared" si="3"/>
        <v>-0.58781968232496795</v>
      </c>
    </row>
    <row r="62" spans="1:5">
      <c r="D62">
        <v>0.6</v>
      </c>
      <c r="E62">
        <f t="shared" si="3"/>
        <v>-0.34403723185941681</v>
      </c>
    </row>
    <row r="63" spans="1:5">
      <c r="D63">
        <v>0.7</v>
      </c>
      <c r="E63">
        <f t="shared" si="3"/>
        <v>-1.3261173339466525E-2</v>
      </c>
    </row>
    <row r="64" spans="1:5">
      <c r="D64">
        <v>0.8</v>
      </c>
      <c r="E64">
        <f t="shared" si="3"/>
        <v>0.42434619423517961</v>
      </c>
    </row>
    <row r="65" spans="4:5">
      <c r="D65">
        <v>0.9</v>
      </c>
      <c r="E65">
        <f t="shared" si="3"/>
        <v>0.99227852003712957</v>
      </c>
    </row>
    <row r="66" spans="4:5">
      <c r="D66">
        <v>1</v>
      </c>
      <c r="E66">
        <f t="shared" si="3"/>
        <v>1.7182818284590451</v>
      </c>
    </row>
    <row r="67" spans="4:5">
      <c r="D67">
        <v>1.1000000000000001</v>
      </c>
      <c r="E67">
        <f t="shared" si="3"/>
        <v>2.6350408889751851</v>
      </c>
    </row>
    <row r="68" spans="4:5">
      <c r="D68">
        <v>1.2</v>
      </c>
      <c r="E68">
        <f t="shared" si="3"/>
        <v>3.7809683687406279</v>
      </c>
    </row>
    <row r="69" spans="4:5">
      <c r="D69">
        <v>1.3</v>
      </c>
      <c r="E69">
        <f t="shared" si="3"/>
        <v>5.201111368276524</v>
      </c>
    </row>
    <row r="70" spans="4:5">
      <c r="D70">
        <v>1.4</v>
      </c>
      <c r="E70">
        <f t="shared" si="3"/>
        <v>6.9481919350155614</v>
      </c>
    </row>
    <row r="71" spans="4:5">
      <c r="D71">
        <v>1.5</v>
      </c>
      <c r="E71">
        <f t="shared" si="3"/>
        <v>9.0838004082606449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D59F-8287-48C5-93A8-F7C96F38AA08}">
  <sheetPr codeName="Sheet2"/>
  <dimension ref="A1:J84"/>
  <sheetViews>
    <sheetView topLeftCell="A48" workbookViewId="0">
      <selection activeCell="O75" sqref="O75"/>
    </sheetView>
  </sheetViews>
  <sheetFormatPr baseColWidth="10" defaultColWidth="8.83203125" defaultRowHeight="15"/>
  <sheetData>
    <row r="1" spans="1:10">
      <c r="A1" t="s">
        <v>1</v>
      </c>
      <c r="C1" t="s">
        <v>6</v>
      </c>
    </row>
    <row r="2" spans="1:10">
      <c r="A2" t="s">
        <v>12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</row>
    <row r="3" spans="1:10">
      <c r="E3">
        <v>5</v>
      </c>
      <c r="F3">
        <v>3</v>
      </c>
      <c r="G3">
        <f>E3-E3^(1/3)-2</f>
        <v>1.2900240533233029</v>
      </c>
      <c r="H3">
        <f>F3-F3^(1/3)-2</f>
        <v>-0.4422495703074083</v>
      </c>
      <c r="I3">
        <f>(E3+F3)/2</f>
        <v>4</v>
      </c>
      <c r="J3">
        <f>I3-I3^(1/3)-2</f>
        <v>0.41259894803180064</v>
      </c>
    </row>
    <row r="4" spans="1:10">
      <c r="E4">
        <f>IF(J3*G3&gt;0,I3,E3)</f>
        <v>4</v>
      </c>
      <c r="F4">
        <f>IF(J3*H3&gt;0,I3,F3)</f>
        <v>3</v>
      </c>
      <c r="G4">
        <f>E4-E4^(1/3)-2</f>
        <v>0.41259894803180064</v>
      </c>
      <c r="H4">
        <f>F4-F4^(1/3)-2</f>
        <v>-0.4422495703074083</v>
      </c>
      <c r="I4">
        <f>(E4+F4)/2</f>
        <v>3.5</v>
      </c>
      <c r="J4">
        <f>I4-I4^(1/3)-2</f>
        <v>-1.829448593783134E-2</v>
      </c>
    </row>
    <row r="5" spans="1:10">
      <c r="E5">
        <f t="shared" ref="E5:E14" si="0">IF(J4*G4&gt;0,I4,E4)</f>
        <v>4</v>
      </c>
      <c r="F5">
        <f t="shared" ref="F5:F14" si="1">IF(J4*H4&gt;0,I4,F4)</f>
        <v>3.5</v>
      </c>
      <c r="G5">
        <f t="shared" ref="G5:H14" si="2">E5-E5^(1/3)-2</f>
        <v>0.41259894803180064</v>
      </c>
      <c r="H5">
        <f t="shared" si="2"/>
        <v>-1.829448593783134E-2</v>
      </c>
      <c r="I5">
        <f t="shared" ref="I5:I14" si="3">(E5+F5)/2</f>
        <v>3.75</v>
      </c>
      <c r="J5">
        <f t="shared" ref="J5:J21" si="4">I5-I5^(1/3)-2</f>
        <v>0.19638374702307093</v>
      </c>
    </row>
    <row r="6" spans="1:10">
      <c r="E6">
        <f t="shared" si="0"/>
        <v>3.75</v>
      </c>
      <c r="F6">
        <f t="shared" si="1"/>
        <v>3.5</v>
      </c>
      <c r="G6">
        <f t="shared" si="2"/>
        <v>0.19638374702307093</v>
      </c>
      <c r="H6">
        <f t="shared" si="2"/>
        <v>-1.829448593783134E-2</v>
      </c>
      <c r="I6">
        <f t="shared" si="3"/>
        <v>3.625</v>
      </c>
      <c r="J6">
        <f t="shared" si="4"/>
        <v>8.8841587157076241E-2</v>
      </c>
    </row>
    <row r="7" spans="1:10">
      <c r="E7">
        <f t="shared" si="0"/>
        <v>3.625</v>
      </c>
      <c r="F7">
        <f t="shared" si="1"/>
        <v>3.5</v>
      </c>
      <c r="G7">
        <f t="shared" si="2"/>
        <v>8.8841587157076241E-2</v>
      </c>
      <c r="H7">
        <f t="shared" si="2"/>
        <v>-1.829448593783134E-2</v>
      </c>
      <c r="I7">
        <f t="shared" si="3"/>
        <v>3.5625</v>
      </c>
      <c r="J7">
        <f t="shared" si="4"/>
        <v>3.522131392759853E-2</v>
      </c>
    </row>
    <row r="8" spans="1:10">
      <c r="E8">
        <f t="shared" si="0"/>
        <v>3.5625</v>
      </c>
      <c r="F8">
        <f t="shared" si="1"/>
        <v>3.5</v>
      </c>
      <c r="G8">
        <f t="shared" si="2"/>
        <v>3.522131392759853E-2</v>
      </c>
      <c r="H8">
        <f t="shared" si="2"/>
        <v>-1.829448593783134E-2</v>
      </c>
      <c r="I8">
        <f t="shared" si="3"/>
        <v>3.53125</v>
      </c>
      <c r="J8">
        <f t="shared" si="4"/>
        <v>8.4501627700537263E-3</v>
      </c>
    </row>
    <row r="9" spans="1:10">
      <c r="E9">
        <f t="shared" si="0"/>
        <v>3.53125</v>
      </c>
      <c r="F9">
        <f t="shared" si="1"/>
        <v>3.5</v>
      </c>
      <c r="G9">
        <f t="shared" si="2"/>
        <v>8.4501627700537263E-3</v>
      </c>
      <c r="H9">
        <f t="shared" si="2"/>
        <v>-1.829448593783134E-2</v>
      </c>
      <c r="I9">
        <f t="shared" si="3"/>
        <v>3.515625</v>
      </c>
      <c r="J9">
        <f t="shared" si="4"/>
        <v>-4.9254988933500332E-3</v>
      </c>
    </row>
    <row r="10" spans="1:10">
      <c r="E10">
        <f t="shared" si="0"/>
        <v>3.53125</v>
      </c>
      <c r="F10">
        <f t="shared" si="1"/>
        <v>3.515625</v>
      </c>
      <c r="G10">
        <f t="shared" si="2"/>
        <v>8.4501627700537263E-3</v>
      </c>
      <c r="H10">
        <f t="shared" si="2"/>
        <v>-4.9254988933500332E-3</v>
      </c>
      <c r="I10">
        <f t="shared" si="3"/>
        <v>3.5234375</v>
      </c>
      <c r="J10">
        <f t="shared" si="4"/>
        <v>1.7615006965243651E-3</v>
      </c>
    </row>
    <row r="11" spans="1:10">
      <c r="E11">
        <f t="shared" si="0"/>
        <v>3.5234375</v>
      </c>
      <c r="F11">
        <f t="shared" si="1"/>
        <v>3.515625</v>
      </c>
      <c r="G11">
        <f t="shared" si="2"/>
        <v>1.7615006965243651E-3</v>
      </c>
      <c r="H11">
        <f t="shared" si="2"/>
        <v>-4.9254988933500332E-3</v>
      </c>
      <c r="I11">
        <f t="shared" si="3"/>
        <v>3.51953125</v>
      </c>
      <c r="J11">
        <f t="shared" si="4"/>
        <v>-1.5822072931346298E-3</v>
      </c>
    </row>
    <row r="12" spans="1:10">
      <c r="E12">
        <f t="shared" si="0"/>
        <v>3.5234375</v>
      </c>
      <c r="F12">
        <f t="shared" si="1"/>
        <v>3.51953125</v>
      </c>
      <c r="G12">
        <f t="shared" si="2"/>
        <v>1.7615006965243651E-3</v>
      </c>
      <c r="H12">
        <f t="shared" si="2"/>
        <v>-1.5822072931346298E-3</v>
      </c>
      <c r="I12">
        <f t="shared" si="3"/>
        <v>3.521484375</v>
      </c>
      <c r="J12">
        <f t="shared" si="4"/>
        <v>8.9594701136341826E-5</v>
      </c>
    </row>
    <row r="13" spans="1:10">
      <c r="E13">
        <f t="shared" si="0"/>
        <v>3.521484375</v>
      </c>
      <c r="F13">
        <f t="shared" si="1"/>
        <v>3.51953125</v>
      </c>
      <c r="G13">
        <f t="shared" si="2"/>
        <v>8.9594701136341826E-5</v>
      </c>
      <c r="H13">
        <f t="shared" si="2"/>
        <v>-1.5822072931346298E-3</v>
      </c>
      <c r="I13">
        <f t="shared" si="3"/>
        <v>3.5205078125</v>
      </c>
      <c r="J13">
        <f t="shared" si="4"/>
        <v>-7.4631930214841269E-4</v>
      </c>
    </row>
    <row r="14" spans="1:10">
      <c r="E14">
        <f t="shared" si="0"/>
        <v>3.521484375</v>
      </c>
      <c r="F14">
        <f t="shared" si="1"/>
        <v>3.5205078125</v>
      </c>
      <c r="G14">
        <f t="shared" si="2"/>
        <v>8.9594701136341826E-5</v>
      </c>
      <c r="H14">
        <f t="shared" si="2"/>
        <v>-7.4631930214841269E-4</v>
      </c>
      <c r="I14">
        <f t="shared" si="3"/>
        <v>3.52099609375</v>
      </c>
      <c r="J14">
        <f t="shared" si="4"/>
        <v>-3.2836555129178713E-4</v>
      </c>
    </row>
    <row r="15" spans="1:10">
      <c r="E15">
        <f>IF(J14*G14&gt;0,I14,E14)</f>
        <v>3.521484375</v>
      </c>
      <c r="F15">
        <f>IF(J14*H14&gt;0,I14,F14)</f>
        <v>3.52099609375</v>
      </c>
      <c r="G15">
        <f>E15-E15^(1/3)-2</f>
        <v>8.9594701136341826E-5</v>
      </c>
      <c r="H15">
        <f>F15-F15^(1/3)-2</f>
        <v>-3.2836555129178713E-4</v>
      </c>
      <c r="I15">
        <f>(E15+F15)/2</f>
        <v>3.521240234375</v>
      </c>
      <c r="J15">
        <f>I15-I15^(1/3)-2</f>
        <v>-1.1938623768026346E-4</v>
      </c>
    </row>
    <row r="16" spans="1:10">
      <c r="E16">
        <f t="shared" ref="E16:E21" si="5">IF(J15*G15&gt;0,I15,E15)</f>
        <v>3.521484375</v>
      </c>
      <c r="F16">
        <f t="shared" ref="F16:F21" si="6">IF(J15*H15&gt;0,I15,F15)</f>
        <v>3.521240234375</v>
      </c>
      <c r="G16">
        <f t="shared" ref="G16:H21" si="7">E16-E16^(1/3)-2</f>
        <v>8.9594701136341826E-5</v>
      </c>
      <c r="H16">
        <f t="shared" si="7"/>
        <v>-1.1938623768026346E-4</v>
      </c>
      <c r="I16">
        <f t="shared" ref="I16:I21" si="8">(E16+F16)/2</f>
        <v>3.5213623046875</v>
      </c>
      <c r="J16">
        <f t="shared" si="4"/>
        <v>-1.4895971410799902E-5</v>
      </c>
    </row>
    <row r="17" spans="1:10">
      <c r="E17">
        <f t="shared" si="5"/>
        <v>3.521484375</v>
      </c>
      <c r="F17">
        <f t="shared" si="6"/>
        <v>3.5213623046875</v>
      </c>
      <c r="G17">
        <f t="shared" si="7"/>
        <v>8.9594701136341826E-5</v>
      </c>
      <c r="H17">
        <f t="shared" si="7"/>
        <v>-1.4895971410799902E-5</v>
      </c>
      <c r="I17">
        <f t="shared" si="8"/>
        <v>3.52142333984375</v>
      </c>
      <c r="J17">
        <f t="shared" si="4"/>
        <v>3.7349314079726526E-5</v>
      </c>
    </row>
    <row r="18" spans="1:10">
      <c r="E18">
        <f t="shared" si="5"/>
        <v>3.52142333984375</v>
      </c>
      <c r="F18">
        <f t="shared" si="6"/>
        <v>3.5213623046875</v>
      </c>
      <c r="G18">
        <f t="shared" si="7"/>
        <v>3.7349314079726526E-5</v>
      </c>
      <c r="H18">
        <f t="shared" si="7"/>
        <v>-1.4895971410799902E-5</v>
      </c>
      <c r="I18">
        <f t="shared" si="8"/>
        <v>3.521392822265625</v>
      </c>
      <c r="J18">
        <f t="shared" si="4"/>
        <v>1.1226658638285869E-5</v>
      </c>
    </row>
    <row r="19" spans="1:10">
      <c r="E19">
        <f t="shared" si="5"/>
        <v>3.521392822265625</v>
      </c>
      <c r="F19">
        <f t="shared" si="6"/>
        <v>3.5213623046875</v>
      </c>
      <c r="G19">
        <f t="shared" si="7"/>
        <v>1.1226658638285869E-5</v>
      </c>
      <c r="H19">
        <f t="shared" si="7"/>
        <v>-1.4895971410799902E-5</v>
      </c>
      <c r="I19">
        <f t="shared" si="8"/>
        <v>3.5213775634765625</v>
      </c>
      <c r="J19">
        <f t="shared" si="4"/>
        <v>-1.8346595602736215E-6</v>
      </c>
    </row>
    <row r="20" spans="1:10">
      <c r="E20">
        <f t="shared" si="5"/>
        <v>3.521392822265625</v>
      </c>
      <c r="F20">
        <f t="shared" si="6"/>
        <v>3.5213775634765625</v>
      </c>
      <c r="G20">
        <f t="shared" si="7"/>
        <v>1.1226658638285869E-5</v>
      </c>
      <c r="H20">
        <f t="shared" si="7"/>
        <v>-1.8346595602736215E-6</v>
      </c>
      <c r="I20">
        <f t="shared" si="8"/>
        <v>3.5213851928710938</v>
      </c>
      <c r="J20">
        <f t="shared" si="4"/>
        <v>4.6959987454187058E-6</v>
      </c>
    </row>
    <row r="21" spans="1:10">
      <c r="E21">
        <f t="shared" si="5"/>
        <v>3.5213851928710938</v>
      </c>
      <c r="F21">
        <f t="shared" si="6"/>
        <v>3.5213775634765625</v>
      </c>
      <c r="G21">
        <f t="shared" si="7"/>
        <v>4.6959987454187058E-6</v>
      </c>
      <c r="H21">
        <f t="shared" si="7"/>
        <v>-1.8346595602736215E-6</v>
      </c>
      <c r="I21">
        <f t="shared" si="8"/>
        <v>3.5213813781738281</v>
      </c>
      <c r="J21">
        <f t="shared" si="4"/>
        <v>1.4306693945087545E-6</v>
      </c>
    </row>
    <row r="23" spans="1:10">
      <c r="A23" t="s">
        <v>21</v>
      </c>
      <c r="E23" t="s">
        <v>26</v>
      </c>
      <c r="F23" t="s">
        <v>27</v>
      </c>
      <c r="G23" t="s">
        <v>28</v>
      </c>
      <c r="H23" t="s">
        <v>29</v>
      </c>
      <c r="I23" t="s">
        <v>30</v>
      </c>
      <c r="J23" t="s">
        <v>31</v>
      </c>
    </row>
    <row r="24" spans="1:10">
      <c r="E24">
        <v>0.8</v>
      </c>
      <c r="F24">
        <v>1.2</v>
      </c>
      <c r="G24">
        <f>E24*TAN(E24)-1</f>
        <v>-0.17628915435970871</v>
      </c>
      <c r="H24">
        <f>F24*TAN(F24)-1</f>
        <v>2.0865819465515822</v>
      </c>
      <c r="I24">
        <f>(E24+F24)/2</f>
        <v>1</v>
      </c>
      <c r="J24">
        <f>I24*TAN(I24)-1</f>
        <v>0.55740772465490229</v>
      </c>
    </row>
    <row r="25" spans="1:10">
      <c r="E25">
        <f>IF(J24*G24&gt;0,I24,E24)</f>
        <v>0.8</v>
      </c>
      <c r="F25">
        <f>IF(J24*H24&gt;0,I24,F24)</f>
        <v>1</v>
      </c>
      <c r="G25">
        <f>E25*TAN(E25)-1</f>
        <v>-0.17628915435970871</v>
      </c>
      <c r="H25">
        <f>F25*TAN(F25)-1</f>
        <v>0.55740772465490229</v>
      </c>
      <c r="I25">
        <f>(E25+F25)/2</f>
        <v>0.9</v>
      </c>
      <c r="J25">
        <f>I25*TAN(I25)-1</f>
        <v>0.1341423957953054</v>
      </c>
    </row>
    <row r="26" spans="1:10">
      <c r="E26">
        <f t="shared" ref="E26:E42" si="9">IF(J25*G25&gt;0,I25,E25)</f>
        <v>0.8</v>
      </c>
      <c r="F26">
        <f t="shared" ref="F26:F42" si="10">IF(J25*H25&gt;0,I25,F25)</f>
        <v>0.9</v>
      </c>
      <c r="G26">
        <f t="shared" ref="G26:H42" si="11">E26*TAN(E26)-1</f>
        <v>-0.17628915435970871</v>
      </c>
      <c r="H26">
        <f t="shared" si="11"/>
        <v>0.1341423957953054</v>
      </c>
      <c r="I26">
        <f t="shared" ref="I26:I42" si="12">(E26+F26)/2</f>
        <v>0.85000000000000009</v>
      </c>
      <c r="J26">
        <f t="shared" ref="J26:J42" si="13">I26*TAN(I26)-1</f>
        <v>-3.2417193755826301E-2</v>
      </c>
    </row>
    <row r="27" spans="1:10">
      <c r="E27">
        <f t="shared" si="9"/>
        <v>0.85000000000000009</v>
      </c>
      <c r="F27">
        <f t="shared" si="10"/>
        <v>0.9</v>
      </c>
      <c r="G27">
        <f t="shared" si="11"/>
        <v>-3.2417193755826301E-2</v>
      </c>
      <c r="H27">
        <f t="shared" si="11"/>
        <v>0.1341423957953054</v>
      </c>
      <c r="I27">
        <f t="shared" si="12"/>
        <v>0.875</v>
      </c>
      <c r="J27">
        <f t="shared" si="13"/>
        <v>4.7743925580054469E-2</v>
      </c>
    </row>
    <row r="28" spans="1:10">
      <c r="E28">
        <f t="shared" si="9"/>
        <v>0.85000000000000009</v>
      </c>
      <c r="F28">
        <f t="shared" si="10"/>
        <v>0.875</v>
      </c>
      <c r="G28">
        <f t="shared" si="11"/>
        <v>-3.2417193755826301E-2</v>
      </c>
      <c r="H28">
        <f t="shared" si="11"/>
        <v>4.7743925580054469E-2</v>
      </c>
      <c r="I28">
        <f t="shared" si="12"/>
        <v>0.86250000000000004</v>
      </c>
      <c r="J28">
        <f t="shared" si="13"/>
        <v>6.922178692789771E-3</v>
      </c>
    </row>
    <row r="29" spans="1:10">
      <c r="E29">
        <f t="shared" si="9"/>
        <v>0.85000000000000009</v>
      </c>
      <c r="F29">
        <f t="shared" si="10"/>
        <v>0.86250000000000004</v>
      </c>
      <c r="G29">
        <f t="shared" si="11"/>
        <v>-3.2417193755826301E-2</v>
      </c>
      <c r="H29">
        <f t="shared" si="11"/>
        <v>6.922178692789771E-3</v>
      </c>
      <c r="I29">
        <f t="shared" si="12"/>
        <v>0.85625000000000007</v>
      </c>
      <c r="J29">
        <f t="shared" si="13"/>
        <v>-1.2928290566531775E-2</v>
      </c>
    </row>
    <row r="30" spans="1:10">
      <c r="E30">
        <f t="shared" si="9"/>
        <v>0.85625000000000007</v>
      </c>
      <c r="F30">
        <f t="shared" si="10"/>
        <v>0.86250000000000004</v>
      </c>
      <c r="G30">
        <f t="shared" si="11"/>
        <v>-1.2928290566531775E-2</v>
      </c>
      <c r="H30">
        <f t="shared" si="11"/>
        <v>6.922178692789771E-3</v>
      </c>
      <c r="I30">
        <f t="shared" si="12"/>
        <v>0.859375</v>
      </c>
      <c r="J30">
        <f t="shared" si="13"/>
        <v>-3.048803436389691E-3</v>
      </c>
    </row>
    <row r="31" spans="1:10">
      <c r="E31">
        <f t="shared" si="9"/>
        <v>0.859375</v>
      </c>
      <c r="F31">
        <f t="shared" si="10"/>
        <v>0.86250000000000004</v>
      </c>
      <c r="G31">
        <f t="shared" si="11"/>
        <v>-3.048803436389691E-3</v>
      </c>
      <c r="H31">
        <f t="shared" si="11"/>
        <v>6.922178692789771E-3</v>
      </c>
      <c r="I31">
        <f t="shared" si="12"/>
        <v>0.86093750000000002</v>
      </c>
      <c r="J31">
        <f t="shared" si="13"/>
        <v>1.9251807152429468E-3</v>
      </c>
    </row>
    <row r="32" spans="1:10">
      <c r="E32">
        <f t="shared" si="9"/>
        <v>0.859375</v>
      </c>
      <c r="F32">
        <f t="shared" si="10"/>
        <v>0.86093750000000002</v>
      </c>
      <c r="G32">
        <f t="shared" si="11"/>
        <v>-3.048803436389691E-3</v>
      </c>
      <c r="H32">
        <f t="shared" si="11"/>
        <v>1.9251807152429468E-3</v>
      </c>
      <c r="I32">
        <f t="shared" si="12"/>
        <v>0.86015624999999996</v>
      </c>
      <c r="J32">
        <f t="shared" si="13"/>
        <v>-5.6467928558334712E-4</v>
      </c>
    </row>
    <row r="33" spans="1:10">
      <c r="E33">
        <f t="shared" si="9"/>
        <v>0.86015624999999996</v>
      </c>
      <c r="F33">
        <f t="shared" si="10"/>
        <v>0.86093750000000002</v>
      </c>
      <c r="G33">
        <f t="shared" si="11"/>
        <v>-5.6467928558334712E-4</v>
      </c>
      <c r="H33">
        <f t="shared" si="11"/>
        <v>1.9251807152429468E-3</v>
      </c>
      <c r="I33">
        <f t="shared" si="12"/>
        <v>0.86054687500000004</v>
      </c>
      <c r="J33">
        <f t="shared" si="13"/>
        <v>6.7953263622144711E-4</v>
      </c>
    </row>
    <row r="34" spans="1:10">
      <c r="E34">
        <f t="shared" si="9"/>
        <v>0.86015624999999996</v>
      </c>
      <c r="F34">
        <f t="shared" si="10"/>
        <v>0.86054687500000004</v>
      </c>
      <c r="G34">
        <f t="shared" si="11"/>
        <v>-5.6467928558334712E-4</v>
      </c>
      <c r="H34">
        <f t="shared" si="11"/>
        <v>6.7953263622144711E-4</v>
      </c>
      <c r="I34">
        <f t="shared" si="12"/>
        <v>0.8603515625</v>
      </c>
      <c r="J34">
        <f t="shared" si="13"/>
        <v>5.7247293026252422E-5</v>
      </c>
    </row>
    <row r="35" spans="1:10">
      <c r="E35">
        <f t="shared" si="9"/>
        <v>0.86015624999999996</v>
      </c>
      <c r="F35">
        <f t="shared" si="10"/>
        <v>0.8603515625</v>
      </c>
      <c r="G35">
        <f t="shared" si="11"/>
        <v>-5.6467928558334712E-4</v>
      </c>
      <c r="H35">
        <f t="shared" si="11"/>
        <v>5.7247293026252422E-5</v>
      </c>
      <c r="I35">
        <f t="shared" si="12"/>
        <v>0.86025390624999998</v>
      </c>
      <c r="J35">
        <f t="shared" si="13"/>
        <v>-2.5376082469841243E-4</v>
      </c>
    </row>
    <row r="36" spans="1:10">
      <c r="E36">
        <f t="shared" si="9"/>
        <v>0.86025390624999998</v>
      </c>
      <c r="F36">
        <f t="shared" si="10"/>
        <v>0.8603515625</v>
      </c>
      <c r="G36">
        <f t="shared" si="11"/>
        <v>-2.5376082469841243E-4</v>
      </c>
      <c r="H36">
        <f t="shared" si="11"/>
        <v>5.7247293026252422E-5</v>
      </c>
      <c r="I36">
        <f t="shared" si="12"/>
        <v>0.86030273437500004</v>
      </c>
      <c r="J36">
        <f t="shared" si="13"/>
        <v>-9.8267975084165293E-5</v>
      </c>
    </row>
    <row r="37" spans="1:10">
      <c r="E37">
        <f t="shared" si="9"/>
        <v>0.86030273437500004</v>
      </c>
      <c r="F37">
        <f t="shared" si="10"/>
        <v>0.8603515625</v>
      </c>
      <c r="G37">
        <f t="shared" si="11"/>
        <v>-9.8267975084165293E-5</v>
      </c>
      <c r="H37">
        <f t="shared" si="11"/>
        <v>5.7247293026252422E-5</v>
      </c>
      <c r="I37">
        <f t="shared" si="12"/>
        <v>0.86032714843750002</v>
      </c>
      <c r="J37">
        <f t="shared" si="13"/>
        <v>-2.0513143609068862E-5</v>
      </c>
    </row>
    <row r="38" spans="1:10">
      <c r="E38">
        <f t="shared" si="9"/>
        <v>0.86032714843750002</v>
      </c>
      <c r="F38">
        <f t="shared" si="10"/>
        <v>0.8603515625</v>
      </c>
      <c r="G38">
        <f t="shared" si="11"/>
        <v>-2.0513143609068862E-5</v>
      </c>
      <c r="H38">
        <f t="shared" si="11"/>
        <v>5.7247293026252422E-5</v>
      </c>
      <c r="I38">
        <f t="shared" si="12"/>
        <v>0.86033935546874996</v>
      </c>
      <c r="J38">
        <f t="shared" si="13"/>
        <v>1.8366374030076571E-5</v>
      </c>
    </row>
    <row r="39" spans="1:10">
      <c r="E39">
        <f t="shared" si="9"/>
        <v>0.86032714843750002</v>
      </c>
      <c r="F39">
        <f t="shared" si="10"/>
        <v>0.86033935546874996</v>
      </c>
      <c r="G39">
        <f t="shared" si="11"/>
        <v>-2.0513143609068862E-5</v>
      </c>
      <c r="H39">
        <f t="shared" si="11"/>
        <v>1.8366374030076571E-5</v>
      </c>
      <c r="I39">
        <f t="shared" si="12"/>
        <v>0.86033325195312504</v>
      </c>
      <c r="J39">
        <f t="shared" si="13"/>
        <v>-1.0735599548228336E-6</v>
      </c>
    </row>
    <row r="40" spans="1:10">
      <c r="E40">
        <f t="shared" si="9"/>
        <v>0.86033325195312504</v>
      </c>
      <c r="F40">
        <f t="shared" si="10"/>
        <v>0.86033935546874996</v>
      </c>
      <c r="G40">
        <f t="shared" si="11"/>
        <v>-1.0735599548228336E-6</v>
      </c>
      <c r="H40">
        <f t="shared" si="11"/>
        <v>1.8366374030076571E-5</v>
      </c>
      <c r="I40">
        <f t="shared" si="12"/>
        <v>0.8603363037109375</v>
      </c>
      <c r="J40">
        <f t="shared" si="13"/>
        <v>8.6463632458233519E-6</v>
      </c>
    </row>
    <row r="41" spans="1:10">
      <c r="E41">
        <f t="shared" si="9"/>
        <v>0.86033325195312504</v>
      </c>
      <c r="F41">
        <f t="shared" si="10"/>
        <v>0.8603363037109375</v>
      </c>
      <c r="G41">
        <f t="shared" si="11"/>
        <v>-1.0735599548228336E-6</v>
      </c>
      <c r="H41">
        <f t="shared" si="11"/>
        <v>8.6463632458233519E-6</v>
      </c>
      <c r="I41">
        <f t="shared" si="12"/>
        <v>0.86033477783203127</v>
      </c>
      <c r="J41">
        <f t="shared" si="13"/>
        <v>3.7863906974244799E-6</v>
      </c>
    </row>
    <row r="42" spans="1:10">
      <c r="E42">
        <f t="shared" si="9"/>
        <v>0.86033325195312504</v>
      </c>
      <c r="F42">
        <f t="shared" si="10"/>
        <v>0.86033477783203127</v>
      </c>
      <c r="G42">
        <f t="shared" si="11"/>
        <v>-1.0735599548228336E-6</v>
      </c>
      <c r="H42">
        <f t="shared" si="11"/>
        <v>3.7863906974244799E-6</v>
      </c>
      <c r="I42">
        <f t="shared" si="12"/>
        <v>0.86033401489257821</v>
      </c>
      <c r="J42">
        <f t="shared" si="13"/>
        <v>1.3564126346565786E-6</v>
      </c>
    </row>
    <row r="44" spans="1:10">
      <c r="A44" t="s">
        <v>13</v>
      </c>
      <c r="E44" t="s">
        <v>26</v>
      </c>
      <c r="F44" t="s">
        <v>27</v>
      </c>
      <c r="G44" t="s">
        <v>28</v>
      </c>
      <c r="H44" t="s">
        <v>29</v>
      </c>
      <c r="I44" t="s">
        <v>30</v>
      </c>
      <c r="J44" t="s">
        <v>31</v>
      </c>
    </row>
    <row r="45" spans="1:10">
      <c r="E45">
        <v>3</v>
      </c>
      <c r="F45">
        <v>1</v>
      </c>
      <c r="G45">
        <f>E45^4-EXP(E45)+1</f>
        <v>61.914463076812332</v>
      </c>
      <c r="H45">
        <f>F45^4-EXP(F45)+1</f>
        <v>-0.71828182845904509</v>
      </c>
      <c r="I45">
        <f>(E45+F45)/2</f>
        <v>2</v>
      </c>
      <c r="J45">
        <f>I45^4-EXP(I45)+1</f>
        <v>9.6109439010693496</v>
      </c>
    </row>
    <row r="46" spans="1:10">
      <c r="E46">
        <f>IF(J45*G45&gt;0,I45,E45)</f>
        <v>2</v>
      </c>
      <c r="F46">
        <f>IF(J45*H45&gt;0,I45,F45)</f>
        <v>1</v>
      </c>
      <c r="G46">
        <f>E46-E46^(1/3)-2</f>
        <v>-1.2599210498948732</v>
      </c>
      <c r="H46">
        <f>F46-F46^(1/3)-2</f>
        <v>-2</v>
      </c>
      <c r="I46">
        <f>(E46+F46)/2</f>
        <v>1.5</v>
      </c>
      <c r="J46">
        <f>I46-I46^(1/3)-2</f>
        <v>-1.6447142425533319</v>
      </c>
    </row>
    <row r="47" spans="1:10">
      <c r="E47">
        <v>4</v>
      </c>
      <c r="F47">
        <f t="shared" ref="F47:F56" si="14">IF(J46*H46&gt;0,I46,F46)</f>
        <v>1.5</v>
      </c>
      <c r="G47">
        <f t="shared" ref="G47:G56" si="15">E47-E47^(1/3)-2</f>
        <v>0.41259894803180064</v>
      </c>
      <c r="H47">
        <f t="shared" ref="H47:H56" si="16">F47-F47^(1/3)-2</f>
        <v>-1.6447142425533319</v>
      </c>
      <c r="I47">
        <f t="shared" ref="I47:I56" si="17">(E47+F47)/2</f>
        <v>2.75</v>
      </c>
      <c r="J47">
        <f t="shared" ref="J47:J63" si="18">I47-I47^(1/3)-2</f>
        <v>-0.65101966532769362</v>
      </c>
    </row>
    <row r="48" spans="1:10">
      <c r="E48">
        <f t="shared" ref="E48" si="19">IF(J47*G47&gt;0,I47,E47)</f>
        <v>4</v>
      </c>
      <c r="F48">
        <f t="shared" si="14"/>
        <v>2.75</v>
      </c>
      <c r="G48">
        <f t="shared" si="15"/>
        <v>0.41259894803180064</v>
      </c>
      <c r="H48">
        <f t="shared" si="16"/>
        <v>-0.65101966532769362</v>
      </c>
      <c r="I48">
        <f t="shared" si="17"/>
        <v>3.375</v>
      </c>
      <c r="J48">
        <f t="shared" si="18"/>
        <v>-0.125</v>
      </c>
    </row>
    <row r="49" spans="5:10">
      <c r="E49">
        <v>5</v>
      </c>
      <c r="F49">
        <f t="shared" si="14"/>
        <v>3.375</v>
      </c>
      <c r="G49">
        <f t="shared" si="15"/>
        <v>1.2900240533233029</v>
      </c>
      <c r="H49">
        <f t="shared" si="16"/>
        <v>-0.125</v>
      </c>
      <c r="I49">
        <f t="shared" si="17"/>
        <v>4.1875</v>
      </c>
      <c r="J49">
        <f t="shared" si="18"/>
        <v>0.5756735681832712</v>
      </c>
    </row>
    <row r="50" spans="5:10">
      <c r="E50">
        <f t="shared" ref="E50" si="20">IF(J49*G49&gt;0,I49,E49)</f>
        <v>4.1875</v>
      </c>
      <c r="F50">
        <f t="shared" si="14"/>
        <v>3.375</v>
      </c>
      <c r="G50">
        <f t="shared" si="15"/>
        <v>0.5756735681832712</v>
      </c>
      <c r="H50">
        <f t="shared" si="16"/>
        <v>-0.125</v>
      </c>
      <c r="I50">
        <f t="shared" si="17"/>
        <v>3.78125</v>
      </c>
      <c r="J50">
        <f t="shared" si="18"/>
        <v>0.22333007890756207</v>
      </c>
    </row>
    <row r="51" spans="5:10">
      <c r="E51">
        <v>6</v>
      </c>
      <c r="F51">
        <f t="shared" si="14"/>
        <v>3.375</v>
      </c>
      <c r="G51">
        <f t="shared" si="15"/>
        <v>2.1828794071678601</v>
      </c>
      <c r="H51">
        <f t="shared" si="16"/>
        <v>-0.125</v>
      </c>
      <c r="I51">
        <f t="shared" si="17"/>
        <v>4.6875</v>
      </c>
      <c r="J51">
        <f t="shared" si="18"/>
        <v>1.0139176247945763</v>
      </c>
    </row>
    <row r="52" spans="5:10">
      <c r="E52">
        <f t="shared" ref="E52" si="21">IF(J51*G51&gt;0,I51,E51)</f>
        <v>4.6875</v>
      </c>
      <c r="F52">
        <f t="shared" si="14"/>
        <v>3.375</v>
      </c>
      <c r="G52">
        <f t="shared" si="15"/>
        <v>1.0139176247945763</v>
      </c>
      <c r="H52">
        <f t="shared" si="16"/>
        <v>-0.125</v>
      </c>
      <c r="I52">
        <f t="shared" si="17"/>
        <v>4.03125</v>
      </c>
      <c r="J52">
        <f t="shared" si="18"/>
        <v>0.43972580989577681</v>
      </c>
    </row>
    <row r="53" spans="5:10">
      <c r="E53">
        <v>7</v>
      </c>
      <c r="F53">
        <f t="shared" si="14"/>
        <v>3.375</v>
      </c>
      <c r="G53">
        <f t="shared" si="15"/>
        <v>3.0870688172276113</v>
      </c>
      <c r="H53">
        <f t="shared" si="16"/>
        <v>-0.125</v>
      </c>
      <c r="I53">
        <f t="shared" si="17"/>
        <v>5.1875</v>
      </c>
      <c r="J53">
        <f t="shared" si="18"/>
        <v>1.4564111068432402</v>
      </c>
    </row>
    <row r="54" spans="5:10">
      <c r="E54">
        <f t="shared" ref="E54" si="22">IF(J53*G53&gt;0,I53,E53)</f>
        <v>5.1875</v>
      </c>
      <c r="F54">
        <f t="shared" si="14"/>
        <v>3.375</v>
      </c>
      <c r="G54">
        <f t="shared" si="15"/>
        <v>1.4564111068432402</v>
      </c>
      <c r="H54">
        <f t="shared" si="16"/>
        <v>-0.125</v>
      </c>
      <c r="I54">
        <f t="shared" si="17"/>
        <v>4.28125</v>
      </c>
      <c r="J54">
        <f t="shared" si="18"/>
        <v>0.65748367797193419</v>
      </c>
    </row>
    <row r="55" spans="5:10">
      <c r="E55">
        <v>8</v>
      </c>
      <c r="F55">
        <f t="shared" si="14"/>
        <v>3.375</v>
      </c>
      <c r="G55">
        <f t="shared" si="15"/>
        <v>4</v>
      </c>
      <c r="H55">
        <f t="shared" si="16"/>
        <v>-0.125</v>
      </c>
      <c r="I55">
        <f t="shared" si="17"/>
        <v>5.6875</v>
      </c>
      <c r="J55">
        <f t="shared" si="18"/>
        <v>1.9024907545196106</v>
      </c>
    </row>
    <row r="56" spans="5:10">
      <c r="E56">
        <f t="shared" ref="E56" si="23">IF(J55*G55&gt;0,I55,E55)</f>
        <v>5.6875</v>
      </c>
      <c r="F56">
        <f t="shared" si="14"/>
        <v>3.375</v>
      </c>
      <c r="G56">
        <f t="shared" si="15"/>
        <v>1.9024907545196106</v>
      </c>
      <c r="H56">
        <f t="shared" si="16"/>
        <v>-0.125</v>
      </c>
      <c r="I56">
        <f t="shared" si="17"/>
        <v>4.53125</v>
      </c>
      <c r="J56">
        <f t="shared" si="18"/>
        <v>0.87647351299344267</v>
      </c>
    </row>
    <row r="57" spans="5:10">
      <c r="E57">
        <v>9</v>
      </c>
      <c r="F57">
        <f>IF(J56*H56&gt;0,I56,F56)</f>
        <v>3.375</v>
      </c>
      <c r="G57">
        <f>E57-E57^(1/3)-2</f>
        <v>4.9199161769480959</v>
      </c>
      <c r="H57">
        <f>F57-F57^(1/3)-2</f>
        <v>-0.125</v>
      </c>
      <c r="I57">
        <f>(E57+F57)/2</f>
        <v>6.1875</v>
      </c>
      <c r="J57">
        <f>I57-I57^(1/3)-2</f>
        <v>2.3516448844875093</v>
      </c>
    </row>
    <row r="58" spans="5:10">
      <c r="E58">
        <f t="shared" ref="E58" si="24">IF(J57*G57&gt;0,I57,E57)</f>
        <v>6.1875</v>
      </c>
      <c r="F58">
        <f t="shared" ref="F58:F63" si="25">IF(J57*H57&gt;0,I57,F57)</f>
        <v>3.375</v>
      </c>
      <c r="G58">
        <f t="shared" ref="G58:G63" si="26">E58-E58^(1/3)-2</f>
        <v>2.3516448844875093</v>
      </c>
      <c r="H58">
        <f t="shared" ref="H58:H63" si="27">F58-F58^(1/3)-2</f>
        <v>-0.125</v>
      </c>
      <c r="I58">
        <f t="shared" ref="I58:I63" si="28">(E58+F58)/2</f>
        <v>4.78125</v>
      </c>
      <c r="J58">
        <f t="shared" si="18"/>
        <v>1.0965839747986665</v>
      </c>
    </row>
    <row r="59" spans="5:10">
      <c r="E59">
        <v>10</v>
      </c>
      <c r="F59">
        <f t="shared" si="25"/>
        <v>3.375</v>
      </c>
      <c r="G59">
        <f t="shared" si="26"/>
        <v>5.8455653099681157</v>
      </c>
      <c r="H59">
        <f t="shared" si="27"/>
        <v>-0.125</v>
      </c>
      <c r="I59">
        <f t="shared" si="28"/>
        <v>6.6875</v>
      </c>
      <c r="J59">
        <f t="shared" si="18"/>
        <v>2.8034694891519099</v>
      </c>
    </row>
    <row r="60" spans="5:10">
      <c r="E60">
        <f t="shared" ref="E60" si="29">IF(J59*G59&gt;0,I59,E59)</f>
        <v>6.6875</v>
      </c>
      <c r="F60">
        <f t="shared" si="25"/>
        <v>3.375</v>
      </c>
      <c r="G60">
        <f t="shared" si="26"/>
        <v>2.8034694891519099</v>
      </c>
      <c r="H60">
        <f t="shared" si="27"/>
        <v>-0.125</v>
      </c>
      <c r="I60">
        <f t="shared" si="28"/>
        <v>5.03125</v>
      </c>
      <c r="J60">
        <f t="shared" si="18"/>
        <v>1.3177189995418441</v>
      </c>
    </row>
    <row r="61" spans="5:10">
      <c r="E61">
        <v>11</v>
      </c>
      <c r="F61">
        <f t="shared" si="25"/>
        <v>3.375</v>
      </c>
      <c r="G61">
        <f t="shared" si="26"/>
        <v>6.7760199094306834</v>
      </c>
      <c r="H61">
        <f t="shared" si="27"/>
        <v>-0.125</v>
      </c>
      <c r="I61">
        <f t="shared" si="28"/>
        <v>7.1875</v>
      </c>
      <c r="J61">
        <f t="shared" si="18"/>
        <v>3.2576393426595898</v>
      </c>
    </row>
    <row r="62" spans="5:10">
      <c r="E62">
        <f t="shared" ref="E62" si="30">IF(J61*G61&gt;0,I61,E61)</f>
        <v>7.1875</v>
      </c>
      <c r="F62">
        <f t="shared" si="25"/>
        <v>3.375</v>
      </c>
      <c r="G62">
        <f t="shared" si="26"/>
        <v>3.2576393426595898</v>
      </c>
      <c r="H62">
        <f t="shared" si="27"/>
        <v>-0.125</v>
      </c>
      <c r="I62">
        <f t="shared" si="28"/>
        <v>5.28125</v>
      </c>
      <c r="J62">
        <f t="shared" si="18"/>
        <v>1.539795058029346</v>
      </c>
    </row>
    <row r="63" spans="5:10">
      <c r="E63">
        <v>12</v>
      </c>
      <c r="F63">
        <f t="shared" si="25"/>
        <v>3.375</v>
      </c>
      <c r="G63">
        <f t="shared" si="26"/>
        <v>7.7105715148933367</v>
      </c>
      <c r="H63">
        <f t="shared" si="27"/>
        <v>-0.125</v>
      </c>
      <c r="I63">
        <f t="shared" si="28"/>
        <v>7.6875</v>
      </c>
      <c r="J63">
        <f t="shared" si="18"/>
        <v>3.7138883067579709</v>
      </c>
    </row>
    <row r="65" spans="1:10">
      <c r="A65" t="s">
        <v>14</v>
      </c>
      <c r="E65" t="s">
        <v>26</v>
      </c>
      <c r="F65" t="s">
        <v>27</v>
      </c>
      <c r="G65" t="s">
        <v>28</v>
      </c>
      <c r="H65" t="s">
        <v>29</v>
      </c>
      <c r="I65" t="s">
        <v>30</v>
      </c>
      <c r="J65" t="s">
        <v>31</v>
      </c>
    </row>
    <row r="66" spans="1:10">
      <c r="E66">
        <v>5</v>
      </c>
      <c r="F66">
        <v>3</v>
      </c>
      <c r="G66">
        <f>E66-E66^(1/3)-2</f>
        <v>1.2900240533233029</v>
      </c>
      <c r="H66">
        <f>F66-F66^(1/3)-2</f>
        <v>-0.4422495703074083</v>
      </c>
      <c r="I66">
        <f>(E66+F66)/2</f>
        <v>4</v>
      </c>
      <c r="J66">
        <f>I66-I66^(1/3)-2</f>
        <v>0.41259894803180064</v>
      </c>
    </row>
    <row r="67" spans="1:10">
      <c r="E67">
        <f>IF(J66*G66&gt;0,I66,E66)</f>
        <v>4</v>
      </c>
      <c r="F67">
        <f>IF(J66*H66&gt;0,I66,F66)</f>
        <v>3</v>
      </c>
      <c r="G67">
        <f>E67-E67^(1/3)-2</f>
        <v>0.41259894803180064</v>
      </c>
      <c r="H67">
        <f>F67-F67^(1/3)-2</f>
        <v>-0.4422495703074083</v>
      </c>
      <c r="I67">
        <f>(E67+F67)/2</f>
        <v>3.5</v>
      </c>
      <c r="J67">
        <f>I67-I67^(1/3)-2</f>
        <v>-1.829448593783134E-2</v>
      </c>
    </row>
    <row r="68" spans="1:10">
      <c r="E68">
        <f t="shared" ref="E68:E77" si="31">IF(J67*G67&gt;0,I67,E67)</f>
        <v>4</v>
      </c>
      <c r="F68">
        <f t="shared" ref="F68:F77" si="32">IF(J67*H67&gt;0,I67,F67)</f>
        <v>3.5</v>
      </c>
      <c r="G68">
        <f t="shared" ref="G68:G77" si="33">E68-E68^(1/3)-2</f>
        <v>0.41259894803180064</v>
      </c>
      <c r="H68">
        <f t="shared" ref="H68:H77" si="34">F68-F68^(1/3)-2</f>
        <v>-1.829448593783134E-2</v>
      </c>
      <c r="I68">
        <f t="shared" ref="I68:I77" si="35">(E68+F68)/2</f>
        <v>3.75</v>
      </c>
      <c r="J68">
        <f t="shared" ref="J68:J84" si="36">I68-I68^(1/3)-2</f>
        <v>0.19638374702307093</v>
      </c>
    </row>
    <row r="69" spans="1:10">
      <c r="E69">
        <f t="shared" si="31"/>
        <v>3.75</v>
      </c>
      <c r="F69">
        <f t="shared" si="32"/>
        <v>3.5</v>
      </c>
      <c r="G69">
        <f t="shared" si="33"/>
        <v>0.19638374702307093</v>
      </c>
      <c r="H69">
        <f t="shared" si="34"/>
        <v>-1.829448593783134E-2</v>
      </c>
      <c r="I69">
        <f t="shared" si="35"/>
        <v>3.625</v>
      </c>
      <c r="J69">
        <f t="shared" si="36"/>
        <v>8.8841587157076241E-2</v>
      </c>
    </row>
    <row r="70" spans="1:10">
      <c r="E70">
        <f t="shared" si="31"/>
        <v>3.625</v>
      </c>
      <c r="F70">
        <f t="shared" si="32"/>
        <v>3.5</v>
      </c>
      <c r="G70">
        <f t="shared" si="33"/>
        <v>8.8841587157076241E-2</v>
      </c>
      <c r="H70">
        <f t="shared" si="34"/>
        <v>-1.829448593783134E-2</v>
      </c>
      <c r="I70">
        <f t="shared" si="35"/>
        <v>3.5625</v>
      </c>
      <c r="J70">
        <f t="shared" si="36"/>
        <v>3.522131392759853E-2</v>
      </c>
    </row>
    <row r="71" spans="1:10">
      <c r="E71">
        <f t="shared" si="31"/>
        <v>3.5625</v>
      </c>
      <c r="F71">
        <f t="shared" si="32"/>
        <v>3.5</v>
      </c>
      <c r="G71">
        <f t="shared" si="33"/>
        <v>3.522131392759853E-2</v>
      </c>
      <c r="H71">
        <f t="shared" si="34"/>
        <v>-1.829448593783134E-2</v>
      </c>
      <c r="I71">
        <f t="shared" si="35"/>
        <v>3.53125</v>
      </c>
      <c r="J71">
        <f t="shared" si="36"/>
        <v>8.4501627700537263E-3</v>
      </c>
    </row>
    <row r="72" spans="1:10">
      <c r="E72">
        <f t="shared" si="31"/>
        <v>3.53125</v>
      </c>
      <c r="F72">
        <f t="shared" si="32"/>
        <v>3.5</v>
      </c>
      <c r="G72">
        <f t="shared" si="33"/>
        <v>8.4501627700537263E-3</v>
      </c>
      <c r="H72">
        <f t="shared" si="34"/>
        <v>-1.829448593783134E-2</v>
      </c>
      <c r="I72">
        <f t="shared" si="35"/>
        <v>3.515625</v>
      </c>
      <c r="J72">
        <f t="shared" si="36"/>
        <v>-4.9254988933500332E-3</v>
      </c>
    </row>
    <row r="73" spans="1:10">
      <c r="E73">
        <f t="shared" si="31"/>
        <v>3.53125</v>
      </c>
      <c r="F73">
        <f t="shared" si="32"/>
        <v>3.515625</v>
      </c>
      <c r="G73">
        <f t="shared" si="33"/>
        <v>8.4501627700537263E-3</v>
      </c>
      <c r="H73">
        <f t="shared" si="34"/>
        <v>-4.9254988933500332E-3</v>
      </c>
      <c r="I73">
        <f t="shared" si="35"/>
        <v>3.5234375</v>
      </c>
      <c r="J73">
        <f t="shared" si="36"/>
        <v>1.7615006965243651E-3</v>
      </c>
    </row>
    <row r="74" spans="1:10">
      <c r="E74">
        <f t="shared" si="31"/>
        <v>3.5234375</v>
      </c>
      <c r="F74">
        <f t="shared" si="32"/>
        <v>3.515625</v>
      </c>
      <c r="G74">
        <f t="shared" si="33"/>
        <v>1.7615006965243651E-3</v>
      </c>
      <c r="H74">
        <f t="shared" si="34"/>
        <v>-4.9254988933500332E-3</v>
      </c>
      <c r="I74">
        <f t="shared" si="35"/>
        <v>3.51953125</v>
      </c>
      <c r="J74">
        <f t="shared" si="36"/>
        <v>-1.5822072931346298E-3</v>
      </c>
    </row>
    <row r="75" spans="1:10">
      <c r="E75">
        <f t="shared" si="31"/>
        <v>3.5234375</v>
      </c>
      <c r="F75">
        <f t="shared" si="32"/>
        <v>3.51953125</v>
      </c>
      <c r="G75">
        <f t="shared" si="33"/>
        <v>1.7615006965243651E-3</v>
      </c>
      <c r="H75">
        <f t="shared" si="34"/>
        <v>-1.5822072931346298E-3</v>
      </c>
      <c r="I75">
        <f t="shared" si="35"/>
        <v>3.521484375</v>
      </c>
      <c r="J75">
        <f t="shared" si="36"/>
        <v>8.9594701136341826E-5</v>
      </c>
    </row>
    <row r="76" spans="1:10">
      <c r="E76">
        <f t="shared" si="31"/>
        <v>3.521484375</v>
      </c>
      <c r="F76">
        <f t="shared" si="32"/>
        <v>3.51953125</v>
      </c>
      <c r="G76">
        <f t="shared" si="33"/>
        <v>8.9594701136341826E-5</v>
      </c>
      <c r="H76">
        <f t="shared" si="34"/>
        <v>-1.5822072931346298E-3</v>
      </c>
      <c r="I76">
        <f t="shared" si="35"/>
        <v>3.5205078125</v>
      </c>
      <c r="J76">
        <f t="shared" si="36"/>
        <v>-7.4631930214841269E-4</v>
      </c>
    </row>
    <row r="77" spans="1:10">
      <c r="E77">
        <f t="shared" si="31"/>
        <v>3.521484375</v>
      </c>
      <c r="F77">
        <f t="shared" si="32"/>
        <v>3.5205078125</v>
      </c>
      <c r="G77">
        <f t="shared" si="33"/>
        <v>8.9594701136341826E-5</v>
      </c>
      <c r="H77">
        <f t="shared" si="34"/>
        <v>-7.4631930214841269E-4</v>
      </c>
      <c r="I77">
        <f t="shared" si="35"/>
        <v>3.52099609375</v>
      </c>
      <c r="J77">
        <f t="shared" si="36"/>
        <v>-3.2836555129178713E-4</v>
      </c>
    </row>
    <row r="78" spans="1:10">
      <c r="E78">
        <f>IF(J77*G77&gt;0,I77,E77)</f>
        <v>3.521484375</v>
      </c>
      <c r="F78">
        <f>IF(J77*H77&gt;0,I77,F77)</f>
        <v>3.52099609375</v>
      </c>
      <c r="G78">
        <f>E78-E78^(1/3)-2</f>
        <v>8.9594701136341826E-5</v>
      </c>
      <c r="H78">
        <f>F78-F78^(1/3)-2</f>
        <v>-3.2836555129178713E-4</v>
      </c>
      <c r="I78">
        <f>(E78+F78)/2</f>
        <v>3.521240234375</v>
      </c>
      <c r="J78">
        <f>I78-I78^(1/3)-2</f>
        <v>-1.1938623768026346E-4</v>
      </c>
    </row>
    <row r="79" spans="1:10">
      <c r="E79">
        <f t="shared" ref="E79:E84" si="37">IF(J78*G78&gt;0,I78,E78)</f>
        <v>3.521484375</v>
      </c>
      <c r="F79">
        <f t="shared" ref="F79:F84" si="38">IF(J78*H78&gt;0,I78,F78)</f>
        <v>3.521240234375</v>
      </c>
      <c r="G79">
        <f t="shared" ref="G79:G84" si="39">E79-E79^(1/3)-2</f>
        <v>8.9594701136341826E-5</v>
      </c>
      <c r="H79">
        <f t="shared" ref="H79:H84" si="40">F79-F79^(1/3)-2</f>
        <v>-1.1938623768026346E-4</v>
      </c>
      <c r="I79">
        <f t="shared" ref="I79:I84" si="41">(E79+F79)/2</f>
        <v>3.5213623046875</v>
      </c>
      <c r="J79">
        <f t="shared" si="36"/>
        <v>-1.4895971410799902E-5</v>
      </c>
    </row>
    <row r="80" spans="1:10">
      <c r="E80">
        <f t="shared" si="37"/>
        <v>3.521484375</v>
      </c>
      <c r="F80">
        <f t="shared" si="38"/>
        <v>3.5213623046875</v>
      </c>
      <c r="G80">
        <f t="shared" si="39"/>
        <v>8.9594701136341826E-5</v>
      </c>
      <c r="H80">
        <f t="shared" si="40"/>
        <v>-1.4895971410799902E-5</v>
      </c>
      <c r="I80">
        <f t="shared" si="41"/>
        <v>3.52142333984375</v>
      </c>
      <c r="J80">
        <f t="shared" si="36"/>
        <v>3.7349314079726526E-5</v>
      </c>
    </row>
    <row r="81" spans="5:10">
      <c r="E81">
        <f t="shared" si="37"/>
        <v>3.52142333984375</v>
      </c>
      <c r="F81">
        <f t="shared" si="38"/>
        <v>3.5213623046875</v>
      </c>
      <c r="G81">
        <f t="shared" si="39"/>
        <v>3.7349314079726526E-5</v>
      </c>
      <c r="H81">
        <f t="shared" si="40"/>
        <v>-1.4895971410799902E-5</v>
      </c>
      <c r="I81">
        <f t="shared" si="41"/>
        <v>3.521392822265625</v>
      </c>
      <c r="J81">
        <f t="shared" si="36"/>
        <v>1.1226658638285869E-5</v>
      </c>
    </row>
    <row r="82" spans="5:10">
      <c r="E82">
        <f t="shared" si="37"/>
        <v>3.521392822265625</v>
      </c>
      <c r="F82">
        <f t="shared" si="38"/>
        <v>3.5213623046875</v>
      </c>
      <c r="G82">
        <f t="shared" si="39"/>
        <v>1.1226658638285869E-5</v>
      </c>
      <c r="H82">
        <f t="shared" si="40"/>
        <v>-1.4895971410799902E-5</v>
      </c>
      <c r="I82">
        <f t="shared" si="41"/>
        <v>3.5213775634765625</v>
      </c>
      <c r="J82">
        <f t="shared" si="36"/>
        <v>-1.8346595602736215E-6</v>
      </c>
    </row>
    <row r="83" spans="5:10">
      <c r="E83">
        <f t="shared" si="37"/>
        <v>3.521392822265625</v>
      </c>
      <c r="F83">
        <f t="shared" si="38"/>
        <v>3.5213775634765625</v>
      </c>
      <c r="G83">
        <f t="shared" si="39"/>
        <v>1.1226658638285869E-5</v>
      </c>
      <c r="H83">
        <f t="shared" si="40"/>
        <v>-1.8346595602736215E-6</v>
      </c>
      <c r="I83">
        <f t="shared" si="41"/>
        <v>3.5213851928710938</v>
      </c>
      <c r="J83">
        <f t="shared" si="36"/>
        <v>4.6959987454187058E-6</v>
      </c>
    </row>
    <row r="84" spans="5:10">
      <c r="E84">
        <f t="shared" si="37"/>
        <v>3.5213851928710938</v>
      </c>
      <c r="F84">
        <f t="shared" si="38"/>
        <v>3.5213775634765625</v>
      </c>
      <c r="G84">
        <f t="shared" si="39"/>
        <v>4.6959987454187058E-6</v>
      </c>
      <c r="H84">
        <f t="shared" si="40"/>
        <v>-1.8346595602736215E-6</v>
      </c>
      <c r="I84">
        <f t="shared" si="41"/>
        <v>3.5213813781738281</v>
      </c>
      <c r="J84">
        <f t="shared" si="36"/>
        <v>1.4306693945087545E-6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067F-31CF-456C-B82D-1339E2ACE3B3}">
  <sheetPr codeName="Sheet3"/>
  <dimension ref="A1:I59"/>
  <sheetViews>
    <sheetView topLeftCell="A33" workbookViewId="0">
      <selection activeCell="Q44" sqref="Q44"/>
    </sheetView>
  </sheetViews>
  <sheetFormatPr baseColWidth="10" defaultColWidth="8.83203125" defaultRowHeight="15"/>
  <sheetData>
    <row r="1" spans="1:9">
      <c r="A1" t="s">
        <v>2</v>
      </c>
      <c r="C1" t="s">
        <v>5</v>
      </c>
    </row>
    <row r="2" spans="1:9">
      <c r="A2" t="s">
        <v>12</v>
      </c>
      <c r="H2" t="s">
        <v>8</v>
      </c>
      <c r="I2" t="s">
        <v>11</v>
      </c>
    </row>
    <row r="3" spans="1:9">
      <c r="H3">
        <v>0</v>
      </c>
      <c r="I3">
        <f xml:space="preserve"> H4-H4^1/3-2</f>
        <v>-1.9333333333333333</v>
      </c>
    </row>
    <row r="4" spans="1:9">
      <c r="A4" t="s">
        <v>15</v>
      </c>
      <c r="B4" t="s">
        <v>16</v>
      </c>
      <c r="C4" t="s">
        <v>17</v>
      </c>
      <c r="D4" t="s">
        <v>18</v>
      </c>
      <c r="E4" t="s">
        <v>19</v>
      </c>
      <c r="H4">
        <v>0.1</v>
      </c>
      <c r="I4">
        <f t="shared" ref="I4:I14" si="0" xml:space="preserve"> H5-H5^1/3-2</f>
        <v>-1.8666666666666667</v>
      </c>
    </row>
    <row r="5" spans="1:9">
      <c r="A5">
        <v>0.8</v>
      </c>
      <c r="B5">
        <v>0.9</v>
      </c>
      <c r="C5">
        <f>A5-A5^1/3-2</f>
        <v>-1.4666666666666666</v>
      </c>
      <c r="D5">
        <f>B5*TAN(B5)-1</f>
        <v>0.1341423957953054</v>
      </c>
      <c r="E5">
        <f>B5-D5/(D5-C5)*(B5-A5)</f>
        <v>0.89162033755674774</v>
      </c>
      <c r="H5">
        <v>0.2</v>
      </c>
      <c r="I5">
        <f t="shared" si="0"/>
        <v>-1.8</v>
      </c>
    </row>
    <row r="6" spans="1:9">
      <c r="A6">
        <f>B5</f>
        <v>0.9</v>
      </c>
      <c r="B6">
        <f>E5</f>
        <v>0.89162033755674774</v>
      </c>
      <c r="C6">
        <f>A6-A6^1/3-2</f>
        <v>-1.4</v>
      </c>
      <c r="D6">
        <f>B6*TAN(B6)-1</f>
        <v>0.10444812853829966</v>
      </c>
      <c r="E6">
        <f>B6-D6/(D6-C6)*(B6-A6)</f>
        <v>0.89220210574361825</v>
      </c>
      <c r="H6">
        <v>0.3</v>
      </c>
      <c r="I6">
        <f t="shared" si="0"/>
        <v>-1.7333333333333334</v>
      </c>
    </row>
    <row r="7" spans="1:9">
      <c r="A7">
        <f t="shared" ref="A7:A16" si="1">B6</f>
        <v>0.89162033755674774</v>
      </c>
      <c r="B7">
        <f t="shared" ref="B7:B16" si="2">E6</f>
        <v>0.89220210574361825</v>
      </c>
      <c r="C7">
        <f t="shared" ref="C7:C16" si="3">A7*TAN(A7)-1</f>
        <v>0.10444812853829966</v>
      </c>
      <c r="D7">
        <f t="shared" ref="D7:D16" si="4">B7*TAN(B7)-1</f>
        <v>0.10648519035659021</v>
      </c>
      <c r="E7">
        <f t="shared" ref="E7:E16" si="5">B7-D7/(D7-C7)*(B7-A7)</f>
        <v>0.8617908067019916</v>
      </c>
      <c r="H7">
        <v>0.4</v>
      </c>
      <c r="I7">
        <f t="shared" si="0"/>
        <v>-1.6666666666666665</v>
      </c>
    </row>
    <row r="8" spans="1:9">
      <c r="A8">
        <f t="shared" si="1"/>
        <v>0.89220210574361825</v>
      </c>
      <c r="B8">
        <f t="shared" si="2"/>
        <v>0.8617908067019916</v>
      </c>
      <c r="C8">
        <f t="shared" si="3"/>
        <v>0.10648519035659021</v>
      </c>
      <c r="D8">
        <f t="shared" si="4"/>
        <v>4.6512614343288128E-3</v>
      </c>
      <c r="E8">
        <f t="shared" si="5"/>
        <v>0.86040177159456543</v>
      </c>
      <c r="H8">
        <v>0.5</v>
      </c>
      <c r="I8">
        <f t="shared" si="0"/>
        <v>-1.6</v>
      </c>
    </row>
    <row r="9" spans="1:9">
      <c r="A9">
        <f t="shared" si="1"/>
        <v>0.8617908067019916</v>
      </c>
      <c r="B9">
        <f t="shared" si="2"/>
        <v>0.86040177159456543</v>
      </c>
      <c r="C9">
        <f t="shared" si="3"/>
        <v>4.6512614343288128E-3</v>
      </c>
      <c r="D9">
        <f t="shared" si="4"/>
        <v>2.1718426691608173E-4</v>
      </c>
      <c r="E9">
        <f t="shared" si="5"/>
        <v>0.86033373566281757</v>
      </c>
      <c r="H9">
        <v>0.6</v>
      </c>
      <c r="I9">
        <f t="shared" si="0"/>
        <v>-1.5333333333333332</v>
      </c>
    </row>
    <row r="10" spans="1:9">
      <c r="A10">
        <f t="shared" si="1"/>
        <v>0.86040177159456543</v>
      </c>
      <c r="B10">
        <f t="shared" si="2"/>
        <v>0.86033373566281757</v>
      </c>
      <c r="C10">
        <f t="shared" si="3"/>
        <v>2.1718426691608173E-4</v>
      </c>
      <c r="D10">
        <f t="shared" si="4"/>
        <v>4.6706139422703075E-7</v>
      </c>
      <c r="E10">
        <f t="shared" si="5"/>
        <v>0.86033358903414048</v>
      </c>
      <c r="H10">
        <v>0.7</v>
      </c>
      <c r="I10">
        <f t="shared" si="0"/>
        <v>-1.4666666666666666</v>
      </c>
    </row>
    <row r="11" spans="1:9">
      <c r="A11">
        <f t="shared" si="1"/>
        <v>0.86033373566281757</v>
      </c>
      <c r="B11">
        <f t="shared" si="2"/>
        <v>0.86033358903414048</v>
      </c>
      <c r="C11">
        <f t="shared" si="3"/>
        <v>4.6706139422703075E-7</v>
      </c>
      <c r="D11">
        <f t="shared" si="4"/>
        <v>4.7013060111567029E-11</v>
      </c>
      <c r="E11">
        <f t="shared" si="5"/>
        <v>0.86033358901937973</v>
      </c>
      <c r="H11">
        <v>0.8</v>
      </c>
      <c r="I11">
        <f t="shared" si="0"/>
        <v>-1.4</v>
      </c>
    </row>
    <row r="12" spans="1:9">
      <c r="A12">
        <f t="shared" si="1"/>
        <v>0.86033358903414048</v>
      </c>
      <c r="B12">
        <f t="shared" si="2"/>
        <v>0.86033358901937973</v>
      </c>
      <c r="C12">
        <f t="shared" si="3"/>
        <v>4.7013060111567029E-11</v>
      </c>
      <c r="D12">
        <f t="shared" si="4"/>
        <v>0</v>
      </c>
      <c r="E12">
        <f t="shared" si="5"/>
        <v>0.86033358901937973</v>
      </c>
      <c r="H12">
        <v>0.9</v>
      </c>
      <c r="I12">
        <f t="shared" si="0"/>
        <v>-1.3333333333333333</v>
      </c>
    </row>
    <row r="13" spans="1:9">
      <c r="A13">
        <f t="shared" si="1"/>
        <v>0.86033358901937973</v>
      </c>
      <c r="B13">
        <f t="shared" si="2"/>
        <v>0.86033358901937973</v>
      </c>
      <c r="C13">
        <f t="shared" si="3"/>
        <v>0</v>
      </c>
      <c r="D13">
        <f t="shared" si="4"/>
        <v>0</v>
      </c>
      <c r="E13" t="e">
        <f t="shared" si="5"/>
        <v>#DIV/0!</v>
      </c>
      <c r="H13">
        <v>1</v>
      </c>
      <c r="I13">
        <f t="shared" si="0"/>
        <v>-1.2666666666666666</v>
      </c>
    </row>
    <row r="14" spans="1:9">
      <c r="A14">
        <f t="shared" si="1"/>
        <v>0.86033358901937973</v>
      </c>
      <c r="B14" t="e">
        <f t="shared" si="2"/>
        <v>#DIV/0!</v>
      </c>
      <c r="C14">
        <f t="shared" si="3"/>
        <v>0</v>
      </c>
      <c r="D14" t="e">
        <f t="shared" si="4"/>
        <v>#DIV/0!</v>
      </c>
      <c r="E14" t="e">
        <f t="shared" si="5"/>
        <v>#DIV/0!</v>
      </c>
      <c r="H14">
        <v>1.1000000000000001</v>
      </c>
      <c r="I14">
        <f t="shared" si="0"/>
        <v>-2</v>
      </c>
    </row>
    <row r="15" spans="1:9">
      <c r="A15" t="e">
        <f t="shared" si="1"/>
        <v>#DIV/0!</v>
      </c>
      <c r="B15" t="e">
        <f t="shared" si="2"/>
        <v>#DIV/0!</v>
      </c>
      <c r="C15" t="e">
        <f t="shared" si="3"/>
        <v>#DIV/0!</v>
      </c>
      <c r="D15" t="e">
        <f t="shared" si="4"/>
        <v>#DIV/0!</v>
      </c>
      <c r="E15" t="e">
        <f t="shared" si="5"/>
        <v>#DIV/0!</v>
      </c>
    </row>
    <row r="16" spans="1:9">
      <c r="A16" t="e">
        <f t="shared" si="1"/>
        <v>#DIV/0!</v>
      </c>
      <c r="B16" t="e">
        <f t="shared" si="2"/>
        <v>#DIV/0!</v>
      </c>
      <c r="C16" t="e">
        <f t="shared" si="3"/>
        <v>#DIV/0!</v>
      </c>
      <c r="D16" t="e">
        <f t="shared" si="4"/>
        <v>#DIV/0!</v>
      </c>
      <c r="E16" t="e">
        <f t="shared" si="5"/>
        <v>#DIV/0!</v>
      </c>
      <c r="H16" t="s">
        <v>8</v>
      </c>
      <c r="I16" t="s">
        <v>11</v>
      </c>
    </row>
    <row r="17" spans="1:9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H17">
        <v>0</v>
      </c>
      <c r="I17">
        <f>H18*TAN(H18)-1</f>
        <v>-0.98996653279145497</v>
      </c>
    </row>
    <row r="18" spans="1:9">
      <c r="A18">
        <v>0.8</v>
      </c>
      <c r="B18">
        <v>0.9</v>
      </c>
      <c r="C18">
        <f>A18*TAN(A18)-1</f>
        <v>-0.17628915435970871</v>
      </c>
      <c r="D18">
        <f>B18*TAN(B18)-1</f>
        <v>0.1341423957953054</v>
      </c>
      <c r="E18">
        <f>B18-D18/(D18-C18)*(B18-A18)</f>
        <v>0.85678841415174412</v>
      </c>
      <c r="H18">
        <v>0.1</v>
      </c>
      <c r="I18">
        <f t="shared" ref="I18:I28" si="6">H19*TAN(H19)-1</f>
        <v>-0.9594579928982655</v>
      </c>
    </row>
    <row r="19" spans="1:9">
      <c r="A19">
        <f>B18</f>
        <v>0.9</v>
      </c>
      <c r="B19">
        <f>E18</f>
        <v>0.85678841415174412</v>
      </c>
      <c r="C19">
        <f>A19*TAN(A19)-1</f>
        <v>0.1341423957953054</v>
      </c>
      <c r="D19">
        <f>B19*TAN(B19)-1</f>
        <v>-1.1232604303541893E-2</v>
      </c>
      <c r="E19">
        <f>B19-D19/(D19-C19)*(B19-A19)</f>
        <v>0.86012721824345151</v>
      </c>
      <c r="H19">
        <v>0.2</v>
      </c>
      <c r="I19">
        <f t="shared" si="6"/>
        <v>-0.90719912511711298</v>
      </c>
    </row>
    <row r="20" spans="1:9">
      <c r="A20">
        <f t="shared" ref="A20:A29" si="7">B19</f>
        <v>0.85678841415174412</v>
      </c>
      <c r="B20">
        <f t="shared" ref="B20:B29" si="8">E19</f>
        <v>0.86012721824345151</v>
      </c>
      <c r="C20">
        <f t="shared" ref="C20:D29" si="9">A20*TAN(A20)-1</f>
        <v>-1.1232604303541893E-2</v>
      </c>
      <c r="D20">
        <f t="shared" si="9"/>
        <v>-6.5709345475650771E-4</v>
      </c>
      <c r="E20">
        <f t="shared" ref="E20:E29" si="10">B20-D20/(D20-C20)*(B20-A20)</f>
        <v>0.86033466981215068</v>
      </c>
      <c r="H20">
        <v>0.3</v>
      </c>
      <c r="I20">
        <f t="shared" si="6"/>
        <v>-0.83088271250473533</v>
      </c>
    </row>
    <row r="21" spans="1:9">
      <c r="A21">
        <f t="shared" si="7"/>
        <v>0.86012721824345151</v>
      </c>
      <c r="B21">
        <f t="shared" si="8"/>
        <v>0.86033466981215068</v>
      </c>
      <c r="C21">
        <f t="shared" si="9"/>
        <v>-6.5709345475650771E-4</v>
      </c>
      <c r="D21">
        <f t="shared" si="9"/>
        <v>3.4423447934361917E-6</v>
      </c>
      <c r="E21">
        <f t="shared" si="10"/>
        <v>0.86033358869008603</v>
      </c>
      <c r="H21">
        <v>0.4</v>
      </c>
      <c r="I21">
        <f t="shared" si="6"/>
        <v>-0.72684875507810476</v>
      </c>
    </row>
    <row r="22" spans="1:9">
      <c r="A22">
        <f t="shared" si="7"/>
        <v>0.86033466981215068</v>
      </c>
      <c r="B22">
        <f t="shared" si="8"/>
        <v>0.86033358869008603</v>
      </c>
      <c r="C22">
        <f t="shared" si="9"/>
        <v>3.4423447934361917E-6</v>
      </c>
      <c r="D22">
        <f t="shared" si="9"/>
        <v>-1.0488049317913806E-9</v>
      </c>
      <c r="E22">
        <f t="shared" si="10"/>
        <v>0.86033358901937929</v>
      </c>
      <c r="H22">
        <v>0.5</v>
      </c>
      <c r="I22">
        <f t="shared" si="6"/>
        <v>-0.58951791499498463</v>
      </c>
    </row>
    <row r="23" spans="1:9">
      <c r="A23">
        <f t="shared" si="7"/>
        <v>0.86033358869008603</v>
      </c>
      <c r="B23">
        <f t="shared" si="8"/>
        <v>0.86033358901937929</v>
      </c>
      <c r="C23">
        <f t="shared" si="9"/>
        <v>-1.0488049317913806E-9</v>
      </c>
      <c r="D23">
        <f t="shared" si="9"/>
        <v>-1.5543122344752192E-15</v>
      </c>
      <c r="E23">
        <f t="shared" si="10"/>
        <v>0.86033358901937973</v>
      </c>
      <c r="H23">
        <v>0.6</v>
      </c>
      <c r="I23">
        <f t="shared" si="6"/>
        <v>-0.41039813367584443</v>
      </c>
    </row>
    <row r="24" spans="1:9">
      <c r="A24">
        <f t="shared" si="7"/>
        <v>0.86033358901937929</v>
      </c>
      <c r="B24">
        <f t="shared" si="8"/>
        <v>0.86033358901937973</v>
      </c>
      <c r="C24">
        <f t="shared" si="9"/>
        <v>-1.5543122344752192E-15</v>
      </c>
      <c r="D24">
        <f t="shared" si="9"/>
        <v>0</v>
      </c>
      <c r="E24">
        <f t="shared" si="10"/>
        <v>0.86033358901937973</v>
      </c>
      <c r="H24">
        <v>0.7</v>
      </c>
      <c r="I24">
        <f>H25*TAN(H25)-1</f>
        <v>-0.17628915435970871</v>
      </c>
    </row>
    <row r="25" spans="1:9">
      <c r="A25">
        <f t="shared" si="7"/>
        <v>0.86033358901937973</v>
      </c>
      <c r="B25">
        <f t="shared" si="8"/>
        <v>0.86033358901937973</v>
      </c>
      <c r="C25">
        <f t="shared" si="9"/>
        <v>0</v>
      </c>
      <c r="D25">
        <f t="shared" si="9"/>
        <v>0</v>
      </c>
      <c r="E25" t="e">
        <f t="shared" si="10"/>
        <v>#DIV/0!</v>
      </c>
      <c r="H25">
        <v>0.8</v>
      </c>
      <c r="I25">
        <f t="shared" si="6"/>
        <v>0.1341423957953054</v>
      </c>
    </row>
    <row r="26" spans="1:9">
      <c r="A26">
        <f t="shared" si="7"/>
        <v>0.86033358901937973</v>
      </c>
      <c r="B26" t="e">
        <f t="shared" si="8"/>
        <v>#DIV/0!</v>
      </c>
      <c r="C26">
        <f t="shared" si="9"/>
        <v>0</v>
      </c>
      <c r="D26" t="e">
        <f t="shared" si="9"/>
        <v>#DIV/0!</v>
      </c>
      <c r="E26" t="e">
        <f t="shared" si="10"/>
        <v>#DIV/0!</v>
      </c>
      <c r="H26">
        <v>0.9</v>
      </c>
      <c r="I26">
        <f t="shared" si="6"/>
        <v>0.55740772465490229</v>
      </c>
    </row>
    <row r="27" spans="1:9">
      <c r="A27" t="e">
        <f t="shared" si="7"/>
        <v>#DIV/0!</v>
      </c>
      <c r="B27" t="e">
        <f t="shared" si="8"/>
        <v>#DIV/0!</v>
      </c>
      <c r="C27" t="e">
        <f t="shared" si="9"/>
        <v>#DIV/0!</v>
      </c>
      <c r="D27" t="e">
        <f t="shared" si="9"/>
        <v>#DIV/0!</v>
      </c>
      <c r="E27" t="e">
        <f t="shared" si="10"/>
        <v>#DIV/0!</v>
      </c>
      <c r="H27">
        <v>1</v>
      </c>
      <c r="I27">
        <f t="shared" si="6"/>
        <v>1.1612356229735177</v>
      </c>
    </row>
    <row r="28" spans="1:9">
      <c r="A28" t="e">
        <f t="shared" si="7"/>
        <v>#DIV/0!</v>
      </c>
      <c r="B28" t="e">
        <f t="shared" si="8"/>
        <v>#DIV/0!</v>
      </c>
      <c r="C28" t="e">
        <f t="shared" si="9"/>
        <v>#DIV/0!</v>
      </c>
      <c r="D28" t="e">
        <f t="shared" si="9"/>
        <v>#DIV/0!</v>
      </c>
      <c r="E28" t="e">
        <f t="shared" si="10"/>
        <v>#DIV/0!</v>
      </c>
      <c r="H28">
        <v>1.1000000000000001</v>
      </c>
      <c r="I28">
        <f t="shared" si="6"/>
        <v>-1</v>
      </c>
    </row>
    <row r="29" spans="1:9">
      <c r="A29" t="e">
        <f t="shared" si="7"/>
        <v>#DIV/0!</v>
      </c>
      <c r="B29" t="e">
        <f t="shared" si="8"/>
        <v>#DIV/0!</v>
      </c>
      <c r="C29" t="e">
        <f t="shared" si="9"/>
        <v>#DIV/0!</v>
      </c>
      <c r="D29" t="e">
        <f t="shared" si="9"/>
        <v>#DIV/0!</v>
      </c>
      <c r="E29" t="e">
        <f t="shared" si="10"/>
        <v>#DIV/0!</v>
      </c>
    </row>
    <row r="30" spans="1:9">
      <c r="H30" t="s">
        <v>8</v>
      </c>
      <c r="I30" t="s">
        <v>11</v>
      </c>
    </row>
    <row r="31" spans="1:9">
      <c r="A31" t="s">
        <v>13</v>
      </c>
      <c r="H31">
        <v>0</v>
      </c>
      <c r="I31">
        <f xml:space="preserve"> H32^4-EXP(H32)+1</f>
        <v>-0.10507091807564772</v>
      </c>
    </row>
    <row r="32" spans="1:9">
      <c r="H32">
        <v>0.1</v>
      </c>
      <c r="I32">
        <f t="shared" ref="I32:I42" si="11" xml:space="preserve"> H33^4-EXP(H33)+1</f>
        <v>-0.21980275816016981</v>
      </c>
    </row>
    <row r="33" spans="1:9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H33">
        <v>0.2</v>
      </c>
      <c r="I33">
        <f t="shared" si="11"/>
        <v>-0.34175880757600319</v>
      </c>
    </row>
    <row r="34" spans="1:9">
      <c r="A34">
        <v>0.8</v>
      </c>
      <c r="B34">
        <v>0.9</v>
      </c>
      <c r="C34">
        <f>A34-A34^1/3-2</f>
        <v>-1.4666666666666666</v>
      </c>
      <c r="D34">
        <f>B34*TAN(B34)-1</f>
        <v>0.1341423957953054</v>
      </c>
      <c r="E34">
        <f>B34-D34/(D34-C34)*(B34-A34)</f>
        <v>0.89162033755674774</v>
      </c>
      <c r="H34">
        <v>0.3</v>
      </c>
      <c r="I34">
        <f t="shared" si="11"/>
        <v>-0.46622469764127028</v>
      </c>
    </row>
    <row r="35" spans="1:9">
      <c r="A35">
        <f>B34</f>
        <v>0.9</v>
      </c>
      <c r="B35">
        <f>E34</f>
        <v>0.89162033755674774</v>
      </c>
      <c r="C35">
        <f>A35-A35^1/3-2</f>
        <v>-1.4</v>
      </c>
      <c r="D35">
        <f>B35*TAN(B35)-1</f>
        <v>0.10444812853829966</v>
      </c>
      <c r="E35">
        <f>B35-D35/(D35-C35)*(B35-A35)</f>
        <v>0.89220210574361825</v>
      </c>
      <c r="H35">
        <v>0.4</v>
      </c>
      <c r="I35">
        <f t="shared" si="11"/>
        <v>-0.58622127070012819</v>
      </c>
    </row>
    <row r="36" spans="1:9">
      <c r="A36">
        <f t="shared" ref="A36:A45" si="12">B35</f>
        <v>0.89162033755674774</v>
      </c>
      <c r="B36">
        <f t="shared" ref="B36:B45" si="13">E35</f>
        <v>0.89220210574361825</v>
      </c>
      <c r="C36">
        <f t="shared" ref="C36:C45" si="14">A36*TAN(A36)-1</f>
        <v>0.10444812853829966</v>
      </c>
      <c r="D36">
        <f t="shared" ref="D36:D45" si="15">B36*TAN(B36)-1</f>
        <v>0.10648519035659021</v>
      </c>
      <c r="E36">
        <f t="shared" ref="E36:E44" si="16">B36-D36/(D36-C36)*(B36-A36)</f>
        <v>0.8617908067019916</v>
      </c>
      <c r="H36">
        <v>0.5</v>
      </c>
      <c r="I36">
        <f t="shared" si="11"/>
        <v>-0.69251880039050895</v>
      </c>
    </row>
    <row r="37" spans="1:9">
      <c r="A37">
        <f t="shared" si="12"/>
        <v>0.89220210574361825</v>
      </c>
      <c r="B37">
        <f t="shared" si="13"/>
        <v>0.8617908067019916</v>
      </c>
      <c r="C37">
        <f t="shared" si="14"/>
        <v>0.10648519035659021</v>
      </c>
      <c r="D37">
        <f t="shared" si="15"/>
        <v>4.6512614343288128E-3</v>
      </c>
      <c r="E37">
        <f t="shared" si="16"/>
        <v>0.86040177159456543</v>
      </c>
      <c r="H37">
        <v>0.6</v>
      </c>
      <c r="I37">
        <f t="shared" si="11"/>
        <v>-0.77365270747047665</v>
      </c>
    </row>
    <row r="38" spans="1:9">
      <c r="A38">
        <f t="shared" si="12"/>
        <v>0.8617908067019916</v>
      </c>
      <c r="B38">
        <f t="shared" si="13"/>
        <v>0.86040177159456543</v>
      </c>
      <c r="C38">
        <f t="shared" si="14"/>
        <v>4.6512614343288128E-3</v>
      </c>
      <c r="D38">
        <f t="shared" si="15"/>
        <v>2.1718426691608173E-4</v>
      </c>
      <c r="E38">
        <f t="shared" si="16"/>
        <v>0.86033373566281757</v>
      </c>
      <c r="H38">
        <v>0.7</v>
      </c>
      <c r="I38">
        <f t="shared" si="11"/>
        <v>-0.81594092849246769</v>
      </c>
    </row>
    <row r="39" spans="1:9">
      <c r="A39">
        <f t="shared" si="12"/>
        <v>0.86040177159456543</v>
      </c>
      <c r="B39">
        <f t="shared" si="13"/>
        <v>0.86033373566281757</v>
      </c>
      <c r="C39">
        <f t="shared" si="14"/>
        <v>2.1718426691608173E-4</v>
      </c>
      <c r="D39">
        <f t="shared" si="15"/>
        <v>4.6706139422703075E-7</v>
      </c>
      <c r="E39">
        <f t="shared" si="16"/>
        <v>0.86033358903414048</v>
      </c>
      <c r="H39">
        <v>0.8</v>
      </c>
      <c r="I39">
        <f t="shared" si="11"/>
        <v>-0.80350311115694972</v>
      </c>
    </row>
    <row r="40" spans="1:9">
      <c r="A40">
        <f t="shared" si="12"/>
        <v>0.86033373566281757</v>
      </c>
      <c r="B40">
        <f t="shared" si="13"/>
        <v>0.86033358903414048</v>
      </c>
      <c r="C40">
        <f t="shared" si="14"/>
        <v>4.6706139422703075E-7</v>
      </c>
      <c r="D40">
        <f t="shared" si="15"/>
        <v>4.7013060111567029E-11</v>
      </c>
      <c r="E40">
        <f t="shared" si="16"/>
        <v>0.86033358901937973</v>
      </c>
      <c r="H40">
        <v>0.9</v>
      </c>
      <c r="I40">
        <f t="shared" si="11"/>
        <v>-0.71828182845904509</v>
      </c>
    </row>
    <row r="41" spans="1:9">
      <c r="A41">
        <f t="shared" si="12"/>
        <v>0.86033358903414048</v>
      </c>
      <c r="B41">
        <f t="shared" si="13"/>
        <v>0.86033358901937973</v>
      </c>
      <c r="C41">
        <f t="shared" si="14"/>
        <v>4.7013060111567029E-11</v>
      </c>
      <c r="D41">
        <f t="shared" si="15"/>
        <v>0</v>
      </c>
      <c r="E41">
        <f t="shared" si="16"/>
        <v>0.86033358901937973</v>
      </c>
      <c r="H41">
        <v>1</v>
      </c>
      <c r="I41">
        <f t="shared" si="11"/>
        <v>-0.54006602394643299</v>
      </c>
    </row>
    <row r="42" spans="1:9">
      <c r="A42">
        <f t="shared" si="12"/>
        <v>0.86033358901937973</v>
      </c>
      <c r="B42">
        <f t="shared" si="13"/>
        <v>0.86033358901937973</v>
      </c>
      <c r="C42">
        <f t="shared" si="14"/>
        <v>0</v>
      </c>
      <c r="D42">
        <f t="shared" si="15"/>
        <v>0</v>
      </c>
      <c r="E42" t="e">
        <f t="shared" si="16"/>
        <v>#DIV/0!</v>
      </c>
      <c r="H42">
        <v>1.1000000000000001</v>
      </c>
      <c r="I42">
        <f t="shared" si="11"/>
        <v>0</v>
      </c>
    </row>
    <row r="43" spans="1:9">
      <c r="A43">
        <f t="shared" si="12"/>
        <v>0.86033358901937973</v>
      </c>
      <c r="B43" t="e">
        <f t="shared" si="13"/>
        <v>#DIV/0!</v>
      </c>
      <c r="C43">
        <f t="shared" si="14"/>
        <v>0</v>
      </c>
      <c r="D43" t="e">
        <f t="shared" si="15"/>
        <v>#DIV/0!</v>
      </c>
      <c r="E43" t="e">
        <f t="shared" si="16"/>
        <v>#DIV/0!</v>
      </c>
    </row>
    <row r="44" spans="1:9">
      <c r="A44" t="e">
        <f t="shared" si="12"/>
        <v>#DIV/0!</v>
      </c>
      <c r="B44" t="e">
        <f t="shared" si="13"/>
        <v>#DIV/0!</v>
      </c>
      <c r="C44" t="e">
        <f t="shared" si="14"/>
        <v>#DIV/0!</v>
      </c>
      <c r="D44" t="e">
        <f t="shared" si="15"/>
        <v>#DIV/0!</v>
      </c>
      <c r="E44" t="e">
        <f t="shared" si="16"/>
        <v>#DIV/0!</v>
      </c>
      <c r="H44" t="s">
        <v>8</v>
      </c>
      <c r="I44" t="s">
        <v>11</v>
      </c>
    </row>
    <row r="45" spans="1:9">
      <c r="A45" t="e">
        <f t="shared" si="12"/>
        <v>#DIV/0!</v>
      </c>
      <c r="B45" t="e">
        <f t="shared" si="13"/>
        <v>#DIV/0!</v>
      </c>
      <c r="C45" t="e">
        <f t="shared" si="14"/>
        <v>#DIV/0!</v>
      </c>
      <c r="D45" t="e">
        <f t="shared" si="15"/>
        <v>#DIV/0!</v>
      </c>
      <c r="E45">
        <f ca="1">A34:E45=B45-D45/(D45-C45)*(B45-A45)</f>
        <v>0</v>
      </c>
      <c r="H45">
        <v>0</v>
      </c>
      <c r="I45">
        <f>H46^2*EXP(H46)-1</f>
        <v>-0.98894829081924351</v>
      </c>
    </row>
    <row r="46" spans="1:9">
      <c r="H46">
        <v>0.1</v>
      </c>
      <c r="I46">
        <f t="shared" ref="I46:I56" si="17">H47^2*EXP(H47)-1</f>
        <v>-0.9511438896735932</v>
      </c>
    </row>
    <row r="47" spans="1:9">
      <c r="A47" t="s">
        <v>14</v>
      </c>
      <c r="H47">
        <v>0.2</v>
      </c>
      <c r="I47">
        <f t="shared" si="17"/>
        <v>-0.87851270731815978</v>
      </c>
    </row>
    <row r="48" spans="1:9">
      <c r="A48">
        <v>0.8</v>
      </c>
      <c r="B48">
        <v>0.9</v>
      </c>
      <c r="C48">
        <f>A48-A48^1/3-2</f>
        <v>-1.4666666666666666</v>
      </c>
      <c r="D48">
        <f>B48*TAN(B48)-1</f>
        <v>0.1341423957953054</v>
      </c>
      <c r="E48">
        <f>B48-D48/(D48-C48)*(B48-A48)</f>
        <v>0.89162033755674774</v>
      </c>
      <c r="H48">
        <v>0.3</v>
      </c>
      <c r="I48">
        <f t="shared" si="17"/>
        <v>-0.76130804837739663</v>
      </c>
    </row>
    <row r="49" spans="1:9">
      <c r="A49">
        <f>B48</f>
        <v>0.9</v>
      </c>
      <c r="B49">
        <f>E48</f>
        <v>0.89162033755674774</v>
      </c>
      <c r="C49">
        <f>A49-A49^1/3-2</f>
        <v>-1.4</v>
      </c>
      <c r="D49">
        <f>B49*TAN(B49)-1</f>
        <v>0.10444812853829966</v>
      </c>
      <c r="E49">
        <f>B49-D49/(D49-C49)*(B49-A49)</f>
        <v>0.89220210574361825</v>
      </c>
      <c r="H49">
        <v>0.4</v>
      </c>
      <c r="I49">
        <f t="shared" si="17"/>
        <v>-0.58781968232496795</v>
      </c>
    </row>
    <row r="50" spans="1:9">
      <c r="A50">
        <f t="shared" ref="A50:A59" si="18">B49</f>
        <v>0.89162033755674774</v>
      </c>
      <c r="B50">
        <f t="shared" ref="B50:B59" si="19">E49</f>
        <v>0.89220210574361825</v>
      </c>
      <c r="C50">
        <f t="shared" ref="C50:C59" si="20">A50*TAN(A50)-1</f>
        <v>0.10444812853829966</v>
      </c>
      <c r="D50">
        <f t="shared" ref="D50:D59" si="21">B50*TAN(B50)-1</f>
        <v>0.10648519035659021</v>
      </c>
      <c r="E50">
        <f t="shared" ref="E50:E58" si="22">B50-D50/(D50-C50)*(B50-A50)</f>
        <v>0.8617908067019916</v>
      </c>
      <c r="H50">
        <v>0.5</v>
      </c>
      <c r="I50">
        <f t="shared" si="17"/>
        <v>-0.34403723185941681</v>
      </c>
    </row>
    <row r="51" spans="1:9">
      <c r="A51">
        <f t="shared" si="18"/>
        <v>0.89220210574361825</v>
      </c>
      <c r="B51">
        <f t="shared" si="19"/>
        <v>0.8617908067019916</v>
      </c>
      <c r="C51">
        <f t="shared" si="20"/>
        <v>0.10648519035659021</v>
      </c>
      <c r="D51">
        <f t="shared" si="21"/>
        <v>4.6512614343288128E-3</v>
      </c>
      <c r="E51">
        <f t="shared" si="22"/>
        <v>0.86040177159456543</v>
      </c>
      <c r="H51">
        <v>0.6</v>
      </c>
      <c r="I51">
        <f t="shared" si="17"/>
        <v>-1.3261173339466525E-2</v>
      </c>
    </row>
    <row r="52" spans="1:9">
      <c r="A52">
        <f t="shared" si="18"/>
        <v>0.8617908067019916</v>
      </c>
      <c r="B52">
        <f t="shared" si="19"/>
        <v>0.86040177159456543</v>
      </c>
      <c r="C52">
        <f t="shared" si="20"/>
        <v>4.6512614343288128E-3</v>
      </c>
      <c r="D52">
        <f t="shared" si="21"/>
        <v>2.1718426691608173E-4</v>
      </c>
      <c r="E52">
        <f t="shared" si="22"/>
        <v>0.86033373566281757</v>
      </c>
      <c r="H52">
        <v>0.7</v>
      </c>
      <c r="I52">
        <f t="shared" si="17"/>
        <v>0.42434619423517961</v>
      </c>
    </row>
    <row r="53" spans="1:9">
      <c r="A53">
        <f t="shared" si="18"/>
        <v>0.86040177159456543</v>
      </c>
      <c r="B53">
        <f t="shared" si="19"/>
        <v>0.86033373566281757</v>
      </c>
      <c r="C53">
        <f t="shared" si="20"/>
        <v>2.1718426691608173E-4</v>
      </c>
      <c r="D53">
        <f t="shared" si="21"/>
        <v>4.6706139422703075E-7</v>
      </c>
      <c r="E53">
        <f t="shared" si="22"/>
        <v>0.86033358903414048</v>
      </c>
      <c r="H53">
        <v>0.8</v>
      </c>
      <c r="I53">
        <f t="shared" si="17"/>
        <v>0.99227852003712957</v>
      </c>
    </row>
    <row r="54" spans="1:9">
      <c r="A54">
        <f t="shared" si="18"/>
        <v>0.86033373566281757</v>
      </c>
      <c r="B54">
        <f t="shared" si="19"/>
        <v>0.86033358903414048</v>
      </c>
      <c r="C54">
        <f t="shared" si="20"/>
        <v>4.6706139422703075E-7</v>
      </c>
      <c r="D54">
        <f t="shared" si="21"/>
        <v>4.7013060111567029E-11</v>
      </c>
      <c r="E54">
        <f t="shared" si="22"/>
        <v>0.86033358901937973</v>
      </c>
      <c r="H54">
        <v>0.9</v>
      </c>
      <c r="I54">
        <f t="shared" si="17"/>
        <v>1.7182818284590451</v>
      </c>
    </row>
    <row r="55" spans="1:9">
      <c r="A55">
        <f t="shared" si="18"/>
        <v>0.86033358903414048</v>
      </c>
      <c r="B55">
        <f t="shared" si="19"/>
        <v>0.86033358901937973</v>
      </c>
      <c r="C55">
        <f t="shared" si="20"/>
        <v>4.7013060111567029E-11</v>
      </c>
      <c r="D55">
        <f t="shared" si="21"/>
        <v>0</v>
      </c>
      <c r="E55">
        <f t="shared" si="22"/>
        <v>0.86033358901937973</v>
      </c>
      <c r="H55">
        <v>1</v>
      </c>
      <c r="I55">
        <f t="shared" si="17"/>
        <v>2.6350408889751851</v>
      </c>
    </row>
    <row r="56" spans="1:9">
      <c r="A56">
        <f t="shared" si="18"/>
        <v>0.86033358901937973</v>
      </c>
      <c r="B56">
        <f t="shared" si="19"/>
        <v>0.86033358901937973</v>
      </c>
      <c r="C56">
        <f t="shared" si="20"/>
        <v>0</v>
      </c>
      <c r="D56">
        <f t="shared" si="21"/>
        <v>0</v>
      </c>
      <c r="E56" t="e">
        <f t="shared" si="22"/>
        <v>#DIV/0!</v>
      </c>
      <c r="H56">
        <v>1.1000000000000001</v>
      </c>
      <c r="I56">
        <f t="shared" si="17"/>
        <v>-1</v>
      </c>
    </row>
    <row r="57" spans="1:9">
      <c r="A57">
        <f t="shared" si="18"/>
        <v>0.86033358901937973</v>
      </c>
      <c r="B57" t="e">
        <f t="shared" si="19"/>
        <v>#DIV/0!</v>
      </c>
      <c r="C57">
        <f t="shared" si="20"/>
        <v>0</v>
      </c>
      <c r="D57" t="e">
        <f t="shared" si="21"/>
        <v>#DIV/0!</v>
      </c>
      <c r="E57" t="e">
        <f t="shared" si="22"/>
        <v>#DIV/0!</v>
      </c>
    </row>
    <row r="58" spans="1:9">
      <c r="A58" t="e">
        <f t="shared" si="18"/>
        <v>#DIV/0!</v>
      </c>
      <c r="B58" t="e">
        <f t="shared" si="19"/>
        <v>#DIV/0!</v>
      </c>
      <c r="C58" t="e">
        <f t="shared" si="20"/>
        <v>#DIV/0!</v>
      </c>
      <c r="D58" t="e">
        <f t="shared" si="21"/>
        <v>#DIV/0!</v>
      </c>
      <c r="E58" t="e">
        <f t="shared" si="22"/>
        <v>#DIV/0!</v>
      </c>
    </row>
    <row r="59" spans="1:9">
      <c r="A59" t="e">
        <f t="shared" si="18"/>
        <v>#DIV/0!</v>
      </c>
      <c r="B59" t="e">
        <f t="shared" si="19"/>
        <v>#DIV/0!</v>
      </c>
      <c r="C59" t="e">
        <f t="shared" si="20"/>
        <v>#DIV/0!</v>
      </c>
      <c r="D59" t="e">
        <f t="shared" si="21"/>
        <v>#DIV/0!</v>
      </c>
      <c r="E59">
        <f ca="1">A48:E59=B59-D59/(D59-C59)*(B59-A59)</f>
        <v>0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3F13-985C-4D08-98BC-757D76C00774}">
  <sheetPr codeName="Sheet4"/>
  <dimension ref="A1:C43"/>
  <sheetViews>
    <sheetView tabSelected="1" workbookViewId="0">
      <selection activeCell="N12" sqref="N12"/>
    </sheetView>
  </sheetViews>
  <sheetFormatPr baseColWidth="10" defaultColWidth="8.83203125" defaultRowHeight="15"/>
  <sheetData>
    <row r="1" spans="1:3">
      <c r="A1" t="s">
        <v>3</v>
      </c>
      <c r="C1" t="s">
        <v>4</v>
      </c>
    </row>
    <row r="2" spans="1:3">
      <c r="A2" t="s">
        <v>12</v>
      </c>
    </row>
    <row r="15" spans="1:3">
      <c r="A15" t="s">
        <v>21</v>
      </c>
    </row>
    <row r="29" spans="1:1">
      <c r="A29" t="s">
        <v>13</v>
      </c>
    </row>
    <row r="43" spans="1:1">
      <c r="A43" t="s">
        <v>14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Eckhart</dc:creator>
  <cp:lastModifiedBy>Zhen Luo</cp:lastModifiedBy>
  <dcterms:created xsi:type="dcterms:W3CDTF">2019-08-30T14:35:53Z</dcterms:created>
  <dcterms:modified xsi:type="dcterms:W3CDTF">2020-05-13T01:27:32Z</dcterms:modified>
</cp:coreProperties>
</file>