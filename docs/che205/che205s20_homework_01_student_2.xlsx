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ta\Desktop\Che205\"/>
    </mc:Choice>
  </mc:AlternateContent>
  <xr:revisionPtr revIDLastSave="0" documentId="13_ncr:1_{73C5144D-3A7A-42F2-A83A-14B4284B3FCE}" xr6:coauthVersionLast="45" xr6:coauthVersionMax="45" xr10:uidLastSave="{00000000-0000-0000-0000-000000000000}"/>
  <bookViews>
    <workbookView xWindow="-120" yWindow="-120" windowWidth="20730" windowHeight="11160" xr2:uid="{8C045AA7-F3D9-4FFD-A1DE-E0867BD8C9D9}"/>
  </bookViews>
  <sheets>
    <sheet name="Problem 1" sheetId="1" r:id="rId1"/>
    <sheet name="Problem 2" sheetId="2" r:id="rId2"/>
    <sheet name="Problem 3" sheetId="4" r:id="rId3"/>
    <sheet name="Problem 4" sheetId="5" r:id="rId4"/>
  </sheets>
  <definedNames>
    <definedName name="a">'Problem 3'!$B$4</definedName>
    <definedName name="b">'Problem 3'!$C$4</definedName>
    <definedName name="D8y">'Problem 4'!$D$8</definedName>
    <definedName name="k">'Problem 2'!$C$11</definedName>
    <definedName name="l">'Problem 2'!$G$11</definedName>
    <definedName name="P">'Problem 2'!$C$12</definedName>
    <definedName name="solver_adj" localSheetId="1" hidden="1">'Problem 2'!$C$8</definedName>
    <definedName name="solver_adj" localSheetId="2" hidden="1">'Problem 3'!$B$4:$C$4</definedName>
    <definedName name="solver_adj" localSheetId="3" hidden="1">'Problem 4'!$D$7:$D$8</definedName>
    <definedName name="solver_cvg" localSheetId="2" hidden="1">0.0001</definedName>
    <definedName name="solver_cvg" localSheetId="3" hidden="1">0.0001</definedName>
    <definedName name="solver_drv" localSheetId="2" hidden="1">1</definedName>
    <definedName name="solver_drv" localSheetId="3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st" localSheetId="2" hidden="1">1</definedName>
    <definedName name="solver_est" localSheetId="3" hidden="1">1</definedName>
    <definedName name="solver_itr" localSheetId="2" hidden="1">2147483647</definedName>
    <definedName name="solver_itr" localSheetId="3" hidden="1">2147483647</definedName>
    <definedName name="solver_lhs1" localSheetId="2" hidden="1">'Problem 3'!$D$10</definedName>
    <definedName name="solver_lhs1" localSheetId="3" hidden="1">'Problem 4'!$G$4</definedName>
    <definedName name="solver_lhs2" localSheetId="2" hidden="1">'Problem 3'!$D$8</definedName>
    <definedName name="solver_lhs2" localSheetId="3" hidden="1">'Problem 4'!$G$5</definedName>
    <definedName name="solver_lhs3" localSheetId="2" hidden="1">'Problem 3'!$D$9</definedName>
    <definedName name="solver_mip" localSheetId="2" hidden="1">2147483647</definedName>
    <definedName name="solver_mip" localSheetId="3" hidden="1">2147483647</definedName>
    <definedName name="solver_mni" localSheetId="2" hidden="1">30</definedName>
    <definedName name="solver_mni" localSheetId="3" hidden="1">30</definedName>
    <definedName name="solver_mrt" localSheetId="2" hidden="1">0.075</definedName>
    <definedName name="solver_mrt" localSheetId="3" hidden="1">0.075</definedName>
    <definedName name="solver_msl" localSheetId="2" hidden="1">2</definedName>
    <definedName name="solver_msl" localSheetId="3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2" hidden="1">2147483647</definedName>
    <definedName name="solver_nod" localSheetId="3" hidden="1">2147483647</definedName>
    <definedName name="solver_num" localSheetId="1" hidden="1">0</definedName>
    <definedName name="solver_num" localSheetId="2" hidden="1">3</definedName>
    <definedName name="solver_num" localSheetId="3" hidden="1">2</definedName>
    <definedName name="solver_nwt" localSheetId="2" hidden="1">1</definedName>
    <definedName name="solver_nwt" localSheetId="3" hidden="1">1</definedName>
    <definedName name="solver_opt" localSheetId="1" hidden="1">'Problem 2'!$C$8</definedName>
    <definedName name="solver_opt" localSheetId="2" hidden="1">'Problem 3'!$B$12</definedName>
    <definedName name="solver_opt" localSheetId="3" hidden="1">'Problem 4'!$C$10</definedName>
    <definedName name="solver_pre" localSheetId="2" hidden="1">0.000001</definedName>
    <definedName name="solver_pre" localSheetId="3" hidden="1">0.000001</definedName>
    <definedName name="solver_rbv" localSheetId="2" hidden="1">1</definedName>
    <definedName name="solver_rbv" localSheetId="3" hidden="1">1</definedName>
    <definedName name="solver_rel1" localSheetId="2" hidden="1">1</definedName>
    <definedName name="solver_rel1" localSheetId="3" hidden="1">1</definedName>
    <definedName name="solver_rel2" localSheetId="2" hidden="1">1</definedName>
    <definedName name="solver_rel2" localSheetId="3" hidden="1">1</definedName>
    <definedName name="solver_rel3" localSheetId="2" hidden="1">1</definedName>
    <definedName name="solver_rhs1" localSheetId="2" hidden="1">'Problem 3'!$E$10</definedName>
    <definedName name="solver_rhs1" localSheetId="3" hidden="1">77</definedName>
    <definedName name="solver_rhs2" localSheetId="2" hidden="1">'Problem 3'!$E$8</definedName>
    <definedName name="solver_rhs2" localSheetId="3" hidden="1">80</definedName>
    <definedName name="solver_rhs3" localSheetId="2" hidden="1">'Problem 3'!$E$9</definedName>
    <definedName name="solver_rlx" localSheetId="2" hidden="1">2</definedName>
    <definedName name="solver_rlx" localSheetId="3" hidden="1">2</definedName>
    <definedName name="solver_rsd" localSheetId="2" hidden="1">0</definedName>
    <definedName name="solver_rsd" localSheetId="3" hidden="1">0</definedName>
    <definedName name="solver_scl" localSheetId="2" hidden="1">1</definedName>
    <definedName name="solver_scl" localSheetId="3" hidden="1">1</definedName>
    <definedName name="solver_sho" localSheetId="2" hidden="1">2</definedName>
    <definedName name="solver_sho" localSheetId="3" hidden="1">2</definedName>
    <definedName name="solver_ssz" localSheetId="2" hidden="1">100</definedName>
    <definedName name="solver_ssz" localSheetId="3" hidden="1">100</definedName>
    <definedName name="solver_tim" localSheetId="2" hidden="1">2147483647</definedName>
    <definedName name="solver_tim" localSheetId="3" hidden="1">2147483647</definedName>
    <definedName name="solver_tol" localSheetId="2" hidden="1">0.01</definedName>
    <definedName name="solver_tol" localSheetId="3" hidden="1">0.01</definedName>
    <definedName name="solver_typ" localSheetId="1" hidden="1">3</definedName>
    <definedName name="solver_typ" localSheetId="2" hidden="1">1</definedName>
    <definedName name="solver_typ" localSheetId="3" hidden="1">1</definedName>
    <definedName name="solver_val" localSheetId="2" hidden="1">0</definedName>
    <definedName name="solver_val" localSheetId="3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t">'Problem 2'!$D$11</definedName>
    <definedName name="u">'Problem 2'!$G$11</definedName>
    <definedName name="x">'Problem 4'!$D$7</definedName>
    <definedName name="y">'Problem 4'!$D$8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" i="2" l="1"/>
  <c r="C8" i="2"/>
  <c r="D9" i="2"/>
  <c r="D8" i="2"/>
  <c r="G9" i="2"/>
  <c r="G8" i="2" a="1"/>
  <c r="G8" i="2" s="1"/>
  <c r="B12" i="4" l="1"/>
  <c r="D10" i="4"/>
  <c r="D9" i="4"/>
  <c r="D8" i="4"/>
  <c r="G4" i="5"/>
  <c r="G5" i="5"/>
  <c r="C10" i="5" a="1"/>
  <c r="C10" i="5" s="1"/>
  <c r="N62" i="1" l="1"/>
  <c r="N63" i="1"/>
  <c r="N64" i="1"/>
  <c r="N65" i="1"/>
  <c r="N6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46" i="1"/>
  <c r="O41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48" i="1"/>
  <c r="C47" i="1"/>
  <c r="D41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13" i="1"/>
  <c r="O8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D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<sst xmlns="http://schemas.openxmlformats.org/spreadsheetml/2006/main" count="80" uniqueCount="45">
  <si>
    <t>CHE 205 HW 1</t>
  </si>
  <si>
    <t>a.</t>
  </si>
  <si>
    <t>function:</t>
  </si>
  <si>
    <r>
      <t>f(x)=x-x</t>
    </r>
    <r>
      <rPr>
        <vertAlign val="superscript"/>
        <sz val="11"/>
        <color theme="1"/>
        <rFont val="Calibri"/>
        <family val="2"/>
        <scheme val="minor"/>
      </rPr>
      <t>1/3</t>
    </r>
    <r>
      <rPr>
        <sz val="11"/>
        <color theme="1"/>
        <rFont val="Calibri"/>
        <family val="2"/>
        <scheme val="minor"/>
      </rPr>
      <t>-2</t>
    </r>
  </si>
  <si>
    <t>x</t>
  </si>
  <si>
    <t>f(x)</t>
  </si>
  <si>
    <t>b.</t>
  </si>
  <si>
    <t>f(x)=xtanx-1</t>
  </si>
  <si>
    <t>c.</t>
  </si>
  <si>
    <t>d.</t>
  </si>
  <si>
    <r>
      <t>f(x)=x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-1</t>
    </r>
  </si>
  <si>
    <r>
      <t>f(x)=x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-e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+1</t>
    </r>
  </si>
  <si>
    <t>root</t>
  </si>
  <si>
    <t>Maximum</t>
  </si>
  <si>
    <t>Minimum</t>
  </si>
  <si>
    <t>Range 1</t>
  </si>
  <si>
    <t>Range 2</t>
  </si>
  <si>
    <t>&gt;0</t>
  </si>
  <si>
    <t>Hops (oz)</t>
  </si>
  <si>
    <t>Malt (lb)</t>
  </si>
  <si>
    <t>Corn (lb)</t>
  </si>
  <si>
    <t>Total Profit</t>
  </si>
  <si>
    <t>expected profit</t>
  </si>
  <si>
    <t>Profit per barrel</t>
  </si>
  <si>
    <t>CHE Yellow</t>
  </si>
  <si>
    <t>CHE Orange</t>
  </si>
  <si>
    <t>Constraint</t>
  </si>
  <si>
    <t>Gas Quality</t>
  </si>
  <si>
    <t>Regular</t>
  </si>
  <si>
    <t>Premium</t>
  </si>
  <si>
    <t>per metric ton</t>
  </si>
  <si>
    <t>Storage Constraint</t>
  </si>
  <si>
    <t>y</t>
  </si>
  <si>
    <t>x&lt;9</t>
  </si>
  <si>
    <t>y&lt;7</t>
  </si>
  <si>
    <t>Add. Constraints</t>
  </si>
  <si>
    <t>7x+11y&lt;=77</t>
  </si>
  <si>
    <t>10x+8y&lt;=80</t>
  </si>
  <si>
    <t>Variables to solve</t>
  </si>
  <si>
    <t>Total material</t>
  </si>
  <si>
    <t>a</t>
  </si>
  <si>
    <t>b</t>
  </si>
  <si>
    <t>f(x)= e-0.3xsin(x+1)</t>
  </si>
  <si>
    <t>x&gt;=-10</t>
  </si>
  <si>
    <t>x&lt;=10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</si>
</sst>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_);_(&quot;$&quot;* \(#,##0.0\);_(&quot;$&quot;* &quot;-&quot;??_);_(@_)"/>
    <numFmt numFmtId="165" formatCode="_(&quot;$&quot;* #,##0_);_(&quot;$&quot;* \(#,##0\);_(&quot;$&quot;* &quot;-&quot;??_);_(@_)"/>
    <numFmt numFmtId="166" formatCode="0.0"/>
  </numFmts>
  <fonts count="4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Border="1"/>
    <xf numFmtId="0" fontId="1" fillId="0" borderId="0" xfId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2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Fill="1"/>
    <xf numFmtId="166" fontId="0" fillId="0" borderId="0" xfId="0" applyNumberFormat="1"/>
    <xf numFmtId="1" fontId="0" fillId="0" borderId="0" xfId="0" applyNumberFormat="1"/>
    <xf numFmtId="0" fontId="2" fillId="6" borderId="0" xfId="2" applyFill="1"/>
    <xf numFmtId="0" fontId="2" fillId="6" borderId="0" xfId="2" applyFill="1" applyAlignment="1">
      <alignment wrapText="1"/>
    </xf>
    <xf numFmtId="164" fontId="2" fillId="0" borderId="0" xfId="2" applyNumberFormat="1"/>
    <xf numFmtId="0" fontId="2" fillId="3" borderId="0" xfId="2" applyFill="1"/>
    <xf numFmtId="166" fontId="2" fillId="7" borderId="0" xfId="2" applyNumberFormat="1" applyFill="1"/>
    <xf numFmtId="0" fontId="2" fillId="5" borderId="0" xfId="2" applyFill="1"/>
    <xf numFmtId="164" fontId="2" fillId="5" borderId="0" xfId="2" applyNumberFormat="1" applyFill="1"/>
    <xf numFmtId="0" fontId="1" fillId="0" borderId="0" xfId="1" applyBorder="1"/>
    <xf numFmtId="0" fontId="0" fillId="0" borderId="0" xfId="0" applyBorder="1" applyAlignment="1">
      <alignment horizontal="center"/>
    </xf>
    <xf numFmtId="0" fontId="2" fillId="0" borderId="0" xfId="2" applyBorder="1"/>
    <xf numFmtId="0" fontId="2" fillId="5" borderId="0" xfId="2" applyFill="1" applyBorder="1" applyAlignment="1">
      <alignment horizontal="center"/>
    </xf>
    <xf numFmtId="0" fontId="2" fillId="3" borderId="0" xfId="2" applyFill="1" applyBorder="1" applyAlignment="1">
      <alignment horizontal="center"/>
    </xf>
    <xf numFmtId="1" fontId="2" fillId="0" borderId="0" xfId="2" applyNumberFormat="1" applyBorder="1" applyAlignment="1">
      <alignment horizontal="center"/>
    </xf>
    <xf numFmtId="0" fontId="2" fillId="0" borderId="0" xfId="2" applyAlignment="1">
      <alignment horizontal="center"/>
    </xf>
    <xf numFmtId="0" fontId="2" fillId="0" borderId="0" xfId="2" applyFill="1"/>
    <xf numFmtId="0" fontId="2" fillId="8" borderId="0" xfId="2" applyFill="1"/>
    <xf numFmtId="165" fontId="2" fillId="0" borderId="0" xfId="2" applyNumberFormat="1"/>
    <xf numFmtId="165" fontId="2" fillId="0" borderId="0" xfId="2" applyNumberFormat="1" applyFill="1"/>
    <xf numFmtId="165" fontId="2" fillId="8" borderId="0" xfId="2" applyNumberFormat="1" applyFill="1"/>
    <xf numFmtId="1" fontId="2" fillId="0" borderId="0" xfId="2" applyNumberFormat="1" applyFill="1"/>
    <xf numFmtId="0" fontId="2" fillId="0" borderId="0" xfId="2" applyAlignment="1">
      <alignment wrapText="1"/>
    </xf>
    <xf numFmtId="0" fontId="2" fillId="7" borderId="0" xfId="2" applyFill="1"/>
    <xf numFmtId="164" fontId="2" fillId="7" borderId="0" xfId="2" applyNumberFormat="1" applyFill="1"/>
    <xf numFmtId="164" fontId="2" fillId="0" borderId="0" xfId="2" applyNumberFormat="1" applyFill="1"/>
    <xf numFmtId="0" fontId="2" fillId="4" borderId="0" xfId="2" applyFill="1"/>
    <xf numFmtId="0" fontId="2" fillId="0" borderId="0" xfId="2" quotePrefix="1" applyAlignment="1">
      <alignment horizontal="center"/>
    </xf>
    <xf numFmtId="0" fontId="2" fillId="0" borderId="0" xfId="2" quotePrefix="1"/>
    <xf numFmtId="0" fontId="2" fillId="2" borderId="0" xfId="2" applyFill="1"/>
    <xf numFmtId="0" fontId="2" fillId="3" borderId="1" xfId="2" applyFill="1" applyBorder="1"/>
  </cellXfs>
  <cellStyles count="3">
    <cellStyle name="Heading 4" xfId="2" builtinId="19"/>
    <cellStyle name="Normal" xfId="0" builtinId="0"/>
    <cellStyle name="Title" xfId="1" builtinId="15"/>
  </cellStyles>
  <dxfs count="0"/>
  <tableStyles count="0" defaultTableStyle="TableStyleMedium2" defaultPivotStyle="PivotStyleLight16"/>
  <colors>
    <mruColors>
      <color rgb="FFFF9966"/>
      <color rgb="FFFFFF9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ln>
                  <a:noFill/>
                </a:ln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ln>
                <a:noFill/>
              </a:ln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'Problem 1'!$C$12</c:f>
              <c:strCache>
                <c:ptCount val="1"/>
                <c:pt idx="0">
                  <c:v>f(x)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'Problem 1'!$B$13:$B$33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'Problem 1'!$C$13:$C$33</c:f>
              <c:numCache>
                <c:formatCode>General</c:formatCode>
                <c:ptCount val="21"/>
                <c:pt idx="0">
                  <c:v>-8.6666666666666661</c:v>
                </c:pt>
                <c:pt idx="1">
                  <c:v>-8</c:v>
                </c:pt>
                <c:pt idx="2">
                  <c:v>-7.3333333333333339</c:v>
                </c:pt>
                <c:pt idx="3">
                  <c:v>-6.6666666666666661</c:v>
                </c:pt>
                <c:pt idx="4">
                  <c:v>-6</c:v>
                </c:pt>
                <c:pt idx="5">
                  <c:v>-5.333333333333333</c:v>
                </c:pt>
                <c:pt idx="6">
                  <c:v>-4.666666666666667</c:v>
                </c:pt>
                <c:pt idx="7">
                  <c:v>-4</c:v>
                </c:pt>
                <c:pt idx="8">
                  <c:v>-3.3333333333333335</c:v>
                </c:pt>
                <c:pt idx="9">
                  <c:v>-2.666666666666667</c:v>
                </c:pt>
                <c:pt idx="10">
                  <c:v>-2</c:v>
                </c:pt>
                <c:pt idx="11">
                  <c:v>-1.3333333333333333</c:v>
                </c:pt>
                <c:pt idx="12">
                  <c:v>-0.66666666666666652</c:v>
                </c:pt>
                <c:pt idx="13">
                  <c:v>0</c:v>
                </c:pt>
                <c:pt idx="14">
                  <c:v>0.66666666666666696</c:v>
                </c:pt>
                <c:pt idx="15">
                  <c:v>1.333333333333333</c:v>
                </c:pt>
                <c:pt idx="16">
                  <c:v>2</c:v>
                </c:pt>
                <c:pt idx="17">
                  <c:v>2.6666666666666661</c:v>
                </c:pt>
                <c:pt idx="18">
                  <c:v>3.3333333333333339</c:v>
                </c:pt>
                <c:pt idx="19">
                  <c:v>4</c:v>
                </c:pt>
                <c:pt idx="20">
                  <c:v>4.6666666666666661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A1-4AFD-BA3A-3EA844B35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531704"/>
        <c:axId val="290532360"/>
      </c:scatterChart>
      <c:valAx>
        <c:axId val="290531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532360"/>
        <c:crosses val="autoZero"/>
        <c:crossBetween val="midCat"/>
      </c:valAx>
      <c:valAx>
        <c:axId val="29053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65000"/>
                  <a:lumOff val="35000"/>
                  <a:alpha val="2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531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'Problem 1'!$N$11:$N$12</c:f>
              <c:strCache>
                <c:ptCount val="2"/>
                <c:pt idx="0">
                  <c:v>b.</c:v>
                </c:pt>
                <c:pt idx="1">
                  <c:v>f(x)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'Problem 1'!$M$13:$M$33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'Problem 1'!$N$13:$N$33</c:f>
              <c:numCache>
                <c:formatCode>General</c:formatCode>
                <c:ptCount val="21"/>
                <c:pt idx="0">
                  <c:v>5.4836082745908659</c:v>
                </c:pt>
                <c:pt idx="1">
                  <c:v>-5.0708409349762888</c:v>
                </c:pt>
                <c:pt idx="2">
                  <c:v>-55.397691641763032</c:v>
                </c:pt>
                <c:pt idx="3">
                  <c:v>5.1001358790702316</c:v>
                </c:pt>
                <c:pt idx="4">
                  <c:v>-2.7460371483084947</c:v>
                </c:pt>
                <c:pt idx="5">
                  <c:v>-17.902575031232928</c:v>
                </c:pt>
                <c:pt idx="6">
                  <c:v>3.6312851293983099</c:v>
                </c:pt>
                <c:pt idx="7">
                  <c:v>-1.4276396292228335</c:v>
                </c:pt>
                <c:pt idx="8">
                  <c:v>-5.3700797265230378</c:v>
                </c:pt>
                <c:pt idx="9">
                  <c:v>0.55740772465490229</c:v>
                </c:pt>
                <c:pt idx="10">
                  <c:v>-1</c:v>
                </c:pt>
                <c:pt idx="11">
                  <c:v>0.55740772465490229</c:v>
                </c:pt>
                <c:pt idx="12">
                  <c:v>-5.3700797265230378</c:v>
                </c:pt>
                <c:pt idx="13">
                  <c:v>-1.4276396292228335</c:v>
                </c:pt>
                <c:pt idx="14">
                  <c:v>3.6312851293983099</c:v>
                </c:pt>
                <c:pt idx="15">
                  <c:v>-17.902575031232928</c:v>
                </c:pt>
                <c:pt idx="16">
                  <c:v>-2.7460371483084947</c:v>
                </c:pt>
                <c:pt idx="17">
                  <c:v>5.1001358790702316</c:v>
                </c:pt>
                <c:pt idx="18">
                  <c:v>-55.397691641763032</c:v>
                </c:pt>
                <c:pt idx="19">
                  <c:v>-5.0708409349762888</c:v>
                </c:pt>
                <c:pt idx="20">
                  <c:v>5.4836082745908659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D4-4852-90E7-A351F4DC3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421640"/>
        <c:axId val="536416064"/>
      </c:scatterChart>
      <c:valAx>
        <c:axId val="536421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416064"/>
        <c:crosses val="autoZero"/>
        <c:crossBetween val="midCat"/>
      </c:valAx>
      <c:valAx>
        <c:axId val="53641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421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'Problem 1'!$C$45:$C$46</c:f>
              <c:strCache>
                <c:ptCount val="2"/>
                <c:pt idx="0">
                  <c:v>c.</c:v>
                </c:pt>
                <c:pt idx="1">
                  <c:v>f(x)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'Problem 1'!$B$47:$B$67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'Problem 1'!$C$47:$C$67</c:f>
              <c:numCache>
                <c:formatCode>General</c:formatCode>
                <c:ptCount val="21"/>
                <c:pt idx="0">
                  <c:v>10000.999954600071</c:v>
                </c:pt>
                <c:pt idx="1">
                  <c:v>6561.9998765901955</c:v>
                </c:pt>
                <c:pt idx="2">
                  <c:v>4096.9996645373722</c:v>
                </c:pt>
                <c:pt idx="3">
                  <c:v>2401.9990881180343</c:v>
                </c:pt>
                <c:pt idx="4">
                  <c:v>1296.9975212478234</c:v>
                </c:pt>
                <c:pt idx="5">
                  <c:v>625.99326205300088</c:v>
                </c:pt>
                <c:pt idx="6">
                  <c:v>256.98168436111126</c:v>
                </c:pt>
                <c:pt idx="7">
                  <c:v>81.950212931632137</c:v>
                </c:pt>
                <c:pt idx="8">
                  <c:v>16.864664716763386</c:v>
                </c:pt>
                <c:pt idx="9">
                  <c:v>1.6321205588285577</c:v>
                </c:pt>
                <c:pt idx="10">
                  <c:v>0</c:v>
                </c:pt>
                <c:pt idx="11">
                  <c:v>-0.71828182845904509</c:v>
                </c:pt>
                <c:pt idx="12">
                  <c:v>9.6109439010693496</c:v>
                </c:pt>
                <c:pt idx="13">
                  <c:v>61.914463076812332</c:v>
                </c:pt>
                <c:pt idx="14">
                  <c:v>202.40184996685576</c:v>
                </c:pt>
                <c:pt idx="15">
                  <c:v>477.58684089742337</c:v>
                </c:pt>
                <c:pt idx="16">
                  <c:v>893.57120650726483</c:v>
                </c:pt>
                <c:pt idx="17">
                  <c:v>1305.3668415715415</c:v>
                </c:pt>
                <c:pt idx="18">
                  <c:v>1116.0420129582717</c:v>
                </c:pt>
                <c:pt idx="19">
                  <c:v>-1541.0839275753842</c:v>
                </c:pt>
                <c:pt idx="20">
                  <c:v>-12025.465794806718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77-4D26-88FA-1429E9E15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431808"/>
        <c:axId val="536427216"/>
      </c:scatterChart>
      <c:valAx>
        <c:axId val="53643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427216"/>
        <c:crosses val="autoZero"/>
        <c:crossBetween val="midCat"/>
      </c:valAx>
      <c:valAx>
        <c:axId val="53642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65000"/>
                  <a:lumOff val="35000"/>
                  <a:alpha val="2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43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'Problem 1'!$N$44:$N$45</c:f>
              <c:strCache>
                <c:ptCount val="2"/>
                <c:pt idx="0">
                  <c:v>d.</c:v>
                </c:pt>
                <c:pt idx="1">
                  <c:v>f(x)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'Problem 1'!$M$46:$M$66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'Problem 1'!$N$46:$N$66</c:f>
              <c:numCache>
                <c:formatCode>General</c:formatCode>
                <c:ptCount val="21"/>
                <c:pt idx="0">
                  <c:v>-0.99546000702375148</c:v>
                </c:pt>
                <c:pt idx="1">
                  <c:v>-0.99000380586897896</c:v>
                </c:pt>
                <c:pt idx="2">
                  <c:v>-0.97853039181423929</c:v>
                </c:pt>
                <c:pt idx="3">
                  <c:v>-0.95531778368782871</c:v>
                </c:pt>
                <c:pt idx="4">
                  <c:v>-0.9107649216400111</c:v>
                </c:pt>
                <c:pt idx="5">
                  <c:v>-0.83155132502286333</c:v>
                </c:pt>
                <c:pt idx="6">
                  <c:v>-0.70694977778025314</c:v>
                </c:pt>
                <c:pt idx="7">
                  <c:v>-0.55191638468922455</c:v>
                </c:pt>
                <c:pt idx="8">
                  <c:v>-0.45865886705354919</c:v>
                </c:pt>
                <c:pt idx="9">
                  <c:v>-0.63212055882855767</c:v>
                </c:pt>
                <c:pt idx="10">
                  <c:v>-1</c:v>
                </c:pt>
                <c:pt idx="11">
                  <c:v>1.7182818284590451</c:v>
                </c:pt>
                <c:pt idx="12">
                  <c:v>28.556224395722602</c:v>
                </c:pt>
                <c:pt idx="13">
                  <c:v>179.76983230868902</c:v>
                </c:pt>
                <c:pt idx="14">
                  <c:v>872.57040053030778</c:v>
                </c:pt>
                <c:pt idx="15">
                  <c:v>3709.3289775644148</c:v>
                </c:pt>
                <c:pt idx="16">
                  <c:v>14522.436565738464</c:v>
                </c:pt>
                <c:pt idx="17">
                  <c:v>53734.024762994464</c:v>
                </c:pt>
                <c:pt idx="18">
                  <c:v>190780.31117067061</c:v>
                </c:pt>
                <c:pt idx="19">
                  <c:v>656348.79813360609</c:v>
                </c:pt>
                <c:pt idx="20">
                  <c:v>2202645.5794806718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6B-45CC-A1A2-352147F14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525496"/>
        <c:axId val="428526808"/>
      </c:scatterChart>
      <c:valAx>
        <c:axId val="428525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26808"/>
        <c:crosses val="autoZero"/>
        <c:crossBetween val="midCat"/>
      </c:valAx>
      <c:valAx>
        <c:axId val="42852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65000"/>
                  <a:lumOff val="35000"/>
                  <a:alpha val="2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25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531667</xdr:colOff>
      <xdr:row>13</xdr:row>
      <xdr:rowOff>93950</xdr:rowOff>
    </xdr:from>
    <xdr:to>
      <xdr:col>11</xdr:col>
      <xdr:colOff>-1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A5E47D-9278-4B80-B73E-761475A6F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155863</xdr:colOff>
      <xdr:row>13</xdr:row>
      <xdr:rowOff>17319</xdr:rowOff>
    </xdr:from>
    <xdr:to>
      <xdr:col>23</xdr:col>
      <xdr:colOff>380999</xdr:colOff>
      <xdr:row>27</xdr:row>
      <xdr:rowOff>176646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E92CC4-9DA3-4CBA-8157-6E6505BD0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389657</xdr:colOff>
      <xdr:row>46</xdr:row>
      <xdr:rowOff>13854</xdr:rowOff>
    </xdr:from>
    <xdr:to>
      <xdr:col>10</xdr:col>
      <xdr:colOff>606135</xdr:colOff>
      <xdr:row>62</xdr:row>
      <xdr:rowOff>17318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B51B86-02FD-466D-9AEC-16677E694D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35718</xdr:colOff>
      <xdr:row>45</xdr:row>
      <xdr:rowOff>176212</xdr:rowOff>
    </xdr:from>
    <xdr:to>
      <xdr:col>23</xdr:col>
      <xdr:colOff>190499</xdr:colOff>
      <xdr:row>62</xdr:row>
      <xdr:rowOff>47626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5614E7-AB8E-4F90-B497-6F03503A8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716E-EC5D-4F24-85FE-2B17EB37308A}">
  <dimension ref="A1:O71"/>
  <sheetViews>
    <sheetView tabSelected="1" zoomScaleNormal="100" workbookViewId="0">
      <selection activeCell="D40" sqref="D40"/>
    </sheetView>
  </sheetViews>
  <sheetFormatPr defaultRowHeight="15" x14ac:dyDescent="0.25"/>
  <cols>
    <col min="4" max="4" width="14.7109375" customWidth="1"/>
  </cols>
  <sheetData>
    <row r="1" spans="1:15" x14ac:dyDescent="0.25">
      <c r="A1" s="1"/>
    </row>
    <row r="2" spans="1:15" ht="23.25" x14ac:dyDescent="0.35">
      <c r="A2" s="1"/>
      <c r="D2" s="2" t="s">
        <v>0</v>
      </c>
    </row>
    <row r="3" spans="1:15" x14ac:dyDescent="0.25">
      <c r="A3" s="5">
        <v>1</v>
      </c>
    </row>
    <row r="4" spans="1:15" x14ac:dyDescent="0.25">
      <c r="A4" s="1"/>
      <c r="B4" s="3" t="s">
        <v>1</v>
      </c>
      <c r="M4" s="3" t="s">
        <v>6</v>
      </c>
    </row>
    <row r="5" spans="1:15" ht="17.25" x14ac:dyDescent="0.25">
      <c r="A5" s="1"/>
      <c r="C5" t="s">
        <v>2</v>
      </c>
      <c r="D5" s="4" t="s">
        <v>3</v>
      </c>
      <c r="N5" t="s">
        <v>2</v>
      </c>
      <c r="O5" s="4" t="s">
        <v>7</v>
      </c>
    </row>
    <row r="6" spans="1:15" x14ac:dyDescent="0.25">
      <c r="A6" s="1"/>
    </row>
    <row r="7" spans="1:15" x14ac:dyDescent="0.25">
      <c r="A7" s="1"/>
      <c r="C7" t="s">
        <v>4</v>
      </c>
      <c r="D7">
        <v>3.0000000000000004</v>
      </c>
      <c r="N7" t="s">
        <v>4</v>
      </c>
      <c r="O7">
        <v>0.86057524028434473</v>
      </c>
    </row>
    <row r="8" spans="1:15" x14ac:dyDescent="0.25">
      <c r="A8" s="1"/>
      <c r="B8" t="s">
        <v>12</v>
      </c>
      <c r="C8" t="s">
        <v>5</v>
      </c>
      <c r="D8">
        <f>D7-(D7^1/3)-2</f>
        <v>0</v>
      </c>
      <c r="M8" t="s">
        <v>12</v>
      </c>
      <c r="N8" t="s">
        <v>5</v>
      </c>
      <c r="O8">
        <f>O7*TAN(O7)-1</f>
        <v>7.6993714738682328E-4</v>
      </c>
    </row>
    <row r="9" spans="1:15" x14ac:dyDescent="0.25">
      <c r="A9" s="1"/>
    </row>
    <row r="10" spans="1:15" x14ac:dyDescent="0.25">
      <c r="A10" s="1"/>
    </row>
    <row r="11" spans="1:15" x14ac:dyDescent="0.25">
      <c r="A11" s="1"/>
      <c r="B11" s="3" t="s">
        <v>1</v>
      </c>
      <c r="M11" s="3" t="s">
        <v>6</v>
      </c>
    </row>
    <row r="12" spans="1:15" x14ac:dyDescent="0.25">
      <c r="A12" s="1"/>
      <c r="B12" s="4" t="s">
        <v>4</v>
      </c>
      <c r="C12" s="4" t="s">
        <v>5</v>
      </c>
      <c r="M12" s="4" t="s">
        <v>4</v>
      </c>
      <c r="N12" s="4" t="s">
        <v>5</v>
      </c>
    </row>
    <row r="13" spans="1:15" x14ac:dyDescent="0.25">
      <c r="A13" s="1"/>
      <c r="B13">
        <v>-10</v>
      </c>
      <c r="C13">
        <f>B13-(B13^1/3)-2</f>
        <v>-8.6666666666666661</v>
      </c>
      <c r="M13">
        <v>-10</v>
      </c>
      <c r="N13">
        <f>M13*TAN(M13)-1</f>
        <v>5.4836082745908659</v>
      </c>
    </row>
    <row r="14" spans="1:15" x14ac:dyDescent="0.25">
      <c r="A14" s="1"/>
      <c r="B14">
        <v>-9</v>
      </c>
      <c r="C14">
        <f t="shared" ref="C14:C33" si="0">B14-(B14^1/3)-2</f>
        <v>-8</v>
      </c>
      <c r="M14">
        <v>-9</v>
      </c>
      <c r="N14">
        <f t="shared" ref="N14:N33" si="1">M14*TAN(M14)-1</f>
        <v>-5.0708409349762888</v>
      </c>
    </row>
    <row r="15" spans="1:15" x14ac:dyDescent="0.25">
      <c r="A15" s="1"/>
      <c r="B15">
        <v>-8</v>
      </c>
      <c r="C15">
        <f t="shared" si="0"/>
        <v>-7.3333333333333339</v>
      </c>
      <c r="M15">
        <v>-8</v>
      </c>
      <c r="N15">
        <f t="shared" si="1"/>
        <v>-55.397691641763032</v>
      </c>
    </row>
    <row r="16" spans="1:15" x14ac:dyDescent="0.25">
      <c r="A16" s="1"/>
      <c r="B16">
        <v>-7</v>
      </c>
      <c r="C16">
        <f t="shared" si="0"/>
        <v>-6.6666666666666661</v>
      </c>
      <c r="M16">
        <v>-7</v>
      </c>
      <c r="N16">
        <f t="shared" si="1"/>
        <v>5.1001358790702316</v>
      </c>
    </row>
    <row r="17" spans="1:14" x14ac:dyDescent="0.25">
      <c r="A17" s="1"/>
      <c r="B17">
        <v>-6</v>
      </c>
      <c r="C17">
        <f t="shared" si="0"/>
        <v>-6</v>
      </c>
      <c r="M17">
        <v>-6</v>
      </c>
      <c r="N17">
        <f t="shared" si="1"/>
        <v>-2.7460371483084947</v>
      </c>
    </row>
    <row r="18" spans="1:14" x14ac:dyDescent="0.25">
      <c r="A18" s="1"/>
      <c r="B18">
        <v>-5</v>
      </c>
      <c r="C18">
        <f t="shared" si="0"/>
        <v>-5.333333333333333</v>
      </c>
      <c r="M18">
        <v>-5</v>
      </c>
      <c r="N18">
        <f t="shared" si="1"/>
        <v>-17.902575031232928</v>
      </c>
    </row>
    <row r="19" spans="1:14" x14ac:dyDescent="0.25">
      <c r="A19" s="1"/>
      <c r="B19">
        <v>-4</v>
      </c>
      <c r="C19">
        <f t="shared" si="0"/>
        <v>-4.666666666666667</v>
      </c>
      <c r="M19">
        <v>-4</v>
      </c>
      <c r="N19">
        <f t="shared" si="1"/>
        <v>3.6312851293983099</v>
      </c>
    </row>
    <row r="20" spans="1:14" x14ac:dyDescent="0.25">
      <c r="A20" s="1"/>
      <c r="B20">
        <v>-3</v>
      </c>
      <c r="C20">
        <f t="shared" si="0"/>
        <v>-4</v>
      </c>
      <c r="M20">
        <v>-3</v>
      </c>
      <c r="N20">
        <f t="shared" si="1"/>
        <v>-1.4276396292228335</v>
      </c>
    </row>
    <row r="21" spans="1:14" x14ac:dyDescent="0.25">
      <c r="A21" s="1"/>
      <c r="B21">
        <v>-2</v>
      </c>
      <c r="C21">
        <f t="shared" si="0"/>
        <v>-3.3333333333333335</v>
      </c>
      <c r="M21">
        <v>-2</v>
      </c>
      <c r="N21">
        <f t="shared" si="1"/>
        <v>-5.3700797265230378</v>
      </c>
    </row>
    <row r="22" spans="1:14" x14ac:dyDescent="0.25">
      <c r="B22">
        <v>-1</v>
      </c>
      <c r="C22">
        <f t="shared" si="0"/>
        <v>-2.666666666666667</v>
      </c>
      <c r="M22">
        <v>-1</v>
      </c>
      <c r="N22">
        <f t="shared" si="1"/>
        <v>0.55740772465490229</v>
      </c>
    </row>
    <row r="23" spans="1:14" x14ac:dyDescent="0.25">
      <c r="B23">
        <v>0</v>
      </c>
      <c r="C23">
        <f t="shared" si="0"/>
        <v>-2</v>
      </c>
      <c r="M23">
        <v>0</v>
      </c>
      <c r="N23">
        <f t="shared" si="1"/>
        <v>-1</v>
      </c>
    </row>
    <row r="24" spans="1:14" x14ac:dyDescent="0.25">
      <c r="B24">
        <v>1</v>
      </c>
      <c r="C24">
        <f t="shared" si="0"/>
        <v>-1.3333333333333333</v>
      </c>
      <c r="M24">
        <v>1</v>
      </c>
      <c r="N24">
        <f t="shared" si="1"/>
        <v>0.55740772465490229</v>
      </c>
    </row>
    <row r="25" spans="1:14" x14ac:dyDescent="0.25">
      <c r="B25">
        <v>2</v>
      </c>
      <c r="C25">
        <f t="shared" si="0"/>
        <v>-0.66666666666666652</v>
      </c>
      <c r="M25">
        <v>2</v>
      </c>
      <c r="N25">
        <f t="shared" si="1"/>
        <v>-5.3700797265230378</v>
      </c>
    </row>
    <row r="26" spans="1:14" x14ac:dyDescent="0.25">
      <c r="B26">
        <v>3</v>
      </c>
      <c r="C26">
        <f t="shared" si="0"/>
        <v>0</v>
      </c>
      <c r="M26">
        <v>3</v>
      </c>
      <c r="N26">
        <f t="shared" si="1"/>
        <v>-1.4276396292228335</v>
      </c>
    </row>
    <row r="27" spans="1:14" x14ac:dyDescent="0.25">
      <c r="B27">
        <v>4</v>
      </c>
      <c r="C27">
        <f t="shared" si="0"/>
        <v>0.66666666666666696</v>
      </c>
      <c r="M27">
        <v>4</v>
      </c>
      <c r="N27">
        <f t="shared" si="1"/>
        <v>3.6312851293983099</v>
      </c>
    </row>
    <row r="28" spans="1:14" x14ac:dyDescent="0.25">
      <c r="B28">
        <v>5</v>
      </c>
      <c r="C28">
        <f t="shared" si="0"/>
        <v>1.333333333333333</v>
      </c>
      <c r="M28">
        <v>5</v>
      </c>
      <c r="N28">
        <f t="shared" si="1"/>
        <v>-17.902575031232928</v>
      </c>
    </row>
    <row r="29" spans="1:14" x14ac:dyDescent="0.25">
      <c r="B29">
        <v>6</v>
      </c>
      <c r="C29">
        <f t="shared" si="0"/>
        <v>2</v>
      </c>
      <c r="M29">
        <v>6</v>
      </c>
      <c r="N29">
        <f t="shared" si="1"/>
        <v>-2.7460371483084947</v>
      </c>
    </row>
    <row r="30" spans="1:14" x14ac:dyDescent="0.25">
      <c r="B30">
        <v>7</v>
      </c>
      <c r="C30">
        <f t="shared" si="0"/>
        <v>2.6666666666666661</v>
      </c>
      <c r="M30">
        <v>7</v>
      </c>
      <c r="N30">
        <f t="shared" si="1"/>
        <v>5.1001358790702316</v>
      </c>
    </row>
    <row r="31" spans="1:14" x14ac:dyDescent="0.25">
      <c r="B31">
        <v>8</v>
      </c>
      <c r="C31">
        <f t="shared" si="0"/>
        <v>3.3333333333333339</v>
      </c>
      <c r="M31">
        <v>8</v>
      </c>
      <c r="N31">
        <f t="shared" si="1"/>
        <v>-55.397691641763032</v>
      </c>
    </row>
    <row r="32" spans="1:14" x14ac:dyDescent="0.25">
      <c r="B32">
        <v>9</v>
      </c>
      <c r="C32">
        <f t="shared" si="0"/>
        <v>4</v>
      </c>
      <c r="M32">
        <v>9</v>
      </c>
      <c r="N32">
        <f t="shared" si="1"/>
        <v>-5.0708409349762888</v>
      </c>
    </row>
    <row r="33" spans="2:15" x14ac:dyDescent="0.25">
      <c r="B33">
        <v>10</v>
      </c>
      <c r="C33">
        <f t="shared" si="0"/>
        <v>4.6666666666666661</v>
      </c>
      <c r="M33">
        <v>10</v>
      </c>
      <c r="N33">
        <f t="shared" si="1"/>
        <v>5.4836082745908659</v>
      </c>
    </row>
    <row r="37" spans="2:15" x14ac:dyDescent="0.25">
      <c r="B37" s="3" t="s">
        <v>8</v>
      </c>
      <c r="M37" s="3" t="s">
        <v>9</v>
      </c>
    </row>
    <row r="38" spans="2:15" ht="17.25" x14ac:dyDescent="0.25">
      <c r="C38" t="s">
        <v>2</v>
      </c>
      <c r="D38" s="4" t="s">
        <v>11</v>
      </c>
      <c r="N38" t="s">
        <v>2</v>
      </c>
      <c r="O38" s="4" t="s">
        <v>10</v>
      </c>
    </row>
    <row r="40" spans="2:15" x14ac:dyDescent="0.25">
      <c r="C40" t="s">
        <v>4</v>
      </c>
      <c r="D40">
        <v>1.2611070002887266</v>
      </c>
      <c r="N40" t="s">
        <v>4</v>
      </c>
      <c r="O40">
        <v>0.70360543685735322</v>
      </c>
    </row>
    <row r="41" spans="2:15" x14ac:dyDescent="0.25">
      <c r="B41" t="s">
        <v>12</v>
      </c>
      <c r="C41" t="s">
        <v>5</v>
      </c>
      <c r="D41">
        <f>D40^4-EXP(D40)+1</f>
        <v>1.6816339634129207E-5</v>
      </c>
      <c r="M41" t="s">
        <v>12</v>
      </c>
      <c r="N41" t="s">
        <v>5</v>
      </c>
      <c r="O41">
        <f>(O40^2*EXP(O40))-1</f>
        <v>5.3049962374385196E-4</v>
      </c>
    </row>
    <row r="44" spans="2:15" x14ac:dyDescent="0.25">
      <c r="M44" s="3" t="s">
        <v>9</v>
      </c>
    </row>
    <row r="45" spans="2:15" x14ac:dyDescent="0.25">
      <c r="B45" s="3" t="s">
        <v>8</v>
      </c>
      <c r="M45" s="4" t="s">
        <v>4</v>
      </c>
      <c r="N45" s="4" t="s">
        <v>5</v>
      </c>
    </row>
    <row r="46" spans="2:15" x14ac:dyDescent="0.25">
      <c r="B46" s="4" t="s">
        <v>4</v>
      </c>
      <c r="C46" s="4" t="s">
        <v>5</v>
      </c>
      <c r="M46">
        <v>-10</v>
      </c>
      <c r="N46">
        <f>(M46^2*EXP(M46))-1</f>
        <v>-0.99546000702375148</v>
      </c>
    </row>
    <row r="47" spans="2:15" x14ac:dyDescent="0.25">
      <c r="B47">
        <v>-10</v>
      </c>
      <c r="C47">
        <f>B47^4-EXP(B47)+1</f>
        <v>10000.999954600071</v>
      </c>
      <c r="M47">
        <v>-9</v>
      </c>
      <c r="N47">
        <f t="shared" ref="N47:N66" si="2">(M47^2*EXP(M47))-1</f>
        <v>-0.99000380586897896</v>
      </c>
    </row>
    <row r="48" spans="2:15" x14ac:dyDescent="0.25">
      <c r="B48">
        <v>-9</v>
      </c>
      <c r="C48">
        <f>B48^4-EXP(B48)+1</f>
        <v>6561.9998765901955</v>
      </c>
      <c r="M48">
        <v>-8</v>
      </c>
      <c r="N48">
        <f t="shared" si="2"/>
        <v>-0.97853039181423929</v>
      </c>
    </row>
    <row r="49" spans="2:14" x14ac:dyDescent="0.25">
      <c r="B49">
        <v>-8</v>
      </c>
      <c r="C49">
        <f t="shared" ref="C49:C67" si="3">B49^4-EXP(B49)+1</f>
        <v>4096.9996645373722</v>
      </c>
      <c r="M49">
        <v>-7</v>
      </c>
      <c r="N49">
        <f t="shared" si="2"/>
        <v>-0.95531778368782871</v>
      </c>
    </row>
    <row r="50" spans="2:14" x14ac:dyDescent="0.25">
      <c r="B50">
        <v>-7</v>
      </c>
      <c r="C50">
        <f t="shared" si="3"/>
        <v>2401.9990881180343</v>
      </c>
      <c r="M50">
        <v>-6</v>
      </c>
      <c r="N50">
        <f t="shared" si="2"/>
        <v>-0.9107649216400111</v>
      </c>
    </row>
    <row r="51" spans="2:14" x14ac:dyDescent="0.25">
      <c r="B51">
        <v>-6</v>
      </c>
      <c r="C51">
        <f t="shared" si="3"/>
        <v>1296.9975212478234</v>
      </c>
      <c r="M51">
        <v>-5</v>
      </c>
      <c r="N51">
        <f t="shared" si="2"/>
        <v>-0.83155132502286333</v>
      </c>
    </row>
    <row r="52" spans="2:14" x14ac:dyDescent="0.25">
      <c r="B52">
        <v>-5</v>
      </c>
      <c r="C52">
        <f t="shared" si="3"/>
        <v>625.99326205300088</v>
      </c>
      <c r="M52">
        <v>-4</v>
      </c>
      <c r="N52">
        <f t="shared" si="2"/>
        <v>-0.70694977778025314</v>
      </c>
    </row>
    <row r="53" spans="2:14" x14ac:dyDescent="0.25">
      <c r="B53">
        <v>-4</v>
      </c>
      <c r="C53">
        <f t="shared" si="3"/>
        <v>256.98168436111126</v>
      </c>
      <c r="M53">
        <v>-3</v>
      </c>
      <c r="N53">
        <f t="shared" si="2"/>
        <v>-0.55191638468922455</v>
      </c>
    </row>
    <row r="54" spans="2:14" x14ac:dyDescent="0.25">
      <c r="B54">
        <v>-3</v>
      </c>
      <c r="C54">
        <f t="shared" si="3"/>
        <v>81.950212931632137</v>
      </c>
      <c r="M54">
        <v>-2</v>
      </c>
      <c r="N54">
        <f t="shared" si="2"/>
        <v>-0.45865886705354919</v>
      </c>
    </row>
    <row r="55" spans="2:14" x14ac:dyDescent="0.25">
      <c r="B55">
        <v>-2</v>
      </c>
      <c r="C55">
        <f t="shared" si="3"/>
        <v>16.864664716763386</v>
      </c>
      <c r="M55">
        <v>-1</v>
      </c>
      <c r="N55">
        <f t="shared" si="2"/>
        <v>-0.63212055882855767</v>
      </c>
    </row>
    <row r="56" spans="2:14" x14ac:dyDescent="0.25">
      <c r="B56">
        <v>-1</v>
      </c>
      <c r="C56">
        <f t="shared" si="3"/>
        <v>1.6321205588285577</v>
      </c>
      <c r="M56">
        <v>0</v>
      </c>
      <c r="N56">
        <f t="shared" si="2"/>
        <v>-1</v>
      </c>
    </row>
    <row r="57" spans="2:14" x14ac:dyDescent="0.25">
      <c r="B57">
        <v>0</v>
      </c>
      <c r="C57">
        <f t="shared" si="3"/>
        <v>0</v>
      </c>
      <c r="M57">
        <v>1</v>
      </c>
      <c r="N57">
        <f t="shared" si="2"/>
        <v>1.7182818284590451</v>
      </c>
    </row>
    <row r="58" spans="2:14" x14ac:dyDescent="0.25">
      <c r="B58">
        <v>1</v>
      </c>
      <c r="C58">
        <f t="shared" si="3"/>
        <v>-0.71828182845904509</v>
      </c>
      <c r="M58">
        <v>2</v>
      </c>
      <c r="N58">
        <f t="shared" si="2"/>
        <v>28.556224395722602</v>
      </c>
    </row>
    <row r="59" spans="2:14" x14ac:dyDescent="0.25">
      <c r="B59">
        <v>2</v>
      </c>
      <c r="C59">
        <f t="shared" si="3"/>
        <v>9.6109439010693496</v>
      </c>
      <c r="M59">
        <v>3</v>
      </c>
      <c r="N59">
        <f t="shared" si="2"/>
        <v>179.76983230868902</v>
      </c>
    </row>
    <row r="60" spans="2:14" x14ac:dyDescent="0.25">
      <c r="B60">
        <v>3</v>
      </c>
      <c r="C60">
        <f t="shared" si="3"/>
        <v>61.914463076812332</v>
      </c>
      <c r="M60">
        <v>4</v>
      </c>
      <c r="N60">
        <f t="shared" si="2"/>
        <v>872.57040053030778</v>
      </c>
    </row>
    <row r="61" spans="2:14" x14ac:dyDescent="0.25">
      <c r="B61">
        <v>4</v>
      </c>
      <c r="C61">
        <f t="shared" si="3"/>
        <v>202.40184996685576</v>
      </c>
      <c r="M61">
        <v>5</v>
      </c>
      <c r="N61">
        <f t="shared" si="2"/>
        <v>3709.3289775644148</v>
      </c>
    </row>
    <row r="62" spans="2:14" x14ac:dyDescent="0.25">
      <c r="B62">
        <v>5</v>
      </c>
      <c r="C62">
        <f t="shared" si="3"/>
        <v>477.58684089742337</v>
      </c>
      <c r="M62">
        <v>6</v>
      </c>
      <c r="N62">
        <f>(M62^2*EXP(M62))-1</f>
        <v>14522.436565738464</v>
      </c>
    </row>
    <row r="63" spans="2:14" x14ac:dyDescent="0.25">
      <c r="B63">
        <v>6</v>
      </c>
      <c r="C63">
        <f t="shared" si="3"/>
        <v>893.57120650726483</v>
      </c>
      <c r="M63">
        <v>7</v>
      </c>
      <c r="N63">
        <f t="shared" si="2"/>
        <v>53734.024762994464</v>
      </c>
    </row>
    <row r="64" spans="2:14" x14ac:dyDescent="0.25">
      <c r="B64">
        <v>7</v>
      </c>
      <c r="C64">
        <f t="shared" si="3"/>
        <v>1305.3668415715415</v>
      </c>
      <c r="M64">
        <v>8</v>
      </c>
      <c r="N64">
        <f t="shared" si="2"/>
        <v>190780.31117067061</v>
      </c>
    </row>
    <row r="65" spans="1:14" x14ac:dyDescent="0.25">
      <c r="B65">
        <v>8</v>
      </c>
      <c r="C65">
        <f t="shared" si="3"/>
        <v>1116.0420129582717</v>
      </c>
      <c r="M65">
        <v>9</v>
      </c>
      <c r="N65">
        <f t="shared" si="2"/>
        <v>656348.79813360609</v>
      </c>
    </row>
    <row r="66" spans="1:14" x14ac:dyDescent="0.25">
      <c r="B66">
        <v>9</v>
      </c>
      <c r="C66">
        <f t="shared" si="3"/>
        <v>-1541.0839275753842</v>
      </c>
      <c r="M66">
        <v>10</v>
      </c>
      <c r="N66">
        <f t="shared" si="2"/>
        <v>2202645.5794806718</v>
      </c>
    </row>
    <row r="67" spans="1:14" x14ac:dyDescent="0.25">
      <c r="B67">
        <v>10</v>
      </c>
      <c r="C67">
        <f t="shared" si="3"/>
        <v>-12025.465794806718</v>
      </c>
    </row>
    <row r="68" spans="1:14" x14ac:dyDescent="0.25">
      <c r="C68" s="5"/>
    </row>
    <row r="71" spans="1:14" x14ac:dyDescent="0.25">
      <c r="A71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2DB6-F797-4B92-8FB5-A323022FAD47}">
  <dimension ref="B2:H11"/>
  <sheetViews>
    <sheetView workbookViewId="0">
      <selection activeCell="I19" sqref="I19"/>
    </sheetView>
  </sheetViews>
  <sheetFormatPr defaultRowHeight="15" x14ac:dyDescent="0.25"/>
  <cols>
    <col min="2" max="2" width="10.42578125" customWidth="1"/>
    <col min="3" max="3" width="15" customWidth="1"/>
    <col min="4" max="4" width="11" bestFit="1" customWidth="1"/>
  </cols>
  <sheetData>
    <row r="2" spans="2:8" ht="23.25" x14ac:dyDescent="0.35">
      <c r="C2" s="2" t="s">
        <v>0</v>
      </c>
    </row>
    <row r="5" spans="2:8" x14ac:dyDescent="0.25">
      <c r="B5" s="5" t="s">
        <v>42</v>
      </c>
      <c r="C5" s="5"/>
      <c r="D5" s="5"/>
      <c r="E5" s="5"/>
      <c r="F5" s="5"/>
      <c r="G5" s="5"/>
    </row>
    <row r="6" spans="2:8" x14ac:dyDescent="0.25">
      <c r="B6" s="5"/>
      <c r="C6" s="5"/>
      <c r="D6" s="5"/>
      <c r="E6" s="5"/>
      <c r="F6" s="5"/>
      <c r="G6" s="5"/>
    </row>
    <row r="7" spans="2:8" x14ac:dyDescent="0.25">
      <c r="B7" s="5" t="s">
        <v>15</v>
      </c>
      <c r="C7" s="36" t="s">
        <v>43</v>
      </c>
      <c r="D7" s="36" t="s">
        <v>44</v>
      </c>
      <c r="E7" s="37"/>
      <c r="F7" s="5" t="s">
        <v>16</v>
      </c>
      <c r="G7" s="24" t="s">
        <v>17</v>
      </c>
    </row>
    <row r="8" spans="2:8" x14ac:dyDescent="0.25">
      <c r="B8" s="32" t="s">
        <v>13</v>
      </c>
      <c r="C8" s="37">
        <f>MAX(EXP(-0.3*k)*SIN(k+1),IF(k&gt;-10,k=-10))</f>
        <v>0.67362410181146604</v>
      </c>
      <c r="D8" s="37">
        <f>MAX(EXP(-0.3*t)*SIN(t+1),_xlfn.IFS(t=10,t&lt;10))</f>
        <v>0</v>
      </c>
      <c r="E8" s="37"/>
      <c r="F8" s="32" t="s">
        <v>13</v>
      </c>
      <c r="G8" s="37" cm="1">
        <f t="array" ref="G8">MAX(EXP(-0.3*l)*SIN(l+1),IF(l&gt;0,l=0))</f>
        <v>0.10859915434469745</v>
      </c>
      <c r="H8" s="6"/>
    </row>
    <row r="9" spans="2:8" x14ac:dyDescent="0.25">
      <c r="B9" s="38" t="s">
        <v>14</v>
      </c>
      <c r="C9" s="37">
        <f>MIN(EXP(-0.3*k)*SIN(k+1),IF(k&gt;-10,k=-10))</f>
        <v>0</v>
      </c>
      <c r="D9" s="37">
        <f>MIN(EXP(-0.3*t)*SIN(t+1),_xlfn.IFS(t=10,t&lt;10))</f>
        <v>-4.9786580780734259E-2</v>
      </c>
      <c r="E9" s="37"/>
      <c r="F9" s="38" t="s">
        <v>14</v>
      </c>
      <c r="G9" s="37">
        <f>MIN(EXP(-0.3*l)*SIN(l+1),IF(l&gt;0,l=0))</f>
        <v>0</v>
      </c>
    </row>
    <row r="10" spans="2:8" x14ac:dyDescent="0.25">
      <c r="B10" s="5"/>
      <c r="C10" s="5"/>
      <c r="D10" s="5"/>
      <c r="E10" s="5"/>
      <c r="F10" s="5"/>
      <c r="G10" s="5"/>
    </row>
    <row r="11" spans="2:8" x14ac:dyDescent="0.25">
      <c r="B11" s="39" t="s">
        <v>4</v>
      </c>
      <c r="C11" s="39">
        <v>1</v>
      </c>
      <c r="D11" s="39">
        <v>10</v>
      </c>
      <c r="E11" s="39"/>
      <c r="F11" s="39" t="s">
        <v>4</v>
      </c>
      <c r="G11" s="39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3976-02FA-4DAD-A7E0-F0C01FD25D60}">
  <dimension ref="A1:H13"/>
  <sheetViews>
    <sheetView workbookViewId="0">
      <selection activeCell="C1" sqref="C1"/>
    </sheetView>
  </sheetViews>
  <sheetFormatPr defaultRowHeight="15" x14ac:dyDescent="0.25"/>
  <cols>
    <col min="1" max="1" width="16.28515625" customWidth="1"/>
    <col min="2" max="2" width="11.85546875" customWidth="1"/>
    <col min="3" max="3" width="14.5703125" customWidth="1"/>
    <col min="4" max="4" width="15.42578125" customWidth="1"/>
    <col min="5" max="5" width="13.28515625" customWidth="1"/>
  </cols>
  <sheetData>
    <row r="1" spans="1:8" ht="23.25" x14ac:dyDescent="0.35">
      <c r="C1" s="2" t="s">
        <v>0</v>
      </c>
    </row>
    <row r="2" spans="1:8" ht="23.25" x14ac:dyDescent="0.35">
      <c r="B2" s="19"/>
      <c r="C2" s="18"/>
    </row>
    <row r="3" spans="1:8" x14ac:dyDescent="0.25">
      <c r="A3" s="20"/>
      <c r="B3" s="21" t="s">
        <v>40</v>
      </c>
      <c r="C3" s="22" t="s">
        <v>41</v>
      </c>
      <c r="D3" s="20"/>
      <c r="E3" s="5"/>
    </row>
    <row r="4" spans="1:8" x14ac:dyDescent="0.25">
      <c r="A4" s="20"/>
      <c r="B4" s="23">
        <v>31.428571428571427</v>
      </c>
      <c r="C4" s="23">
        <v>14.285714285714286</v>
      </c>
      <c r="D4" s="5"/>
      <c r="E4" s="5"/>
    </row>
    <row r="5" spans="1:8" x14ac:dyDescent="0.25">
      <c r="A5" s="5"/>
      <c r="B5" s="24"/>
      <c r="C5" s="24"/>
      <c r="D5" s="5"/>
      <c r="E5" s="5"/>
    </row>
    <row r="6" spans="1:8" x14ac:dyDescent="0.25">
      <c r="A6" s="25"/>
      <c r="B6" s="16" t="s">
        <v>24</v>
      </c>
      <c r="C6" s="14" t="s">
        <v>25</v>
      </c>
      <c r="D6" s="35" t="s">
        <v>39</v>
      </c>
      <c r="E6" s="26" t="s">
        <v>26</v>
      </c>
      <c r="F6" s="7"/>
      <c r="G6" s="7"/>
      <c r="H6" s="7"/>
    </row>
    <row r="7" spans="1:8" x14ac:dyDescent="0.25">
      <c r="A7" s="35" t="s">
        <v>23</v>
      </c>
      <c r="B7" s="27">
        <v>30</v>
      </c>
      <c r="C7" s="27">
        <v>20</v>
      </c>
      <c r="D7" s="28"/>
      <c r="E7" s="29"/>
    </row>
    <row r="8" spans="1:8" x14ac:dyDescent="0.25">
      <c r="A8" s="35" t="s">
        <v>18</v>
      </c>
      <c r="B8" s="5">
        <v>1</v>
      </c>
      <c r="C8" s="5">
        <v>2</v>
      </c>
      <c r="D8" s="25">
        <f>a+2*b</f>
        <v>60</v>
      </c>
      <c r="E8" s="26">
        <v>60</v>
      </c>
      <c r="F8" s="10"/>
      <c r="G8" s="10"/>
      <c r="H8" s="10"/>
    </row>
    <row r="9" spans="1:8" x14ac:dyDescent="0.25">
      <c r="A9" s="35" t="s">
        <v>19</v>
      </c>
      <c r="B9" s="5">
        <v>25</v>
      </c>
      <c r="C9" s="5">
        <v>8</v>
      </c>
      <c r="D9" s="25">
        <f>25*a+8*b</f>
        <v>900</v>
      </c>
      <c r="E9" s="26">
        <v>900</v>
      </c>
      <c r="F9" s="9"/>
      <c r="G9" s="9"/>
      <c r="H9" s="9"/>
    </row>
    <row r="10" spans="1:8" x14ac:dyDescent="0.25">
      <c r="A10" s="35" t="s">
        <v>20</v>
      </c>
      <c r="B10" s="5">
        <v>0</v>
      </c>
      <c r="C10" s="5">
        <v>25</v>
      </c>
      <c r="D10" s="30">
        <f>25*b</f>
        <v>357.14285714285717</v>
      </c>
      <c r="E10" s="26">
        <v>500</v>
      </c>
      <c r="F10" s="10"/>
      <c r="G10" s="10"/>
      <c r="H10" s="10"/>
    </row>
    <row r="11" spans="1:8" x14ac:dyDescent="0.25">
      <c r="A11" s="31"/>
      <c r="B11" s="5"/>
      <c r="C11" s="5"/>
      <c r="D11" s="25"/>
      <c r="E11" s="25"/>
      <c r="F11" s="9"/>
      <c r="G11" s="9"/>
      <c r="H11" s="9"/>
    </row>
    <row r="12" spans="1:8" x14ac:dyDescent="0.25">
      <c r="A12" s="32" t="s">
        <v>22</v>
      </c>
      <c r="B12" s="33">
        <f>30*a+20*b</f>
        <v>1228.5714285714284</v>
      </c>
      <c r="C12" s="25"/>
      <c r="D12" s="25"/>
      <c r="E12" s="34"/>
      <c r="F12" s="8"/>
      <c r="G12" s="8"/>
      <c r="H12" s="8"/>
    </row>
    <row r="13" spans="1:8" x14ac:dyDescent="0.25">
      <c r="G13" s="9"/>
      <c r="H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D1D4-054A-4265-8317-81AEA0B6102C}">
  <dimension ref="A1:G10"/>
  <sheetViews>
    <sheetView workbookViewId="0">
      <selection activeCell="D7" sqref="D7"/>
    </sheetView>
  </sheetViews>
  <sheetFormatPr defaultRowHeight="15" x14ac:dyDescent="0.25"/>
  <cols>
    <col min="2" max="2" width="18.85546875" customWidth="1"/>
    <col min="3" max="3" width="10.5703125" bestFit="1" customWidth="1"/>
    <col min="4" max="4" width="15.140625" customWidth="1"/>
    <col min="5" max="5" width="12.28515625" customWidth="1"/>
    <col min="6" max="6" width="13.140625" customWidth="1"/>
  </cols>
  <sheetData>
    <row r="1" spans="1:7" ht="23.25" x14ac:dyDescent="0.35">
      <c r="D1" s="2" t="s">
        <v>0</v>
      </c>
    </row>
    <row r="3" spans="1:7" ht="30" x14ac:dyDescent="0.25">
      <c r="A3" s="5"/>
      <c r="B3" s="11" t="s">
        <v>27</v>
      </c>
      <c r="C3" s="11"/>
      <c r="D3" s="11"/>
      <c r="E3" s="12" t="s">
        <v>31</v>
      </c>
      <c r="F3" s="12" t="s">
        <v>35</v>
      </c>
      <c r="G3" s="11"/>
    </row>
    <row r="4" spans="1:7" x14ac:dyDescent="0.25">
      <c r="A4" s="11" t="s">
        <v>4</v>
      </c>
      <c r="B4" s="5" t="s">
        <v>28</v>
      </c>
      <c r="C4" s="13">
        <v>125</v>
      </c>
      <c r="D4" s="5" t="s">
        <v>30</v>
      </c>
      <c r="E4" s="14" t="s">
        <v>33</v>
      </c>
      <c r="F4" s="14" t="s">
        <v>36</v>
      </c>
      <c r="G4" s="5">
        <f>7*x+11*y</f>
        <v>77.000000111660938</v>
      </c>
    </row>
    <row r="5" spans="1:7" x14ac:dyDescent="0.25">
      <c r="A5" s="11" t="s">
        <v>32</v>
      </c>
      <c r="B5" s="5" t="s">
        <v>29</v>
      </c>
      <c r="C5" s="13">
        <v>150</v>
      </c>
      <c r="D5" s="5" t="s">
        <v>30</v>
      </c>
      <c r="E5" s="14" t="s">
        <v>34</v>
      </c>
      <c r="F5" s="14" t="s">
        <v>37</v>
      </c>
      <c r="G5" s="5">
        <f>10*x+8*y</f>
        <v>80</v>
      </c>
    </row>
    <row r="6" spans="1:7" x14ac:dyDescent="0.25">
      <c r="A6" s="5"/>
      <c r="B6" s="5"/>
      <c r="C6" s="5"/>
      <c r="D6" s="5"/>
      <c r="E6" s="5"/>
      <c r="F6" s="5"/>
      <c r="G6" s="5"/>
    </row>
    <row r="7" spans="1:7" x14ac:dyDescent="0.25">
      <c r="A7" s="5"/>
      <c r="B7" s="5" t="s">
        <v>38</v>
      </c>
      <c r="C7" s="5" t="s">
        <v>4</v>
      </c>
      <c r="D7" s="15">
        <v>4.8888888723465262</v>
      </c>
      <c r="E7" s="5"/>
      <c r="F7" s="5"/>
      <c r="G7" s="5"/>
    </row>
    <row r="8" spans="1:7" x14ac:dyDescent="0.25">
      <c r="A8" s="5"/>
      <c r="B8" s="5"/>
      <c r="C8" s="5" t="s">
        <v>32</v>
      </c>
      <c r="D8" s="15">
        <v>3.8888889095668411</v>
      </c>
      <c r="E8" s="5"/>
      <c r="F8" s="5"/>
      <c r="G8" s="5"/>
    </row>
    <row r="9" spans="1:7" x14ac:dyDescent="0.25">
      <c r="A9" s="5"/>
      <c r="B9" s="5"/>
      <c r="C9" s="5"/>
      <c r="D9" s="5"/>
      <c r="E9" s="5"/>
      <c r="F9" s="5"/>
      <c r="G9" s="5"/>
    </row>
    <row r="10" spans="1:7" x14ac:dyDescent="0.25">
      <c r="A10" s="5"/>
      <c r="B10" s="16" t="s">
        <v>21</v>
      </c>
      <c r="C10" s="17" cm="1">
        <f t="array" ref="C10">125*x+150*y</f>
        <v>1194.444445478342</v>
      </c>
      <c r="D10" s="5"/>
      <c r="E10" s="5"/>
      <c r="F10" s="5"/>
      <c r="G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Problem 1</vt:lpstr>
      <vt:lpstr>Problem 2</vt:lpstr>
      <vt:lpstr>Problem 3</vt:lpstr>
      <vt:lpstr>Problem 4</vt:lpstr>
      <vt:lpstr>a</vt:lpstr>
      <vt:lpstr>b</vt:lpstr>
      <vt:lpstr>D8y</vt:lpstr>
      <vt:lpstr>k</vt:lpstr>
      <vt:lpstr>l</vt:lpstr>
      <vt:lpstr>P</vt:lpstr>
      <vt:lpstr>t</vt:lpstr>
      <vt:lpstr>u</vt:lpstr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</dc:creator>
  <cp:lastModifiedBy>Renata</cp:lastModifiedBy>
  <dcterms:created xsi:type="dcterms:W3CDTF">2020-01-22T17:59:29Z</dcterms:created>
  <dcterms:modified xsi:type="dcterms:W3CDTF">2020-01-27T03:42:07Z</dcterms:modified>
</cp:coreProperties>
</file>