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LuoZhen/Desktop/CHE205_Fall19/mid/hw5/"/>
    </mc:Choice>
  </mc:AlternateContent>
  <xr:revisionPtr revIDLastSave="0" documentId="13_ncr:1_{FEC62305-A4B2-BF41-BBB5-2C1A47A31E0D}" xr6:coauthVersionLast="41" xr6:coauthVersionMax="45" xr10:uidLastSave="{00000000-0000-0000-0000-000000000000}"/>
  <bookViews>
    <workbookView xWindow="-29940" yWindow="-700" windowWidth="26960" windowHeight="168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2" i="2" l="1"/>
  <c r="F31" i="2"/>
  <c r="F30" i="2"/>
  <c r="F29" i="2"/>
  <c r="F28" i="2"/>
  <c r="F27" i="2"/>
  <c r="F26" i="2"/>
  <c r="F25" i="2"/>
  <c r="F24" i="2"/>
  <c r="F23" i="2"/>
  <c r="F22" i="2"/>
  <c r="F17" i="2"/>
  <c r="F16" i="2"/>
  <c r="F15" i="2"/>
  <c r="F14" i="2"/>
  <c r="F13" i="2"/>
  <c r="F12" i="2"/>
  <c r="F11" i="2"/>
  <c r="F10" i="2"/>
  <c r="F9" i="2"/>
  <c r="F8" i="2"/>
  <c r="F7" i="2"/>
  <c r="G8" i="2"/>
  <c r="G9" i="2"/>
  <c r="G10" i="2"/>
  <c r="G11" i="2"/>
  <c r="G12" i="2"/>
  <c r="G13" i="2"/>
  <c r="G14" i="2"/>
  <c r="G15" i="2"/>
  <c r="G16" i="2"/>
  <c r="G17" i="2"/>
  <c r="G7" i="2"/>
  <c r="G32" i="2"/>
  <c r="G31" i="2"/>
  <c r="G30" i="2"/>
  <c r="G29" i="2"/>
  <c r="G28" i="2"/>
  <c r="G27" i="2"/>
  <c r="G26" i="2"/>
  <c r="G25" i="2"/>
  <c r="G24" i="2"/>
  <c r="G23" i="2"/>
  <c r="G22" i="2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9" i="3"/>
  <c r="D18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9" i="3"/>
  <c r="C18" i="3"/>
  <c r="N4" i="3"/>
  <c r="N5" i="3"/>
  <c r="N6" i="3"/>
  <c r="N7" i="3"/>
  <c r="N8" i="3"/>
  <c r="N9" i="3"/>
  <c r="N10" i="3"/>
  <c r="N11" i="3"/>
  <c r="N12" i="3"/>
  <c r="N13" i="3"/>
  <c r="N3" i="3"/>
  <c r="D2" i="3"/>
  <c r="O4" i="3"/>
  <c r="O5" i="3"/>
  <c r="O6" i="3"/>
  <c r="O7" i="3"/>
  <c r="O8" i="3"/>
  <c r="O9" i="3"/>
  <c r="O10" i="3"/>
  <c r="O11" i="3"/>
  <c r="O12" i="3"/>
  <c r="O13" i="3"/>
  <c r="O3" i="3"/>
  <c r="K15" i="1"/>
  <c r="K16" i="1"/>
  <c r="G15" i="1"/>
  <c r="G16" i="1"/>
  <c r="K6" i="1"/>
  <c r="K7" i="1"/>
  <c r="K8" i="1"/>
  <c r="K9" i="1"/>
  <c r="K10" i="1"/>
  <c r="K11" i="1"/>
  <c r="K12" i="1"/>
  <c r="K13" i="1"/>
  <c r="K14" i="1"/>
  <c r="K5" i="1"/>
  <c r="K4" i="1"/>
  <c r="G5" i="1"/>
  <c r="G6" i="1"/>
  <c r="G7" i="1"/>
  <c r="G8" i="1"/>
  <c r="G9" i="1"/>
  <c r="G10" i="1"/>
  <c r="G11" i="1"/>
  <c r="G12" i="1"/>
  <c r="G13" i="1"/>
  <c r="G14" i="1"/>
  <c r="G4" i="1"/>
  <c r="B24" i="2"/>
  <c r="B25" i="2"/>
  <c r="B26" i="2"/>
  <c r="B27" i="2"/>
  <c r="B28" i="2"/>
  <c r="B29" i="2"/>
  <c r="B30" i="2"/>
  <c r="B31" i="2"/>
  <c r="B32" i="2"/>
  <c r="B2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8" i="2"/>
  <c r="E9" i="2"/>
  <c r="E10" i="2"/>
  <c r="E11" i="2"/>
  <c r="E12" i="2"/>
  <c r="E13" i="2"/>
  <c r="E14" i="2"/>
  <c r="E15" i="2"/>
  <c r="E16" i="2"/>
  <c r="E17" i="2"/>
  <c r="E7" i="2"/>
  <c r="B8" i="2"/>
  <c r="B9" i="2"/>
  <c r="B10" i="2"/>
  <c r="B11" i="2"/>
  <c r="B12" i="2"/>
  <c r="B13" i="2"/>
  <c r="B14" i="2"/>
  <c r="B15" i="2"/>
  <c r="B16" i="2"/>
  <c r="B17" i="2"/>
  <c r="C17" i="2"/>
  <c r="C16" i="2"/>
  <c r="C15" i="2"/>
  <c r="C14" i="2"/>
  <c r="C13" i="2"/>
  <c r="C12" i="2"/>
  <c r="C11" i="2"/>
  <c r="C10" i="2"/>
  <c r="C9" i="2"/>
  <c r="C8" i="2"/>
  <c r="C7" i="2"/>
  <c r="K23" i="2"/>
  <c r="L23" i="2"/>
  <c r="N23" i="2"/>
  <c r="L22" i="2"/>
  <c r="N22" i="2"/>
  <c r="K21" i="2"/>
  <c r="L21" i="2"/>
  <c r="N21" i="2"/>
  <c r="L20" i="2"/>
  <c r="N20" i="2"/>
  <c r="K15" i="2"/>
  <c r="L15" i="2"/>
  <c r="N15" i="2"/>
  <c r="L14" i="2"/>
  <c r="N14" i="2"/>
  <c r="L13" i="2"/>
  <c r="N13" i="2"/>
  <c r="L8" i="2"/>
  <c r="N8" i="2"/>
  <c r="L7" i="2"/>
  <c r="N7" i="2"/>
  <c r="M4" i="3"/>
  <c r="M5" i="3"/>
  <c r="M6" i="3"/>
  <c r="M7" i="3"/>
  <c r="M8" i="3"/>
  <c r="M9" i="3"/>
  <c r="M10" i="3"/>
  <c r="M11" i="3"/>
  <c r="M12" i="3"/>
  <c r="M13" i="3"/>
  <c r="M3" i="3"/>
  <c r="M1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K119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20" i="3"/>
  <c r="L19" i="3"/>
  <c r="K5" i="3"/>
  <c r="K6" i="3"/>
  <c r="L4" i="3"/>
  <c r="K4" i="3"/>
  <c r="L3" i="3"/>
  <c r="G21" i="3"/>
  <c r="A20" i="3"/>
  <c r="A21" i="3"/>
  <c r="A22" i="3"/>
  <c r="G19" i="3"/>
  <c r="B19" i="3"/>
  <c r="A19" i="3"/>
  <c r="G18" i="3"/>
  <c r="B18" i="3"/>
  <c r="A3" i="3"/>
  <c r="A4" i="3"/>
  <c r="G2" i="3"/>
  <c r="B2" i="3"/>
  <c r="K7" i="3"/>
  <c r="L6" i="3"/>
  <c r="L5" i="3"/>
  <c r="A23" i="3"/>
  <c r="G22" i="3"/>
  <c r="B22" i="3"/>
  <c r="E19" i="3"/>
  <c r="E18" i="3"/>
  <c r="B21" i="3"/>
  <c r="B20" i="3"/>
  <c r="G20" i="3"/>
  <c r="G4" i="3"/>
  <c r="B4" i="3"/>
  <c r="A5" i="3"/>
  <c r="B3" i="3"/>
  <c r="G3" i="3"/>
  <c r="K8" i="3"/>
  <c r="L7" i="3"/>
  <c r="E20" i="3"/>
  <c r="C19" i="3"/>
  <c r="D19" i="3"/>
  <c r="E21" i="3"/>
  <c r="C20" i="3"/>
  <c r="D20" i="3"/>
  <c r="E22" i="3"/>
  <c r="C21" i="3"/>
  <c r="D21" i="3"/>
  <c r="A24" i="3"/>
  <c r="G23" i="3"/>
  <c r="B23" i="3"/>
  <c r="E4" i="3"/>
  <c r="C3" i="3"/>
  <c r="D3" i="3"/>
  <c r="C2" i="3"/>
  <c r="E2" i="3"/>
  <c r="E3" i="3"/>
  <c r="A6" i="3"/>
  <c r="G5" i="3"/>
  <c r="B5" i="3"/>
  <c r="K9" i="3"/>
  <c r="L8" i="3"/>
  <c r="A25" i="3"/>
  <c r="G24" i="3"/>
  <c r="B24" i="3"/>
  <c r="E23" i="3"/>
  <c r="C22" i="3"/>
  <c r="D22" i="3"/>
  <c r="C4" i="3"/>
  <c r="D4" i="3"/>
  <c r="E5" i="3"/>
  <c r="G6" i="3"/>
  <c r="B6" i="3"/>
  <c r="A7" i="3"/>
  <c r="K10" i="3"/>
  <c r="L9" i="3"/>
  <c r="E24" i="3"/>
  <c r="C23" i="3"/>
  <c r="D23" i="3"/>
  <c r="A26" i="3"/>
  <c r="B25" i="3"/>
  <c r="G25" i="3"/>
  <c r="E6" i="3"/>
  <c r="C5" i="3"/>
  <c r="D5" i="3"/>
  <c r="A8" i="3"/>
  <c r="G7" i="3"/>
  <c r="B7" i="3"/>
  <c r="K11" i="3"/>
  <c r="L10" i="3"/>
  <c r="E25" i="3"/>
  <c r="C24" i="3"/>
  <c r="D24" i="3"/>
  <c r="A27" i="3"/>
  <c r="G26" i="3"/>
  <c r="B26" i="3"/>
  <c r="G8" i="3"/>
  <c r="B8" i="3"/>
  <c r="A9" i="3"/>
  <c r="E7" i="3"/>
  <c r="C6" i="3"/>
  <c r="D6" i="3"/>
  <c r="K12" i="3"/>
  <c r="L11" i="3"/>
  <c r="A28" i="3"/>
  <c r="B27" i="3"/>
  <c r="G27" i="3"/>
  <c r="E26" i="3"/>
  <c r="C25" i="3"/>
  <c r="D25" i="3"/>
  <c r="A10" i="3"/>
  <c r="G9" i="3"/>
  <c r="B9" i="3"/>
  <c r="E8" i="3"/>
  <c r="C7" i="3"/>
  <c r="D7" i="3"/>
  <c r="K13" i="3"/>
  <c r="L12" i="3"/>
  <c r="E27" i="3"/>
  <c r="C26" i="3"/>
  <c r="D26" i="3"/>
  <c r="A29" i="3"/>
  <c r="G28" i="3"/>
  <c r="B28" i="3"/>
  <c r="E9" i="3"/>
  <c r="C8" i="3"/>
  <c r="D8" i="3"/>
  <c r="G10" i="3"/>
  <c r="B10" i="3"/>
  <c r="A11" i="3"/>
  <c r="L13" i="3"/>
  <c r="M14" i="3"/>
  <c r="A30" i="3"/>
  <c r="B29" i="3"/>
  <c r="G29" i="3"/>
  <c r="E28" i="3"/>
  <c r="C27" i="3"/>
  <c r="D27" i="3"/>
  <c r="E10" i="3"/>
  <c r="C9" i="3"/>
  <c r="D9" i="3"/>
  <c r="A12" i="3"/>
  <c r="G11" i="3"/>
  <c r="B11" i="3"/>
  <c r="E29" i="3"/>
  <c r="C28" i="3"/>
  <c r="D28" i="3"/>
  <c r="A31" i="3"/>
  <c r="G30" i="3"/>
  <c r="B30" i="3"/>
  <c r="G12" i="3"/>
  <c r="B12" i="3"/>
  <c r="E11" i="3"/>
  <c r="C10" i="3"/>
  <c r="D10" i="3"/>
  <c r="A32" i="3"/>
  <c r="G31" i="3"/>
  <c r="B31" i="3"/>
  <c r="E30" i="3"/>
  <c r="C29" i="3"/>
  <c r="D29" i="3"/>
  <c r="E12" i="3"/>
  <c r="C11" i="3"/>
  <c r="D11" i="3"/>
  <c r="C12" i="3"/>
  <c r="D12" i="3"/>
  <c r="E31" i="3"/>
  <c r="C30" i="3"/>
  <c r="D30" i="3"/>
  <c r="A33" i="3"/>
  <c r="G32" i="3"/>
  <c r="B32" i="3"/>
  <c r="A34" i="3"/>
  <c r="B33" i="3"/>
  <c r="G33" i="3"/>
  <c r="E32" i="3"/>
  <c r="C31" i="3"/>
  <c r="D31" i="3"/>
  <c r="E33" i="3"/>
  <c r="C32" i="3"/>
  <c r="D32" i="3"/>
  <c r="A35" i="3"/>
  <c r="G34" i="3"/>
  <c r="B34" i="3"/>
  <c r="A36" i="3"/>
  <c r="G35" i="3"/>
  <c r="B35" i="3"/>
  <c r="E34" i="3"/>
  <c r="C33" i="3"/>
  <c r="D33" i="3"/>
  <c r="E35" i="3"/>
  <c r="C34" i="3"/>
  <c r="D34" i="3"/>
  <c r="A37" i="3"/>
  <c r="G36" i="3"/>
  <c r="B36" i="3"/>
  <c r="B37" i="3"/>
  <c r="A38" i="3"/>
  <c r="G37" i="3"/>
  <c r="E36" i="3"/>
  <c r="C35" i="3"/>
  <c r="D35" i="3"/>
  <c r="A39" i="3"/>
  <c r="G38" i="3"/>
  <c r="B38" i="3"/>
  <c r="E37" i="3"/>
  <c r="C36" i="3"/>
  <c r="D36" i="3"/>
  <c r="E38" i="3"/>
  <c r="C37" i="3"/>
  <c r="D37" i="3"/>
  <c r="G39" i="3"/>
  <c r="A40" i="3"/>
  <c r="B39" i="3"/>
  <c r="A41" i="3"/>
  <c r="B40" i="3"/>
  <c r="G40" i="3"/>
  <c r="E39" i="3"/>
  <c r="C38" i="3"/>
  <c r="D38" i="3"/>
  <c r="E40" i="3"/>
  <c r="C39" i="3"/>
  <c r="D39" i="3"/>
  <c r="A42" i="3"/>
  <c r="G41" i="3"/>
  <c r="B41" i="3"/>
  <c r="A43" i="3"/>
  <c r="B42" i="3"/>
  <c r="G42" i="3"/>
  <c r="E41" i="3"/>
  <c r="C40" i="3"/>
  <c r="D40" i="3"/>
  <c r="C41" i="3"/>
  <c r="D41" i="3"/>
  <c r="E42" i="3"/>
  <c r="G43" i="3"/>
  <c r="A44" i="3"/>
  <c r="B43" i="3"/>
  <c r="A45" i="3"/>
  <c r="B44" i="3"/>
  <c r="G44" i="3"/>
  <c r="E43" i="3"/>
  <c r="C42" i="3"/>
  <c r="D42" i="3"/>
  <c r="C43" i="3"/>
  <c r="D43" i="3"/>
  <c r="E44" i="3"/>
  <c r="A46" i="3"/>
  <c r="B45" i="3"/>
  <c r="G45" i="3"/>
  <c r="E45" i="3"/>
  <c r="C44" i="3"/>
  <c r="D44" i="3"/>
  <c r="A47" i="3"/>
  <c r="G46" i="3"/>
  <c r="B46" i="3"/>
  <c r="G47" i="3"/>
  <c r="A48" i="3"/>
  <c r="B47" i="3"/>
  <c r="C45" i="3"/>
  <c r="D45" i="3"/>
  <c r="E46" i="3"/>
  <c r="E47" i="3"/>
  <c r="C46" i="3"/>
  <c r="D46" i="3"/>
  <c r="A49" i="3"/>
  <c r="B48" i="3"/>
  <c r="G48" i="3"/>
  <c r="E48" i="3"/>
  <c r="C47" i="3"/>
  <c r="D47" i="3"/>
  <c r="A50" i="3"/>
  <c r="B49" i="3"/>
  <c r="G49" i="3"/>
  <c r="E49" i="3"/>
  <c r="C48" i="3"/>
  <c r="D48" i="3"/>
  <c r="A51" i="3"/>
  <c r="G50" i="3"/>
  <c r="B50" i="3"/>
  <c r="G51" i="3"/>
  <c r="A52" i="3"/>
  <c r="B51" i="3"/>
  <c r="C49" i="3"/>
  <c r="D49" i="3"/>
  <c r="E50" i="3"/>
  <c r="E51" i="3"/>
  <c r="C50" i="3"/>
  <c r="D50" i="3"/>
  <c r="A53" i="3"/>
  <c r="B52" i="3"/>
  <c r="G52" i="3"/>
  <c r="C51" i="3"/>
  <c r="D51" i="3"/>
  <c r="E52" i="3"/>
  <c r="A54" i="3"/>
  <c r="B53" i="3"/>
  <c r="G53" i="3"/>
  <c r="E53" i="3"/>
  <c r="C52" i="3"/>
  <c r="D52" i="3"/>
  <c r="A55" i="3"/>
  <c r="G54" i="3"/>
  <c r="B54" i="3"/>
  <c r="G55" i="3"/>
  <c r="B55" i="3"/>
  <c r="A56" i="3"/>
  <c r="C53" i="3"/>
  <c r="D53" i="3"/>
  <c r="E54" i="3"/>
  <c r="A57" i="3"/>
  <c r="B56" i="3"/>
  <c r="G56" i="3"/>
  <c r="E55" i="3"/>
  <c r="C54" i="3"/>
  <c r="D54" i="3"/>
  <c r="E56" i="3"/>
  <c r="C55" i="3"/>
  <c r="D55" i="3"/>
  <c r="A58" i="3"/>
  <c r="B57" i="3"/>
  <c r="G57" i="3"/>
  <c r="E57" i="3"/>
  <c r="C56" i="3"/>
  <c r="D56" i="3"/>
  <c r="A59" i="3"/>
  <c r="G58" i="3"/>
  <c r="B58" i="3"/>
  <c r="G59" i="3"/>
  <c r="A60" i="3"/>
  <c r="B59" i="3"/>
  <c r="E58" i="3"/>
  <c r="C57" i="3"/>
  <c r="D57" i="3"/>
  <c r="E59" i="3"/>
  <c r="C58" i="3"/>
  <c r="D58" i="3"/>
  <c r="A61" i="3"/>
  <c r="B60" i="3"/>
  <c r="G60" i="3"/>
  <c r="A62" i="3"/>
  <c r="B61" i="3"/>
  <c r="G61" i="3"/>
  <c r="C59" i="3"/>
  <c r="D59" i="3"/>
  <c r="E60" i="3"/>
  <c r="E61" i="3"/>
  <c r="C60" i="3"/>
  <c r="D60" i="3"/>
  <c r="G62" i="3"/>
  <c r="A63" i="3"/>
  <c r="B62" i="3"/>
  <c r="A64" i="3"/>
  <c r="B63" i="3"/>
  <c r="G63" i="3"/>
  <c r="E62" i="3"/>
  <c r="C61" i="3"/>
  <c r="D61" i="3"/>
  <c r="C62" i="3"/>
  <c r="D62" i="3"/>
  <c r="E63" i="3"/>
  <c r="G64" i="3"/>
  <c r="B64" i="3"/>
  <c r="A65" i="3"/>
  <c r="G65" i="3"/>
  <c r="A66" i="3"/>
  <c r="B65" i="3"/>
  <c r="E64" i="3"/>
  <c r="C63" i="3"/>
  <c r="D63" i="3"/>
  <c r="C64" i="3"/>
  <c r="D64" i="3"/>
  <c r="E65" i="3"/>
  <c r="G66" i="3"/>
  <c r="B66" i="3"/>
  <c r="A67" i="3"/>
  <c r="E66" i="3"/>
  <c r="C65" i="3"/>
  <c r="D65" i="3"/>
  <c r="G67" i="3"/>
  <c r="B67" i="3"/>
  <c r="A68" i="3"/>
  <c r="E67" i="3"/>
  <c r="C66" i="3"/>
  <c r="D66" i="3"/>
  <c r="G68" i="3"/>
  <c r="B68" i="3"/>
  <c r="A69" i="3"/>
  <c r="E68" i="3"/>
  <c r="C67" i="3"/>
  <c r="D67" i="3"/>
  <c r="A70" i="3"/>
  <c r="G69" i="3"/>
  <c r="B69" i="3"/>
  <c r="G70" i="3"/>
  <c r="B70" i="3"/>
  <c r="A71" i="3"/>
  <c r="E69" i="3"/>
  <c r="C68" i="3"/>
  <c r="D68" i="3"/>
  <c r="A72" i="3"/>
  <c r="B71" i="3"/>
  <c r="G71" i="3"/>
  <c r="C69" i="3"/>
  <c r="D69" i="3"/>
  <c r="E70" i="3"/>
  <c r="C70" i="3"/>
  <c r="D70" i="3"/>
  <c r="E71" i="3"/>
  <c r="G72" i="3"/>
  <c r="B72" i="3"/>
  <c r="A73" i="3"/>
  <c r="C71" i="3"/>
  <c r="D71" i="3"/>
  <c r="E72" i="3"/>
  <c r="G73" i="3"/>
  <c r="B73" i="3"/>
  <c r="A74" i="3"/>
  <c r="E73" i="3"/>
  <c r="C72" i="3"/>
  <c r="D72" i="3"/>
  <c r="G74" i="3"/>
  <c r="B74" i="3"/>
  <c r="A75" i="3"/>
  <c r="E74" i="3"/>
  <c r="C73" i="3"/>
  <c r="D73" i="3"/>
  <c r="A76" i="3"/>
  <c r="G75" i="3"/>
  <c r="B75" i="3"/>
  <c r="E75" i="3"/>
  <c r="C74" i="3"/>
  <c r="D74" i="3"/>
  <c r="G76" i="3"/>
  <c r="B76" i="3"/>
  <c r="A77" i="3"/>
  <c r="E76" i="3"/>
  <c r="C75" i="3"/>
  <c r="D75" i="3"/>
  <c r="B77" i="3"/>
  <c r="G77" i="3"/>
  <c r="A78" i="3"/>
  <c r="E77" i="3"/>
  <c r="C76" i="3"/>
  <c r="D76" i="3"/>
  <c r="G78" i="3"/>
  <c r="B78" i="3"/>
  <c r="A79" i="3"/>
  <c r="C77" i="3"/>
  <c r="D77" i="3"/>
  <c r="E78" i="3"/>
  <c r="A80" i="3"/>
  <c r="B79" i="3"/>
  <c r="G79" i="3"/>
  <c r="C78" i="3"/>
  <c r="D78" i="3"/>
  <c r="E79" i="3"/>
  <c r="G80" i="3"/>
  <c r="B80" i="3"/>
  <c r="A81" i="3"/>
  <c r="C79" i="3"/>
  <c r="D79" i="3"/>
  <c r="E80" i="3"/>
  <c r="A82" i="3"/>
  <c r="B81" i="3"/>
  <c r="G81" i="3"/>
  <c r="C80" i="3"/>
  <c r="D80" i="3"/>
  <c r="E81" i="3"/>
  <c r="G82" i="3"/>
  <c r="B82" i="3"/>
  <c r="A83" i="3"/>
  <c r="E82" i="3"/>
  <c r="C81" i="3"/>
  <c r="D81" i="3"/>
  <c r="A84" i="3"/>
  <c r="G83" i="3"/>
  <c r="B83" i="3"/>
  <c r="G84" i="3"/>
  <c r="B84" i="3"/>
  <c r="A85" i="3"/>
  <c r="E83" i="3"/>
  <c r="C82" i="3"/>
  <c r="D82" i="3"/>
  <c r="E84" i="3"/>
  <c r="C83" i="3"/>
  <c r="D83" i="3"/>
  <c r="A86" i="3"/>
  <c r="B85" i="3"/>
  <c r="G85" i="3"/>
  <c r="E85" i="3"/>
  <c r="C84" i="3"/>
  <c r="D84" i="3"/>
  <c r="G86" i="3"/>
  <c r="B86" i="3"/>
  <c r="A87" i="3"/>
  <c r="E86" i="3"/>
  <c r="C85" i="3"/>
  <c r="D85" i="3"/>
  <c r="A88" i="3"/>
  <c r="G87" i="3"/>
  <c r="B87" i="3"/>
  <c r="G88" i="3"/>
  <c r="B88" i="3"/>
  <c r="A89" i="3"/>
  <c r="E87" i="3"/>
  <c r="C86" i="3"/>
  <c r="D86" i="3"/>
  <c r="E88" i="3"/>
  <c r="C87" i="3"/>
  <c r="D87" i="3"/>
  <c r="A90" i="3"/>
  <c r="B89" i="3"/>
  <c r="G89" i="3"/>
  <c r="G90" i="3"/>
  <c r="B90" i="3"/>
  <c r="A91" i="3"/>
  <c r="C88" i="3"/>
  <c r="D88" i="3"/>
  <c r="E89" i="3"/>
  <c r="E90" i="3"/>
  <c r="C89" i="3"/>
  <c r="D89" i="3"/>
  <c r="A92" i="3"/>
  <c r="G91" i="3"/>
  <c r="B91" i="3"/>
  <c r="G92" i="3"/>
  <c r="B92" i="3"/>
  <c r="A93" i="3"/>
  <c r="E91" i="3"/>
  <c r="C90" i="3"/>
  <c r="D90" i="3"/>
  <c r="E92" i="3"/>
  <c r="C91" i="3"/>
  <c r="D91" i="3"/>
  <c r="A94" i="3"/>
  <c r="B93" i="3"/>
  <c r="G93" i="3"/>
  <c r="G94" i="3"/>
  <c r="B94" i="3"/>
  <c r="A95" i="3"/>
  <c r="E93" i="3"/>
  <c r="C92" i="3"/>
  <c r="D92" i="3"/>
  <c r="E94" i="3"/>
  <c r="C93" i="3"/>
  <c r="D93" i="3"/>
  <c r="A96" i="3"/>
  <c r="G95" i="3"/>
  <c r="B95" i="3"/>
  <c r="G96" i="3"/>
  <c r="B96" i="3"/>
  <c r="A97" i="3"/>
  <c r="E95" i="3"/>
  <c r="C94" i="3"/>
  <c r="D94" i="3"/>
  <c r="E96" i="3"/>
  <c r="C95" i="3"/>
  <c r="D95" i="3"/>
  <c r="A98" i="3"/>
  <c r="B97" i="3"/>
  <c r="G97" i="3"/>
  <c r="C96" i="3"/>
  <c r="D96" i="3"/>
  <c r="E97" i="3"/>
  <c r="G98" i="3"/>
  <c r="B98" i="3"/>
  <c r="A99" i="3"/>
  <c r="E98" i="3"/>
  <c r="C97" i="3"/>
  <c r="D97" i="3"/>
  <c r="A100" i="3"/>
  <c r="G99" i="3"/>
  <c r="B99" i="3"/>
  <c r="G100" i="3"/>
  <c r="B100" i="3"/>
  <c r="A101" i="3"/>
  <c r="E99" i="3"/>
  <c r="C98" i="3"/>
  <c r="D98" i="3"/>
  <c r="A102" i="3"/>
  <c r="B101" i="3"/>
  <c r="G101" i="3"/>
  <c r="E100" i="3"/>
  <c r="C99" i="3"/>
  <c r="D99" i="3"/>
  <c r="E101" i="3"/>
  <c r="C100" i="3"/>
  <c r="D100" i="3"/>
  <c r="G102" i="3"/>
  <c r="B102" i="3"/>
  <c r="A103" i="3"/>
  <c r="E102" i="3"/>
  <c r="C101" i="3"/>
  <c r="D101" i="3"/>
  <c r="A104" i="3"/>
  <c r="G103" i="3"/>
  <c r="B103" i="3"/>
  <c r="G104" i="3"/>
  <c r="B104" i="3"/>
  <c r="A105" i="3"/>
  <c r="E103" i="3"/>
  <c r="C102" i="3"/>
  <c r="D102" i="3"/>
  <c r="A106" i="3"/>
  <c r="B105" i="3"/>
  <c r="G105" i="3"/>
  <c r="E104" i="3"/>
  <c r="C103" i="3"/>
  <c r="D103" i="3"/>
  <c r="C104" i="3"/>
  <c r="D104" i="3"/>
  <c r="E105" i="3"/>
  <c r="G106" i="3"/>
  <c r="B106" i="3"/>
  <c r="A107" i="3"/>
  <c r="E106" i="3"/>
  <c r="C105" i="3"/>
  <c r="D105" i="3"/>
  <c r="A108" i="3"/>
  <c r="G107" i="3"/>
  <c r="B107" i="3"/>
  <c r="G108" i="3"/>
  <c r="B108" i="3"/>
  <c r="A109" i="3"/>
  <c r="E107" i="3"/>
  <c r="C106" i="3"/>
  <c r="D106" i="3"/>
  <c r="A110" i="3"/>
  <c r="B109" i="3"/>
  <c r="G109" i="3"/>
  <c r="E108" i="3"/>
  <c r="C107" i="3"/>
  <c r="D107" i="3"/>
  <c r="E109" i="3"/>
  <c r="C108" i="3"/>
  <c r="D108" i="3"/>
  <c r="G110" i="3"/>
  <c r="B110" i="3"/>
  <c r="A111" i="3"/>
  <c r="E110" i="3"/>
  <c r="C109" i="3"/>
  <c r="D109" i="3"/>
  <c r="A112" i="3"/>
  <c r="G111" i="3"/>
  <c r="B111" i="3"/>
  <c r="G112" i="3"/>
  <c r="B112" i="3"/>
  <c r="A113" i="3"/>
  <c r="E111" i="3"/>
  <c r="C110" i="3"/>
  <c r="D110" i="3"/>
  <c r="A114" i="3"/>
  <c r="B113" i="3"/>
  <c r="G113" i="3"/>
  <c r="E112" i="3"/>
  <c r="C111" i="3"/>
  <c r="D111" i="3"/>
  <c r="C112" i="3"/>
  <c r="D112" i="3"/>
  <c r="E113" i="3"/>
  <c r="G114" i="3"/>
  <c r="B114" i="3"/>
  <c r="A115" i="3"/>
  <c r="E114" i="3"/>
  <c r="C113" i="3"/>
  <c r="D113" i="3"/>
  <c r="A116" i="3"/>
  <c r="G115" i="3"/>
  <c r="B115" i="3"/>
  <c r="E115" i="3"/>
  <c r="C114" i="3"/>
  <c r="D114" i="3"/>
  <c r="G116" i="3"/>
  <c r="B116" i="3"/>
  <c r="A117" i="3"/>
  <c r="E116" i="3"/>
  <c r="C115" i="3"/>
  <c r="D115" i="3"/>
  <c r="A118" i="3"/>
  <c r="B117" i="3"/>
  <c r="G117" i="3"/>
  <c r="C116" i="3"/>
  <c r="D116" i="3"/>
  <c r="E117" i="3"/>
  <c r="G118" i="3"/>
  <c r="B118" i="3"/>
  <c r="E118" i="3"/>
  <c r="C117" i="3"/>
  <c r="D117" i="3"/>
  <c r="C118" i="3"/>
  <c r="D118" i="3"/>
  <c r="N9" i="2"/>
  <c r="N10" i="2"/>
  <c r="N16" i="2"/>
  <c r="N17" i="2"/>
  <c r="N24" i="2"/>
</calcChain>
</file>

<file path=xl/sharedStrings.xml><?xml version="1.0" encoding="utf-8"?>
<sst xmlns="http://schemas.openxmlformats.org/spreadsheetml/2006/main" count="68" uniqueCount="23">
  <si>
    <t>x</t>
  </si>
  <si>
    <t>f(x)</t>
  </si>
  <si>
    <t>integral</t>
  </si>
  <si>
    <r>
      <t>Simpson's Rule (</t>
    </r>
    <r>
      <rPr>
        <b/>
        <sz val="12"/>
        <rFont val="Symbol"/>
        <family val="1"/>
      </rPr>
      <t>D</t>
    </r>
    <r>
      <rPr>
        <b/>
        <sz val="12"/>
        <rFont val="Arial"/>
        <family val="2"/>
      </rPr>
      <t>h=0.1)</t>
    </r>
  </si>
  <si>
    <t>coefficient</t>
  </si>
  <si>
    <t>% error</t>
  </si>
  <si>
    <t>1st order, FD, f'(x)</t>
  </si>
  <si>
    <t>error (%)</t>
  </si>
  <si>
    <t>exact f'(x)</t>
  </si>
  <si>
    <t>1st order, BD, f'(x)</t>
  </si>
  <si>
    <r>
      <t>Trapezoidal Rule (</t>
    </r>
    <r>
      <rPr>
        <b/>
        <sz val="12"/>
        <rFont val="Symbol"/>
        <family val="1"/>
      </rPr>
      <t>D</t>
    </r>
    <r>
      <rPr>
        <b/>
        <sz val="12"/>
        <rFont val="Arial"/>
        <family val="2"/>
      </rPr>
      <t>h=0.1)</t>
    </r>
  </si>
  <si>
    <t>Gauss Integration</t>
  </si>
  <si>
    <t>2 points</t>
  </si>
  <si>
    <t>z</t>
  </si>
  <si>
    <t>f(z)</t>
  </si>
  <si>
    <t>wt</t>
  </si>
  <si>
    <t>wt*f(z)</t>
  </si>
  <si>
    <t>sum:</t>
  </si>
  <si>
    <t>3 points</t>
  </si>
  <si>
    <t>4 points</t>
  </si>
  <si>
    <t>Temperature (°C)</t>
  </si>
  <si>
    <t>Enthalpy (kJ/mol)</t>
  </si>
  <si>
    <t>Cp (kJ/mol*K)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</si>
</sst>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8"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2"/>
      <name val="Arial"/>
      <family val="2"/>
    </font>
    <font>
      <b/>
      <sz val="12"/>
      <name val="Symbol"/>
      <family val="1"/>
    </font>
    <font>
      <sz val="12"/>
      <color theme="1"/>
      <name val="等线"/>
      <family val="2"/>
      <scheme val="minor"/>
    </font>
    <font>
      <b/>
      <sz val="18"/>
      <color theme="1"/>
      <name val="等线"/>
      <family val="2"/>
      <scheme val="minor"/>
    </font>
    <font>
      <sz val="18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176" fontId="4" fillId="0" borderId="0" xfId="0" applyNumberFormat="1" applyFont="1"/>
    <xf numFmtId="0" fontId="5" fillId="0" borderId="0" xfId="0" applyFont="1"/>
    <xf numFmtId="2" fontId="6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76" fontId="4" fillId="2" borderId="0" xfId="0" applyNumberFormat="1" applyFont="1" applyFill="1"/>
    <xf numFmtId="177" fontId="4" fillId="0" borderId="0" xfId="0" applyNumberFormat="1" applyFont="1"/>
    <xf numFmtId="177" fontId="4" fillId="2" borderId="0" xfId="0" applyNumberFormat="1" applyFont="1" applyFill="1"/>
    <xf numFmtId="0" fontId="2" fillId="0" borderId="0" xfId="0" applyFont="1" applyAlignment="1"/>
    <xf numFmtId="0" fontId="1" fillId="0" borderId="0" xfId="0" applyFont="1" applyAlignment="1"/>
    <xf numFmtId="2" fontId="4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Sheet1!$A$1:$A$16</c:f>
              <c:numCache>
                <c:formatCode>General</c:formatCode>
                <c:ptCount val="16"/>
                <c:pt idx="0">
                  <c:v>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9-4444-924D-AA5010D72D2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Sheet1!$B$1:$B$16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A9-4444-924D-AA5010D72D2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Sheet1!$C$1:$C$16</c:f>
              <c:numCache>
                <c:formatCode>General</c:formatCode>
                <c:ptCount val="16"/>
                <c:pt idx="0">
                  <c:v>0</c:v>
                </c:pt>
                <c:pt idx="1">
                  <c:v>25.186</c:v>
                </c:pt>
                <c:pt idx="2">
                  <c:v>27.254000000000001</c:v>
                </c:pt>
                <c:pt idx="3">
                  <c:v>29.408000000000001</c:v>
                </c:pt>
                <c:pt idx="4">
                  <c:v>31.64</c:v>
                </c:pt>
                <c:pt idx="5">
                  <c:v>33.942</c:v>
                </c:pt>
                <c:pt idx="6">
                  <c:v>36.307000000000002</c:v>
                </c:pt>
                <c:pt idx="7">
                  <c:v>38.731999999999999</c:v>
                </c:pt>
                <c:pt idx="8">
                  <c:v>41.209000000000003</c:v>
                </c:pt>
                <c:pt idx="9">
                  <c:v>43.735999999999997</c:v>
                </c:pt>
                <c:pt idx="10">
                  <c:v>46.307000000000002</c:v>
                </c:pt>
                <c:pt idx="11">
                  <c:v>48.918999999999997</c:v>
                </c:pt>
                <c:pt idx="12">
                  <c:v>51.567999999999998</c:v>
                </c:pt>
                <c:pt idx="13">
                  <c:v>54.252000000000002</c:v>
                </c:pt>
                <c:pt idx="14" formatCode="0.00">
                  <c:v>58.966000000000001</c:v>
                </c:pt>
                <c:pt idx="15" formatCode="0.00">
                  <c:v>59.71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A9-4444-924D-AA5010D72D2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Sheet1!$D$1:$D$16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A9-4444-924D-AA5010D72D26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Sheet1!$E$1:$E$16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A9-4444-924D-AA5010D72D26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Sheet1!$F$1:$F$16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A9-4444-924D-AA5010D72D26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Sheet1!$G$1:$G$16</c:f>
              <c:numCache>
                <c:formatCode>General</c:formatCode>
                <c:ptCount val="16"/>
                <c:pt idx="0">
                  <c:v>4.0999999999999996</c:v>
                </c:pt>
                <c:pt idx="2">
                  <c:v>0</c:v>
                </c:pt>
                <c:pt idx="3" formatCode="0.00">
                  <c:v>4.1360000000000029E-2</c:v>
                </c:pt>
                <c:pt idx="4" formatCode="0.00">
                  <c:v>4.308E-2</c:v>
                </c:pt>
                <c:pt idx="5" formatCode="0.00">
                  <c:v>4.4639999999999985E-2</c:v>
                </c:pt>
                <c:pt idx="6" formatCode="0.00">
                  <c:v>4.6039999999999991E-2</c:v>
                </c:pt>
                <c:pt idx="7" formatCode="0.00">
                  <c:v>4.7300000000000036E-2</c:v>
                </c:pt>
                <c:pt idx="8" formatCode="0.00">
                  <c:v>4.8499999999999946E-2</c:v>
                </c:pt>
                <c:pt idx="9" formatCode="0.00">
                  <c:v>4.9540000000000077E-2</c:v>
                </c:pt>
                <c:pt idx="10" formatCode="0.00">
                  <c:v>5.0539999999999877E-2</c:v>
                </c:pt>
                <c:pt idx="11" formatCode="0.00">
                  <c:v>5.1420000000000105E-2</c:v>
                </c:pt>
                <c:pt idx="12" formatCode="0.00">
                  <c:v>5.2239999999999898E-2</c:v>
                </c:pt>
                <c:pt idx="13" formatCode="0.00">
                  <c:v>5.298000000000002E-2</c:v>
                </c:pt>
                <c:pt idx="14" formatCode="0.00">
                  <c:v>5.3680000000000089E-2</c:v>
                </c:pt>
                <c:pt idx="15" formatCode="0.00">
                  <c:v>9.4279999999999975E-2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A9-4444-924D-AA5010D72D26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Sheet1!$H$1:$H$16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A9-4444-924D-AA5010D72D26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Sheet1!$I$1:$I$16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A9-4444-924D-AA5010D72D26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Sheet1!$J$1:$J$16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1A9-4444-924D-AA5010D72D26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Sheet1!$K$1:$K$16</c:f>
              <c:numCache>
                <c:formatCode>General</c:formatCode>
                <c:ptCount val="16"/>
                <c:pt idx="2">
                  <c:v>0</c:v>
                </c:pt>
                <c:pt idx="3" formatCode="0.00">
                  <c:v>4.1360000000000029E-2</c:v>
                </c:pt>
                <c:pt idx="4" formatCode="0.00">
                  <c:v>4.1360000000000029E-2</c:v>
                </c:pt>
                <c:pt idx="5" formatCode="0.00">
                  <c:v>4.308E-2</c:v>
                </c:pt>
                <c:pt idx="6" formatCode="0.00">
                  <c:v>4.4639999999999985E-2</c:v>
                </c:pt>
                <c:pt idx="7" formatCode="0.00">
                  <c:v>4.6039999999999991E-2</c:v>
                </c:pt>
                <c:pt idx="8" formatCode="0.00">
                  <c:v>4.7300000000000036E-2</c:v>
                </c:pt>
                <c:pt idx="9" formatCode="0.00">
                  <c:v>4.8499999999999946E-2</c:v>
                </c:pt>
                <c:pt idx="10" formatCode="0.00">
                  <c:v>4.9540000000000077E-2</c:v>
                </c:pt>
                <c:pt idx="11" formatCode="0.00">
                  <c:v>5.0539999999999877E-2</c:v>
                </c:pt>
                <c:pt idx="12" formatCode="0.00">
                  <c:v>5.1420000000000105E-2</c:v>
                </c:pt>
                <c:pt idx="13" formatCode="0.00">
                  <c:v>5.2239999999999898E-2</c:v>
                </c:pt>
                <c:pt idx="14" formatCode="0.00">
                  <c:v>5.298000000000002E-2</c:v>
                </c:pt>
                <c:pt idx="15" formatCode="0.00">
                  <c:v>5.3680000000000089E-2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A9-4444-924D-AA5010D72D26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Sheet1!$L$1:$L$16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1A9-4444-924D-AA5010D72D26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Sheet1!$M$1:$M$16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1A9-4444-924D-AA5010D72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308584"/>
        <c:axId val="578341976"/>
      </c:lineChart>
      <c:catAx>
        <c:axId val="385308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341976"/>
        <c:crosses val="autoZero"/>
        <c:auto val="1"/>
        <c:lblAlgn val="ctr"/>
        <c:lblOffset val="100"/>
        <c:noMultiLvlLbl val="0"/>
      </c:catAx>
      <c:valAx>
        <c:axId val="57834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0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409575</xdr:colOff>
      <xdr:row>6</xdr:row>
      <xdr:rowOff>128587</xdr:rowOff>
    </xdr:from>
    <xdr:to>
      <xdr:col>20</xdr:col>
      <xdr:colOff>104775</xdr:colOff>
      <xdr:row>15</xdr:row>
      <xdr:rowOff>214312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FC46D2-A73A-4376-B67B-E22A26140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352364</xdr:colOff>
      <xdr:row>21</xdr:row>
      <xdr:rowOff>286835</xdr:rowOff>
    </xdr:from>
    <xdr:ext cx="4845173" cy="875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6538DF1-04E0-6743-88E2-62B1AC922AF0}"/>
            </a:ext>
          </a:extLst>
        </xdr:cNvPr>
        <xdr:cNvSpPr/>
      </xdr:nvSpPr>
      <xdr:spPr>
        <a:xfrm>
          <a:off x="5991164" y="6332035"/>
          <a:ext cx="4845173" cy="875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17/18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in 4.4, simpson's rule delta(h)=0.01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R24" sqref="R24"/>
    </sheetView>
  </sheetViews>
  <sheetFormatPr baseColWidth="10" defaultColWidth="8.83203125" defaultRowHeight="15"/>
  <cols>
    <col min="4" max="4" width="12.1640625" bestFit="1" customWidth="1"/>
  </cols>
  <sheetData>
    <row r="1" spans="1:13" ht="23">
      <c r="A1" s="1" t="s">
        <v>20</v>
      </c>
      <c r="B1" s="12"/>
      <c r="C1" s="13" t="s">
        <v>21</v>
      </c>
      <c r="D1" s="13"/>
      <c r="E1" s="13"/>
      <c r="F1" s="1"/>
      <c r="G1" s="6">
        <v>4.0999999999999996</v>
      </c>
      <c r="I1" s="1"/>
      <c r="J1" s="15"/>
      <c r="K1" s="16"/>
      <c r="L1" s="16"/>
      <c r="M1" s="16"/>
    </row>
    <row r="2" spans="1:13" ht="16">
      <c r="A2" s="2">
        <v>100</v>
      </c>
      <c r="B2" s="2"/>
      <c r="C2" s="2">
        <v>25.186</v>
      </c>
      <c r="D2" s="1"/>
      <c r="E2" s="1"/>
      <c r="F2" s="1"/>
      <c r="I2" s="1"/>
      <c r="J2" s="1"/>
      <c r="K2" s="1"/>
      <c r="L2" s="1"/>
      <c r="M2" s="1"/>
    </row>
    <row r="3" spans="1:13" ht="23">
      <c r="A3" s="2">
        <v>150</v>
      </c>
      <c r="B3" s="2"/>
      <c r="C3" s="2">
        <v>27.254000000000001</v>
      </c>
      <c r="D3" s="2"/>
      <c r="E3" s="4"/>
      <c r="F3" s="4"/>
      <c r="G3" s="4" t="s">
        <v>6</v>
      </c>
      <c r="H3" s="4"/>
      <c r="I3" s="2"/>
      <c r="J3" s="4"/>
      <c r="K3" s="4" t="s">
        <v>9</v>
      </c>
      <c r="L3" s="2"/>
      <c r="M3" s="2"/>
    </row>
    <row r="4" spans="1:13" ht="23">
      <c r="A4" s="2">
        <v>200</v>
      </c>
      <c r="B4" s="2"/>
      <c r="C4" s="2">
        <v>29.408000000000001</v>
      </c>
      <c r="D4" s="2"/>
      <c r="E4" s="5"/>
      <c r="F4" s="5"/>
      <c r="G4" s="5">
        <f>(C3-C2)/(A3-A2)</f>
        <v>4.1360000000000029E-2</v>
      </c>
      <c r="H4" s="5"/>
      <c r="I4" s="2"/>
      <c r="J4" s="5"/>
      <c r="K4" s="5">
        <f>(C3-C2)/(A3-A2)</f>
        <v>4.1360000000000029E-2</v>
      </c>
      <c r="L4" s="2"/>
      <c r="M4" s="2"/>
    </row>
    <row r="5" spans="1:13" ht="23">
      <c r="A5" s="2">
        <v>250</v>
      </c>
      <c r="B5" s="2"/>
      <c r="C5" s="2">
        <v>31.64</v>
      </c>
      <c r="D5" s="2"/>
      <c r="E5" s="5"/>
      <c r="F5" s="5"/>
      <c r="G5" s="5">
        <f t="shared" ref="G5:G16" si="0">(C4-C3)/(A4-A3)</f>
        <v>4.308E-2</v>
      </c>
      <c r="H5" s="5"/>
      <c r="I5" s="2"/>
      <c r="J5" s="5"/>
      <c r="K5" s="5">
        <f>(C3-C2)/(A3-A2)</f>
        <v>4.1360000000000029E-2</v>
      </c>
      <c r="L5" s="2"/>
      <c r="M5" s="2"/>
    </row>
    <row r="6" spans="1:13" ht="23">
      <c r="A6" s="2">
        <v>300</v>
      </c>
      <c r="B6" s="2"/>
      <c r="C6" s="2">
        <v>33.942</v>
      </c>
      <c r="D6" s="2"/>
      <c r="E6" s="5"/>
      <c r="F6" s="5"/>
      <c r="G6" s="5">
        <f t="shared" si="0"/>
        <v>4.4639999999999985E-2</v>
      </c>
      <c r="H6" s="5"/>
      <c r="I6" s="2"/>
      <c r="J6" s="5"/>
      <c r="K6" s="5">
        <f t="shared" ref="K6:K16" si="1">(C4-C3)/(A4-A3)</f>
        <v>4.308E-2</v>
      </c>
      <c r="L6" s="2"/>
      <c r="M6" s="2"/>
    </row>
    <row r="7" spans="1:13" ht="23">
      <c r="A7" s="2">
        <v>350</v>
      </c>
      <c r="B7" s="2"/>
      <c r="C7" s="2">
        <v>36.307000000000002</v>
      </c>
      <c r="D7" s="2"/>
      <c r="E7" s="5"/>
      <c r="F7" s="5"/>
      <c r="G7" s="5">
        <f t="shared" si="0"/>
        <v>4.6039999999999991E-2</v>
      </c>
      <c r="H7" s="5"/>
      <c r="I7" s="2"/>
      <c r="J7" s="5"/>
      <c r="K7" s="5">
        <f t="shared" si="1"/>
        <v>4.4639999999999985E-2</v>
      </c>
      <c r="L7" s="2"/>
      <c r="M7" s="2"/>
    </row>
    <row r="8" spans="1:13" ht="23">
      <c r="A8" s="2">
        <v>400</v>
      </c>
      <c r="B8" s="2"/>
      <c r="C8" s="2">
        <v>38.731999999999999</v>
      </c>
      <c r="D8" s="2"/>
      <c r="E8" s="5"/>
      <c r="F8" s="5"/>
      <c r="G8" s="5">
        <f t="shared" si="0"/>
        <v>4.7300000000000036E-2</v>
      </c>
      <c r="H8" s="5"/>
      <c r="I8" s="2"/>
      <c r="J8" s="5"/>
      <c r="K8" s="5">
        <f t="shared" si="1"/>
        <v>4.6039999999999991E-2</v>
      </c>
      <c r="L8" s="2"/>
      <c r="M8" s="2"/>
    </row>
    <row r="9" spans="1:13" ht="23">
      <c r="A9" s="2">
        <v>450</v>
      </c>
      <c r="B9" s="2"/>
      <c r="C9" s="2">
        <v>41.209000000000003</v>
      </c>
      <c r="D9" s="2"/>
      <c r="E9" s="5"/>
      <c r="F9" s="5"/>
      <c r="G9" s="5">
        <f t="shared" si="0"/>
        <v>4.8499999999999946E-2</v>
      </c>
      <c r="H9" s="5"/>
      <c r="I9" s="2"/>
      <c r="J9" s="5"/>
      <c r="K9" s="5">
        <f t="shared" si="1"/>
        <v>4.7300000000000036E-2</v>
      </c>
      <c r="L9" s="2"/>
      <c r="M9" s="2"/>
    </row>
    <row r="10" spans="1:13" ht="23">
      <c r="A10" s="2">
        <v>500</v>
      </c>
      <c r="B10" s="2"/>
      <c r="C10" s="2">
        <v>43.735999999999997</v>
      </c>
      <c r="D10" s="2"/>
      <c r="E10" s="5"/>
      <c r="F10" s="5"/>
      <c r="G10" s="5">
        <f t="shared" si="0"/>
        <v>4.9540000000000077E-2</v>
      </c>
      <c r="H10" s="5"/>
      <c r="I10" s="2"/>
      <c r="J10" s="5"/>
      <c r="K10" s="5">
        <f t="shared" si="1"/>
        <v>4.8499999999999946E-2</v>
      </c>
      <c r="L10" s="2"/>
      <c r="M10" s="2"/>
    </row>
    <row r="11" spans="1:13" ht="23">
      <c r="A11" s="2">
        <v>550</v>
      </c>
      <c r="B11" s="2"/>
      <c r="C11" s="2">
        <v>46.307000000000002</v>
      </c>
      <c r="D11" s="2"/>
      <c r="E11" s="5"/>
      <c r="F11" s="5"/>
      <c r="G11" s="5">
        <f t="shared" si="0"/>
        <v>5.0539999999999877E-2</v>
      </c>
      <c r="H11" s="5"/>
      <c r="I11" s="2"/>
      <c r="J11" s="5"/>
      <c r="K11" s="5">
        <f t="shared" si="1"/>
        <v>4.9540000000000077E-2</v>
      </c>
      <c r="L11" s="2"/>
      <c r="M11" s="2"/>
    </row>
    <row r="12" spans="1:13" ht="23">
      <c r="A12" s="2">
        <v>600</v>
      </c>
      <c r="B12" s="2"/>
      <c r="C12" s="2">
        <v>48.918999999999997</v>
      </c>
      <c r="D12" s="2"/>
      <c r="E12" s="5"/>
      <c r="F12" s="5"/>
      <c r="G12" s="5">
        <f t="shared" si="0"/>
        <v>5.1420000000000105E-2</v>
      </c>
      <c r="H12" s="5"/>
      <c r="I12" s="2"/>
      <c r="J12" s="5"/>
      <c r="K12" s="5">
        <f t="shared" si="1"/>
        <v>5.0539999999999877E-2</v>
      </c>
      <c r="L12" s="2"/>
      <c r="M12" s="2"/>
    </row>
    <row r="13" spans="1:13" ht="23">
      <c r="A13" s="2">
        <v>650</v>
      </c>
      <c r="B13" s="2"/>
      <c r="C13" s="2">
        <v>51.567999999999998</v>
      </c>
      <c r="E13" s="5"/>
      <c r="F13" s="5"/>
      <c r="G13" s="5">
        <f t="shared" si="0"/>
        <v>5.2239999999999898E-2</v>
      </c>
      <c r="H13" s="5"/>
      <c r="I13" s="2"/>
      <c r="J13" s="5"/>
      <c r="K13" s="5">
        <f t="shared" si="1"/>
        <v>5.1420000000000105E-2</v>
      </c>
      <c r="L13" s="2"/>
      <c r="M13" s="2"/>
    </row>
    <row r="14" spans="1:13" ht="23">
      <c r="A14" s="2">
        <v>700</v>
      </c>
      <c r="B14" s="2"/>
      <c r="C14" s="2">
        <v>54.252000000000002</v>
      </c>
      <c r="D14" s="4"/>
      <c r="E14" s="5"/>
      <c r="F14" s="5"/>
      <c r="G14" s="5">
        <f t="shared" si="0"/>
        <v>5.298000000000002E-2</v>
      </c>
      <c r="H14" s="5"/>
      <c r="I14" s="2"/>
      <c r="J14" s="5"/>
      <c r="K14" s="5">
        <f t="shared" si="1"/>
        <v>5.2239999999999898E-2</v>
      </c>
      <c r="L14" s="2"/>
      <c r="M14" s="2"/>
    </row>
    <row r="15" spans="1:13" ht="23">
      <c r="A15" s="2">
        <v>750</v>
      </c>
      <c r="B15" s="2"/>
      <c r="C15" s="14">
        <v>58.966000000000001</v>
      </c>
      <c r="D15" s="5"/>
      <c r="G15" s="5">
        <f t="shared" si="0"/>
        <v>5.3680000000000089E-2</v>
      </c>
      <c r="K15" s="5">
        <f t="shared" si="1"/>
        <v>5.298000000000002E-2</v>
      </c>
    </row>
    <row r="16" spans="1:13" ht="23">
      <c r="A16" s="2">
        <v>800</v>
      </c>
      <c r="B16" s="2"/>
      <c r="C16" s="14">
        <v>59.71</v>
      </c>
      <c r="D16" s="5"/>
      <c r="F16" s="4"/>
      <c r="G16" s="5">
        <f t="shared" si="0"/>
        <v>9.4279999999999975E-2</v>
      </c>
      <c r="I16" s="4"/>
      <c r="J16" s="4"/>
      <c r="K16" s="5">
        <f t="shared" si="1"/>
        <v>5.3680000000000089E-2</v>
      </c>
      <c r="L16" s="4"/>
    </row>
    <row r="17" spans="1:12" ht="23">
      <c r="A17" s="5"/>
      <c r="B17" s="5"/>
      <c r="C17" s="5"/>
      <c r="D17" s="5"/>
      <c r="F17" s="5"/>
      <c r="G17" s="6"/>
      <c r="I17" s="5"/>
      <c r="J17" s="5"/>
      <c r="K17" s="5"/>
      <c r="L17" s="5"/>
    </row>
    <row r="18" spans="1:12" ht="23">
      <c r="A18" s="1" t="s">
        <v>20</v>
      </c>
      <c r="B18" s="12"/>
      <c r="C18" t="s">
        <v>22</v>
      </c>
      <c r="D18" s="13"/>
      <c r="F18" s="5"/>
      <c r="G18" s="6"/>
      <c r="I18" s="5"/>
      <c r="J18" s="5"/>
      <c r="K18" s="5"/>
      <c r="L18" s="5"/>
    </row>
    <row r="19" spans="1:12" ht="23">
      <c r="A19" s="2">
        <v>100</v>
      </c>
      <c r="B19" s="1"/>
      <c r="C19" s="2">
        <v>4.0460999999999997E-2</v>
      </c>
      <c r="D19" s="1"/>
      <c r="F19" s="5"/>
      <c r="G19" s="6"/>
    </row>
    <row r="20" spans="1:12" ht="23">
      <c r="A20" s="2">
        <v>150</v>
      </c>
      <c r="B20" s="2"/>
      <c r="C20" s="2">
        <v>4.2256000000000002E-2</v>
      </c>
      <c r="D20" s="2"/>
      <c r="F20" s="5"/>
      <c r="G20" s="6"/>
    </row>
    <row r="21" spans="1:12" ht="23">
      <c r="A21" s="2">
        <v>200</v>
      </c>
      <c r="B21" s="2"/>
      <c r="C21" s="2">
        <v>4.3881000000000003E-2</v>
      </c>
      <c r="D21" s="2"/>
      <c r="F21" s="5"/>
      <c r="G21" s="6"/>
    </row>
    <row r="22" spans="1:12" ht="23">
      <c r="A22" s="2">
        <v>250</v>
      </c>
      <c r="B22" s="2"/>
      <c r="C22" s="2">
        <v>4.5354999999999999E-2</v>
      </c>
      <c r="D22" s="2"/>
      <c r="F22" s="5"/>
      <c r="G22" s="6"/>
    </row>
    <row r="23" spans="1:12" ht="23">
      <c r="A23" s="2">
        <v>300</v>
      </c>
      <c r="B23" s="2"/>
      <c r="C23" s="2">
        <v>4.6695E-2</v>
      </c>
      <c r="D23" s="2"/>
      <c r="F23" s="5"/>
      <c r="G23" s="6"/>
    </row>
    <row r="24" spans="1:12" ht="23">
      <c r="A24" s="2">
        <v>350</v>
      </c>
      <c r="B24" s="2"/>
      <c r="C24" s="2">
        <v>4.7917000000000001E-2</v>
      </c>
      <c r="D24" s="2"/>
      <c r="F24" s="5"/>
      <c r="G24" s="6"/>
    </row>
    <row r="25" spans="1:12" ht="23">
      <c r="A25" s="2">
        <v>400</v>
      </c>
      <c r="B25" s="2"/>
      <c r="C25" s="2">
        <v>4.9034000000000001E-2</v>
      </c>
      <c r="D25" s="2"/>
      <c r="F25" s="5"/>
      <c r="G25" s="6"/>
    </row>
    <row r="26" spans="1:12" ht="23">
      <c r="A26" s="2">
        <v>450</v>
      </c>
      <c r="B26" s="2"/>
      <c r="C26" s="2">
        <v>5.0055000000000002E-2</v>
      </c>
      <c r="D26" s="2"/>
      <c r="F26" s="5"/>
      <c r="G26" s="6"/>
    </row>
    <row r="27" spans="1:12" ht="23">
      <c r="A27" s="2">
        <v>500</v>
      </c>
      <c r="B27" s="2"/>
      <c r="C27" s="2">
        <v>5.0989E-2</v>
      </c>
      <c r="D27" s="2"/>
      <c r="F27" s="5"/>
      <c r="G27" s="6"/>
    </row>
    <row r="28" spans="1:12" ht="16">
      <c r="A28" s="2">
        <v>550</v>
      </c>
      <c r="B28" s="2"/>
      <c r="C28" s="2">
        <v>5.1843E-2</v>
      </c>
      <c r="D28" s="2"/>
    </row>
    <row r="29" spans="1:12" ht="16">
      <c r="A29" s="2">
        <v>600</v>
      </c>
      <c r="B29" s="2"/>
      <c r="C29" s="2">
        <v>5.2623999999999997E-2</v>
      </c>
      <c r="D29" s="2"/>
    </row>
    <row r="30" spans="1:12" ht="16">
      <c r="A30" s="2">
        <v>650</v>
      </c>
      <c r="B30" s="2"/>
      <c r="C30" s="2">
        <v>5.3338999999999998E-2</v>
      </c>
    </row>
    <row r="31" spans="1:12" ht="23">
      <c r="A31" s="2">
        <v>700</v>
      </c>
      <c r="B31" s="2"/>
      <c r="C31" s="2">
        <v>5.3994E-2</v>
      </c>
      <c r="D31" s="4"/>
    </row>
    <row r="32" spans="1:12" ht="23">
      <c r="A32" s="2">
        <v>750</v>
      </c>
      <c r="C32" s="14">
        <v>5.4593000000000003E-2</v>
      </c>
      <c r="D32" s="5"/>
    </row>
    <row r="33" spans="1:4" ht="23">
      <c r="A33" s="2">
        <v>800</v>
      </c>
      <c r="B33" s="4"/>
      <c r="C33" s="14">
        <v>5.5143999999999999E-2</v>
      </c>
      <c r="D33" s="5"/>
    </row>
  </sheetData>
  <mergeCells count="1">
    <mergeCell ref="J1:M1"/>
  </mergeCells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2436-3D71-464C-B289-9FB86A71B3B1}">
  <dimension ref="A1:O33"/>
  <sheetViews>
    <sheetView workbookViewId="0">
      <selection activeCell="T11" sqref="T11"/>
    </sheetView>
  </sheetViews>
  <sheetFormatPr baseColWidth="10" defaultColWidth="8.83203125" defaultRowHeight="15"/>
  <sheetData>
    <row r="1" spans="1:15" ht="23">
      <c r="D1" s="6">
        <v>4.4000000000000004</v>
      </c>
    </row>
    <row r="3" spans="1:15" ht="16">
      <c r="K3" s="1"/>
      <c r="L3" s="2"/>
      <c r="M3" s="2"/>
      <c r="N3" s="2"/>
      <c r="O3" s="2"/>
    </row>
    <row r="4" spans="1:15" ht="16">
      <c r="K4" s="8" t="s">
        <v>11</v>
      </c>
      <c r="L4" s="2"/>
      <c r="M4" s="2"/>
      <c r="N4" s="2"/>
      <c r="O4" s="2"/>
    </row>
    <row r="5" spans="1:15" ht="16">
      <c r="A5" s="1"/>
      <c r="B5" s="15" t="s">
        <v>3</v>
      </c>
      <c r="C5" s="16"/>
      <c r="D5" s="16"/>
      <c r="E5" s="16"/>
      <c r="F5" s="1"/>
      <c r="K5" s="1" t="s">
        <v>12</v>
      </c>
      <c r="L5" s="2"/>
      <c r="M5" s="2"/>
      <c r="N5" s="2"/>
      <c r="O5" s="2"/>
    </row>
    <row r="6" spans="1:15" ht="16">
      <c r="A6" s="1"/>
      <c r="B6" s="1" t="s">
        <v>0</v>
      </c>
      <c r="C6" s="1" t="s">
        <v>1</v>
      </c>
      <c r="D6" s="1" t="s">
        <v>4</v>
      </c>
      <c r="E6" s="1" t="s">
        <v>2</v>
      </c>
      <c r="F6" s="1" t="s">
        <v>5</v>
      </c>
      <c r="G6" t="s">
        <v>6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5</v>
      </c>
    </row>
    <row r="7" spans="1:15" ht="16">
      <c r="A7" s="2"/>
      <c r="B7" s="2">
        <v>0</v>
      </c>
      <c r="C7" s="2">
        <f>SQRT(B7)</f>
        <v>0</v>
      </c>
      <c r="D7" s="2">
        <v>1</v>
      </c>
      <c r="E7" s="2">
        <f xml:space="preserve"> 2/3*(B7)^1.5</f>
        <v>0</v>
      </c>
      <c r="F7" s="2" t="e">
        <f>ABS(G7-E7/E7*100)</f>
        <v>#DIV/0!</v>
      </c>
      <c r="G7" s="2">
        <f>(C8-C7)/(B8-B7)</f>
        <v>3.1622776601683791</v>
      </c>
      <c r="K7" s="2">
        <v>0.57735026899999997</v>
      </c>
      <c r="L7" s="2">
        <f>0.5*SQRT((K7+1)/2)</f>
        <v>0.44403691696186703</v>
      </c>
      <c r="M7" s="2">
        <v>1</v>
      </c>
      <c r="N7" s="2">
        <f>M7*L7</f>
        <v>0.44403691696186703</v>
      </c>
      <c r="O7" s="2">
        <v>1</v>
      </c>
    </row>
    <row r="8" spans="1:15" ht="16">
      <c r="A8" s="2"/>
      <c r="B8" s="2">
        <f>B7+0.1</f>
        <v>0.1</v>
      </c>
      <c r="C8" s="2">
        <f t="shared" ref="C8:C17" si="0">SQRT(B8)</f>
        <v>0.31622776601683794</v>
      </c>
      <c r="D8" s="2">
        <v>4</v>
      </c>
      <c r="E8" s="2">
        <f t="shared" ref="E8:E17" si="1" xml:space="preserve"> 2/3*(B8)^1.5</f>
        <v>2.1081851067789197E-2</v>
      </c>
      <c r="F8" s="2">
        <f t="shared" ref="F8:F17" si="2">ABS(G8-E8/E8*100)</f>
        <v>98.690141705168799</v>
      </c>
      <c r="G8" s="2">
        <f t="shared" ref="G8:G17" si="3">(C9-C8)/(B9-B8)</f>
        <v>1.3098582948311999</v>
      </c>
      <c r="K8" s="2">
        <v>-0.57735026899999997</v>
      </c>
      <c r="L8" s="2">
        <f>0.5*SQRT((K8+1)/2)</f>
        <v>0.22985042174205381</v>
      </c>
      <c r="M8" s="2">
        <v>1</v>
      </c>
      <c r="N8" s="2">
        <f>M8*L8</f>
        <v>0.22985042174205381</v>
      </c>
      <c r="O8" s="2">
        <v>1</v>
      </c>
    </row>
    <row r="9" spans="1:15" ht="16">
      <c r="A9" s="2"/>
      <c r="B9" s="2">
        <f t="shared" ref="B9:B17" si="4">B8+0.1</f>
        <v>0.2</v>
      </c>
      <c r="C9" s="2">
        <f t="shared" si="0"/>
        <v>0.44721359549995793</v>
      </c>
      <c r="D9" s="2">
        <v>2</v>
      </c>
      <c r="E9" s="2">
        <f t="shared" si="1"/>
        <v>5.9628479399994411E-2</v>
      </c>
      <c r="F9" s="2">
        <f t="shared" si="2"/>
        <v>98.994910379947925</v>
      </c>
      <c r="G9" s="2">
        <f t="shared" si="3"/>
        <v>1.0050896200520822</v>
      </c>
      <c r="K9" s="2"/>
      <c r="L9" s="2"/>
      <c r="M9" s="2" t="s">
        <v>17</v>
      </c>
      <c r="N9" s="9">
        <f>SUMPRODUCT(L7:L8,M7:M8)</f>
        <v>0.67388733870392081</v>
      </c>
      <c r="O9" s="3"/>
    </row>
    <row r="10" spans="1:15" ht="16">
      <c r="A10" s="2"/>
      <c r="B10" s="2">
        <f t="shared" si="4"/>
        <v>0.30000000000000004</v>
      </c>
      <c r="C10" s="2">
        <f t="shared" si="0"/>
        <v>0.54772255750516619</v>
      </c>
      <c r="D10" s="2">
        <v>4</v>
      </c>
      <c r="E10" s="2">
        <f t="shared" si="1"/>
        <v>0.10954451150103324</v>
      </c>
      <c r="F10" s="2">
        <f t="shared" si="2"/>
        <v>99.152670254714906</v>
      </c>
      <c r="G10" s="2">
        <f t="shared" si="3"/>
        <v>0.84732974528509719</v>
      </c>
      <c r="K10" s="2"/>
      <c r="L10" s="2"/>
      <c r="M10" s="2"/>
      <c r="N10" s="2">
        <f>SUMPRODUCT(L7:L8,M7:M8)</f>
        <v>0.67388733870392081</v>
      </c>
      <c r="O10" s="2"/>
    </row>
    <row r="11" spans="1:15" ht="16">
      <c r="A11" s="2"/>
      <c r="B11" s="2">
        <f t="shared" si="4"/>
        <v>0.4</v>
      </c>
      <c r="C11" s="2">
        <f t="shared" si="0"/>
        <v>0.63245553203367588</v>
      </c>
      <c r="D11" s="2">
        <v>2</v>
      </c>
      <c r="E11" s="2">
        <f t="shared" si="1"/>
        <v>0.16865480854231357</v>
      </c>
      <c r="F11" s="2">
        <f t="shared" si="2"/>
        <v>99.253487508471281</v>
      </c>
      <c r="G11" s="2">
        <f t="shared" si="3"/>
        <v>0.74651249152871701</v>
      </c>
      <c r="K11" s="1" t="s">
        <v>18</v>
      </c>
      <c r="L11" s="1"/>
      <c r="M11" s="1"/>
      <c r="N11" s="1"/>
      <c r="O11" s="2"/>
    </row>
    <row r="12" spans="1:15" ht="16">
      <c r="A12" s="2"/>
      <c r="B12" s="2">
        <f t="shared" si="4"/>
        <v>0.5</v>
      </c>
      <c r="C12" s="2">
        <f t="shared" si="0"/>
        <v>0.70710678118654757</v>
      </c>
      <c r="D12" s="2">
        <v>4</v>
      </c>
      <c r="E12" s="2">
        <f t="shared" si="1"/>
        <v>0.23570226039551584</v>
      </c>
      <c r="F12" s="2">
        <f t="shared" si="2"/>
        <v>99.325101119450636</v>
      </c>
      <c r="G12" s="2">
        <f t="shared" si="3"/>
        <v>0.67489888054935843</v>
      </c>
      <c r="K12" s="1" t="s">
        <v>13</v>
      </c>
      <c r="L12" s="1" t="s">
        <v>14</v>
      </c>
      <c r="M12" s="1" t="s">
        <v>15</v>
      </c>
      <c r="N12" s="1" t="s">
        <v>16</v>
      </c>
      <c r="O12" s="1" t="s">
        <v>5</v>
      </c>
    </row>
    <row r="13" spans="1:15" ht="16">
      <c r="A13" s="2"/>
      <c r="B13" s="2">
        <f t="shared" si="4"/>
        <v>0.6</v>
      </c>
      <c r="C13" s="2">
        <f t="shared" si="0"/>
        <v>0.7745966692414834</v>
      </c>
      <c r="D13" s="2">
        <v>2</v>
      </c>
      <c r="E13" s="2">
        <f t="shared" si="1"/>
        <v>0.3098386676965933</v>
      </c>
      <c r="F13" s="2">
        <f t="shared" si="2"/>
        <v>99.379366427074075</v>
      </c>
      <c r="G13" s="2">
        <f t="shared" si="3"/>
        <v>0.62063357292592169</v>
      </c>
      <c r="K13" s="2">
        <v>0</v>
      </c>
      <c r="L13" s="2">
        <f>0.5*SQRT((K13+1)/2)</f>
        <v>0.35355339059327379</v>
      </c>
      <c r="M13" s="2">
        <v>0.88888800000000001</v>
      </c>
      <c r="N13" s="2">
        <f>M13*L13</f>
        <v>0.31426936625767393</v>
      </c>
      <c r="O13" s="2">
        <v>0.88888800000000001</v>
      </c>
    </row>
    <row r="14" spans="1:15" ht="16">
      <c r="A14" s="2"/>
      <c r="B14" s="2">
        <f t="shared" si="4"/>
        <v>0.7</v>
      </c>
      <c r="C14" s="2">
        <f t="shared" si="0"/>
        <v>0.83666002653407556</v>
      </c>
      <c r="D14" s="2">
        <v>4</v>
      </c>
      <c r="E14" s="2">
        <f t="shared" si="1"/>
        <v>0.39044134571590183</v>
      </c>
      <c r="F14" s="2">
        <f t="shared" si="2"/>
        <v>99.422328355341591</v>
      </c>
      <c r="G14" s="2">
        <f t="shared" si="3"/>
        <v>0.57767164465840304</v>
      </c>
      <c r="K14" s="2">
        <v>0.77459666900000002</v>
      </c>
      <c r="L14" s="2">
        <f>0.5*SQRT((K14+1)/2)</f>
        <v>0.47098257252790154</v>
      </c>
      <c r="M14" s="2">
        <v>0.55555549999999998</v>
      </c>
      <c r="N14" s="2">
        <f>M14*L14</f>
        <v>0.26165695857202459</v>
      </c>
      <c r="O14" s="2">
        <v>0.55555549999999998</v>
      </c>
    </row>
    <row r="15" spans="1:15" ht="16">
      <c r="A15" s="2"/>
      <c r="B15" s="2">
        <f t="shared" si="4"/>
        <v>0.79999999999999993</v>
      </c>
      <c r="C15" s="2">
        <f t="shared" si="0"/>
        <v>0.89442719099991586</v>
      </c>
      <c r="D15" s="2">
        <v>2</v>
      </c>
      <c r="E15" s="2">
        <f t="shared" si="1"/>
        <v>0.47702783519995506</v>
      </c>
      <c r="F15" s="2">
        <f t="shared" si="2"/>
        <v>99.457438929494018</v>
      </c>
      <c r="G15" s="2">
        <f t="shared" si="3"/>
        <v>0.54256107050597924</v>
      </c>
      <c r="K15" s="2">
        <f>-K14</f>
        <v>-0.77459666900000002</v>
      </c>
      <c r="L15" s="2">
        <f>0.5*SQRT((K15+1)/2)</f>
        <v>0.16785534359977938</v>
      </c>
      <c r="M15" s="2">
        <v>0.55555549999999998</v>
      </c>
      <c r="N15" s="2">
        <f>M15*L15</f>
        <v>9.3252959341247235E-2</v>
      </c>
      <c r="O15" s="2">
        <v>0.55555549999999998</v>
      </c>
    </row>
    <row r="16" spans="1:15" ht="16">
      <c r="A16" s="2"/>
      <c r="B16" s="2">
        <f t="shared" si="4"/>
        <v>0.89999999999999991</v>
      </c>
      <c r="C16" s="2">
        <f t="shared" si="0"/>
        <v>0.94868329805051377</v>
      </c>
      <c r="D16" s="2">
        <v>4</v>
      </c>
      <c r="E16" s="2">
        <f t="shared" si="1"/>
        <v>0.56920997883030822</v>
      </c>
      <c r="F16" s="2">
        <f t="shared" si="2"/>
        <v>99.486832980505142</v>
      </c>
      <c r="G16" s="2">
        <f t="shared" si="3"/>
        <v>0.51316701949486243</v>
      </c>
      <c r="K16" s="2"/>
      <c r="L16" s="2"/>
      <c r="M16" s="2" t="s">
        <v>17</v>
      </c>
      <c r="N16" s="9">
        <f>SUMPRODUCT(N13:N15)</f>
        <v>0.66917928417094574</v>
      </c>
      <c r="O16" s="3"/>
    </row>
    <row r="17" spans="1:15" ht="16">
      <c r="A17" s="2"/>
      <c r="B17" s="2">
        <f t="shared" si="4"/>
        <v>0.99999999999999989</v>
      </c>
      <c r="C17" s="2">
        <f t="shared" si="0"/>
        <v>1</v>
      </c>
      <c r="D17" s="2">
        <v>1</v>
      </c>
      <c r="E17" s="2">
        <f t="shared" si="1"/>
        <v>0.66666666666666652</v>
      </c>
      <c r="F17" s="2">
        <f t="shared" si="2"/>
        <v>99</v>
      </c>
      <c r="G17" s="2">
        <f t="shared" si="3"/>
        <v>1.0000000000000002</v>
      </c>
      <c r="K17" s="2"/>
      <c r="L17" s="2"/>
      <c r="M17" s="2"/>
      <c r="N17" s="9">
        <f>SUMPRODUCT(N13:N15)</f>
        <v>0.66917928417094574</v>
      </c>
      <c r="O17" s="2"/>
    </row>
    <row r="18" spans="1:15" ht="16">
      <c r="A18" s="2"/>
      <c r="B18" s="2"/>
      <c r="C18" s="2"/>
      <c r="D18" s="2"/>
      <c r="E18" s="2"/>
      <c r="F18" s="2"/>
      <c r="K18" s="1" t="s">
        <v>19</v>
      </c>
      <c r="L18" s="1"/>
      <c r="M18" s="1"/>
      <c r="N18" s="1"/>
      <c r="O18" s="2"/>
    </row>
    <row r="19" spans="1:15" ht="16">
      <c r="K19" s="1" t="s">
        <v>13</v>
      </c>
      <c r="L19" s="1" t="s">
        <v>14</v>
      </c>
      <c r="M19" s="1" t="s">
        <v>15</v>
      </c>
      <c r="N19" s="1" t="s">
        <v>16</v>
      </c>
      <c r="O19" s="1" t="s">
        <v>5</v>
      </c>
    </row>
    <row r="20" spans="1:15" ht="16">
      <c r="B20" s="15" t="s">
        <v>3</v>
      </c>
      <c r="C20" s="16"/>
      <c r="D20" s="16"/>
      <c r="E20" s="16"/>
      <c r="F20" s="1"/>
      <c r="K20" s="2">
        <v>0.33998104299999998</v>
      </c>
      <c r="L20" s="2">
        <f>0.5*SQRT((K20+1)/2)</f>
        <v>0.40926474362568782</v>
      </c>
      <c r="M20" s="2">
        <v>0.65214515500000003</v>
      </c>
      <c r="N20" s="2">
        <f>M20*L20</f>
        <v>0.26690001966780946</v>
      </c>
      <c r="O20" s="2">
        <v>0.65214515500000003</v>
      </c>
    </row>
    <row r="21" spans="1:15" ht="16">
      <c r="B21" s="1" t="s">
        <v>0</v>
      </c>
      <c r="C21" s="1" t="s">
        <v>1</v>
      </c>
      <c r="D21" s="1" t="s">
        <v>4</v>
      </c>
      <c r="E21" s="1" t="s">
        <v>2</v>
      </c>
      <c r="F21" s="1" t="s">
        <v>5</v>
      </c>
      <c r="G21" t="s">
        <v>6</v>
      </c>
      <c r="K21" s="2">
        <f>-K20</f>
        <v>-0.33998104299999998</v>
      </c>
      <c r="L21" s="2">
        <f>0.5*SQRT((K21+1)/2)</f>
        <v>0.28723225728493657</v>
      </c>
      <c r="M21" s="2">
        <v>0.65214515500000003</v>
      </c>
      <c r="N21" s="2">
        <f>M21*L21</f>
        <v>0.18731712494808483</v>
      </c>
      <c r="O21" s="2">
        <v>0.65214515500000003</v>
      </c>
    </row>
    <row r="22" spans="1:15" ht="16">
      <c r="B22" s="2">
        <v>0</v>
      </c>
      <c r="C22" s="2">
        <f>SQRT(B22)</f>
        <v>0</v>
      </c>
      <c r="D22" s="2">
        <v>1</v>
      </c>
      <c r="E22" s="2">
        <f xml:space="preserve"> 2/3*(B22)^1.5</f>
        <v>0</v>
      </c>
      <c r="F22" s="2" t="e">
        <f>ABS(G22-E22/E22*100)</f>
        <v>#DIV/0!</v>
      </c>
      <c r="G22" s="2">
        <f>(D23-D22)/(C23-C22)</f>
        <v>30</v>
      </c>
      <c r="K22" s="2">
        <v>0.86113611999999995</v>
      </c>
      <c r="L22" s="2">
        <f>0.5*SQRT((K22+1)/2)</f>
        <v>0.48232977826379325</v>
      </c>
      <c r="M22" s="2">
        <v>0.34785484500000002</v>
      </c>
      <c r="N22" s="2">
        <f>M22*L22</f>
        <v>0.16778075025683617</v>
      </c>
      <c r="O22" s="2">
        <v>0.34785484500000002</v>
      </c>
    </row>
    <row r="23" spans="1:15" ht="16">
      <c r="B23" s="2">
        <f>B22+0.01</f>
        <v>0.01</v>
      </c>
      <c r="C23" s="2">
        <f t="shared" ref="C23:C32" si="5">SQRT(B23)</f>
        <v>0.1</v>
      </c>
      <c r="D23" s="2">
        <v>4</v>
      </c>
      <c r="E23" s="2">
        <f t="shared" ref="E23:E32" si="6" xml:space="preserve"> 2/3*(B23)^1.5</f>
        <v>6.6666666666666675E-4</v>
      </c>
      <c r="F23" s="2">
        <f t="shared" ref="F23:F32" si="7">ABS(G23-E23/E23*100)</f>
        <v>148.2842712474619</v>
      </c>
      <c r="G23" s="2">
        <f t="shared" ref="G23:G32" si="8">(D24-D23)/(C24-C23)</f>
        <v>-48.284271247461909</v>
      </c>
      <c r="K23" s="2">
        <f>-K22</f>
        <v>-0.86113611999999995</v>
      </c>
      <c r="L23" s="2">
        <f>0.5*SQRT((K23+1)/2)</f>
        <v>0.13174970588202467</v>
      </c>
      <c r="M23" s="2">
        <v>0.34785484500000002</v>
      </c>
      <c r="N23" s="2">
        <f>M23*L23</f>
        <v>4.5829773518387282E-2</v>
      </c>
      <c r="O23" s="2">
        <v>0.34785484500000002</v>
      </c>
    </row>
    <row r="24" spans="1:15" ht="16">
      <c r="B24" s="2">
        <f t="shared" ref="B24:B32" si="9">B23+0.01</f>
        <v>0.02</v>
      </c>
      <c r="C24" s="2">
        <f t="shared" si="5"/>
        <v>0.1414213562373095</v>
      </c>
      <c r="D24" s="2">
        <v>2</v>
      </c>
      <c r="E24" s="2">
        <f t="shared" si="6"/>
        <v>1.8856180831641274E-3</v>
      </c>
      <c r="F24" s="2">
        <f t="shared" si="7"/>
        <v>37.074712601160556</v>
      </c>
      <c r="G24" s="2">
        <f t="shared" si="8"/>
        <v>62.925287398839444</v>
      </c>
      <c r="K24" s="10"/>
      <c r="L24" s="10"/>
      <c r="M24" s="10" t="s">
        <v>17</v>
      </c>
      <c r="N24" s="11">
        <f>SUMPRODUCT(N20:N23)</f>
        <v>0.66782766839111773</v>
      </c>
      <c r="O24" s="10"/>
    </row>
    <row r="25" spans="1:15" ht="16">
      <c r="B25" s="2">
        <f t="shared" si="9"/>
        <v>0.03</v>
      </c>
      <c r="C25" s="2">
        <f t="shared" si="5"/>
        <v>0.17320508075688773</v>
      </c>
      <c r="D25" s="2">
        <v>4</v>
      </c>
      <c r="E25" s="2">
        <f t="shared" si="6"/>
        <v>3.4641016151377556E-3</v>
      </c>
      <c r="F25" s="2">
        <f t="shared" si="7"/>
        <v>174.64101615137753</v>
      </c>
      <c r="G25" s="2">
        <f t="shared" si="8"/>
        <v>-74.641016151377514</v>
      </c>
    </row>
    <row r="26" spans="1:15" ht="16">
      <c r="B26" s="2">
        <f t="shared" si="9"/>
        <v>0.04</v>
      </c>
      <c r="C26" s="2">
        <f t="shared" si="5"/>
        <v>0.2</v>
      </c>
      <c r="D26" s="2">
        <v>2</v>
      </c>
      <c r="E26" s="2">
        <f t="shared" si="6"/>
        <v>5.3333333333333358E-3</v>
      </c>
      <c r="F26" s="2">
        <f t="shared" si="7"/>
        <v>15.278640450004147</v>
      </c>
      <c r="G26" s="2">
        <f t="shared" si="8"/>
        <v>84.721359549995853</v>
      </c>
    </row>
    <row r="27" spans="1:15" ht="16">
      <c r="B27" s="2">
        <f t="shared" si="9"/>
        <v>0.05</v>
      </c>
      <c r="C27" s="2">
        <f t="shared" si="5"/>
        <v>0.22360679774997896</v>
      </c>
      <c r="D27" s="2">
        <v>4</v>
      </c>
      <c r="E27" s="2">
        <f t="shared" si="6"/>
        <v>7.4535599249992987E-3</v>
      </c>
      <c r="F27" s="2">
        <f t="shared" si="7"/>
        <v>193.71115440565927</v>
      </c>
      <c r="G27" s="2">
        <f t="shared" si="8"/>
        <v>-93.711154405659258</v>
      </c>
    </row>
    <row r="28" spans="1:15" ht="16">
      <c r="B28" s="2">
        <f t="shared" si="9"/>
        <v>6.0000000000000005E-2</v>
      </c>
      <c r="C28" s="2">
        <f t="shared" si="5"/>
        <v>0.24494897427831783</v>
      </c>
      <c r="D28" s="2">
        <v>2</v>
      </c>
      <c r="E28" s="2">
        <f t="shared" si="6"/>
        <v>9.7979589711327079E-3</v>
      </c>
      <c r="F28" s="2">
        <f t="shared" si="7"/>
        <v>1.9048210769553435</v>
      </c>
      <c r="G28" s="2">
        <f t="shared" si="8"/>
        <v>101.90482107695534</v>
      </c>
    </row>
    <row r="29" spans="1:15" ht="16">
      <c r="B29" s="2">
        <f t="shared" si="9"/>
        <v>7.0000000000000007E-2</v>
      </c>
      <c r="C29" s="2">
        <f t="shared" si="5"/>
        <v>0.26457513110645908</v>
      </c>
      <c r="D29" s="2">
        <v>4</v>
      </c>
      <c r="E29" s="2">
        <f t="shared" si="6"/>
        <v>1.2346839451634763E-2</v>
      </c>
      <c r="F29" s="2">
        <f t="shared" si="7"/>
        <v>209.48356871621576</v>
      </c>
      <c r="G29" s="2">
        <f t="shared" si="8"/>
        <v>-109.48356871621577</v>
      </c>
    </row>
    <row r="30" spans="1:15" ht="16">
      <c r="B30" s="2">
        <f t="shared" si="9"/>
        <v>0.08</v>
      </c>
      <c r="C30" s="2">
        <f t="shared" si="5"/>
        <v>0.28284271247461901</v>
      </c>
      <c r="D30" s="2">
        <v>2</v>
      </c>
      <c r="E30" s="2">
        <f t="shared" si="6"/>
        <v>1.5084944665313009E-2</v>
      </c>
      <c r="F30" s="2">
        <f t="shared" si="7"/>
        <v>16.568542494923861</v>
      </c>
      <c r="G30" s="2">
        <f t="shared" si="8"/>
        <v>116.56854249492386</v>
      </c>
    </row>
    <row r="31" spans="1:15" ht="16">
      <c r="B31" s="2">
        <f t="shared" si="9"/>
        <v>0.09</v>
      </c>
      <c r="C31" s="2">
        <f t="shared" si="5"/>
        <v>0.3</v>
      </c>
      <c r="D31" s="2">
        <v>4</v>
      </c>
      <c r="E31" s="2">
        <f t="shared" si="6"/>
        <v>1.7999999999999988E-2</v>
      </c>
      <c r="F31" s="2">
        <f t="shared" si="7"/>
        <v>284.86832980505119</v>
      </c>
      <c r="G31" s="2">
        <f t="shared" si="8"/>
        <v>-184.86832980505116</v>
      </c>
    </row>
    <row r="32" spans="1:15" ht="16">
      <c r="B32" s="2">
        <f t="shared" si="9"/>
        <v>9.9999999999999992E-2</v>
      </c>
      <c r="C32" s="2">
        <f t="shared" si="5"/>
        <v>0.31622776601683794</v>
      </c>
      <c r="D32" s="2">
        <v>1</v>
      </c>
      <c r="E32" s="2">
        <f t="shared" si="6"/>
        <v>2.108185106778919E-2</v>
      </c>
      <c r="F32" s="2">
        <f t="shared" si="7"/>
        <v>96.837722339831615</v>
      </c>
      <c r="G32" s="2">
        <f t="shared" si="8"/>
        <v>3.1622776601683791</v>
      </c>
    </row>
    <row r="33" spans="2:6" ht="16">
      <c r="B33" s="2"/>
      <c r="C33" s="2"/>
      <c r="D33" s="2"/>
      <c r="E33" s="2"/>
      <c r="F33" s="2"/>
    </row>
  </sheetData>
  <mergeCells count="2">
    <mergeCell ref="B5:E5"/>
    <mergeCell ref="B20:E20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4441-50C3-42E6-9D5A-12ED24F8BE80}">
  <dimension ref="A1:P119"/>
  <sheetViews>
    <sheetView workbookViewId="0">
      <selection activeCell="T19" sqref="T19"/>
    </sheetView>
  </sheetViews>
  <sheetFormatPr baseColWidth="10" defaultColWidth="8.83203125" defaultRowHeight="15"/>
  <cols>
    <col min="4" max="4" width="12.1640625" bestFit="1" customWidth="1"/>
  </cols>
  <sheetData>
    <row r="1" spans="1:16" ht="23">
      <c r="A1" s="4" t="s">
        <v>0</v>
      </c>
      <c r="B1" s="4" t="s">
        <v>1</v>
      </c>
      <c r="C1" s="4" t="s">
        <v>6</v>
      </c>
      <c r="D1" s="4" t="s">
        <v>7</v>
      </c>
      <c r="E1" s="4" t="s">
        <v>9</v>
      </c>
      <c r="F1" s="4" t="s">
        <v>7</v>
      </c>
      <c r="G1" s="4" t="s">
        <v>8</v>
      </c>
      <c r="J1" s="1"/>
      <c r="K1" s="15" t="s">
        <v>10</v>
      </c>
      <c r="L1" s="16"/>
      <c r="M1" s="16"/>
      <c r="N1" s="7"/>
      <c r="P1" s="6">
        <v>4.5</v>
      </c>
    </row>
    <row r="2" spans="1:16" ht="23">
      <c r="A2" s="5">
        <v>0</v>
      </c>
      <c r="B2" s="5">
        <f>A2^2*COS(A2)</f>
        <v>0</v>
      </c>
      <c r="C2" s="5">
        <f>(B3-B2)/(A3-A2)</f>
        <v>9.9500416527802601E-2</v>
      </c>
      <c r="D2" s="5" t="e">
        <f>ABS(C2-G2)/G2*100</f>
        <v>#DIV/0!</v>
      </c>
      <c r="E2" s="5">
        <f>(B3-B2)/(A3-A2)</f>
        <v>9.9500416527802601E-2</v>
      </c>
      <c r="F2" s="5"/>
      <c r="G2" s="5">
        <f>A2*(2*COS(A2)-A2*SIN(A2))</f>
        <v>0</v>
      </c>
      <c r="J2" s="1"/>
      <c r="K2" s="1" t="s">
        <v>0</v>
      </c>
      <c r="L2" s="1" t="s">
        <v>1</v>
      </c>
      <c r="M2" s="1" t="s">
        <v>2</v>
      </c>
      <c r="N2" s="1" t="s">
        <v>5</v>
      </c>
      <c r="O2" t="s">
        <v>6</v>
      </c>
    </row>
    <row r="3" spans="1:16" ht="23">
      <c r="A3" s="5">
        <f>A2+0.1</f>
        <v>0.1</v>
      </c>
      <c r="B3" s="5">
        <f t="shared" ref="B3:B12" si="0">A3^2*COS(A3)</f>
        <v>9.9500416527802601E-3</v>
      </c>
      <c r="C3" s="5">
        <f t="shared" ref="C3:C11" si="1">(B4-B3)/(A4-A3)</f>
        <v>0.2925262146086941</v>
      </c>
      <c r="D3" s="5">
        <f t="shared" ref="D3:D12" si="2">ABS(C3-G3)/G3*100</f>
        <v>47.738647870541143</v>
      </c>
      <c r="E3" s="5">
        <f>(B3-B2)/(A3-A2)</f>
        <v>9.9500416527802601E-2</v>
      </c>
      <c r="F3" s="5"/>
      <c r="G3" s="5">
        <f t="shared" ref="G3:G12" si="3">A3*(2*COS(A3)-A3*SIN(A3))</f>
        <v>0.1980024988891369</v>
      </c>
      <c r="J3" s="2"/>
      <c r="K3" s="6">
        <v>0</v>
      </c>
      <c r="L3" s="6">
        <f>SQRT(K3)</f>
        <v>0</v>
      </c>
      <c r="M3" s="6">
        <f xml:space="preserve">  2*K3*COS(K3) +((K3)^2 - 2)*SIN(K3)</f>
        <v>0</v>
      </c>
      <c r="N3" s="2" t="e">
        <f>ABS(O3-M3/M3*100)</f>
        <v>#DIV/0!</v>
      </c>
      <c r="O3" s="2">
        <f>(L4-L3)/(K4-K3)</f>
        <v>3.1622776601683791</v>
      </c>
    </row>
    <row r="4" spans="1:16" ht="23">
      <c r="A4" s="5">
        <f t="shared" ref="A4:A12" si="4">A3+0.1</f>
        <v>0.2</v>
      </c>
      <c r="B4" s="5">
        <f t="shared" si="0"/>
        <v>3.9202663113649672E-2</v>
      </c>
      <c r="C4" s="5">
        <f t="shared" si="1"/>
        <v>0.46777620907654871</v>
      </c>
      <c r="D4" s="5">
        <f t="shared" si="2"/>
        <v>21.791392974484729</v>
      </c>
      <c r="E4" s="5">
        <f t="shared" ref="E4:E12" si="5">(B4-B3)/(A4-A3)</f>
        <v>0.2925262146086941</v>
      </c>
      <c r="F4" s="5"/>
      <c r="G4" s="5">
        <f t="shared" si="3"/>
        <v>0.38407985790469423</v>
      </c>
      <c r="J4" s="2"/>
      <c r="K4" s="6">
        <f>K3+0.1</f>
        <v>0.1</v>
      </c>
      <c r="L4" s="6">
        <f t="shared" ref="L4:L13" si="6">SQRT(K4)</f>
        <v>0.31622776601683794</v>
      </c>
      <c r="M4" s="6">
        <f t="shared" ref="M4:M13" si="7" xml:space="preserve">  2*K4*COS(K4) +((K4)^2 - 2)*SIN(K4)</f>
        <v>3.3233392841713894E-4</v>
      </c>
      <c r="N4" s="2">
        <f t="shared" ref="N4:N13" si="8">ABS(O4-M4/M4*100)</f>
        <v>98.690141705168799</v>
      </c>
      <c r="O4" s="2">
        <f t="shared" ref="O4:O13" si="9">(L5-L4)/(K5-K4)</f>
        <v>1.3098582948311999</v>
      </c>
    </row>
    <row r="5" spans="1:16" ht="23">
      <c r="A5" s="5">
        <f t="shared" si="4"/>
        <v>0.30000000000000004</v>
      </c>
      <c r="B5" s="5">
        <f t="shared" si="0"/>
        <v>8.5980284021304559E-2</v>
      </c>
      <c r="C5" s="5">
        <f t="shared" si="1"/>
        <v>0.61389475019157103</v>
      </c>
      <c r="D5" s="5">
        <f t="shared" si="2"/>
        <v>12.310473943369853</v>
      </c>
      <c r="E5" s="5">
        <f t="shared" si="5"/>
        <v>0.46777620907654871</v>
      </c>
      <c r="F5" s="5"/>
      <c r="G5" s="5">
        <f t="shared" si="3"/>
        <v>0.54660507487584309</v>
      </c>
      <c r="J5" s="2"/>
      <c r="K5" s="6">
        <f t="shared" ref="K5:K13" si="10">K4+0.1</f>
        <v>0.2</v>
      </c>
      <c r="L5" s="6">
        <f t="shared" si="6"/>
        <v>0.44721359549995793</v>
      </c>
      <c r="M5" s="6">
        <f t="shared" si="7"/>
        <v>2.6347427781766575E-3</v>
      </c>
      <c r="N5" s="2">
        <f t="shared" si="8"/>
        <v>98.994910379947925</v>
      </c>
      <c r="O5" s="2">
        <f t="shared" si="9"/>
        <v>1.0050896200520822</v>
      </c>
    </row>
    <row r="6" spans="1:16" ht="23">
      <c r="A6" s="5">
        <f t="shared" si="4"/>
        <v>0.4</v>
      </c>
      <c r="B6" s="5">
        <f t="shared" si="0"/>
        <v>0.14736975904046165</v>
      </c>
      <c r="C6" s="5">
        <f t="shared" si="1"/>
        <v>0.72025881432131555</v>
      </c>
      <c r="D6" s="5">
        <f t="shared" si="2"/>
        <v>6.7774821060104591</v>
      </c>
      <c r="E6" s="5">
        <f t="shared" si="5"/>
        <v>0.61389475019157103</v>
      </c>
      <c r="F6" s="5"/>
      <c r="G6" s="5">
        <f t="shared" si="3"/>
        <v>0.67454186043292408</v>
      </c>
      <c r="J6" s="2"/>
      <c r="K6" s="6">
        <f t="shared" si="10"/>
        <v>0.30000000000000004</v>
      </c>
      <c r="L6" s="6">
        <f t="shared" si="6"/>
        <v>0.54772255750516619</v>
      </c>
      <c r="M6" s="6">
        <f t="shared" si="7"/>
        <v>8.7582987522050182E-3</v>
      </c>
      <c r="N6" s="2">
        <f t="shared" si="8"/>
        <v>99.152670254714906</v>
      </c>
      <c r="O6" s="2">
        <f t="shared" si="9"/>
        <v>0.84732974528509719</v>
      </c>
    </row>
    <row r="7" spans="1:16" ht="23">
      <c r="A7" s="5">
        <f t="shared" si="4"/>
        <v>0.5</v>
      </c>
      <c r="B7" s="5">
        <f t="shared" si="0"/>
        <v>0.21939564047259319</v>
      </c>
      <c r="C7" s="5">
        <f t="shared" si="1"/>
        <v>0.77725180894891022</v>
      </c>
      <c r="D7" s="5">
        <f t="shared" si="2"/>
        <v>2.5768717375882857</v>
      </c>
      <c r="E7" s="5">
        <f t="shared" si="5"/>
        <v>0.72025881432131555</v>
      </c>
      <c r="F7" s="5"/>
      <c r="G7" s="5">
        <f t="shared" si="3"/>
        <v>0.75772617723932201</v>
      </c>
      <c r="J7" s="2"/>
      <c r="K7" s="6">
        <f t="shared" si="10"/>
        <v>0.4</v>
      </c>
      <c r="L7" s="6">
        <f t="shared" si="6"/>
        <v>0.63245553203367588</v>
      </c>
      <c r="M7" s="6">
        <f t="shared" si="7"/>
        <v>2.0319045354391219E-2</v>
      </c>
      <c r="N7" s="2">
        <f t="shared" si="8"/>
        <v>99.253487508471281</v>
      </c>
      <c r="O7" s="2">
        <f t="shared" si="9"/>
        <v>0.74651249152871701</v>
      </c>
    </row>
    <row r="8" spans="1:16" ht="23">
      <c r="A8" s="5">
        <f t="shared" si="4"/>
        <v>0.6</v>
      </c>
      <c r="B8" s="5">
        <f t="shared" si="0"/>
        <v>0.29712082136748419</v>
      </c>
      <c r="C8" s="5">
        <f t="shared" si="1"/>
        <v>0.77651850401915157</v>
      </c>
      <c r="D8" s="5">
        <f t="shared" si="2"/>
        <v>1.3483063704759708</v>
      </c>
      <c r="E8" s="5">
        <f t="shared" si="5"/>
        <v>0.77725180894891022</v>
      </c>
      <c r="F8" s="5"/>
      <c r="G8" s="5">
        <f t="shared" si="3"/>
        <v>0.78713144746940122</v>
      </c>
      <c r="J8" s="2"/>
      <c r="K8" s="6">
        <f t="shared" si="10"/>
        <v>0.5</v>
      </c>
      <c r="L8" s="6">
        <f t="shared" si="6"/>
        <v>0.70710678118654757</v>
      </c>
      <c r="M8" s="6">
        <f t="shared" si="7"/>
        <v>3.8587869333017499E-2</v>
      </c>
      <c r="N8" s="2">
        <f t="shared" si="8"/>
        <v>99.325101119450636</v>
      </c>
      <c r="O8" s="2">
        <f t="shared" si="9"/>
        <v>0.67489888054935843</v>
      </c>
    </row>
    <row r="9" spans="1:16" ht="23">
      <c r="A9" s="5">
        <f t="shared" si="4"/>
        <v>0.7</v>
      </c>
      <c r="B9" s="5">
        <f t="shared" si="0"/>
        <v>0.37477267176939932</v>
      </c>
      <c r="C9" s="5">
        <f t="shared" si="1"/>
        <v>0.71119622212786515</v>
      </c>
      <c r="D9" s="5">
        <f t="shared" si="2"/>
        <v>5.8158459043270323</v>
      </c>
      <c r="E9" s="5">
        <f t="shared" si="5"/>
        <v>0.77651850401915157</v>
      </c>
      <c r="F9" s="5"/>
      <c r="G9" s="5">
        <f t="shared" si="3"/>
        <v>0.7551123954518153</v>
      </c>
      <c r="J9" s="2"/>
      <c r="K9" s="6">
        <f t="shared" si="10"/>
        <v>0.6</v>
      </c>
      <c r="L9" s="6">
        <f t="shared" si="6"/>
        <v>0.7745966692414834</v>
      </c>
      <c r="M9" s="6">
        <f t="shared" si="7"/>
        <v>6.4389081523755887E-2</v>
      </c>
      <c r="N9" s="2">
        <f t="shared" si="8"/>
        <v>99.379366427074075</v>
      </c>
      <c r="O9" s="2">
        <f t="shared" si="9"/>
        <v>0.62063357292592169</v>
      </c>
    </row>
    <row r="10" spans="1:16" ht="23">
      <c r="A10" s="5">
        <f t="shared" si="4"/>
        <v>0.79999999999999993</v>
      </c>
      <c r="B10" s="5">
        <f t="shared" si="0"/>
        <v>0.44589229398218583</v>
      </c>
      <c r="C10" s="5">
        <f t="shared" si="1"/>
        <v>0.57611780317052341</v>
      </c>
      <c r="D10" s="5">
        <f t="shared" si="2"/>
        <v>12.126641896696674</v>
      </c>
      <c r="E10" s="5">
        <f t="shared" si="5"/>
        <v>0.71119622212786515</v>
      </c>
      <c r="F10" s="5"/>
      <c r="G10" s="5">
        <f t="shared" si="3"/>
        <v>0.65562283677977029</v>
      </c>
      <c r="J10" s="2"/>
      <c r="K10" s="6">
        <f t="shared" si="10"/>
        <v>0.7</v>
      </c>
      <c r="L10" s="6">
        <f t="shared" si="6"/>
        <v>0.83666002653407556</v>
      </c>
      <c r="M10" s="6">
        <f t="shared" si="7"/>
        <v>9.8010354469370342E-2</v>
      </c>
      <c r="N10" s="2">
        <f t="shared" si="8"/>
        <v>99.422328355341591</v>
      </c>
      <c r="O10" s="2">
        <f t="shared" si="9"/>
        <v>0.57767164465840304</v>
      </c>
    </row>
    <row r="11" spans="1:16" ht="23">
      <c r="A11" s="5">
        <f t="shared" si="4"/>
        <v>0.89999999999999991</v>
      </c>
      <c r="B11" s="5">
        <f t="shared" si="0"/>
        <v>0.50350407429923816</v>
      </c>
      <c r="C11" s="5">
        <f t="shared" si="1"/>
        <v>0.36798231568901502</v>
      </c>
      <c r="D11" s="5">
        <f t="shared" si="2"/>
        <v>24.033871650070825</v>
      </c>
      <c r="E11" s="5">
        <f t="shared" si="5"/>
        <v>0.57611780317052341</v>
      </c>
      <c r="F11" s="5"/>
      <c r="G11" s="5">
        <f t="shared" si="3"/>
        <v>0.48440314608893464</v>
      </c>
      <c r="J11" s="2"/>
      <c r="K11" s="6">
        <f t="shared" si="10"/>
        <v>0.79999999999999993</v>
      </c>
      <c r="L11" s="6">
        <f t="shared" si="6"/>
        <v>0.89442719099991586</v>
      </c>
      <c r="M11" s="6">
        <f t="shared" si="7"/>
        <v>0.13912645133211377</v>
      </c>
      <c r="N11" s="2">
        <f t="shared" si="8"/>
        <v>99.457438929494018</v>
      </c>
      <c r="O11" s="2">
        <f t="shared" si="9"/>
        <v>0.54256107050597924</v>
      </c>
    </row>
    <row r="12" spans="1:16" ht="23">
      <c r="A12" s="5">
        <f t="shared" si="4"/>
        <v>0.99999999999999989</v>
      </c>
      <c r="B12" s="5">
        <f t="shared" si="0"/>
        <v>0.54030230586813965</v>
      </c>
      <c r="C12" s="5">
        <f>(B12-B11)/(A12-A11)</f>
        <v>0.36798231568901502</v>
      </c>
      <c r="D12" s="5">
        <f t="shared" si="2"/>
        <v>53.881459674100938</v>
      </c>
      <c r="E12" s="5">
        <f t="shared" si="5"/>
        <v>0.36798231568901502</v>
      </c>
      <c r="F12" s="5"/>
      <c r="G12" s="5">
        <f t="shared" si="3"/>
        <v>0.23913362692838322</v>
      </c>
      <c r="J12" s="2"/>
      <c r="K12" s="6">
        <f t="shared" si="10"/>
        <v>0.89999999999999991</v>
      </c>
      <c r="L12" s="6">
        <f t="shared" si="6"/>
        <v>0.94868329805051377</v>
      </c>
      <c r="M12" s="6">
        <f t="shared" si="7"/>
        <v>0.18673892043049067</v>
      </c>
      <c r="N12" s="2">
        <f t="shared" si="8"/>
        <v>99.486832980505142</v>
      </c>
      <c r="O12" s="2">
        <f t="shared" si="9"/>
        <v>0.51316701949486243</v>
      </c>
    </row>
    <row r="13" spans="1:16" ht="23">
      <c r="J13" s="3"/>
      <c r="K13" s="6">
        <f t="shared" si="10"/>
        <v>0.99999999999999989</v>
      </c>
      <c r="L13" s="6">
        <f t="shared" si="6"/>
        <v>1</v>
      </c>
      <c r="M13" s="6">
        <f t="shared" si="7"/>
        <v>0.23913362692838269</v>
      </c>
      <c r="N13" s="2">
        <f t="shared" si="8"/>
        <v>99</v>
      </c>
      <c r="O13" s="2">
        <f t="shared" si="9"/>
        <v>1.0000000000000002</v>
      </c>
    </row>
    <row r="14" spans="1:16" ht="23">
      <c r="J14" s="2"/>
      <c r="K14" s="6"/>
      <c r="L14" s="6"/>
      <c r="M14" s="6">
        <f>SUMPRODUCT(L3:L13,M3:M13)/2*(K13-K12)</f>
        <v>3.5941112863300852E-2</v>
      </c>
      <c r="N14" s="2"/>
    </row>
    <row r="17" spans="1:15" ht="23">
      <c r="A17" s="4" t="s">
        <v>0</v>
      </c>
      <c r="B17" s="4" t="s">
        <v>1</v>
      </c>
      <c r="C17" s="4" t="s">
        <v>6</v>
      </c>
      <c r="D17" s="4" t="s">
        <v>7</v>
      </c>
      <c r="E17" s="4" t="s">
        <v>9</v>
      </c>
      <c r="F17" s="4" t="s">
        <v>7</v>
      </c>
      <c r="G17" s="4" t="s">
        <v>8</v>
      </c>
      <c r="K17" s="15" t="s">
        <v>10</v>
      </c>
      <c r="L17" s="16"/>
      <c r="M17" s="16"/>
      <c r="N17" s="7"/>
    </row>
    <row r="18" spans="1:15" ht="23">
      <c r="A18" s="5">
        <v>0</v>
      </c>
      <c r="B18" s="5">
        <f>A18^2*COS(A18)</f>
        <v>0</v>
      </c>
      <c r="C18" s="5">
        <f>(B19-B18)/(A19-A18)</f>
        <v>9.9995000041666528E-3</v>
      </c>
      <c r="D18" s="5" t="e">
        <f>ABS(C18-G18)/G18*100</f>
        <v>#DIV/0!</v>
      </c>
      <c r="E18" s="5">
        <f>(B19-B18)/(A19-A18)</f>
        <v>9.9995000041666528E-3</v>
      </c>
      <c r="F18" s="5"/>
      <c r="G18" s="5">
        <f>A18*(2*COS(A18)-A18*SIN(A18))</f>
        <v>0</v>
      </c>
      <c r="K18" s="1" t="s">
        <v>0</v>
      </c>
      <c r="L18" s="1" t="s">
        <v>1</v>
      </c>
      <c r="M18" s="1" t="s">
        <v>2</v>
      </c>
      <c r="N18" s="1" t="s">
        <v>5</v>
      </c>
      <c r="O18" t="s">
        <v>6</v>
      </c>
    </row>
    <row r="19" spans="1:15" ht="23">
      <c r="A19" s="5">
        <f>A18+0.01</f>
        <v>0.01</v>
      </c>
      <c r="B19" s="5">
        <f t="shared" ref="B19:B82" si="11">A19^2*COS(A19)</f>
        <v>9.9995000041666534E-5</v>
      </c>
      <c r="C19" s="5">
        <f t="shared" ref="C19:C82" si="12">(B20-B19)/(A20-A19)</f>
        <v>2.9992500262496464E-2</v>
      </c>
      <c r="D19" s="5">
        <f t="shared" ref="D19:D82" si="13">ABS(C19-G19)/G19*100</f>
        <v>49.977498874898764</v>
      </c>
      <c r="E19" s="5">
        <f>(B19-B18)/(A19-A18)</f>
        <v>9.9995000041666528E-3</v>
      </c>
      <c r="F19" s="5"/>
      <c r="G19" s="5">
        <f t="shared" ref="G19:G82" si="14">A19*(2*COS(A19)-A19*SIN(A19))</f>
        <v>1.9998000024999889E-2</v>
      </c>
      <c r="K19" s="2">
        <v>0</v>
      </c>
      <c r="L19" s="2">
        <f>SQRT(K19)</f>
        <v>0</v>
      </c>
      <c r="M19" s="2">
        <v>1</v>
      </c>
      <c r="N19" s="2">
        <f>ABS(O19-M19)/M19*100</f>
        <v>900</v>
      </c>
      <c r="O19" s="2">
        <f>(L20-L19)/(K20-K19)</f>
        <v>10</v>
      </c>
    </row>
    <row r="20" spans="1:15" ht="23">
      <c r="A20" s="5">
        <f t="shared" ref="A20:A83" si="15">A19+0.01</f>
        <v>0.02</v>
      </c>
      <c r="B20" s="5">
        <f t="shared" si="11"/>
        <v>3.9992000266663114E-4</v>
      </c>
      <c r="C20" s="5">
        <f t="shared" si="12"/>
        <v>4.996750277074577E-2</v>
      </c>
      <c r="D20" s="5">
        <f t="shared" si="13"/>
        <v>24.968741924303743</v>
      </c>
      <c r="E20" s="5">
        <f t="shared" ref="E20:E83" si="16">(B20-B19)/(A20-A19)</f>
        <v>2.9992500262496464E-2</v>
      </c>
      <c r="F20" s="5"/>
      <c r="G20" s="5">
        <f t="shared" si="14"/>
        <v>3.9984000799985778E-2</v>
      </c>
      <c r="K20" s="2">
        <f>K19+0.01</f>
        <v>0.01</v>
      </c>
      <c r="L20" s="2">
        <f t="shared" ref="L20:L83" si="17">SQRT(K20)</f>
        <v>0.1</v>
      </c>
      <c r="M20" s="2">
        <v>2</v>
      </c>
      <c r="N20" s="2">
        <f t="shared" ref="N20:N83" si="18">ABS(O20-M20)/M20*100</f>
        <v>107.10678118654751</v>
      </c>
      <c r="O20" s="2">
        <f t="shared" ref="O20:O83" si="19">(L21-L20)/(K21-K20)</f>
        <v>4.1421356237309501</v>
      </c>
    </row>
    <row r="21" spans="1:15" ht="23">
      <c r="A21" s="5">
        <f t="shared" si="15"/>
        <v>0.03</v>
      </c>
      <c r="B21" s="5">
        <f t="shared" si="11"/>
        <v>8.9959503037408876E-4</v>
      </c>
      <c r="C21" s="5">
        <f t="shared" si="12"/>
        <v>6.9912514028347583E-2</v>
      </c>
      <c r="D21" s="5">
        <f t="shared" si="13"/>
        <v>16.625808133341902</v>
      </c>
      <c r="E21" s="5">
        <f t="shared" si="16"/>
        <v>4.996750277074577E-2</v>
      </c>
      <c r="F21" s="5"/>
      <c r="G21" s="5">
        <f t="shared" si="14"/>
        <v>5.9946006074757002E-2</v>
      </c>
      <c r="K21" s="2">
        <f t="shared" ref="K21:K84" si="20">K20+0.01</f>
        <v>0.02</v>
      </c>
      <c r="L21" s="2">
        <f t="shared" si="17"/>
        <v>0.1414213562373095</v>
      </c>
      <c r="M21" s="2">
        <v>2</v>
      </c>
      <c r="N21" s="2">
        <f t="shared" si="18"/>
        <v>58.918622597891158</v>
      </c>
      <c r="O21" s="2">
        <f t="shared" si="19"/>
        <v>3.1783724519578231</v>
      </c>
    </row>
    <row r="22" spans="1:15" ht="23">
      <c r="A22" s="5">
        <f t="shared" si="15"/>
        <v>0.04</v>
      </c>
      <c r="B22" s="5">
        <f t="shared" si="11"/>
        <v>1.5987201706575648E-3</v>
      </c>
      <c r="C22" s="5">
        <f t="shared" si="12"/>
        <v>8.9815548032985137E-2</v>
      </c>
      <c r="D22" s="5">
        <f t="shared" si="13"/>
        <v>12.449317968758447</v>
      </c>
      <c r="E22" s="5">
        <f t="shared" si="16"/>
        <v>6.9912514028347583E-2</v>
      </c>
      <c r="F22" s="5"/>
      <c r="G22" s="5">
        <f t="shared" si="14"/>
        <v>7.9872025598179616E-2</v>
      </c>
      <c r="K22" s="2">
        <f t="shared" si="20"/>
        <v>0.03</v>
      </c>
      <c r="L22" s="2">
        <f t="shared" si="17"/>
        <v>0.17320508075688773</v>
      </c>
      <c r="M22" s="2">
        <v>2</v>
      </c>
      <c r="N22" s="2">
        <f t="shared" si="18"/>
        <v>33.974596215561384</v>
      </c>
      <c r="O22" s="2">
        <f t="shared" si="19"/>
        <v>2.6794919243112276</v>
      </c>
    </row>
    <row r="23" spans="1:15" ht="23">
      <c r="A23" s="5">
        <f t="shared" si="15"/>
        <v>0.05</v>
      </c>
      <c r="B23" s="5">
        <f t="shared" si="11"/>
        <v>2.4968756509874163E-3</v>
      </c>
      <c r="C23" s="5">
        <f t="shared" si="12"/>
        <v>0.10966462927793194</v>
      </c>
      <c r="D23" s="5">
        <f t="shared" si="13"/>
        <v>9.9393918770173943</v>
      </c>
      <c r="E23" s="5">
        <f t="shared" si="16"/>
        <v>8.9815548032985137E-2</v>
      </c>
      <c r="F23" s="5"/>
      <c r="G23" s="5">
        <f t="shared" si="14"/>
        <v>9.9750078116319932E-2</v>
      </c>
      <c r="K23" s="2">
        <f t="shared" si="20"/>
        <v>0.04</v>
      </c>
      <c r="L23" s="2">
        <f t="shared" si="17"/>
        <v>0.2</v>
      </c>
      <c r="M23" s="2">
        <v>2</v>
      </c>
      <c r="N23" s="2">
        <f t="shared" si="18"/>
        <v>18.033988749894746</v>
      </c>
      <c r="O23" s="2">
        <f t="shared" si="19"/>
        <v>2.3606797749978949</v>
      </c>
    </row>
    <row r="24" spans="1:15" ht="23">
      <c r="A24" s="5">
        <f t="shared" si="15"/>
        <v>6.0000000000000005E-2</v>
      </c>
      <c r="B24" s="5">
        <f t="shared" si="11"/>
        <v>3.5935219437667359E-3</v>
      </c>
      <c r="C24" s="5">
        <f t="shared" si="12"/>
        <v>0.12944779574743348</v>
      </c>
      <c r="D24" s="5">
        <f t="shared" si="13"/>
        <v>8.2627336062748142</v>
      </c>
      <c r="E24" s="5">
        <f t="shared" si="16"/>
        <v>0.10966462927793194</v>
      </c>
      <c r="F24" s="5"/>
      <c r="G24" s="5">
        <f t="shared" si="14"/>
        <v>0.11956819436889851</v>
      </c>
      <c r="K24" s="2">
        <f t="shared" si="20"/>
        <v>0.05</v>
      </c>
      <c r="L24" s="2">
        <f t="shared" si="17"/>
        <v>0.22360679774997896</v>
      </c>
      <c r="M24" s="2">
        <v>2</v>
      </c>
      <c r="N24" s="2">
        <f t="shared" si="18"/>
        <v>6.7108826416943046</v>
      </c>
      <c r="O24" s="2">
        <f t="shared" si="19"/>
        <v>2.1342176528338861</v>
      </c>
    </row>
    <row r="25" spans="1:15" ht="23">
      <c r="A25" s="5">
        <f t="shared" si="15"/>
        <v>7.0000000000000007E-2</v>
      </c>
      <c r="B25" s="5">
        <f t="shared" si="11"/>
        <v>4.887999901241071E-3</v>
      </c>
      <c r="C25" s="5">
        <f t="shared" si="12"/>
        <v>0.14915310190956946</v>
      </c>
      <c r="D25" s="5">
        <f t="shared" si="13"/>
        <v>7.0622135312101113</v>
      </c>
      <c r="E25" s="5">
        <f t="shared" si="16"/>
        <v>0.12944779574743348</v>
      </c>
      <c r="F25" s="5"/>
      <c r="G25" s="5">
        <f t="shared" si="14"/>
        <v>0.13931442008350525</v>
      </c>
      <c r="K25" s="2">
        <f t="shared" si="20"/>
        <v>6.0000000000000005E-2</v>
      </c>
      <c r="L25" s="2">
        <f t="shared" si="17"/>
        <v>0.24494897427831783</v>
      </c>
      <c r="M25" s="2">
        <v>2</v>
      </c>
      <c r="N25" s="2">
        <f t="shared" si="18"/>
        <v>1.869215859293738</v>
      </c>
      <c r="O25" s="2">
        <f t="shared" si="19"/>
        <v>1.9626156828141252</v>
      </c>
    </row>
    <row r="26" spans="1:15" ht="23">
      <c r="A26" s="5">
        <f t="shared" si="15"/>
        <v>0.08</v>
      </c>
      <c r="B26" s="5">
        <f t="shared" si="11"/>
        <v>6.3795309203367647E-3</v>
      </c>
      <c r="C26" s="5">
        <f t="shared" si="12"/>
        <v>0.16876862170603887</v>
      </c>
      <c r="D26" s="5">
        <f t="shared" si="13"/>
        <v>6.1592644780834478</v>
      </c>
      <c r="E26" s="5">
        <f t="shared" si="16"/>
        <v>0.14915310190956946</v>
      </c>
      <c r="F26" s="5"/>
      <c r="G26" s="5">
        <f t="shared" si="14"/>
        <v>0.1589768189670164</v>
      </c>
      <c r="K26" s="2">
        <f t="shared" si="20"/>
        <v>7.0000000000000007E-2</v>
      </c>
      <c r="L26" s="2">
        <f t="shared" si="17"/>
        <v>0.26457513110645908</v>
      </c>
      <c r="M26" s="2">
        <v>2</v>
      </c>
      <c r="N26" s="2">
        <f t="shared" si="18"/>
        <v>8.6620931592003352</v>
      </c>
      <c r="O26" s="2">
        <f t="shared" si="19"/>
        <v>1.8267581368159933</v>
      </c>
    </row>
    <row r="27" spans="1:15" ht="23">
      <c r="A27" s="5">
        <f t="shared" si="15"/>
        <v>0.09</v>
      </c>
      <c r="B27" s="5">
        <f t="shared" si="11"/>
        <v>8.0672171373971525E-3</v>
      </c>
      <c r="C27" s="5">
        <f t="shared" si="12"/>
        <v>0.18828245153831052</v>
      </c>
      <c r="D27" s="5">
        <f t="shared" si="13"/>
        <v>5.4546803274769919</v>
      </c>
      <c r="E27" s="5">
        <f t="shared" si="16"/>
        <v>0.16876862170603887</v>
      </c>
      <c r="F27" s="5"/>
      <c r="G27" s="5">
        <f t="shared" si="14"/>
        <v>0.17854347569365506</v>
      </c>
      <c r="K27" s="2">
        <f t="shared" si="20"/>
        <v>0.08</v>
      </c>
      <c r="L27" s="2">
        <f t="shared" si="17"/>
        <v>0.28284271247461901</v>
      </c>
      <c r="M27" s="2">
        <v>2</v>
      </c>
      <c r="N27" s="2">
        <f t="shared" si="18"/>
        <v>14.213562373095046</v>
      </c>
      <c r="O27" s="2">
        <f t="shared" si="19"/>
        <v>1.7157287525380991</v>
      </c>
    </row>
    <row r="28" spans="1:15" ht="23">
      <c r="A28" s="5">
        <f t="shared" si="15"/>
        <v>9.9999999999999992E-2</v>
      </c>
      <c r="B28" s="5">
        <f t="shared" si="11"/>
        <v>9.9500416527802567E-3</v>
      </c>
      <c r="C28" s="5">
        <f t="shared" si="12"/>
        <v>0.20768271324957738</v>
      </c>
      <c r="D28" s="5">
        <f t="shared" si="13"/>
        <v>4.8889354501836513</v>
      </c>
      <c r="E28" s="5">
        <f t="shared" si="16"/>
        <v>0.18828245153831052</v>
      </c>
      <c r="F28" s="5"/>
      <c r="G28" s="5">
        <f t="shared" si="14"/>
        <v>0.19800249888913687</v>
      </c>
      <c r="K28" s="2">
        <f t="shared" si="20"/>
        <v>0.09</v>
      </c>
      <c r="L28" s="2">
        <f t="shared" si="17"/>
        <v>0.3</v>
      </c>
      <c r="M28" s="2">
        <v>2</v>
      </c>
      <c r="N28" s="2">
        <f t="shared" si="18"/>
        <v>18.861169915810194</v>
      </c>
      <c r="O28" s="2">
        <f t="shared" si="19"/>
        <v>1.6227766016837961</v>
      </c>
    </row>
    <row r="29" spans="1:15" ht="23">
      <c r="A29" s="5">
        <f t="shared" si="15"/>
        <v>0.10999999999999999</v>
      </c>
      <c r="B29" s="5">
        <f t="shared" si="11"/>
        <v>1.202686878527603E-2</v>
      </c>
      <c r="C29" s="5">
        <f t="shared" si="12"/>
        <v>0.22695755710196419</v>
      </c>
      <c r="D29" s="5">
        <f t="shared" si="13"/>
        <v>4.4241480822590269</v>
      </c>
      <c r="E29" s="5">
        <f t="shared" si="16"/>
        <v>0.20768271324957738</v>
      </c>
      <c r="F29" s="5"/>
      <c r="G29" s="5">
        <f t="shared" si="14"/>
        <v>0.21734202411034348</v>
      </c>
      <c r="K29" s="2">
        <f t="shared" si="20"/>
        <v>9.9999999999999992E-2</v>
      </c>
      <c r="L29" s="2">
        <f t="shared" si="17"/>
        <v>0.31622776601683794</v>
      </c>
      <c r="M29" s="2">
        <v>2</v>
      </c>
      <c r="N29" s="2">
        <f t="shared" si="18"/>
        <v>22.826434906489823</v>
      </c>
      <c r="O29" s="2">
        <f t="shared" si="19"/>
        <v>1.5434713018702035</v>
      </c>
    </row>
    <row r="30" spans="1:15" ht="23">
      <c r="A30" s="5">
        <f t="shared" si="15"/>
        <v>0.11999999999999998</v>
      </c>
      <c r="B30" s="5">
        <f t="shared" si="11"/>
        <v>1.429644435629567E-2</v>
      </c>
      <c r="C30" s="5">
        <f t="shared" si="12"/>
        <v>0.24609516474842458</v>
      </c>
      <c r="D30" s="5">
        <f t="shared" si="13"/>
        <v>4.0350620078786772</v>
      </c>
      <c r="E30" s="5">
        <f t="shared" si="16"/>
        <v>0.22695755710196419</v>
      </c>
      <c r="F30" s="5"/>
      <c r="G30" s="5">
        <f t="shared" si="14"/>
        <v>0.23655021681996743</v>
      </c>
      <c r="K30" s="2">
        <f t="shared" si="20"/>
        <v>0.10999999999999999</v>
      </c>
      <c r="L30" s="2">
        <f t="shared" si="17"/>
        <v>0.33166247903553997</v>
      </c>
      <c r="M30" s="2">
        <v>2</v>
      </c>
      <c r="N30" s="2">
        <f t="shared" si="18"/>
        <v>26.26158760882279</v>
      </c>
      <c r="O30" s="2">
        <f t="shared" si="19"/>
        <v>1.4747682478235442</v>
      </c>
    </row>
    <row r="31" spans="1:15" ht="23">
      <c r="A31" s="5">
        <f t="shared" si="15"/>
        <v>0.12999999999999998</v>
      </c>
      <c r="B31" s="5">
        <f t="shared" si="11"/>
        <v>1.6757396003779915E-2</v>
      </c>
      <c r="C31" s="5">
        <f t="shared" si="12"/>
        <v>0.265083752198777</v>
      </c>
      <c r="D31" s="5">
        <f t="shared" si="13"/>
        <v>3.7041905379222531</v>
      </c>
      <c r="E31" s="5">
        <f t="shared" si="16"/>
        <v>0.24609516474842458</v>
      </c>
      <c r="F31" s="5"/>
      <c r="G31" s="5">
        <f t="shared" si="14"/>
        <v>0.25561527535557199</v>
      </c>
      <c r="K31" s="2">
        <f t="shared" si="20"/>
        <v>0.11999999999999998</v>
      </c>
      <c r="L31" s="2">
        <f t="shared" si="17"/>
        <v>0.34641016151377541</v>
      </c>
      <c r="M31" s="2">
        <v>2</v>
      </c>
      <c r="N31" s="2">
        <f t="shared" si="18"/>
        <v>29.275169836882487</v>
      </c>
      <c r="O31" s="2">
        <f t="shared" si="19"/>
        <v>1.4144966032623503</v>
      </c>
    </row>
    <row r="32" spans="1:15" ht="23">
      <c r="A32" s="5">
        <f t="shared" si="15"/>
        <v>0.13999999999999999</v>
      </c>
      <c r="B32" s="5">
        <f t="shared" si="11"/>
        <v>1.9408233525767687E-2</v>
      </c>
      <c r="C32" s="5">
        <f t="shared" si="12"/>
        <v>0.28391157277932605</v>
      </c>
      <c r="D32" s="5">
        <f t="shared" si="13"/>
        <v>3.4190416362258613</v>
      </c>
      <c r="E32" s="5">
        <f t="shared" si="16"/>
        <v>0.265083752198777</v>
      </c>
      <c r="F32" s="5"/>
      <c r="G32" s="5">
        <f t="shared" si="14"/>
        <v>0.27452543389251138</v>
      </c>
      <c r="K32" s="2">
        <f t="shared" si="20"/>
        <v>0.12999999999999998</v>
      </c>
      <c r="L32" s="2">
        <f t="shared" si="17"/>
        <v>0.3605551275463989</v>
      </c>
      <c r="M32" s="2">
        <v>2</v>
      </c>
      <c r="N32" s="2">
        <f t="shared" si="18"/>
        <v>31.946944345024008</v>
      </c>
      <c r="O32" s="2">
        <f t="shared" si="19"/>
        <v>1.3610611130995198</v>
      </c>
    </row>
    <row r="33" spans="1:15" ht="23">
      <c r="A33" s="5">
        <f t="shared" si="15"/>
        <v>0.15</v>
      </c>
      <c r="B33" s="5">
        <f t="shared" si="11"/>
        <v>2.224734925356095E-2</v>
      </c>
      <c r="C33" s="5">
        <f t="shared" si="12"/>
        <v>0.30256692008550989</v>
      </c>
      <c r="D33" s="5">
        <f t="shared" si="13"/>
        <v>3.1704529910508725</v>
      </c>
      <c r="E33" s="5">
        <f t="shared" si="16"/>
        <v>0.28391157277932605</v>
      </c>
      <c r="F33" s="5"/>
      <c r="G33" s="5">
        <f t="shared" si="14"/>
        <v>0.29326896540015668</v>
      </c>
      <c r="K33" s="2">
        <f t="shared" si="20"/>
        <v>0.13999999999999999</v>
      </c>
      <c r="L33" s="2">
        <f t="shared" si="17"/>
        <v>0.37416573867739411</v>
      </c>
      <c r="M33" s="2">
        <v>2</v>
      </c>
      <c r="N33" s="2">
        <f t="shared" si="18"/>
        <v>34.337020283262099</v>
      </c>
      <c r="O33" s="2">
        <f t="shared" si="19"/>
        <v>1.313259594334758</v>
      </c>
    </row>
    <row r="34" spans="1:15" ht="23">
      <c r="A34" s="5">
        <f t="shared" si="15"/>
        <v>0.16</v>
      </c>
      <c r="B34" s="5">
        <f t="shared" si="11"/>
        <v>2.5273018454416051E-2</v>
      </c>
      <c r="C34" s="5">
        <f t="shared" si="12"/>
        <v>0.32103813092702577</v>
      </c>
      <c r="D34" s="5">
        <f t="shared" si="13"/>
        <v>2.9515514305223962</v>
      </c>
      <c r="E34" s="5">
        <f t="shared" si="16"/>
        <v>0.30256692008550989</v>
      </c>
      <c r="F34" s="5"/>
      <c r="G34" s="5">
        <f t="shared" si="14"/>
        <v>0.31183418459087592</v>
      </c>
      <c r="K34" s="2">
        <f t="shared" si="20"/>
        <v>0.15</v>
      </c>
      <c r="L34" s="2">
        <f t="shared" si="17"/>
        <v>0.3872983346207417</v>
      </c>
      <c r="M34" s="2">
        <v>2</v>
      </c>
      <c r="N34" s="2">
        <f t="shared" si="18"/>
        <v>36.491673103708457</v>
      </c>
      <c r="O34" s="2">
        <f t="shared" si="19"/>
        <v>1.2701665379258309</v>
      </c>
    </row>
    <row r="35" spans="1:15" ht="23">
      <c r="A35" s="5">
        <f t="shared" si="15"/>
        <v>0.17</v>
      </c>
      <c r="B35" s="5">
        <f t="shared" si="11"/>
        <v>2.8483399763686312E-2</v>
      </c>
      <c r="C35" s="5">
        <f t="shared" si="12"/>
        <v>0.33931358826488278</v>
      </c>
      <c r="D35" s="5">
        <f t="shared" si="13"/>
        <v>2.7570795990011514</v>
      </c>
      <c r="E35" s="5">
        <f t="shared" si="16"/>
        <v>0.32103813092702577</v>
      </c>
      <c r="F35" s="5"/>
      <c r="G35" s="5">
        <f t="shared" si="14"/>
        <v>0.3302094508612145</v>
      </c>
      <c r="K35" s="2">
        <f t="shared" si="20"/>
        <v>0.16</v>
      </c>
      <c r="L35" s="2">
        <f t="shared" si="17"/>
        <v>0.4</v>
      </c>
      <c r="M35" s="2">
        <v>2</v>
      </c>
      <c r="N35" s="2">
        <f t="shared" si="18"/>
        <v>38.447187191169817</v>
      </c>
      <c r="O35" s="2">
        <f t="shared" si="19"/>
        <v>1.2310562561766036</v>
      </c>
    </row>
    <row r="36" spans="1:15" ht="23">
      <c r="A36" s="5">
        <f t="shared" si="15"/>
        <v>0.18000000000000002</v>
      </c>
      <c r="B36" s="5">
        <f t="shared" si="11"/>
        <v>3.1876535646335143E-2</v>
      </c>
      <c r="C36" s="5">
        <f t="shared" si="12"/>
        <v>0.35738172413983288</v>
      </c>
      <c r="D36" s="5">
        <f t="shared" si="13"/>
        <v>2.5829470704545705</v>
      </c>
      <c r="E36" s="5">
        <f t="shared" si="16"/>
        <v>0.33931358826488278</v>
      </c>
      <c r="F36" s="5"/>
      <c r="G36" s="5">
        <f t="shared" si="14"/>
        <v>0.34838317122472706</v>
      </c>
      <c r="K36" s="2">
        <f t="shared" si="20"/>
        <v>0.17</v>
      </c>
      <c r="L36" s="2">
        <f t="shared" si="17"/>
        <v>0.41231056256176607</v>
      </c>
      <c r="M36" s="2">
        <v>2</v>
      </c>
      <c r="N36" s="2">
        <f t="shared" si="18"/>
        <v>40.232469249187574</v>
      </c>
      <c r="O36" s="2">
        <f t="shared" si="19"/>
        <v>1.1953506150162485</v>
      </c>
    </row>
    <row r="37" spans="1:15" ht="23">
      <c r="A37" s="5">
        <f t="shared" si="15"/>
        <v>0.19000000000000003</v>
      </c>
      <c r="B37" s="5">
        <f t="shared" si="11"/>
        <v>3.5450352887733474E-2</v>
      </c>
      <c r="C37" s="5">
        <f t="shared" si="12"/>
        <v>0.37523102259162006</v>
      </c>
      <c r="D37" s="5">
        <f t="shared" si="13"/>
        <v>2.4259232112589992</v>
      </c>
      <c r="E37" s="5">
        <f t="shared" si="16"/>
        <v>0.35738172413983288</v>
      </c>
      <c r="F37" s="5"/>
      <c r="G37" s="5">
        <f t="shared" si="14"/>
        <v>0.36634380323591109</v>
      </c>
      <c r="K37" s="2">
        <f t="shared" si="20"/>
        <v>0.18000000000000002</v>
      </c>
      <c r="L37" s="2">
        <f t="shared" si="17"/>
        <v>0.42426406871192857</v>
      </c>
      <c r="M37" s="2">
        <v>2</v>
      </c>
      <c r="N37" s="2">
        <f t="shared" si="18"/>
        <v>41.870871789305951</v>
      </c>
      <c r="O37" s="2">
        <f t="shared" si="19"/>
        <v>1.162582564213881</v>
      </c>
    </row>
    <row r="38" spans="1:15" ht="23">
      <c r="A38" s="5">
        <f t="shared" si="15"/>
        <v>0.20000000000000004</v>
      </c>
      <c r="B38" s="5">
        <f t="shared" si="11"/>
        <v>3.9202663113649679E-2</v>
      </c>
      <c r="C38" s="5">
        <f t="shared" si="12"/>
        <v>0.39285002256852741</v>
      </c>
      <c r="D38" s="5">
        <f t="shared" si="13"/>
        <v>2.2834221798762893</v>
      </c>
      <c r="E38" s="5">
        <f t="shared" si="16"/>
        <v>0.37523102259162006</v>
      </c>
      <c r="F38" s="5"/>
      <c r="G38" s="5">
        <f t="shared" si="14"/>
        <v>0.38407985790469429</v>
      </c>
      <c r="K38" s="2">
        <f t="shared" si="20"/>
        <v>0.19000000000000003</v>
      </c>
      <c r="L38" s="2">
        <f t="shared" si="17"/>
        <v>0.43588989435406739</v>
      </c>
      <c r="M38" s="2">
        <v>2</v>
      </c>
      <c r="N38" s="2">
        <f t="shared" si="18"/>
        <v>43.381494270547073</v>
      </c>
      <c r="O38" s="2">
        <f t="shared" si="19"/>
        <v>1.1323701145890586</v>
      </c>
    </row>
    <row r="39" spans="1:15" ht="23">
      <c r="A39" s="5">
        <f t="shared" si="15"/>
        <v>0.21000000000000005</v>
      </c>
      <c r="B39" s="5">
        <f t="shared" si="11"/>
        <v>4.3131163339334956E-2</v>
      </c>
      <c r="C39" s="5">
        <f t="shared" si="12"/>
        <v>0.4102273208266376</v>
      </c>
      <c r="D39" s="5">
        <f t="shared" si="13"/>
        <v>2.15334935082686</v>
      </c>
      <c r="E39" s="5">
        <f t="shared" si="16"/>
        <v>0.39285002256852741</v>
      </c>
      <c r="F39" s="5"/>
      <c r="G39" s="5">
        <f t="shared" si="14"/>
        <v>0.40157990260092935</v>
      </c>
      <c r="K39" s="2">
        <f t="shared" si="20"/>
        <v>0.20000000000000004</v>
      </c>
      <c r="L39" s="2">
        <f t="shared" si="17"/>
        <v>0.44721359549995798</v>
      </c>
      <c r="M39" s="2">
        <v>2</v>
      </c>
      <c r="N39" s="2">
        <f t="shared" si="18"/>
        <v>44.780130021869709</v>
      </c>
      <c r="O39" s="2">
        <f t="shared" si="19"/>
        <v>1.1043973995626057</v>
      </c>
    </row>
    <row r="40" spans="1:15" ht="23">
      <c r="A40" s="5">
        <f t="shared" si="15"/>
        <v>0.22000000000000006</v>
      </c>
      <c r="B40" s="5">
        <f t="shared" si="11"/>
        <v>4.7233436547601336E-2</v>
      </c>
      <c r="C40" s="5">
        <f t="shared" si="12"/>
        <v>0.42735157481830172</v>
      </c>
      <c r="D40" s="5">
        <f t="shared" si="13"/>
        <v>2.0339896185817534</v>
      </c>
      <c r="E40" s="5">
        <f t="shared" si="16"/>
        <v>0.4102273208266376</v>
      </c>
      <c r="F40" s="5"/>
      <c r="G40" s="5">
        <f t="shared" si="14"/>
        <v>0.41883256394835244</v>
      </c>
      <c r="K40" s="2">
        <f t="shared" si="20"/>
        <v>0.21000000000000005</v>
      </c>
      <c r="L40" s="2">
        <f t="shared" si="17"/>
        <v>0.45825756949558405</v>
      </c>
      <c r="M40" s="2">
        <v>2</v>
      </c>
      <c r="N40" s="2">
        <f t="shared" si="18"/>
        <v>46.079967566205148</v>
      </c>
      <c r="O40" s="2">
        <f t="shared" si="19"/>
        <v>1.078400648675897</v>
      </c>
    </row>
    <row r="41" spans="1:15" ht="23">
      <c r="A41" s="5">
        <f t="shared" si="15"/>
        <v>0.23000000000000007</v>
      </c>
      <c r="B41" s="5">
        <f t="shared" si="11"/>
        <v>5.1506952295784357E-2</v>
      </c>
      <c r="C41" s="5">
        <f t="shared" si="12"/>
        <v>0.44421150556925748</v>
      </c>
      <c r="D41" s="5">
        <f t="shared" si="13"/>
        <v>1.9239248349992328</v>
      </c>
      <c r="E41" s="5">
        <f t="shared" si="16"/>
        <v>0.42735157481830172</v>
      </c>
      <c r="F41" s="5"/>
      <c r="G41" s="5">
        <f t="shared" si="14"/>
        <v>0.43582653070746108</v>
      </c>
      <c r="K41" s="2">
        <f t="shared" si="20"/>
        <v>0.22000000000000006</v>
      </c>
      <c r="L41" s="2">
        <f t="shared" si="17"/>
        <v>0.46904157598234303</v>
      </c>
      <c r="M41" s="2">
        <v>2</v>
      </c>
      <c r="N41" s="2">
        <f t="shared" si="18"/>
        <v>47.292118255355078</v>
      </c>
      <c r="O41" s="2">
        <f t="shared" si="19"/>
        <v>1.0541576348928985</v>
      </c>
    </row>
    <row r="42" spans="1:15" ht="23">
      <c r="A42" s="5">
        <f t="shared" si="15"/>
        <v>0.24000000000000007</v>
      </c>
      <c r="B42" s="5">
        <f t="shared" si="11"/>
        <v>5.5949067351476936E-2</v>
      </c>
      <c r="C42" s="5">
        <f t="shared" si="12"/>
        <v>0.46079590054383962</v>
      </c>
      <c r="D42" s="5">
        <f t="shared" si="13"/>
        <v>1.8219718826915501</v>
      </c>
      <c r="E42" s="5">
        <f t="shared" si="16"/>
        <v>0.44421150556925748</v>
      </c>
      <c r="F42" s="5"/>
      <c r="G42" s="5">
        <f t="shared" si="14"/>
        <v>0.45255055664677135</v>
      </c>
      <c r="K42" s="2">
        <f t="shared" si="20"/>
        <v>0.23000000000000007</v>
      </c>
      <c r="L42" s="2">
        <f t="shared" si="17"/>
        <v>0.47958315233127202</v>
      </c>
      <c r="M42" s="2">
        <v>2</v>
      </c>
      <c r="N42" s="2">
        <f t="shared" si="18"/>
        <v>48.426018873181611</v>
      </c>
      <c r="O42" s="2">
        <f t="shared" si="19"/>
        <v>1.0314796225363678</v>
      </c>
    </row>
    <row r="43" spans="1:15" ht="23">
      <c r="A43" s="5">
        <f t="shared" si="15"/>
        <v>0.25000000000000006</v>
      </c>
      <c r="B43" s="5">
        <f t="shared" si="11"/>
        <v>6.0557026356915324E-2</v>
      </c>
      <c r="C43" s="5">
        <f t="shared" si="12"/>
        <v>0.47709361649778015</v>
      </c>
      <c r="D43" s="5">
        <f t="shared" si="13"/>
        <v>1.7271356059228817</v>
      </c>
      <c r="E43" s="5">
        <f t="shared" si="16"/>
        <v>0.46079590054383962</v>
      </c>
      <c r="F43" s="5"/>
      <c r="G43" s="5">
        <f t="shared" si="14"/>
        <v>0.46899346340191478</v>
      </c>
      <c r="K43" s="2">
        <f t="shared" si="20"/>
        <v>0.24000000000000007</v>
      </c>
      <c r="L43" s="2">
        <f t="shared" si="17"/>
        <v>0.48989794855663571</v>
      </c>
      <c r="M43" s="2">
        <v>2</v>
      </c>
      <c r="N43" s="2">
        <f t="shared" si="18"/>
        <v>49.48974278317845</v>
      </c>
      <c r="O43" s="2">
        <f t="shared" si="19"/>
        <v>1.010205144336431</v>
      </c>
    </row>
    <row r="44" spans="1:15" ht="23">
      <c r="A44" s="5">
        <f t="shared" si="15"/>
        <v>0.26000000000000006</v>
      </c>
      <c r="B44" s="5">
        <f t="shared" si="11"/>
        <v>6.5327962521893129E-2</v>
      </c>
      <c r="C44" s="5">
        <f t="shared" si="12"/>
        <v>0.49309358231803224</v>
      </c>
      <c r="D44" s="5">
        <f t="shared" si="13"/>
        <v>1.6385725985602826</v>
      </c>
      <c r="E44" s="5">
        <f t="shared" si="16"/>
        <v>0.47709361649778015</v>
      </c>
      <c r="F44" s="5"/>
      <c r="G44" s="5">
        <f t="shared" si="14"/>
        <v>0.48514414332203731</v>
      </c>
      <c r="K44" s="2">
        <f t="shared" si="20"/>
        <v>0.25000000000000006</v>
      </c>
      <c r="L44" s="2">
        <f t="shared" si="17"/>
        <v>0.5</v>
      </c>
      <c r="M44" s="2">
        <v>2</v>
      </c>
      <c r="N44" s="2">
        <f t="shared" si="18"/>
        <v>50.490243203607463</v>
      </c>
      <c r="O44" s="2">
        <f t="shared" si="19"/>
        <v>0.99019513592785069</v>
      </c>
    </row>
    <row r="45" spans="1:15" ht="23">
      <c r="A45" s="5">
        <f t="shared" si="15"/>
        <v>0.27000000000000007</v>
      </c>
      <c r="B45" s="5">
        <f t="shared" si="11"/>
        <v>7.0258898345073456E-2</v>
      </c>
      <c r="C45" s="5">
        <f t="shared" si="12"/>
        <v>0.50878480184910158</v>
      </c>
      <c r="D45" s="5">
        <f t="shared" si="13"/>
        <v>1.5555630338986841</v>
      </c>
      <c r="E45" s="5">
        <f t="shared" si="16"/>
        <v>0.49309358231803224</v>
      </c>
      <c r="F45" s="5"/>
      <c r="G45" s="5">
        <f t="shared" si="14"/>
        <v>0.50099156230296515</v>
      </c>
      <c r="K45" s="2">
        <f t="shared" si="20"/>
        <v>0.26000000000000006</v>
      </c>
      <c r="L45" s="2">
        <f t="shared" si="17"/>
        <v>0.50990195135927852</v>
      </c>
      <c r="M45" s="2">
        <v>2</v>
      </c>
      <c r="N45" s="2">
        <f t="shared" si="18"/>
        <v>51.43354544307639</v>
      </c>
      <c r="O45" s="2">
        <f t="shared" si="19"/>
        <v>0.97132909113847221</v>
      </c>
    </row>
    <row r="46" spans="1:15" ht="23">
      <c r="A46" s="5">
        <f t="shared" si="15"/>
        <v>0.28000000000000008</v>
      </c>
      <c r="B46" s="5">
        <f t="shared" si="11"/>
        <v>7.5346746363564476E-2</v>
      </c>
      <c r="C46" s="5">
        <f t="shared" si="12"/>
        <v>0.52415635670534044</v>
      </c>
      <c r="D46" s="5">
        <f t="shared" si="13"/>
        <v>1.4774885254722072</v>
      </c>
      <c r="E46" s="5">
        <f t="shared" si="16"/>
        <v>0.50878480184910158</v>
      </c>
      <c r="F46" s="5"/>
      <c r="G46" s="5">
        <f t="shared" si="14"/>
        <v>0.51652476260660529</v>
      </c>
      <c r="K46" s="2">
        <f t="shared" si="20"/>
        <v>0.27000000000000007</v>
      </c>
      <c r="L46" s="2">
        <f t="shared" si="17"/>
        <v>0.51961524227066325</v>
      </c>
      <c r="M46" s="2">
        <v>2</v>
      </c>
      <c r="N46" s="2">
        <f t="shared" si="18"/>
        <v>52.324900288725452</v>
      </c>
      <c r="O46" s="2">
        <f t="shared" si="19"/>
        <v>0.95350199422549098</v>
      </c>
    </row>
    <row r="47" spans="1:15" ht="23">
      <c r="A47" s="5">
        <f t="shared" si="15"/>
        <v>0.29000000000000009</v>
      </c>
      <c r="B47" s="5">
        <f t="shared" si="11"/>
        <v>8.0588309930617885E-2</v>
      </c>
      <c r="C47" s="5">
        <f t="shared" si="12"/>
        <v>0.53919740906867109</v>
      </c>
      <c r="D47" s="5">
        <f t="shared" si="13"/>
        <v>1.4038145626513385</v>
      </c>
      <c r="E47" s="5">
        <f t="shared" si="16"/>
        <v>0.52415635670534044</v>
      </c>
      <c r="F47" s="5"/>
      <c r="G47" s="5">
        <f t="shared" si="14"/>
        <v>0.53173286566604783</v>
      </c>
      <c r="K47" s="2">
        <f t="shared" si="20"/>
        <v>0.28000000000000008</v>
      </c>
      <c r="L47" s="2">
        <f t="shared" si="17"/>
        <v>0.52915026221291817</v>
      </c>
      <c r="M47" s="2">
        <v>2</v>
      </c>
      <c r="N47" s="2">
        <f t="shared" si="18"/>
        <v>53.168907497338445</v>
      </c>
      <c r="O47" s="2">
        <f t="shared" si="19"/>
        <v>0.93662185005323118</v>
      </c>
    </row>
    <row r="48" spans="1:15" ht="23">
      <c r="A48" s="5">
        <f t="shared" si="15"/>
        <v>0.3000000000000001</v>
      </c>
      <c r="B48" s="5">
        <f t="shared" si="11"/>
        <v>8.5980284021304601E-2</v>
      </c>
      <c r="C48" s="5">
        <f t="shared" si="12"/>
        <v>0.55389720447125235</v>
      </c>
      <c r="D48" s="5">
        <f t="shared" si="13"/>
        <v>1.3340764531074822</v>
      </c>
      <c r="E48" s="5">
        <f t="shared" si="16"/>
        <v>0.53919740906867109</v>
      </c>
      <c r="F48" s="5"/>
      <c r="G48" s="5">
        <f t="shared" si="14"/>
        <v>0.5466050748758432</v>
      </c>
      <c r="K48" s="2">
        <f t="shared" si="20"/>
        <v>0.29000000000000009</v>
      </c>
      <c r="L48" s="2">
        <f t="shared" si="17"/>
        <v>0.53851648071345048</v>
      </c>
      <c r="M48" s="2">
        <v>2</v>
      </c>
      <c r="N48" s="2">
        <f t="shared" si="18"/>
        <v>53.969616041421546</v>
      </c>
      <c r="O48" s="2">
        <f t="shared" si="19"/>
        <v>0.92060767917156927</v>
      </c>
    </row>
    <row r="49" spans="1:15" ht="23">
      <c r="A49" s="5">
        <f t="shared" si="15"/>
        <v>0.31000000000000011</v>
      </c>
      <c r="B49" s="5">
        <f t="shared" si="11"/>
        <v>9.1519256066017129E-2</v>
      </c>
      <c r="C49" s="5">
        <f t="shared" si="12"/>
        <v>0.56824507456248818</v>
      </c>
      <c r="D49" s="5">
        <f t="shared" si="13"/>
        <v>1.2678679797486476</v>
      </c>
      <c r="E49" s="5">
        <f t="shared" si="16"/>
        <v>0.55389720447125235</v>
      </c>
      <c r="F49" s="5"/>
      <c r="G49" s="5">
        <f t="shared" si="14"/>
        <v>0.56113067836692754</v>
      </c>
      <c r="K49" s="2">
        <f t="shared" si="20"/>
        <v>0.3000000000000001</v>
      </c>
      <c r="L49" s="2">
        <f t="shared" si="17"/>
        <v>0.54772255750516619</v>
      </c>
      <c r="M49" s="2">
        <v>2</v>
      </c>
      <c r="N49" s="2">
        <f t="shared" si="18"/>
        <v>54.730606110819323</v>
      </c>
      <c r="O49" s="2">
        <f t="shared" si="19"/>
        <v>0.90538787778361363</v>
      </c>
    </row>
    <row r="50" spans="1:15" ht="23">
      <c r="A50" s="5">
        <f t="shared" si="15"/>
        <v>0.32000000000000012</v>
      </c>
      <c r="B50" s="5">
        <f t="shared" si="11"/>
        <v>9.7201706811642016E-2</v>
      </c>
      <c r="C50" s="5">
        <f t="shared" si="12"/>
        <v>0.5822304398599385</v>
      </c>
      <c r="D50" s="5">
        <f t="shared" si="13"/>
        <v>1.2048321778027009</v>
      </c>
      <c r="E50" s="5">
        <f t="shared" si="16"/>
        <v>0.56824507456248818</v>
      </c>
      <c r="F50" s="5"/>
      <c r="G50" s="5">
        <f t="shared" si="14"/>
        <v>0.57529905176567186</v>
      </c>
      <c r="K50" s="2">
        <f t="shared" si="20"/>
        <v>0.31000000000000011</v>
      </c>
      <c r="L50" s="2">
        <f t="shared" si="17"/>
        <v>0.55677643628300233</v>
      </c>
      <c r="M50" s="2">
        <v>2</v>
      </c>
      <c r="N50" s="2">
        <f t="shared" si="18"/>
        <v>55.455056668821065</v>
      </c>
      <c r="O50" s="2">
        <f t="shared" si="19"/>
        <v>0.89089886662357876</v>
      </c>
    </row>
    <row r="51" spans="1:15" ht="23">
      <c r="A51" s="5">
        <f t="shared" si="15"/>
        <v>0.33000000000000013</v>
      </c>
      <c r="B51" s="5">
        <f t="shared" si="11"/>
        <v>0.10302401121024141</v>
      </c>
      <c r="C51" s="5">
        <f t="shared" si="12"/>
        <v>0.59584281248354998</v>
      </c>
      <c r="D51" s="5">
        <f t="shared" si="13"/>
        <v>1.1446537817209859</v>
      </c>
      <c r="E51" s="5">
        <f t="shared" si="16"/>
        <v>0.5822304398599385</v>
      </c>
      <c r="F51" s="5"/>
      <c r="G51" s="5">
        <f t="shared" si="14"/>
        <v>0.58909966093653443</v>
      </c>
      <c r="K51" s="2">
        <f t="shared" si="20"/>
        <v>0.32000000000000012</v>
      </c>
      <c r="L51" s="2">
        <f t="shared" si="17"/>
        <v>0.56568542494923812</v>
      </c>
      <c r="M51" s="2">
        <v>2</v>
      </c>
      <c r="N51" s="2">
        <f t="shared" si="18"/>
        <v>56.145801477175915</v>
      </c>
      <c r="O51" s="2">
        <f t="shared" si="19"/>
        <v>0.87708397045648179</v>
      </c>
    </row>
    <row r="52" spans="1:15" ht="23">
      <c r="A52" s="5">
        <f t="shared" si="15"/>
        <v>0.34000000000000014</v>
      </c>
      <c r="B52" s="5">
        <f t="shared" si="11"/>
        <v>0.10898243933507691</v>
      </c>
      <c r="C52" s="5">
        <f t="shared" si="12"/>
        <v>0.60907179887270901</v>
      </c>
      <c r="D52" s="5">
        <f t="shared" si="13"/>
        <v>1.0870529974844911</v>
      </c>
      <c r="E52" s="5">
        <f t="shared" si="16"/>
        <v>0.59584281248354998</v>
      </c>
      <c r="F52" s="5"/>
      <c r="G52" s="5">
        <f t="shared" si="14"/>
        <v>0.60252206470779746</v>
      </c>
      <c r="K52" s="2">
        <f t="shared" si="20"/>
        <v>0.33000000000000013</v>
      </c>
      <c r="L52" s="2">
        <f t="shared" si="17"/>
        <v>0.57445626465380295</v>
      </c>
      <c r="M52" s="2">
        <v>2</v>
      </c>
      <c r="N52" s="2">
        <f t="shared" si="18"/>
        <v>56.805375846363759</v>
      </c>
      <c r="O52" s="2">
        <f t="shared" si="19"/>
        <v>0.86389248307272493</v>
      </c>
    </row>
    <row r="53" spans="1:15" ht="23">
      <c r="A53" s="5">
        <f t="shared" si="15"/>
        <v>0.35000000000000014</v>
      </c>
      <c r="B53" s="5">
        <f t="shared" si="11"/>
        <v>0.11507315732380401</v>
      </c>
      <c r="C53" s="5">
        <f t="shared" si="12"/>
        <v>0.62190710248564374</v>
      </c>
      <c r="D53" s="5">
        <f t="shared" si="13"/>
        <v>1.0317803345537513</v>
      </c>
      <c r="E53" s="5">
        <f t="shared" si="16"/>
        <v>0.60907179887270901</v>
      </c>
      <c r="F53" s="5"/>
      <c r="G53" s="5">
        <f t="shared" si="14"/>
        <v>0.61555591757987271</v>
      </c>
      <c r="K53" s="2">
        <f t="shared" si="20"/>
        <v>0.34000000000000014</v>
      </c>
      <c r="L53" s="2">
        <f t="shared" si="17"/>
        <v>0.58309518948453021</v>
      </c>
      <c r="M53" s="2">
        <v>2</v>
      </c>
      <c r="N53" s="2">
        <f t="shared" si="18"/>
        <v>57.436055872842573</v>
      </c>
      <c r="O53" s="2">
        <f t="shared" si="19"/>
        <v>0.85127888254314865</v>
      </c>
    </row>
    <row r="54" spans="1:15" ht="23">
      <c r="A54" s="5">
        <f t="shared" si="15"/>
        <v>0.36000000000000015</v>
      </c>
      <c r="B54" s="5">
        <f t="shared" si="11"/>
        <v>0.12129222834866045</v>
      </c>
      <c r="C54" s="5">
        <f t="shared" si="12"/>
        <v>0.63433852648057754</v>
      </c>
      <c r="D54" s="5">
        <f t="shared" si="13"/>
        <v>0.97861229066630617</v>
      </c>
      <c r="E54" s="5">
        <f t="shared" si="16"/>
        <v>0.62190710248564374</v>
      </c>
      <c r="F54" s="5"/>
      <c r="G54" s="5">
        <f t="shared" si="14"/>
        <v>0.62819097241566169</v>
      </c>
      <c r="K54" s="2">
        <f t="shared" si="20"/>
        <v>0.35000000000000014</v>
      </c>
      <c r="L54" s="2">
        <f t="shared" si="17"/>
        <v>0.5916079783099617</v>
      </c>
      <c r="M54" s="2">
        <v>2</v>
      </c>
      <c r="N54" s="2">
        <f t="shared" si="18"/>
        <v>58.039891549808111</v>
      </c>
      <c r="O54" s="2">
        <f t="shared" si="19"/>
        <v>0.83920216900383793</v>
      </c>
    </row>
    <row r="55" spans="1:15" ht="23">
      <c r="A55" s="5">
        <f t="shared" si="15"/>
        <v>0.37000000000000016</v>
      </c>
      <c r="B55" s="5">
        <f t="shared" si="11"/>
        <v>0.12763561361346623</v>
      </c>
      <c r="C55" s="5">
        <f t="shared" si="12"/>
        <v>0.64635597637819564</v>
      </c>
      <c r="D55" s="5">
        <f t="shared" si="13"/>
        <v>0.92734772733886495</v>
      </c>
      <c r="E55" s="5">
        <f t="shared" si="16"/>
        <v>0.63433852648057754</v>
      </c>
      <c r="F55" s="5"/>
      <c r="G55" s="5">
        <f t="shared" si="14"/>
        <v>0.64041708311246237</v>
      </c>
      <c r="K55" s="2">
        <f t="shared" si="20"/>
        <v>0.36000000000000015</v>
      </c>
      <c r="L55" s="2">
        <f t="shared" si="17"/>
        <v>0.60000000000000009</v>
      </c>
      <c r="M55" s="2">
        <v>2</v>
      </c>
      <c r="N55" s="2">
        <f t="shared" si="18"/>
        <v>58.618734850889822</v>
      </c>
      <c r="O55" s="2">
        <f t="shared" si="19"/>
        <v>0.82762530298220371</v>
      </c>
    </row>
    <row r="56" spans="1:15" ht="23">
      <c r="A56" s="5">
        <f t="shared" si="15"/>
        <v>0.38000000000000017</v>
      </c>
      <c r="B56" s="5">
        <f t="shared" si="11"/>
        <v>0.13409917337724819</v>
      </c>
      <c r="C56" s="5">
        <f t="shared" si="12"/>
        <v>0.65794946270492316</v>
      </c>
      <c r="D56" s="5">
        <f t="shared" si="13"/>
        <v>0.87780480796724891</v>
      </c>
      <c r="E56" s="5">
        <f t="shared" si="16"/>
        <v>0.64635597637819564</v>
      </c>
      <c r="F56" s="5"/>
      <c r="G56" s="5">
        <f t="shared" si="14"/>
        <v>0.65222420725491326</v>
      </c>
      <c r="K56" s="2">
        <f t="shared" si="20"/>
        <v>0.37000000000000016</v>
      </c>
      <c r="L56" s="2">
        <f t="shared" si="17"/>
        <v>0.60827625302982213</v>
      </c>
      <c r="M56" s="2">
        <v>2</v>
      </c>
      <c r="N56" s="2">
        <f t="shared" si="18"/>
        <v>59.174263664621932</v>
      </c>
      <c r="O56" s="2">
        <f t="shared" si="19"/>
        <v>0.81651472670756153</v>
      </c>
    </row>
    <row r="57" spans="1:15" ht="23">
      <c r="A57" s="5">
        <f t="shared" si="15"/>
        <v>0.39000000000000018</v>
      </c>
      <c r="B57" s="5">
        <f t="shared" si="11"/>
        <v>0.14067866800429743</v>
      </c>
      <c r="C57" s="5">
        <f t="shared" si="12"/>
        <v>0.66910910361642983</v>
      </c>
      <c r="D57" s="5">
        <f t="shared" si="13"/>
        <v>0.82981839658233125</v>
      </c>
      <c r="E57" s="5">
        <f t="shared" si="16"/>
        <v>0.65794946270492316</v>
      </c>
      <c r="F57" s="5"/>
      <c r="G57" s="5">
        <f t="shared" si="14"/>
        <v>0.66360240874847154</v>
      </c>
      <c r="K57" s="2">
        <f t="shared" si="20"/>
        <v>0.38000000000000017</v>
      </c>
      <c r="L57" s="2">
        <f t="shared" si="17"/>
        <v>0.61644140029689776</v>
      </c>
      <c r="M57" s="2">
        <v>2</v>
      </c>
      <c r="N57" s="2">
        <f t="shared" si="18"/>
        <v>59.708002285289105</v>
      </c>
      <c r="O57" s="2">
        <f t="shared" si="19"/>
        <v>0.80583995429421784</v>
      </c>
    </row>
    <row r="58" spans="1:15" ht="23">
      <c r="A58" s="5">
        <f t="shared" si="15"/>
        <v>0.40000000000000019</v>
      </c>
      <c r="B58" s="5">
        <f t="shared" si="11"/>
        <v>0.14736975904046173</v>
      </c>
      <c r="C58" s="5">
        <f t="shared" si="12"/>
        <v>0.6798251275009709</v>
      </c>
      <c r="D58" s="5">
        <f t="shared" si="13"/>
        <v>0.7832378356260945</v>
      </c>
      <c r="E58" s="5">
        <f t="shared" si="16"/>
        <v>0.66910910361642983</v>
      </c>
      <c r="F58" s="5"/>
      <c r="G58" s="5">
        <f t="shared" si="14"/>
        <v>0.67454186043292408</v>
      </c>
      <c r="K58" s="2">
        <f t="shared" si="20"/>
        <v>0.39000000000000018</v>
      </c>
      <c r="L58" s="2">
        <f t="shared" si="17"/>
        <v>0.62449979983983994</v>
      </c>
      <c r="M58" s="2">
        <v>2</v>
      </c>
      <c r="N58" s="2">
        <f t="shared" si="18"/>
        <v>60.221339030819777</v>
      </c>
      <c r="O58" s="2">
        <f t="shared" si="19"/>
        <v>0.79557321938360448</v>
      </c>
    </row>
    <row r="59" spans="1:15" ht="23">
      <c r="A59" s="5">
        <f t="shared" si="15"/>
        <v>0.4100000000000002</v>
      </c>
      <c r="B59" s="5">
        <f t="shared" si="11"/>
        <v>0.15416801031547145</v>
      </c>
      <c r="C59" s="5">
        <f t="shared" si="12"/>
        <v>0.69008787556198647</v>
      </c>
      <c r="D59" s="5">
        <f t="shared" si="13"/>
        <v>0.73792503689194255</v>
      </c>
      <c r="E59" s="5">
        <f t="shared" si="16"/>
        <v>0.6798251275009709</v>
      </c>
      <c r="F59" s="5"/>
      <c r="G59" s="5">
        <f t="shared" si="14"/>
        <v>0.68503284667543485</v>
      </c>
      <c r="K59" s="2">
        <f t="shared" si="20"/>
        <v>0.40000000000000019</v>
      </c>
      <c r="L59" s="2">
        <f t="shared" si="17"/>
        <v>0.63245553203367599</v>
      </c>
      <c r="M59" s="2">
        <v>2</v>
      </c>
      <c r="N59" s="2">
        <f t="shared" si="18"/>
        <v>60.715541451954955</v>
      </c>
      <c r="O59" s="2">
        <f t="shared" si="19"/>
        <v>0.78568917096090085</v>
      </c>
    </row>
    <row r="60" spans="1:15" ht="23">
      <c r="A60" s="5">
        <f t="shared" si="15"/>
        <v>0.42000000000000021</v>
      </c>
      <c r="B60" s="5">
        <f t="shared" si="11"/>
        <v>0.16106888907109132</v>
      </c>
      <c r="C60" s="5">
        <f t="shared" si="12"/>
        <v>0.69988780437950859</v>
      </c>
      <c r="D60" s="5">
        <f t="shared" si="13"/>
        <v>0.69375283219971928</v>
      </c>
      <c r="E60" s="5">
        <f t="shared" si="16"/>
        <v>0.69008787556198647</v>
      </c>
      <c r="F60" s="5"/>
      <c r="G60" s="5">
        <f t="shared" si="14"/>
        <v>0.69506576594263092</v>
      </c>
      <c r="K60" s="2">
        <f t="shared" si="20"/>
        <v>0.4100000000000002</v>
      </c>
      <c r="L60" s="2">
        <f t="shared" si="17"/>
        <v>0.64031242374328501</v>
      </c>
      <c r="M60" s="2">
        <v>2</v>
      </c>
      <c r="N60" s="2">
        <f t="shared" si="18"/>
        <v>61.191769512494112</v>
      </c>
      <c r="O60" s="2">
        <f t="shared" si="19"/>
        <v>0.77616460975011781</v>
      </c>
    </row>
    <row r="61" spans="1:15" ht="23">
      <c r="A61" s="5">
        <f t="shared" si="15"/>
        <v>0.43000000000000022</v>
      </c>
      <c r="B61" s="5">
        <f t="shared" si="11"/>
        <v>0.16806776711488641</v>
      </c>
      <c r="C61" s="5">
        <f t="shared" si="12"/>
        <v>0.70921548844986515</v>
      </c>
      <c r="D61" s="5">
        <f t="shared" si="13"/>
        <v>0.65060354015603472</v>
      </c>
      <c r="E61" s="5">
        <f t="shared" si="16"/>
        <v>0.69988780437950859</v>
      </c>
      <c r="F61" s="5"/>
      <c r="G61" s="5">
        <f t="shared" si="14"/>
        <v>0.70463113335124039</v>
      </c>
      <c r="K61" s="2">
        <f t="shared" si="20"/>
        <v>0.42000000000000021</v>
      </c>
      <c r="L61" s="2">
        <f t="shared" si="17"/>
        <v>0.64807406984078619</v>
      </c>
      <c r="M61" s="2">
        <v>2</v>
      </c>
      <c r="N61" s="2">
        <f t="shared" si="18"/>
        <v>61.651087052929597</v>
      </c>
      <c r="O61" s="2">
        <f t="shared" si="19"/>
        <v>0.76697825894140803</v>
      </c>
    </row>
    <row r="62" spans="1:15" ht="23">
      <c r="A62" s="5">
        <f t="shared" si="15"/>
        <v>0.44000000000000022</v>
      </c>
      <c r="B62" s="5">
        <f t="shared" si="11"/>
        <v>0.17515992199938507</v>
      </c>
      <c r="C62" s="5">
        <f t="shared" si="12"/>
        <v>0.7180616227032165</v>
      </c>
      <c r="D62" s="5">
        <f t="shared" si="13"/>
        <v>0.60836771312589399</v>
      </c>
      <c r="E62" s="5">
        <f t="shared" si="16"/>
        <v>0.70921548844986515</v>
      </c>
      <c r="F62" s="5"/>
      <c r="G62" s="5">
        <f t="shared" si="14"/>
        <v>0.71371958319679052</v>
      </c>
      <c r="K62" s="2">
        <f t="shared" si="20"/>
        <v>0.43000000000000022</v>
      </c>
      <c r="L62" s="2">
        <f t="shared" si="17"/>
        <v>0.65574385243020028</v>
      </c>
      <c r="M62" s="2">
        <v>2</v>
      </c>
      <c r="N62" s="2">
        <f t="shared" si="18"/>
        <v>62.094471795600626</v>
      </c>
      <c r="O62" s="2">
        <f t="shared" si="19"/>
        <v>0.75811056408798749</v>
      </c>
    </row>
    <row r="63" spans="1:15" ht="23">
      <c r="A63" s="5">
        <f t="shared" si="15"/>
        <v>0.45000000000000023</v>
      </c>
      <c r="B63" s="5">
        <f t="shared" si="11"/>
        <v>0.18234053822641724</v>
      </c>
      <c r="C63" s="5">
        <f t="shared" si="12"/>
        <v>0.72641702499840966</v>
      </c>
      <c r="D63" s="5">
        <f t="shared" si="13"/>
        <v>0.56694303472324492</v>
      </c>
      <c r="E63" s="5">
        <f t="shared" si="16"/>
        <v>0.7180616227032165</v>
      </c>
      <c r="F63" s="5"/>
      <c r="G63" s="5">
        <f t="shared" si="14"/>
        <v>0.72232187145988525</v>
      </c>
      <c r="K63" s="2">
        <f t="shared" si="20"/>
        <v>0.44000000000000022</v>
      </c>
      <c r="L63" s="2">
        <f t="shared" si="17"/>
        <v>0.66332495807108016</v>
      </c>
      <c r="M63" s="2">
        <v>2</v>
      </c>
      <c r="N63" s="2">
        <f t="shared" si="18"/>
        <v>62.522824105715692</v>
      </c>
      <c r="O63" s="2">
        <f t="shared" si="19"/>
        <v>0.74954351788568618</v>
      </c>
    </row>
    <row r="64" spans="1:15" ht="23">
      <c r="A64" s="5">
        <f t="shared" si="15"/>
        <v>0.46000000000000024</v>
      </c>
      <c r="B64" s="5">
        <f t="shared" si="11"/>
        <v>0.18960470847640135</v>
      </c>
      <c r="C64" s="5">
        <f t="shared" si="12"/>
        <v>0.73427263859470115</v>
      </c>
      <c r="D64" s="5">
        <f t="shared" si="13"/>
        <v>0.52623334309049807</v>
      </c>
      <c r="E64" s="5">
        <f t="shared" si="16"/>
        <v>0.72641702499840966</v>
      </c>
      <c r="F64" s="5"/>
      <c r="G64" s="5">
        <f t="shared" si="14"/>
        <v>0.73042887828957948</v>
      </c>
      <c r="K64" s="2">
        <f t="shared" si="20"/>
        <v>0.45000000000000023</v>
      </c>
      <c r="L64" s="2">
        <f t="shared" si="17"/>
        <v>0.67082039324993703</v>
      </c>
      <c r="M64" s="2">
        <v>2</v>
      </c>
      <c r="N64" s="2">
        <f t="shared" si="18"/>
        <v>62.936974687050004</v>
      </c>
      <c r="O64" s="2">
        <f t="shared" si="19"/>
        <v>0.74126050625899986</v>
      </c>
    </row>
    <row r="65" spans="1:15" ht="23">
      <c r="A65" s="5">
        <f t="shared" si="15"/>
        <v>0.47000000000000025</v>
      </c>
      <c r="B65" s="5">
        <f t="shared" si="11"/>
        <v>0.19694743486234836</v>
      </c>
      <c r="C65" s="5">
        <f t="shared" si="12"/>
        <v>0.74161953459988761</v>
      </c>
      <c r="D65" s="5">
        <f t="shared" si="13"/>
        <v>0.48614775920800363</v>
      </c>
      <c r="E65" s="5">
        <f t="shared" si="16"/>
        <v>0.73427263859470115</v>
      </c>
      <c r="F65" s="5"/>
      <c r="G65" s="5">
        <f t="shared" si="14"/>
        <v>0.73803161046337318</v>
      </c>
      <c r="K65" s="2">
        <f t="shared" si="20"/>
        <v>0.46000000000000024</v>
      </c>
      <c r="L65" s="2">
        <f t="shared" si="17"/>
        <v>0.67823299831252704</v>
      </c>
      <c r="M65" s="2">
        <v>2</v>
      </c>
      <c r="N65" s="2">
        <f t="shared" si="18"/>
        <v>63.33769136211248</v>
      </c>
      <c r="O65" s="2">
        <f t="shared" si="19"/>
        <v>0.73324617275775039</v>
      </c>
    </row>
    <row r="66" spans="1:15" ht="23">
      <c r="A66" s="5">
        <f t="shared" si="15"/>
        <v>0.48000000000000026</v>
      </c>
      <c r="B66" s="5">
        <f t="shared" si="11"/>
        <v>0.20436363020834725</v>
      </c>
      <c r="C66" s="5">
        <f t="shared" si="12"/>
        <v>0.74844891439431116</v>
      </c>
      <c r="D66" s="5">
        <f t="shared" si="13"/>
        <v>0.44659990265754362</v>
      </c>
      <c r="E66" s="5">
        <f t="shared" si="16"/>
        <v>0.74161953459988761</v>
      </c>
      <c r="F66" s="5"/>
      <c r="G66" s="5">
        <f t="shared" si="14"/>
        <v>0.74512120382335534</v>
      </c>
      <c r="K66" s="2">
        <f t="shared" si="20"/>
        <v>0.47000000000000025</v>
      </c>
      <c r="L66" s="2">
        <f t="shared" si="17"/>
        <v>0.68556546004010455</v>
      </c>
      <c r="M66" s="2">
        <v>2</v>
      </c>
      <c r="N66" s="2">
        <f t="shared" si="18"/>
        <v>63.725685062767049</v>
      </c>
      <c r="O66" s="2">
        <f t="shared" si="19"/>
        <v>0.72548629874465909</v>
      </c>
    </row>
    <row r="67" spans="1:15" ht="23">
      <c r="A67" s="5">
        <f t="shared" si="15"/>
        <v>0.49000000000000027</v>
      </c>
      <c r="B67" s="5">
        <f t="shared" si="11"/>
        <v>0.21184811935229036</v>
      </c>
      <c r="C67" s="5">
        <f t="shared" si="12"/>
        <v>0.75475211203030268</v>
      </c>
      <c r="D67" s="5">
        <f t="shared" si="13"/>
        <v>0.40750717984501189</v>
      </c>
      <c r="E67" s="5">
        <f t="shared" si="16"/>
        <v>0.74844891439431116</v>
      </c>
      <c r="F67" s="5"/>
      <c r="G67" s="5">
        <f t="shared" si="14"/>
        <v>0.75168892568802415</v>
      </c>
      <c r="K67" s="2">
        <f t="shared" si="20"/>
        <v>0.48000000000000026</v>
      </c>
      <c r="L67" s="2">
        <f t="shared" si="17"/>
        <v>0.69282032302755114</v>
      </c>
      <c r="M67" s="2">
        <v>2</v>
      </c>
      <c r="N67" s="2">
        <f t="shared" si="18"/>
        <v>64.101615137754862</v>
      </c>
      <c r="O67" s="2">
        <f t="shared" si="19"/>
        <v>0.71796769724490273</v>
      </c>
    </row>
    <row r="68" spans="1:15" ht="23">
      <c r="A68" s="5">
        <f t="shared" si="15"/>
        <v>0.50000000000000022</v>
      </c>
      <c r="B68" s="5">
        <f t="shared" si="11"/>
        <v>0.21939564047259336</v>
      </c>
      <c r="C68" s="5">
        <f t="shared" si="12"/>
        <v>0.76052059660667237</v>
      </c>
      <c r="D68" s="5">
        <f t="shared" si="13"/>
        <v>0.3687901317506756</v>
      </c>
      <c r="E68" s="5">
        <f t="shared" si="16"/>
        <v>0.75475211203030268</v>
      </c>
      <c r="F68" s="5"/>
      <c r="G68" s="5">
        <f t="shared" si="14"/>
        <v>0.75772617723932212</v>
      </c>
      <c r="K68" s="2">
        <f t="shared" si="20"/>
        <v>0.49000000000000027</v>
      </c>
      <c r="L68" s="2">
        <f t="shared" si="17"/>
        <v>0.70000000000000018</v>
      </c>
      <c r="M68" s="2">
        <v>2</v>
      </c>
      <c r="N68" s="2">
        <f t="shared" si="18"/>
        <v>64.466094067262304</v>
      </c>
      <c r="O68" s="2">
        <f t="shared" si="19"/>
        <v>0.71067811865475394</v>
      </c>
    </row>
    <row r="69" spans="1:15" ht="23">
      <c r="A69" s="5">
        <f t="shared" si="15"/>
        <v>0.51000000000000023</v>
      </c>
      <c r="B69" s="5">
        <f t="shared" si="11"/>
        <v>0.22700084643866009</v>
      </c>
      <c r="C69" s="5">
        <f t="shared" si="12"/>
        <v>0.76574597461766192</v>
      </c>
      <c r="D69" s="5">
        <f t="shared" si="13"/>
        <v>0.33037182989232317</v>
      </c>
      <c r="E69" s="5">
        <f t="shared" si="16"/>
        <v>0.76052059660667237</v>
      </c>
      <c r="F69" s="5"/>
      <c r="G69" s="5">
        <f t="shared" si="14"/>
        <v>0.76322449588442209</v>
      </c>
      <c r="K69" s="2">
        <f t="shared" si="20"/>
        <v>0.50000000000000022</v>
      </c>
      <c r="L69" s="2">
        <f t="shared" si="17"/>
        <v>0.70710678118654768</v>
      </c>
      <c r="M69" s="2">
        <v>2</v>
      </c>
      <c r="N69" s="2">
        <f t="shared" si="18"/>
        <v>64.819691661312461</v>
      </c>
      <c r="O69" s="2">
        <f t="shared" si="19"/>
        <v>0.70360616677375076</v>
      </c>
    </row>
    <row r="70" spans="1:15" ht="23">
      <c r="A70" s="5">
        <f t="shared" si="15"/>
        <v>0.52000000000000024</v>
      </c>
      <c r="B70" s="5">
        <f t="shared" si="11"/>
        <v>0.23465830618483671</v>
      </c>
      <c r="C70" s="5">
        <f t="shared" si="12"/>
        <v>0.77041999227598568</v>
      </c>
      <c r="D70" s="5">
        <f t="shared" si="13"/>
        <v>0.29217731051119461</v>
      </c>
      <c r="E70" s="5">
        <f t="shared" si="16"/>
        <v>0.76574597461766192</v>
      </c>
      <c r="F70" s="5"/>
      <c r="G70" s="5">
        <f t="shared" si="14"/>
        <v>0.76817555759180955</v>
      </c>
      <c r="K70" s="2">
        <f t="shared" si="20"/>
        <v>0.51000000000000023</v>
      </c>
      <c r="L70" s="2">
        <f t="shared" si="17"/>
        <v>0.7141428428542852</v>
      </c>
      <c r="M70" s="2">
        <v>2</v>
      </c>
      <c r="N70" s="2">
        <f t="shared" si="18"/>
        <v>65.162938807435893</v>
      </c>
      <c r="O70" s="2">
        <f t="shared" si="19"/>
        <v>0.69674122385128201</v>
      </c>
    </row>
    <row r="71" spans="1:15" ht="23">
      <c r="A71" s="5">
        <f t="shared" si="15"/>
        <v>0.53000000000000025</v>
      </c>
      <c r="B71" s="5">
        <f t="shared" si="11"/>
        <v>0.24236250610759658</v>
      </c>
      <c r="C71" s="5">
        <f t="shared" si="12"/>
        <v>0.77453453780947856</v>
      </c>
      <c r="D71" s="5">
        <f t="shared" si="13"/>
        <v>0.25413303798147741</v>
      </c>
      <c r="E71" s="5">
        <f t="shared" si="16"/>
        <v>0.77041999227598568</v>
      </c>
      <c r="F71" s="5"/>
      <c r="G71" s="5">
        <f t="shared" si="14"/>
        <v>0.77257117920120522</v>
      </c>
      <c r="K71" s="2">
        <f t="shared" si="20"/>
        <v>0.52000000000000024</v>
      </c>
      <c r="L71" s="2">
        <f t="shared" si="17"/>
        <v>0.72111025509279802</v>
      </c>
      <c r="M71" s="2">
        <v>2</v>
      </c>
      <c r="N71" s="2">
        <f t="shared" si="18"/>
        <v>65.496330823729906</v>
      </c>
      <c r="O71" s="2">
        <f t="shared" si="19"/>
        <v>0.69007338352540182</v>
      </c>
    </row>
    <row r="72" spans="1:15" ht="23">
      <c r="A72" s="5">
        <f t="shared" si="15"/>
        <v>0.54000000000000026</v>
      </c>
      <c r="B72" s="5">
        <f t="shared" si="11"/>
        <v>0.25010785148569137</v>
      </c>
      <c r="C72" s="5">
        <f t="shared" si="12"/>
        <v>0.77808164373093169</v>
      </c>
      <c r="D72" s="5">
        <f t="shared" si="13"/>
        <v>0.21616638920621847</v>
      </c>
      <c r="E72" s="5">
        <f t="shared" si="16"/>
        <v>0.77453453780947856</v>
      </c>
      <c r="F72" s="5"/>
      <c r="G72" s="5">
        <f t="shared" si="14"/>
        <v>0.77640332070688245</v>
      </c>
      <c r="K72" s="2">
        <f t="shared" si="20"/>
        <v>0.53000000000000025</v>
      </c>
      <c r="L72" s="2">
        <f t="shared" si="17"/>
        <v>0.72801098892805205</v>
      </c>
      <c r="M72" s="2">
        <v>2</v>
      </c>
      <c r="N72" s="2">
        <f t="shared" si="18"/>
        <v>65.820330465492447</v>
      </c>
      <c r="O72" s="2">
        <f t="shared" si="19"/>
        <v>0.6835933906901509</v>
      </c>
    </row>
    <row r="73" spans="1:15" ht="23">
      <c r="A73" s="5">
        <f t="shared" si="15"/>
        <v>0.55000000000000027</v>
      </c>
      <c r="B73" s="5">
        <f t="shared" si="11"/>
        <v>0.25788866792300069</v>
      </c>
      <c r="C73" s="5">
        <f t="shared" si="12"/>
        <v>0.78105348908068462</v>
      </c>
      <c r="D73" s="5">
        <f t="shared" si="13"/>
        <v>0.17820515129573483</v>
      </c>
      <c r="E73" s="5">
        <f t="shared" si="16"/>
        <v>0.77808164373093169</v>
      </c>
      <c r="F73" s="5"/>
      <c r="G73" s="5">
        <f t="shared" si="14"/>
        <v>0.7796640875139319</v>
      </c>
      <c r="K73" s="2">
        <f t="shared" si="20"/>
        <v>0.54000000000000026</v>
      </c>
      <c r="L73" s="2">
        <f t="shared" si="17"/>
        <v>0.73484692283495356</v>
      </c>
      <c r="M73" s="2">
        <v>2</v>
      </c>
      <c r="N73" s="2">
        <f t="shared" si="18"/>
        <v>66.135370626935682</v>
      </c>
      <c r="O73" s="2">
        <f t="shared" si="19"/>
        <v>0.67729258746128618</v>
      </c>
    </row>
    <row r="74" spans="1:15" ht="23">
      <c r="A74" s="5">
        <f t="shared" si="15"/>
        <v>0.56000000000000028</v>
      </c>
      <c r="B74" s="5">
        <f t="shared" si="11"/>
        <v>0.26569920281380754</v>
      </c>
      <c r="C74" s="5">
        <f t="shared" si="12"/>
        <v>0.78344240164137591</v>
      </c>
      <c r="D74" s="5">
        <f t="shared" si="13"/>
        <v>0.14017702513698463</v>
      </c>
      <c r="E74" s="5">
        <f t="shared" si="16"/>
        <v>0.78105348908068462</v>
      </c>
      <c r="F74" s="5"/>
      <c r="G74" s="5">
        <f t="shared" si="14"/>
        <v>0.78234573266703711</v>
      </c>
      <c r="K74" s="2">
        <f t="shared" si="20"/>
        <v>0.55000000000000027</v>
      </c>
      <c r="L74" s="2">
        <f t="shared" si="17"/>
        <v>0.74161984870956643</v>
      </c>
      <c r="M74" s="2">
        <v>2</v>
      </c>
      <c r="N74" s="2">
        <f t="shared" si="18"/>
        <v>66.441856773889967</v>
      </c>
      <c r="O74" s="2">
        <f t="shared" si="19"/>
        <v>0.67116286452220064</v>
      </c>
    </row>
    <row r="75" spans="1:15" ht="23">
      <c r="A75" s="5">
        <f t="shared" si="15"/>
        <v>0.57000000000000028</v>
      </c>
      <c r="B75" s="5">
        <f t="shared" si="11"/>
        <v>0.27353362683022131</v>
      </c>
      <c r="C75" s="5">
        <f t="shared" si="12"/>
        <v>0.78524086012478556</v>
      </c>
      <c r="D75" s="5">
        <f t="shared" si="13"/>
        <v>0.10200912768003763</v>
      </c>
      <c r="E75" s="5">
        <f t="shared" si="16"/>
        <v>0.78344240164137591</v>
      </c>
      <c r="F75" s="5"/>
      <c r="G75" s="5">
        <f t="shared" si="14"/>
        <v>0.78444065905131977</v>
      </c>
      <c r="K75" s="2">
        <f t="shared" si="20"/>
        <v>0.56000000000000028</v>
      </c>
      <c r="L75" s="2">
        <f t="shared" si="17"/>
        <v>0.74833147735478844</v>
      </c>
      <c r="M75" s="2">
        <v>2</v>
      </c>
      <c r="N75" s="2">
        <f t="shared" si="18"/>
        <v>66.740169138566557</v>
      </c>
      <c r="O75" s="2">
        <f t="shared" si="19"/>
        <v>0.66519661722866885</v>
      </c>
    </row>
    <row r="76" spans="1:15" ht="23">
      <c r="A76" s="5">
        <f t="shared" si="15"/>
        <v>0.58000000000000029</v>
      </c>
      <c r="B76" s="5">
        <f t="shared" si="11"/>
        <v>0.28138603543146917</v>
      </c>
      <c r="C76" s="5">
        <f t="shared" si="12"/>
        <v>0.78644149632979765</v>
      </c>
      <c r="D76" s="5">
        <f t="shared" si="13"/>
        <v>6.3627485617361756E-2</v>
      </c>
      <c r="E76" s="5">
        <f t="shared" si="16"/>
        <v>0.78524086012478556</v>
      </c>
      <c r="F76" s="5"/>
      <c r="G76" s="5">
        <f t="shared" si="14"/>
        <v>0.7859414215648306</v>
      </c>
      <c r="K76" s="2">
        <f t="shared" si="20"/>
        <v>0.57000000000000028</v>
      </c>
      <c r="L76" s="2">
        <f t="shared" si="17"/>
        <v>0.75498344352707514</v>
      </c>
      <c r="M76" s="2">
        <v>2</v>
      </c>
      <c r="N76" s="2">
        <f t="shared" si="18"/>
        <v>67.030664703420712</v>
      </c>
      <c r="O76" s="2">
        <f t="shared" si="19"/>
        <v>0.65938670593158555</v>
      </c>
    </row>
    <row r="77" spans="1:15" ht="23">
      <c r="A77" s="5">
        <f t="shared" si="15"/>
        <v>0.5900000000000003</v>
      </c>
      <c r="B77" s="5">
        <f t="shared" si="11"/>
        <v>0.28925045039476716</v>
      </c>
      <c r="C77" s="5">
        <f t="shared" si="12"/>
        <v>0.78703709727172488</v>
      </c>
      <c r="D77" s="5">
        <f t="shared" si="13"/>
        <v>2.4956513074265618E-2</v>
      </c>
      <c r="E77" s="5">
        <f t="shared" si="16"/>
        <v>0.78644149632979765</v>
      </c>
      <c r="F77" s="5"/>
      <c r="G77" s="5">
        <f t="shared" si="14"/>
        <v>0.7868407292622529</v>
      </c>
      <c r="K77" s="2">
        <f t="shared" si="20"/>
        <v>0.58000000000000029</v>
      </c>
      <c r="L77" s="2">
        <f t="shared" si="17"/>
        <v>0.761577310586391</v>
      </c>
      <c r="M77" s="2">
        <v>2</v>
      </c>
      <c r="N77" s="2">
        <f t="shared" si="18"/>
        <v>67.313678997650214</v>
      </c>
      <c r="O77" s="2">
        <f t="shared" si="19"/>
        <v>0.65372642004699555</v>
      </c>
    </row>
    <row r="78" spans="1:15" ht="23">
      <c r="A78" s="5">
        <f t="shared" si="15"/>
        <v>0.60000000000000031</v>
      </c>
      <c r="B78" s="5">
        <f t="shared" si="11"/>
        <v>0.29712082136748441</v>
      </c>
      <c r="C78" s="5">
        <f t="shared" si="12"/>
        <v>0.78702060728187351</v>
      </c>
      <c r="D78" s="5">
        <f t="shared" si="13"/>
        <v>1.4081534651431304E-2</v>
      </c>
      <c r="E78" s="5">
        <f t="shared" si="16"/>
        <v>0.78703709727172488</v>
      </c>
      <c r="F78" s="5"/>
      <c r="G78" s="5">
        <f t="shared" si="14"/>
        <v>0.78713144746940122</v>
      </c>
      <c r="K78" s="2">
        <f t="shared" si="20"/>
        <v>0.5900000000000003</v>
      </c>
      <c r="L78" s="2">
        <f t="shared" si="17"/>
        <v>0.76811457478686096</v>
      </c>
      <c r="M78" s="2">
        <v>2</v>
      </c>
      <c r="N78" s="2">
        <f t="shared" si="18"/>
        <v>67.589527726886686</v>
      </c>
      <c r="O78" s="2">
        <f t="shared" si="19"/>
        <v>0.64820944546226611</v>
      </c>
    </row>
    <row r="79" spans="1:15" ht="23">
      <c r="A79" s="5">
        <f t="shared" si="15"/>
        <v>0.61000000000000032</v>
      </c>
      <c r="B79" s="5">
        <f t="shared" si="11"/>
        <v>0.30499102744030315</v>
      </c>
      <c r="C79" s="5">
        <f t="shared" si="12"/>
        <v>0.78638513007751532</v>
      </c>
      <c r="D79" s="5">
        <f t="shared" si="13"/>
        <v>5.3567139707689448E-2</v>
      </c>
      <c r="E79" s="5">
        <f t="shared" si="16"/>
        <v>0.78702060728187351</v>
      </c>
      <c r="F79" s="5"/>
      <c r="G79" s="5">
        <f t="shared" si="14"/>
        <v>0.78680659986809598</v>
      </c>
      <c r="K79" s="2">
        <f t="shared" si="20"/>
        <v>0.60000000000000031</v>
      </c>
      <c r="L79" s="2">
        <f t="shared" si="17"/>
        <v>0.77459666924148363</v>
      </c>
      <c r="M79" s="2">
        <v>2</v>
      </c>
      <c r="N79" s="2">
        <f t="shared" si="18"/>
        <v>67.858508254089941</v>
      </c>
      <c r="O79" s="2">
        <f t="shared" si="19"/>
        <v>0.642829834918201</v>
      </c>
    </row>
    <row r="80" spans="1:15" ht="23">
      <c r="A80" s="5">
        <f t="shared" si="15"/>
        <v>0.62000000000000033</v>
      </c>
      <c r="B80" s="5">
        <f t="shared" si="11"/>
        <v>0.31285487874107831</v>
      </c>
      <c r="C80" s="5">
        <f t="shared" si="12"/>
        <v>0.78512393080150056</v>
      </c>
      <c r="D80" s="5">
        <f t="shared" si="13"/>
        <v>9.3584142031132023E-2</v>
      </c>
      <c r="E80" s="5">
        <f t="shared" si="16"/>
        <v>0.78638513007751532</v>
      </c>
      <c r="F80" s="5"/>
      <c r="G80" s="5">
        <f t="shared" si="14"/>
        <v>0.78585937055100197</v>
      </c>
      <c r="K80" s="2">
        <f t="shared" si="20"/>
        <v>0.61000000000000032</v>
      </c>
      <c r="L80" s="2">
        <f t="shared" si="17"/>
        <v>0.78102496759066564</v>
      </c>
      <c r="M80" s="2">
        <v>2</v>
      </c>
      <c r="N80" s="2">
        <f t="shared" si="18"/>
        <v>68.120900947421447</v>
      </c>
      <c r="O80" s="2">
        <f t="shared" si="19"/>
        <v>0.63758198105157093</v>
      </c>
    </row>
    <row r="81" spans="1:15" ht="23">
      <c r="A81" s="5">
        <f t="shared" si="15"/>
        <v>0.63000000000000034</v>
      </c>
      <c r="B81" s="5">
        <f t="shared" si="11"/>
        <v>0.32070611804909332</v>
      </c>
      <c r="C81" s="5">
        <f t="shared" si="12"/>
        <v>0.78323043803132308</v>
      </c>
      <c r="D81" s="5">
        <f t="shared" si="13"/>
        <v>0.13422041181129452</v>
      </c>
      <c r="E81" s="5">
        <f t="shared" si="16"/>
        <v>0.78512393080150056</v>
      </c>
      <c r="F81" s="5"/>
      <c r="G81" s="5">
        <f t="shared" si="14"/>
        <v>0.78428310604602447</v>
      </c>
      <c r="K81" s="2">
        <f t="shared" si="20"/>
        <v>0.62000000000000033</v>
      </c>
      <c r="L81" s="2">
        <f t="shared" si="17"/>
        <v>0.78740078740118136</v>
      </c>
      <c r="M81" s="2">
        <v>2</v>
      </c>
      <c r="N81" s="2">
        <f t="shared" si="18"/>
        <v>68.376970409019734</v>
      </c>
      <c r="O81" s="2">
        <f t="shared" si="19"/>
        <v>0.63246059181960523</v>
      </c>
    </row>
    <row r="82" spans="1:15" ht="23">
      <c r="A82" s="5">
        <f t="shared" si="15"/>
        <v>0.64000000000000035</v>
      </c>
      <c r="B82" s="5">
        <f t="shared" si="11"/>
        <v>0.32853842242940656</v>
      </c>
      <c r="C82" s="5">
        <f t="shared" si="12"/>
        <v>0.78069824575698266</v>
      </c>
      <c r="D82" s="5">
        <f t="shared" si="13"/>
        <v>0.17556858594419103</v>
      </c>
      <c r="E82" s="5">
        <f t="shared" si="16"/>
        <v>0.78323043803132308</v>
      </c>
      <c r="F82" s="5"/>
      <c r="G82" s="5">
        <f t="shared" si="14"/>
        <v>0.78207131730985868</v>
      </c>
      <c r="K82" s="2">
        <f t="shared" si="20"/>
        <v>0.63000000000000034</v>
      </c>
      <c r="L82" s="2">
        <f t="shared" si="17"/>
        <v>0.79372539331937741</v>
      </c>
      <c r="M82" s="2">
        <v>2</v>
      </c>
      <c r="N82" s="2">
        <f t="shared" si="18"/>
        <v>68.626966596885765</v>
      </c>
      <c r="O82" s="2">
        <f t="shared" si="19"/>
        <v>0.62746066806228462</v>
      </c>
    </row>
    <row r="83" spans="1:15" ht="23">
      <c r="A83" s="5">
        <f t="shared" si="15"/>
        <v>0.65000000000000036</v>
      </c>
      <c r="B83" s="5">
        <f t="shared" ref="B83:B118" si="21">A83^2*COS(A83)</f>
        <v>0.3363454048869764</v>
      </c>
      <c r="C83" s="5">
        <f t="shared" ref="C83:C117" si="22">(B84-B83)/(A84-A83)</f>
        <v>0.77752111532761115</v>
      </c>
      <c r="D83" s="5">
        <f t="shared" ref="D83:D117" si="23">ABS(C83-G83)/G83*100</f>
        <v>0.21772688204462226</v>
      </c>
      <c r="E83" s="5">
        <f t="shared" si="16"/>
        <v>0.78069824575698266</v>
      </c>
      <c r="F83" s="5"/>
      <c r="G83" s="5">
        <f t="shared" ref="G83:G118" si="24">A83*(2*COS(A83)-A83*SIN(A83))</f>
        <v>0.77921768169029582</v>
      </c>
      <c r="K83" s="2">
        <f t="shared" si="20"/>
        <v>0.64000000000000035</v>
      </c>
      <c r="L83" s="2">
        <f t="shared" si="17"/>
        <v>0.80000000000000027</v>
      </c>
      <c r="M83" s="2">
        <v>2</v>
      </c>
      <c r="N83" s="2">
        <f t="shared" si="18"/>
        <v>68.871125850725676</v>
      </c>
      <c r="O83" s="2">
        <f t="shared" si="19"/>
        <v>0.62257748298548632</v>
      </c>
    </row>
    <row r="84" spans="1:15" ht="23">
      <c r="A84" s="5">
        <f t="shared" ref="A84:A118" si="25">A83+0.01</f>
        <v>0.66000000000000036</v>
      </c>
      <c r="B84" s="5">
        <f t="shared" si="21"/>
        <v>0.34412061604025251</v>
      </c>
      <c r="C84" s="5">
        <f t="shared" si="22"/>
        <v>0.7736929773661021</v>
      </c>
      <c r="D84" s="5">
        <f t="shared" si="23"/>
        <v>0.26080000590488911</v>
      </c>
      <c r="E84" s="5">
        <f t="shared" ref="E84:E118" si="26">(B84-B83)/(A84-A83)</f>
        <v>0.77752111532761115</v>
      </c>
      <c r="F84" s="5"/>
      <c r="G84" s="5">
        <f t="shared" si="24"/>
        <v>0.77571604485689405</v>
      </c>
      <c r="K84" s="2">
        <f t="shared" si="20"/>
        <v>0.65000000000000036</v>
      </c>
      <c r="L84" s="2">
        <f t="shared" ref="L84:L119" si="27">SQRT(K84)</f>
        <v>0.80622577482985514</v>
      </c>
      <c r="M84" s="2">
        <v>2</v>
      </c>
      <c r="N84" s="2">
        <f t="shared" ref="N84:N119" si="28">ABS(O84-M84)/M84*100</f>
        <v>69.109671831294392</v>
      </c>
      <c r="O84" s="2">
        <f t="shared" ref="O84:O119" si="29">(L85-L84)/(K85-K84)</f>
        <v>0.61780656337411199</v>
      </c>
    </row>
    <row r="85" spans="1:15" ht="23">
      <c r="A85" s="5">
        <f t="shared" si="25"/>
        <v>0.67000000000000037</v>
      </c>
      <c r="B85" s="5">
        <f t="shared" si="21"/>
        <v>0.35185754581391354</v>
      </c>
      <c r="C85" s="5">
        <f t="shared" si="22"/>
        <v>0.76920793365158269</v>
      </c>
      <c r="D85" s="5">
        <f t="shared" si="23"/>
        <v>0.30490017098237904</v>
      </c>
      <c r="E85" s="5">
        <f t="shared" si="26"/>
        <v>0.7736929773661021</v>
      </c>
      <c r="F85" s="5"/>
      <c r="G85" s="5">
        <f t="shared" si="24"/>
        <v>0.77156042269962621</v>
      </c>
      <c r="K85" s="2">
        <f t="shared" ref="K85:K118" si="30">K84+0.01</f>
        <v>0.66000000000000036</v>
      </c>
      <c r="L85" s="2">
        <f t="shared" si="27"/>
        <v>0.81240384046359626</v>
      </c>
      <c r="M85" s="2">
        <v>2</v>
      </c>
      <c r="N85" s="2">
        <f t="shared" si="28"/>
        <v>69.342816381755483</v>
      </c>
      <c r="O85" s="2">
        <f t="shared" si="29"/>
        <v>0.61314367236489031</v>
      </c>
    </row>
    <row r="86" spans="1:15" ht="23">
      <c r="A86" s="5">
        <f t="shared" si="25"/>
        <v>0.68000000000000038</v>
      </c>
      <c r="B86" s="5">
        <f t="shared" si="21"/>
        <v>0.35954962515042937</v>
      </c>
      <c r="C86" s="5">
        <f t="shared" si="22"/>
        <v>0.76406025896933394</v>
      </c>
      <c r="D86" s="5">
        <f t="shared" si="23"/>
        <v>0.35014825197430077</v>
      </c>
      <c r="E86" s="5">
        <f t="shared" si="26"/>
        <v>0.76920793365158269</v>
      </c>
      <c r="F86" s="5"/>
      <c r="G86" s="5">
        <f t="shared" si="24"/>
        <v>0.76674500319512195</v>
      </c>
      <c r="K86" s="2">
        <f t="shared" si="30"/>
        <v>0.67000000000000037</v>
      </c>
      <c r="L86" s="2">
        <f t="shared" si="27"/>
        <v>0.81853527718724517</v>
      </c>
      <c r="M86" s="2">
        <v>2</v>
      </c>
      <c r="N86" s="2">
        <f t="shared" si="28"/>
        <v>69.570760318564055</v>
      </c>
      <c r="O86" s="2">
        <f t="shared" si="29"/>
        <v>0.60858479362871865</v>
      </c>
    </row>
    <row r="87" spans="1:15" ht="23">
      <c r="A87" s="5">
        <f t="shared" si="25"/>
        <v>0.69000000000000039</v>
      </c>
      <c r="B87" s="5">
        <f t="shared" si="21"/>
        <v>0.36719022774012272</v>
      </c>
      <c r="C87" s="5">
        <f t="shared" si="22"/>
        <v>0.75824440292768736</v>
      </c>
      <c r="D87" s="5">
        <f t="shared" si="23"/>
        <v>0.39667509883678492</v>
      </c>
      <c r="E87" s="5">
        <f t="shared" si="26"/>
        <v>0.76406025896933394</v>
      </c>
      <c r="F87" s="5"/>
      <c r="G87" s="5">
        <f t="shared" si="24"/>
        <v>0.76126414824012789</v>
      </c>
      <c r="K87" s="2">
        <f t="shared" si="30"/>
        <v>0.68000000000000038</v>
      </c>
      <c r="L87" s="2">
        <f t="shared" si="27"/>
        <v>0.82462112512353236</v>
      </c>
      <c r="M87" s="2">
        <v>2</v>
      </c>
      <c r="N87" s="2">
        <f t="shared" si="28"/>
        <v>69.793694158622955</v>
      </c>
      <c r="O87" s="2">
        <f t="shared" si="29"/>
        <v>0.6041261168275408</v>
      </c>
    </row>
    <row r="88" spans="1:15" ht="23">
      <c r="A88" s="5">
        <f t="shared" si="25"/>
        <v>0.7000000000000004</v>
      </c>
      <c r="B88" s="5">
        <f t="shared" si="21"/>
        <v>0.3747726717693996</v>
      </c>
      <c r="C88" s="5">
        <f t="shared" si="22"/>
        <v>0.75175499174158156</v>
      </c>
      <c r="D88" s="5">
        <f t="shared" si="23"/>
        <v>0.4446230429344793</v>
      </c>
      <c r="E88" s="5">
        <f t="shared" si="26"/>
        <v>0.75824440292768736</v>
      </c>
      <c r="F88" s="5"/>
      <c r="G88" s="5">
        <f t="shared" si="24"/>
        <v>0.75511239545181486</v>
      </c>
      <c r="K88" s="2">
        <f t="shared" si="30"/>
        <v>0.69000000000000039</v>
      </c>
      <c r="L88" s="2">
        <f t="shared" si="27"/>
        <v>0.83066238629180777</v>
      </c>
      <c r="M88" s="2">
        <v>2</v>
      </c>
      <c r="N88" s="2">
        <f t="shared" si="28"/>
        <v>70.011798788659974</v>
      </c>
      <c r="O88" s="2">
        <f t="shared" si="29"/>
        <v>0.59976402422680042</v>
      </c>
    </row>
    <row r="89" spans="1:15" ht="23">
      <c r="A89" s="5">
        <f t="shared" si="25"/>
        <v>0.71000000000000041</v>
      </c>
      <c r="B89" s="5">
        <f t="shared" si="21"/>
        <v>0.38229022168681542</v>
      </c>
      <c r="C89" s="5">
        <f t="shared" si="22"/>
        <v>0.74458682998248471</v>
      </c>
      <c r="D89" s="5">
        <f t="shared" si="23"/>
        <v>0.49414763369579434</v>
      </c>
      <c r="E89" s="5">
        <f t="shared" si="26"/>
        <v>0.75175499174158156</v>
      </c>
      <c r="F89" s="5"/>
      <c r="G89" s="5">
        <f t="shared" si="24"/>
        <v>0.74828445993456472</v>
      </c>
      <c r="K89" s="2">
        <f t="shared" si="30"/>
        <v>0.7000000000000004</v>
      </c>
      <c r="L89" s="2">
        <f t="shared" si="27"/>
        <v>0.83666002653407578</v>
      </c>
      <c r="M89" s="2">
        <v>2</v>
      </c>
      <c r="N89" s="2">
        <f t="shared" si="28"/>
        <v>70.225246082198311</v>
      </c>
      <c r="O89" s="2">
        <f t="shared" si="29"/>
        <v>0.59549507835603366</v>
      </c>
    </row>
    <row r="90" spans="1:15" ht="23">
      <c r="A90" s="5">
        <f t="shared" si="25"/>
        <v>0.72000000000000042</v>
      </c>
      <c r="B90" s="5">
        <f t="shared" si="21"/>
        <v>0.38973608998664028</v>
      </c>
      <c r="C90" s="5">
        <f t="shared" si="22"/>
        <v>0.73673490229414429</v>
      </c>
      <c r="D90" s="5">
        <f t="shared" si="23"/>
        <v>0.54541965258978342</v>
      </c>
      <c r="E90" s="5">
        <f t="shared" si="26"/>
        <v>0.74458682998248471</v>
      </c>
      <c r="F90" s="5"/>
      <c r="G90" s="5">
        <f t="shared" si="24"/>
        <v>0.74077523601287687</v>
      </c>
      <c r="K90" s="2">
        <f t="shared" si="30"/>
        <v>0.71000000000000041</v>
      </c>
      <c r="L90" s="2">
        <f t="shared" si="27"/>
        <v>0.84261497731763613</v>
      </c>
      <c r="M90" s="2">
        <v>2</v>
      </c>
      <c r="N90" s="2">
        <f t="shared" si="28"/>
        <v>70.434199468894448</v>
      </c>
      <c r="O90" s="2">
        <f t="shared" si="29"/>
        <v>0.59131601062211103</v>
      </c>
    </row>
    <row r="91" spans="1:15" ht="23">
      <c r="A91" s="5">
        <f t="shared" si="25"/>
        <v>0.73000000000000043</v>
      </c>
      <c r="B91" s="5">
        <f t="shared" si="21"/>
        <v>0.39710343900958173</v>
      </c>
      <c r="C91" s="5">
        <f t="shared" si="22"/>
        <v>0.72819437507409202</v>
      </c>
      <c r="D91" s="5">
        <f t="shared" si="23"/>
        <v>0.59862746179362736</v>
      </c>
      <c r="E91" s="5">
        <f t="shared" si="26"/>
        <v>0.73673490229414429</v>
      </c>
      <c r="F91" s="5"/>
      <c r="G91" s="5">
        <f t="shared" si="24"/>
        <v>0.73257979893003977</v>
      </c>
      <c r="K91" s="2">
        <f t="shared" si="30"/>
        <v>0.72000000000000042</v>
      </c>
      <c r="L91" s="2">
        <f t="shared" si="27"/>
        <v>0.84852813742385724</v>
      </c>
      <c r="M91" s="2">
        <v>2</v>
      </c>
      <c r="N91" s="2">
        <f t="shared" si="28"/>
        <v>70.638814460519612</v>
      </c>
      <c r="O91" s="2">
        <f t="shared" si="29"/>
        <v>0.58722371078960778</v>
      </c>
    </row>
    <row r="92" spans="1:15" ht="23">
      <c r="A92" s="5">
        <f t="shared" si="25"/>
        <v>0.74000000000000044</v>
      </c>
      <c r="B92" s="5">
        <f t="shared" si="21"/>
        <v>0.40438538276032265</v>
      </c>
      <c r="C92" s="5">
        <f t="shared" si="22"/>
        <v>0.71896059812018787</v>
      </c>
      <c r="D92" s="5">
        <f t="shared" si="23"/>
        <v>0.65397975847797207</v>
      </c>
      <c r="E92" s="5">
        <f t="shared" si="26"/>
        <v>0.72819437507409202</v>
      </c>
      <c r="F92" s="5"/>
      <c r="G92" s="5">
        <f t="shared" si="24"/>
        <v>0.72369340651221747</v>
      </c>
      <c r="K92" s="2">
        <f t="shared" si="30"/>
        <v>0.73000000000000043</v>
      </c>
      <c r="L92" s="2">
        <f t="shared" si="27"/>
        <v>0.85440037453175333</v>
      </c>
      <c r="M92" s="2">
        <v>2</v>
      </c>
      <c r="N92" s="2">
        <f t="shared" si="28"/>
        <v>70.839239137451756</v>
      </c>
      <c r="O92" s="2">
        <f t="shared" si="29"/>
        <v>0.5832152172509647</v>
      </c>
    </row>
    <row r="93" spans="1:15" ht="23">
      <c r="A93" s="5">
        <f t="shared" si="25"/>
        <v>0.75000000000000044</v>
      </c>
      <c r="B93" s="5">
        <f t="shared" si="21"/>
        <v>0.41157498874152454</v>
      </c>
      <c r="C93" s="5">
        <f t="shared" si="22"/>
        <v>0.70902910624225868</v>
      </c>
      <c r="D93" s="5">
        <f t="shared" si="23"/>
        <v>0.71170882273568348</v>
      </c>
      <c r="E93" s="5">
        <f t="shared" si="26"/>
        <v>0.71896059812018787</v>
      </c>
      <c r="F93" s="5"/>
      <c r="G93" s="5">
        <f t="shared" si="24"/>
        <v>0.71411150079760544</v>
      </c>
      <c r="K93" s="2">
        <f t="shared" si="30"/>
        <v>0.74000000000000044</v>
      </c>
      <c r="L93" s="2">
        <f t="shared" si="27"/>
        <v>0.86023252670426298</v>
      </c>
      <c r="M93" s="2">
        <v>2</v>
      </c>
      <c r="N93" s="2">
        <f t="shared" si="28"/>
        <v>71.035614599120265</v>
      </c>
      <c r="O93" s="2">
        <f t="shared" si="29"/>
        <v>0.57928770801759455</v>
      </c>
    </row>
    <row r="94" spans="1:15" ht="23">
      <c r="A94" s="5">
        <f t="shared" si="25"/>
        <v>0.76000000000000045</v>
      </c>
      <c r="B94" s="5">
        <f t="shared" si="21"/>
        <v>0.41866527980394713</v>
      </c>
      <c r="C94" s="5">
        <f t="shared" si="22"/>
        <v>0.6983956208381541</v>
      </c>
      <c r="D94" s="5">
        <f t="shared" si="23"/>
        <v>0.77207436938419205</v>
      </c>
      <c r="E94" s="5">
        <f t="shared" si="26"/>
        <v>0.70902910624225868</v>
      </c>
      <c r="F94" s="5"/>
      <c r="G94" s="5">
        <f t="shared" si="24"/>
        <v>0.70382970963032099</v>
      </c>
      <c r="K94" s="2">
        <f t="shared" si="30"/>
        <v>0.75000000000000044</v>
      </c>
      <c r="L94" s="2">
        <f t="shared" si="27"/>
        <v>0.86602540378443893</v>
      </c>
      <c r="M94" s="2">
        <v>2</v>
      </c>
      <c r="N94" s="2">
        <f t="shared" si="28"/>
        <v>71.228075381519702</v>
      </c>
      <c r="O94" s="2">
        <f t="shared" si="29"/>
        <v>0.57543849236960598</v>
      </c>
    </row>
    <row r="95" spans="1:15" ht="23">
      <c r="A95" s="5">
        <f t="shared" si="25"/>
        <v>0.77000000000000046</v>
      </c>
      <c r="B95" s="5">
        <f t="shared" si="21"/>
        <v>0.42564923601232868</v>
      </c>
      <c r="C95" s="5">
        <f t="shared" si="22"/>
        <v>0.68705605143412007</v>
      </c>
      <c r="D95" s="5">
        <f t="shared" si="23"/>
        <v>0.83536814239642798</v>
      </c>
      <c r="E95" s="5">
        <f t="shared" si="26"/>
        <v>0.6983956208381541</v>
      </c>
      <c r="F95" s="5"/>
      <c r="G95" s="5">
        <f t="shared" si="24"/>
        <v>0.69284384821869249</v>
      </c>
      <c r="K95" s="2">
        <f t="shared" si="30"/>
        <v>0.76000000000000045</v>
      </c>
      <c r="L95" s="2">
        <f t="shared" si="27"/>
        <v>0.871779788708135</v>
      </c>
      <c r="M95" s="2">
        <v>2</v>
      </c>
      <c r="N95" s="2">
        <f t="shared" si="28"/>
        <v>71.41674984461271</v>
      </c>
      <c r="O95" s="2">
        <f t="shared" si="29"/>
        <v>0.57166500310774582</v>
      </c>
    </row>
    <row r="96" spans="1:15" ht="23">
      <c r="A96" s="5">
        <f t="shared" si="25"/>
        <v>0.78000000000000047</v>
      </c>
      <c r="B96" s="5">
        <f t="shared" si="21"/>
        <v>0.43251979652666989</v>
      </c>
      <c r="C96" s="5">
        <f t="shared" si="22"/>
        <v>0.67500649718909511</v>
      </c>
      <c r="D96" s="5">
        <f t="shared" si="23"/>
        <v>0.90191942804548086</v>
      </c>
      <c r="E96" s="5">
        <f t="shared" si="26"/>
        <v>0.68705605143412007</v>
      </c>
      <c r="F96" s="5"/>
      <c r="G96" s="5">
        <f t="shared" si="24"/>
        <v>0.68114992065762259</v>
      </c>
      <c r="K96" s="2">
        <f t="shared" si="30"/>
        <v>0.77000000000000046</v>
      </c>
      <c r="L96" s="2">
        <f t="shared" si="27"/>
        <v>0.87749643873921246</v>
      </c>
      <c r="M96" s="2">
        <v>2</v>
      </c>
      <c r="N96" s="2">
        <f t="shared" si="28"/>
        <v>71.601760532137774</v>
      </c>
      <c r="O96" s="2">
        <f t="shared" si="29"/>
        <v>0.56796478935724426</v>
      </c>
    </row>
    <row r="97" spans="1:15" ht="23">
      <c r="A97" s="5">
        <f t="shared" si="25"/>
        <v>0.79000000000000048</v>
      </c>
      <c r="B97" s="5">
        <f t="shared" si="21"/>
        <v>0.43926986149856084</v>
      </c>
      <c r="C97" s="5">
        <f t="shared" si="22"/>
        <v>0.66224324836253123</v>
      </c>
      <c r="D97" s="5">
        <f t="shared" si="23"/>
        <v>0.97210171185053829</v>
      </c>
      <c r="E97" s="5">
        <f t="shared" si="26"/>
        <v>0.67500649718909511</v>
      </c>
      <c r="F97" s="5"/>
      <c r="G97" s="5">
        <f t="shared" si="24"/>
        <v>0.66874412141470341</v>
      </c>
      <c r="K97" s="2">
        <f t="shared" si="30"/>
        <v>0.78000000000000047</v>
      </c>
      <c r="L97" s="2">
        <f t="shared" si="27"/>
        <v>0.88317608663278491</v>
      </c>
      <c r="M97" s="2">
        <v>2</v>
      </c>
      <c r="N97" s="2">
        <f t="shared" si="28"/>
        <v>71.783224506128889</v>
      </c>
      <c r="O97" s="2">
        <f t="shared" si="29"/>
        <v>0.5643355098774222</v>
      </c>
    </row>
    <row r="98" spans="1:15" ht="23">
      <c r="A98" s="5">
        <f t="shared" si="25"/>
        <v>0.80000000000000049</v>
      </c>
      <c r="B98" s="5">
        <f t="shared" si="21"/>
        <v>0.44589229398218616</v>
      </c>
      <c r="C98" s="5">
        <f t="shared" si="22"/>
        <v>0.64876278774553209</v>
      </c>
      <c r="D98" s="5">
        <f t="shared" si="23"/>
        <v>1.0463407693258369</v>
      </c>
      <c r="E98" s="5">
        <f t="shared" si="26"/>
        <v>0.66224324836253123</v>
      </c>
      <c r="F98" s="5"/>
      <c r="G98" s="5">
        <f t="shared" si="24"/>
        <v>0.6556228367797694</v>
      </c>
      <c r="K98" s="2">
        <f t="shared" si="30"/>
        <v>0.79000000000000048</v>
      </c>
      <c r="L98" s="2">
        <f t="shared" si="27"/>
        <v>0.88881944173155913</v>
      </c>
      <c r="M98" s="2">
        <v>2</v>
      </c>
      <c r="N98" s="2">
        <f t="shared" si="28"/>
        <v>71.961253658214758</v>
      </c>
      <c r="O98" s="2">
        <f t="shared" si="29"/>
        <v>0.56077492683570496</v>
      </c>
    </row>
    <row r="99" spans="1:15" ht="23">
      <c r="A99" s="5">
        <f t="shared" si="25"/>
        <v>0.8100000000000005</v>
      </c>
      <c r="B99" s="5">
        <f t="shared" si="21"/>
        <v>0.45237992185964149</v>
      </c>
      <c r="C99" s="5">
        <f t="shared" si="22"/>
        <v>0.63456179205501007</v>
      </c>
      <c r="D99" s="5">
        <f t="shared" si="23"/>
        <v>1.1251245673984285</v>
      </c>
      <c r="E99" s="5">
        <f t="shared" si="26"/>
        <v>0.64876278774553209</v>
      </c>
      <c r="F99" s="5"/>
      <c r="G99" s="5">
        <f t="shared" si="24"/>
        <v>0.64178264627757886</v>
      </c>
      <c r="K99" s="2">
        <f t="shared" si="30"/>
        <v>0.80000000000000049</v>
      </c>
      <c r="L99" s="2">
        <f t="shared" si="27"/>
        <v>0.89442719099991619</v>
      </c>
      <c r="M99" s="2">
        <v>2</v>
      </c>
      <c r="N99" s="2">
        <f t="shared" si="28"/>
        <v>72.135954999579738</v>
      </c>
      <c r="O99" s="2">
        <f t="shared" si="29"/>
        <v>0.55728090000840513</v>
      </c>
    </row>
    <row r="100" spans="1:15" ht="23">
      <c r="A100" s="5">
        <f t="shared" si="25"/>
        <v>0.82000000000000051</v>
      </c>
      <c r="B100" s="5">
        <f t="shared" si="21"/>
        <v>0.45872553978019159</v>
      </c>
      <c r="C100" s="5">
        <f t="shared" si="22"/>
        <v>0.61963713329046211</v>
      </c>
      <c r="D100" s="5">
        <f t="shared" si="23"/>
        <v>1.2090154706681286</v>
      </c>
      <c r="E100" s="5">
        <f t="shared" si="26"/>
        <v>0.63456179205501007</v>
      </c>
      <c r="F100" s="5"/>
      <c r="G100" s="5">
        <f t="shared" si="24"/>
        <v>0.62722032404332062</v>
      </c>
      <c r="K100" s="2">
        <f t="shared" si="30"/>
        <v>0.8100000000000005</v>
      </c>
      <c r="L100" s="2">
        <f t="shared" si="27"/>
        <v>0.90000000000000024</v>
      </c>
      <c r="M100" s="2">
        <v>2</v>
      </c>
      <c r="N100" s="2">
        <f t="shared" si="28"/>
        <v>72.307430931291478</v>
      </c>
      <c r="O100" s="2">
        <f t="shared" si="29"/>
        <v>0.55385138137417034</v>
      </c>
    </row>
    <row r="101" spans="1:15" ht="23">
      <c r="A101" s="5">
        <f t="shared" si="25"/>
        <v>0.83000000000000052</v>
      </c>
      <c r="B101" s="5">
        <f t="shared" si="21"/>
        <v>0.46492191111309622</v>
      </c>
      <c r="C101" s="5">
        <f t="shared" si="22"/>
        <v>0.60398588005311449</v>
      </c>
      <c r="D101" s="5">
        <f t="shared" si="23"/>
        <v>1.2986654067214976</v>
      </c>
      <c r="E101" s="5">
        <f t="shared" si="26"/>
        <v>0.61963713329046211</v>
      </c>
      <c r="F101" s="5"/>
      <c r="G101" s="5">
        <f t="shared" si="24"/>
        <v>0.61193284016064919</v>
      </c>
      <c r="K101" s="2">
        <f t="shared" si="30"/>
        <v>0.82000000000000051</v>
      </c>
      <c r="L101" s="2">
        <f t="shared" si="27"/>
        <v>0.90553851381374195</v>
      </c>
      <c r="M101" s="2">
        <v>2</v>
      </c>
      <c r="N101" s="2">
        <f t="shared" si="28"/>
        <v>72.475779496559085</v>
      </c>
      <c r="O101" s="2">
        <f t="shared" si="29"/>
        <v>0.55048441006881843</v>
      </c>
    </row>
    <row r="102" spans="1:15" ht="23">
      <c r="A102" s="5">
        <f t="shared" si="25"/>
        <v>0.84000000000000052</v>
      </c>
      <c r="B102" s="5">
        <f t="shared" si="21"/>
        <v>0.47096176991362737</v>
      </c>
      <c r="C102" s="5">
        <f t="shared" si="22"/>
        <v>0.58760529882725343</v>
      </c>
      <c r="D102" s="5">
        <f t="shared" si="23"/>
        <v>1.3948348655825422</v>
      </c>
      <c r="E102" s="5">
        <f t="shared" si="26"/>
        <v>0.60398588005311449</v>
      </c>
      <c r="F102" s="5"/>
      <c r="G102" s="5">
        <f t="shared" si="24"/>
        <v>0.59591736196195855</v>
      </c>
      <c r="K102" s="2">
        <f t="shared" si="30"/>
        <v>0.83000000000000052</v>
      </c>
      <c r="L102" s="2">
        <f t="shared" si="27"/>
        <v>0.91104335791443014</v>
      </c>
      <c r="M102" s="2">
        <v>2</v>
      </c>
      <c r="N102" s="2">
        <f t="shared" si="28"/>
        <v>72.641094616309118</v>
      </c>
      <c r="O102" s="2">
        <f t="shared" si="29"/>
        <v>0.54717810767381758</v>
      </c>
    </row>
    <row r="103" spans="1:15" ht="23">
      <c r="A103" s="5">
        <f t="shared" si="25"/>
        <v>0.85000000000000053</v>
      </c>
      <c r="B103" s="5">
        <f t="shared" si="21"/>
        <v>0.47683782290189991</v>
      </c>
      <c r="C103" s="5">
        <f t="shared" si="22"/>
        <v>0.57049285522331405</v>
      </c>
      <c r="D103" s="5">
        <f t="shared" si="23"/>
        <v>1.4984169169339641</v>
      </c>
      <c r="E103" s="5">
        <f t="shared" si="26"/>
        <v>0.58760529882725343</v>
      </c>
      <c r="F103" s="5"/>
      <c r="G103" s="5">
        <f t="shared" si="24"/>
        <v>0.57917125529060731</v>
      </c>
      <c r="K103" s="2">
        <f t="shared" si="30"/>
        <v>0.84000000000000052</v>
      </c>
      <c r="L103" s="2">
        <f t="shared" si="27"/>
        <v>0.91651513899116832</v>
      </c>
      <c r="M103" s="2">
        <v>2</v>
      </c>
      <c r="N103" s="2">
        <f t="shared" si="28"/>
        <v>72.803466309396754</v>
      </c>
      <c r="O103" s="2">
        <f t="shared" si="29"/>
        <v>0.54393067381206484</v>
      </c>
    </row>
    <row r="104" spans="1:15" ht="23">
      <c r="A104" s="5">
        <f t="shared" si="25"/>
        <v>0.86000000000000054</v>
      </c>
      <c r="B104" s="5">
        <f t="shared" si="21"/>
        <v>0.48254275145413306</v>
      </c>
      <c r="C104" s="5">
        <f t="shared" si="22"/>
        <v>0.55264621518241142</v>
      </c>
      <c r="D104" s="5">
        <f t="shared" si="23"/>
        <v>1.6104678652783582</v>
      </c>
      <c r="E104" s="5">
        <f t="shared" si="26"/>
        <v>0.57049285522331405</v>
      </c>
      <c r="F104" s="5"/>
      <c r="G104" s="5">
        <f t="shared" si="24"/>
        <v>0.56169208572482143</v>
      </c>
      <c r="K104" s="2">
        <f t="shared" si="30"/>
        <v>0.85000000000000053</v>
      </c>
      <c r="L104" s="2">
        <f t="shared" si="27"/>
        <v>0.92195444572928897</v>
      </c>
      <c r="M104" s="2">
        <v>2</v>
      </c>
      <c r="N104" s="2">
        <f t="shared" si="28"/>
        <v>72.962980898591482</v>
      </c>
      <c r="O104" s="2">
        <f t="shared" si="29"/>
        <v>0.54074038202817043</v>
      </c>
    </row>
    <row r="105" spans="1:15" ht="23">
      <c r="A105" s="5">
        <f t="shared" si="25"/>
        <v>0.87000000000000055</v>
      </c>
      <c r="B105" s="5">
        <f t="shared" si="21"/>
        <v>0.48806921360595718</v>
      </c>
      <c r="C105" s="5">
        <f t="shared" si="22"/>
        <v>0.53406324614236289</v>
      </c>
      <c r="D105" s="5">
        <f t="shared" si="23"/>
        <v>1.7322467896173617</v>
      </c>
      <c r="E105" s="5">
        <f t="shared" si="26"/>
        <v>0.55264621518241142</v>
      </c>
      <c r="F105" s="5"/>
      <c r="G105" s="5">
        <f t="shared" si="24"/>
        <v>0.54347761976299624</v>
      </c>
      <c r="K105" s="2">
        <f t="shared" si="30"/>
        <v>0.86000000000000054</v>
      </c>
      <c r="L105" s="2">
        <f t="shared" si="27"/>
        <v>0.92736184954957068</v>
      </c>
      <c r="M105" s="2">
        <v>2</v>
      </c>
      <c r="N105" s="2">
        <f t="shared" si="28"/>
        <v>73.119721203444499</v>
      </c>
      <c r="O105" s="2">
        <f t="shared" si="29"/>
        <v>0.53760557593111002</v>
      </c>
    </row>
    <row r="106" spans="1:15" ht="23">
      <c r="A106" s="5">
        <f t="shared" si="25"/>
        <v>0.88000000000000056</v>
      </c>
      <c r="B106" s="5">
        <f t="shared" si="21"/>
        <v>0.49340984606738081</v>
      </c>
      <c r="C106" s="5">
        <f t="shared" si="22"/>
        <v>0.5147420181644764</v>
      </c>
      <c r="D106" s="5">
        <f t="shared" si="23"/>
        <v>1.8652671272317685</v>
      </c>
      <c r="E106" s="5">
        <f t="shared" si="26"/>
        <v>0.53406324614236289</v>
      </c>
      <c r="F106" s="5"/>
      <c r="G106" s="5">
        <f t="shared" si="24"/>
        <v>0.5245258259701383</v>
      </c>
      <c r="K106" s="2">
        <f t="shared" si="30"/>
        <v>0.87000000000000055</v>
      </c>
      <c r="L106" s="2">
        <f t="shared" si="27"/>
        <v>0.93273790530888179</v>
      </c>
      <c r="M106" s="2">
        <v>2</v>
      </c>
      <c r="N106" s="2">
        <f t="shared" si="28"/>
        <v>73.273766720978116</v>
      </c>
      <c r="O106" s="2">
        <f t="shared" si="29"/>
        <v>0.53452466558043765</v>
      </c>
    </row>
    <row r="107" spans="1:15" ht="23">
      <c r="A107" s="5">
        <f t="shared" si="25"/>
        <v>0.89000000000000057</v>
      </c>
      <c r="B107" s="5">
        <f t="shared" si="21"/>
        <v>0.49855726624902558</v>
      </c>
      <c r="C107" s="5">
        <f t="shared" si="22"/>
        <v>0.49468080502129097</v>
      </c>
      <c r="D107" s="5">
        <f t="shared" si="23"/>
        <v>2.0113648135074347</v>
      </c>
      <c r="E107" s="5">
        <f t="shared" si="26"/>
        <v>0.5147420181644764</v>
      </c>
      <c r="F107" s="5"/>
      <c r="G107" s="5">
        <f t="shared" si="24"/>
        <v>0.50483487608518218</v>
      </c>
      <c r="K107" s="2">
        <f t="shared" si="30"/>
        <v>0.88000000000000056</v>
      </c>
      <c r="L107" s="2">
        <f t="shared" si="27"/>
        <v>0.93808315196468617</v>
      </c>
      <c r="M107" s="2">
        <v>2</v>
      </c>
      <c r="N107" s="2">
        <f t="shared" si="28"/>
        <v>73.425193795127399</v>
      </c>
      <c r="O107" s="2">
        <f t="shared" si="29"/>
        <v>0.53149612409745206</v>
      </c>
    </row>
    <row r="108" spans="1:15" ht="23">
      <c r="A108" s="5">
        <f t="shared" si="25"/>
        <v>0.90000000000000058</v>
      </c>
      <c r="B108" s="5">
        <f t="shared" si="21"/>
        <v>0.50350407429923849</v>
      </c>
      <c r="C108" s="5">
        <f t="shared" si="22"/>
        <v>0.47387808524466069</v>
      </c>
      <c r="D108" s="5">
        <f t="shared" si="23"/>
        <v>2.1727895306320741</v>
      </c>
      <c r="E108" s="5">
        <f t="shared" si="26"/>
        <v>0.49468080502129097</v>
      </c>
      <c r="F108" s="5"/>
      <c r="G108" s="5">
        <f t="shared" si="24"/>
        <v>0.48440314608893342</v>
      </c>
      <c r="K108" s="2">
        <f t="shared" si="30"/>
        <v>0.89000000000000057</v>
      </c>
      <c r="L108" s="2">
        <f t="shared" si="27"/>
        <v>0.94339811320566069</v>
      </c>
      <c r="M108" s="2">
        <v>2</v>
      </c>
      <c r="N108" s="2">
        <f t="shared" si="28"/>
        <v>73.574075775732979</v>
      </c>
      <c r="O108" s="2">
        <f t="shared" si="29"/>
        <v>0.52851848448534033</v>
      </c>
    </row>
    <row r="109" spans="1:15" ht="23">
      <c r="A109" s="5">
        <f t="shared" si="25"/>
        <v>0.91000000000000059</v>
      </c>
      <c r="B109" s="5">
        <f t="shared" si="21"/>
        <v>0.5082428551516851</v>
      </c>
      <c r="C109" s="5">
        <f t="shared" si="22"/>
        <v>0.45233254313420362</v>
      </c>
      <c r="D109" s="5">
        <f t="shared" si="23"/>
        <v>2.3523287592452644</v>
      </c>
      <c r="E109" s="5">
        <f t="shared" si="26"/>
        <v>0.47387808524466069</v>
      </c>
      <c r="F109" s="5"/>
      <c r="G109" s="5">
        <f t="shared" si="24"/>
        <v>0.4632292172323878</v>
      </c>
      <c r="K109" s="2">
        <f t="shared" si="30"/>
        <v>0.90000000000000058</v>
      </c>
      <c r="L109" s="2">
        <f t="shared" si="27"/>
        <v>0.9486832980505141</v>
      </c>
      <c r="M109" s="2">
        <v>2</v>
      </c>
      <c r="N109" s="2">
        <f t="shared" si="28"/>
        <v>73.72048316784057</v>
      </c>
      <c r="O109" s="2">
        <f t="shared" si="29"/>
        <v>0.52559033664318866</v>
      </c>
    </row>
    <row r="110" spans="1:15" ht="23">
      <c r="A110" s="5">
        <f t="shared" si="25"/>
        <v>0.9200000000000006</v>
      </c>
      <c r="B110" s="5">
        <f t="shared" si="21"/>
        <v>0.51276618058302714</v>
      </c>
      <c r="C110" s="5">
        <f t="shared" si="22"/>
        <v>0.43004306972573808</v>
      </c>
      <c r="D110" s="5">
        <f t="shared" si="23"/>
        <v>2.5534792708080203</v>
      </c>
      <c r="E110" s="5">
        <f t="shared" si="26"/>
        <v>0.45233254313420362</v>
      </c>
      <c r="F110" s="5"/>
      <c r="G110" s="5">
        <f t="shared" si="24"/>
        <v>0.44131187702519009</v>
      </c>
      <c r="K110" s="2">
        <f t="shared" si="30"/>
        <v>0.91000000000000059</v>
      </c>
      <c r="L110" s="2">
        <f t="shared" si="27"/>
        <v>0.95393920141694599</v>
      </c>
      <c r="M110" s="2">
        <v>2</v>
      </c>
      <c r="N110" s="2">
        <f t="shared" si="28"/>
        <v>73.864483772008654</v>
      </c>
      <c r="O110" s="2">
        <f t="shared" si="29"/>
        <v>0.52271032455982702</v>
      </c>
    </row>
    <row r="111" spans="1:15" ht="23">
      <c r="A111" s="5">
        <f t="shared" si="25"/>
        <v>0.9300000000000006</v>
      </c>
      <c r="B111" s="5">
        <f t="shared" si="21"/>
        <v>0.51706661128028453</v>
      </c>
      <c r="C111" s="5">
        <f t="shared" si="22"/>
        <v>0.40700876371940714</v>
      </c>
      <c r="D111" s="5">
        <f t="shared" si="23"/>
        <v>2.7806886713590449</v>
      </c>
      <c r="E111" s="5">
        <f t="shared" si="26"/>
        <v>0.43004306972573808</v>
      </c>
      <c r="F111" s="5"/>
      <c r="G111" s="5">
        <f t="shared" si="24"/>
        <v>0.4186501201839945</v>
      </c>
      <c r="K111" s="2">
        <f t="shared" si="30"/>
        <v>0.9200000000000006</v>
      </c>
      <c r="L111" s="2">
        <f t="shared" si="27"/>
        <v>0.95916630466254427</v>
      </c>
      <c r="M111" s="2">
        <v>2</v>
      </c>
      <c r="N111" s="2">
        <f t="shared" si="28"/>
        <v>74.006142816242445</v>
      </c>
      <c r="O111" s="2">
        <f t="shared" si="29"/>
        <v>0.51987714367515103</v>
      </c>
    </row>
    <row r="112" spans="1:15" ht="23">
      <c r="A112" s="5">
        <f t="shared" si="25"/>
        <v>0.94000000000000061</v>
      </c>
      <c r="B112" s="5">
        <f t="shared" si="21"/>
        <v>0.5211366989174786</v>
      </c>
      <c r="C112" s="5">
        <f t="shared" si="22"/>
        <v>0.38322893236765154</v>
      </c>
      <c r="D112" s="5">
        <f t="shared" si="23"/>
        <v>3.0397028226346317</v>
      </c>
      <c r="E112" s="5">
        <f t="shared" si="26"/>
        <v>0.40700876371940714</v>
      </c>
      <c r="F112" s="5"/>
      <c r="G112" s="5">
        <f t="shared" si="24"/>
        <v>0.39524314954050427</v>
      </c>
      <c r="K112" s="2">
        <f t="shared" si="30"/>
        <v>0.9300000000000006</v>
      </c>
      <c r="L112" s="2">
        <f t="shared" si="27"/>
        <v>0.96436507609929578</v>
      </c>
      <c r="M112" s="2">
        <v>2</v>
      </c>
      <c r="N112" s="2">
        <f t="shared" si="28"/>
        <v>74.145523080148479</v>
      </c>
      <c r="O112" s="2">
        <f t="shared" si="29"/>
        <v>0.51708953839703042</v>
      </c>
    </row>
    <row r="113" spans="1:15" ht="23">
      <c r="A113" s="5">
        <f t="shared" si="25"/>
        <v>0.95000000000000062</v>
      </c>
      <c r="B113" s="5">
        <f t="shared" si="21"/>
        <v>0.52496898824115512</v>
      </c>
      <c r="C113" s="5">
        <f t="shared" si="22"/>
        <v>0.35870309232210984</v>
      </c>
      <c r="D113" s="5">
        <f t="shared" si="23"/>
        <v>3.3380775567500902</v>
      </c>
      <c r="E113" s="5">
        <f t="shared" si="26"/>
        <v>0.38322893236765154</v>
      </c>
      <c r="F113" s="5"/>
      <c r="G113" s="5">
        <f t="shared" si="24"/>
        <v>0.3710903769089674</v>
      </c>
      <c r="K113" s="2">
        <f t="shared" si="30"/>
        <v>0.94000000000000061</v>
      </c>
      <c r="L113" s="2">
        <f t="shared" si="27"/>
        <v>0.96953597148326609</v>
      </c>
      <c r="M113" s="2">
        <v>2</v>
      </c>
      <c r="N113" s="2">
        <f t="shared" si="28"/>
        <v>74.282685011847136</v>
      </c>
      <c r="O113" s="2">
        <f t="shared" si="29"/>
        <v>0.51434629976305724</v>
      </c>
    </row>
    <row r="114" spans="1:15" ht="23">
      <c r="A114" s="5">
        <f t="shared" si="25"/>
        <v>0.96000000000000063</v>
      </c>
      <c r="B114" s="5">
        <f t="shared" si="21"/>
        <v>0.52855601916437622</v>
      </c>
      <c r="C114" s="5">
        <f t="shared" si="22"/>
        <v>0.33343097044014031</v>
      </c>
      <c r="D114" s="5">
        <f t="shared" si="23"/>
        <v>3.6859530858814225</v>
      </c>
      <c r="E114" s="5">
        <f t="shared" si="26"/>
        <v>0.35870309232210984</v>
      </c>
      <c r="F114" s="5"/>
      <c r="G114" s="5">
        <f t="shared" si="24"/>
        <v>0.34619142391291524</v>
      </c>
      <c r="K114" s="2">
        <f t="shared" si="30"/>
        <v>0.95000000000000062</v>
      </c>
      <c r="L114" s="2">
        <f t="shared" si="27"/>
        <v>0.97467943448089667</v>
      </c>
      <c r="M114" s="2">
        <v>2</v>
      </c>
      <c r="N114" s="2">
        <f t="shared" si="28"/>
        <v>74.417686838125704</v>
      </c>
      <c r="O114" s="2">
        <f t="shared" si="29"/>
        <v>0.51164626323748585</v>
      </c>
    </row>
    <row r="115" spans="1:15" ht="23">
      <c r="A115" s="5">
        <f t="shared" si="25"/>
        <v>0.97000000000000064</v>
      </c>
      <c r="B115" s="5">
        <f t="shared" si="21"/>
        <v>0.53189032886877763</v>
      </c>
      <c r="C115" s="5">
        <f t="shared" si="22"/>
        <v>0.30741250454976415</v>
      </c>
      <c r="D115" s="5">
        <f t="shared" si="23"/>
        <v>4.0972631668857371</v>
      </c>
      <c r="E115" s="5">
        <f t="shared" si="26"/>
        <v>0.33343097044014031</v>
      </c>
      <c r="F115" s="5"/>
      <c r="G115" s="5">
        <f t="shared" si="24"/>
        <v>0.32054612277093814</v>
      </c>
      <c r="K115" s="2">
        <f t="shared" si="30"/>
        <v>0.96000000000000063</v>
      </c>
      <c r="L115" s="2">
        <f t="shared" si="27"/>
        <v>0.97979589711327153</v>
      </c>
      <c r="M115" s="2">
        <v>2</v>
      </c>
      <c r="N115" s="2">
        <f t="shared" si="28"/>
        <v>74.5505846683036</v>
      </c>
      <c r="O115" s="2">
        <f t="shared" si="29"/>
        <v>0.50898830663392802</v>
      </c>
    </row>
    <row r="116" spans="1:15" ht="23">
      <c r="A116" s="5">
        <f t="shared" si="25"/>
        <v>0.98000000000000065</v>
      </c>
      <c r="B116" s="5">
        <f t="shared" si="21"/>
        <v>0.53496445391427527</v>
      </c>
      <c r="C116" s="5">
        <f t="shared" si="22"/>
        <v>0.28064784417388666</v>
      </c>
      <c r="D116" s="5">
        <f t="shared" si="23"/>
        <v>4.5916931697203767</v>
      </c>
      <c r="E116" s="5">
        <f t="shared" si="26"/>
        <v>0.30741250454976415</v>
      </c>
      <c r="F116" s="5"/>
      <c r="G116" s="5">
        <f t="shared" si="24"/>
        <v>0.2941545170412958</v>
      </c>
      <c r="K116" s="2">
        <f t="shared" si="30"/>
        <v>0.97000000000000064</v>
      </c>
      <c r="L116" s="2">
        <f t="shared" si="27"/>
        <v>0.98488578017961081</v>
      </c>
      <c r="M116" s="2">
        <v>2</v>
      </c>
      <c r="N116" s="2">
        <f t="shared" si="28"/>
        <v>74.681432592219537</v>
      </c>
      <c r="O116" s="2">
        <f t="shared" si="29"/>
        <v>0.50637134815560936</v>
      </c>
    </row>
    <row r="117" spans="1:15" ht="23">
      <c r="A117" s="5">
        <f t="shared" si="25"/>
        <v>0.99000000000000066</v>
      </c>
      <c r="B117" s="5">
        <f t="shared" si="21"/>
        <v>0.53777093235601414</v>
      </c>
      <c r="C117" s="5">
        <f t="shared" si="22"/>
        <v>0.25313735121257319</v>
      </c>
      <c r="D117" s="5">
        <f t="shared" si="23"/>
        <v>5.1979904908386407</v>
      </c>
      <c r="E117" s="5">
        <f t="shared" si="26"/>
        <v>0.28064784417388666</v>
      </c>
      <c r="F117" s="5"/>
      <c r="G117" s="5">
        <f t="shared" si="24"/>
        <v>0.2670168623251713</v>
      </c>
      <c r="K117" s="2">
        <f t="shared" si="30"/>
        <v>0.98000000000000065</v>
      </c>
      <c r="L117" s="2">
        <f t="shared" si="27"/>
        <v>0.98994949366116691</v>
      </c>
      <c r="M117" s="2">
        <v>2</v>
      </c>
      <c r="N117" s="2">
        <f t="shared" si="28"/>
        <v>74.810282772733089</v>
      </c>
      <c r="O117" s="2">
        <f t="shared" si="29"/>
        <v>0.50379434454533811</v>
      </c>
    </row>
    <row r="118" spans="1:15" ht="23">
      <c r="A118" s="5">
        <f t="shared" si="25"/>
        <v>1.0000000000000007</v>
      </c>
      <c r="B118" s="5">
        <f t="shared" si="21"/>
        <v>0.54030230586813988</v>
      </c>
      <c r="C118" s="5">
        <f>(B118-B117)/(A118-A117)</f>
        <v>0.25313735121257319</v>
      </c>
      <c r="D118" s="5">
        <f>ABS(C118-G118)/G118*100</f>
        <v>5.856024710563192</v>
      </c>
      <c r="E118" s="5">
        <f t="shared" si="26"/>
        <v>0.25313735121257319</v>
      </c>
      <c r="F118" s="5"/>
      <c r="G118" s="5">
        <f t="shared" si="24"/>
        <v>0.23913362692838119</v>
      </c>
      <c r="K118" s="2">
        <f t="shared" si="30"/>
        <v>0.99000000000000066</v>
      </c>
      <c r="L118" s="2">
        <f t="shared" si="27"/>
        <v>0.9949874371066203</v>
      </c>
      <c r="M118">
        <v>1</v>
      </c>
      <c r="N118" s="2">
        <f t="shared" si="28"/>
        <v>49.874371066198584</v>
      </c>
      <c r="O118" s="2">
        <f t="shared" si="29"/>
        <v>0.50125628933801414</v>
      </c>
    </row>
    <row r="119" spans="1:15" ht="16">
      <c r="K119" s="2">
        <f>K118+0.01</f>
        <v>1.0000000000000007</v>
      </c>
      <c r="L119" s="2">
        <f t="shared" si="27"/>
        <v>1.0000000000000004</v>
      </c>
      <c r="M119" s="2">
        <f>SUMPRODUCT(L108:L118,M108:M118)/2*(K118-K117)</f>
        <v>0.10165892288906492</v>
      </c>
      <c r="N119" s="2">
        <f t="shared" si="28"/>
        <v>883.68148272753933</v>
      </c>
      <c r="O119" s="2">
        <f t="shared" si="29"/>
        <v>0.99999999999999978</v>
      </c>
    </row>
  </sheetData>
  <mergeCells count="2">
    <mergeCell ref="K1:M1"/>
    <mergeCell ref="K17:M17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Eckhart</dc:creator>
  <cp:lastModifiedBy>Zhen Luo</cp:lastModifiedBy>
  <dcterms:created xsi:type="dcterms:W3CDTF">2015-06-05T18:17:20Z</dcterms:created>
  <dcterms:modified xsi:type="dcterms:W3CDTF">2020-05-13T01:41:09Z</dcterms:modified>
</cp:coreProperties>
</file>