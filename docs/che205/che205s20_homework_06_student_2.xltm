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enata\Desktop\Che205\"/>
    </mc:Choice>
  </mc:AlternateContent>
  <xr:revisionPtr revIDLastSave="0" documentId="13_ncr:1_{E17B08EE-DA76-4D0D-AF5F-801701CB497E}" xr6:coauthVersionLast="45" xr6:coauthVersionMax="45" xr10:uidLastSave="{00000000-0000-0000-0000-000000000000}"/>
  <bookViews>
    <workbookView xWindow="-120" yWindow="-120" windowWidth="20730" windowHeight="11160" activeTab="2" xr2:uid="{2BD05788-06FE-464D-9D60-5A97676737E7}"/>
  </bookViews>
  <sheets>
    <sheet name="a)" sheetId="1" r:id="rId1"/>
    <sheet name="b)" sheetId="2" r:id="rId2"/>
    <sheet name="c) M1" sheetId="3" r:id="rId3"/>
    <sheet name="d) M2" sheetId="4" r:id="rId4"/>
    <sheet name="e)" sheetId="5" r:id="rId5"/>
  </sheets>
  <definedNames>
    <definedName name="b_1">'a)'!$J$2</definedName>
    <definedName name="b_2">'a)'!$J$3</definedName>
    <definedName name="b_3">'a)'!$J$4</definedName>
    <definedName name="h_1">'a)'!$D$7</definedName>
    <definedName name="h_2">'a)'!$H$7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12" i="5" l="1"/>
  <c r="O12" i="5"/>
  <c r="O11" i="5"/>
  <c r="C10" i="5"/>
  <c r="N11" i="5"/>
  <c r="B10" i="5"/>
  <c r="P11" i="5"/>
  <c r="Q11" i="5"/>
  <c r="R11" i="5" s="1"/>
  <c r="S11" i="5" s="1"/>
  <c r="T11" i="5"/>
  <c r="U11" i="5"/>
  <c r="V11" i="5" s="1"/>
  <c r="W11" i="5" s="1"/>
  <c r="P12" i="5"/>
  <c r="N13" i="5" s="1"/>
  <c r="Q12" i="5"/>
  <c r="R12" i="5" s="1"/>
  <c r="S12" i="5" s="1"/>
  <c r="T12" i="5"/>
  <c r="U12" i="5"/>
  <c r="V12" i="5" s="1"/>
  <c r="W12" i="5" s="1"/>
  <c r="W10" i="5"/>
  <c r="K9" i="5"/>
  <c r="V10" i="5"/>
  <c r="J9" i="5"/>
  <c r="U10" i="5"/>
  <c r="I9" i="5"/>
  <c r="T10" i="5"/>
  <c r="H9" i="5"/>
  <c r="S10" i="5"/>
  <c r="G9" i="5"/>
  <c r="R10" i="5"/>
  <c r="Q10" i="5"/>
  <c r="E9" i="5"/>
  <c r="P10" i="5"/>
  <c r="D9" i="5"/>
  <c r="F9" i="5"/>
  <c r="P13" i="5" l="1"/>
  <c r="N14" i="5" s="1"/>
  <c r="T13" i="5"/>
  <c r="Q13" i="5"/>
  <c r="R13" i="5" s="1"/>
  <c r="S13" i="5" s="1"/>
  <c r="U13" i="5"/>
  <c r="V13" i="5" s="1"/>
  <c r="W13" i="5" s="1"/>
  <c r="O13" i="5"/>
  <c r="O14" i="5" s="1"/>
  <c r="P14" i="5" l="1"/>
  <c r="N15" i="5" s="1"/>
  <c r="T14" i="5"/>
  <c r="Q14" i="5"/>
  <c r="R14" i="5" s="1"/>
  <c r="S14" i="5" s="1"/>
  <c r="U14" i="5"/>
  <c r="V14" i="5" s="1"/>
  <c r="W14" i="5" s="1"/>
  <c r="O15" i="5"/>
  <c r="P15" i="5" l="1"/>
  <c r="N16" i="5" s="1"/>
  <c r="T15" i="5"/>
  <c r="Q15" i="5"/>
  <c r="R15" i="5" s="1"/>
  <c r="S15" i="5" s="1"/>
  <c r="U15" i="5"/>
  <c r="V15" i="5" s="1"/>
  <c r="W15" i="5" s="1"/>
  <c r="O16" i="5"/>
  <c r="P16" i="5" l="1"/>
  <c r="N17" i="5" s="1"/>
  <c r="T16" i="5"/>
  <c r="Q16" i="5"/>
  <c r="R16" i="5" s="1"/>
  <c r="S16" i="5" s="1"/>
  <c r="U16" i="5"/>
  <c r="V16" i="5" s="1"/>
  <c r="W16" i="5" s="1"/>
  <c r="O17" i="5"/>
  <c r="P17" i="5" l="1"/>
  <c r="N18" i="5" s="1"/>
  <c r="T17" i="5"/>
  <c r="Q17" i="5"/>
  <c r="R17" i="5" s="1"/>
  <c r="S17" i="5" s="1"/>
  <c r="U17" i="5"/>
  <c r="V17" i="5" s="1"/>
  <c r="W17" i="5" s="1"/>
  <c r="O18" i="5"/>
  <c r="P18" i="5" l="1"/>
  <c r="N19" i="5" s="1"/>
  <c r="T18" i="5"/>
  <c r="Q18" i="5"/>
  <c r="R18" i="5" s="1"/>
  <c r="S18" i="5" s="1"/>
  <c r="U18" i="5"/>
  <c r="V18" i="5" s="1"/>
  <c r="W18" i="5" s="1"/>
  <c r="O19" i="5"/>
  <c r="P19" i="5" l="1"/>
  <c r="N20" i="5" s="1"/>
  <c r="T19" i="5"/>
  <c r="Q19" i="5"/>
  <c r="R19" i="5" s="1"/>
  <c r="S19" i="5" s="1"/>
  <c r="U19" i="5"/>
  <c r="V19" i="5" s="1"/>
  <c r="W19" i="5" s="1"/>
  <c r="O20" i="5"/>
  <c r="P20" i="5" l="1"/>
  <c r="T20" i="5"/>
  <c r="Q20" i="5"/>
  <c r="R20" i="5" s="1"/>
  <c r="S20" i="5" s="1"/>
  <c r="U20" i="5"/>
  <c r="V20" i="5" s="1"/>
  <c r="W20" i="5" s="1"/>
  <c r="D11" i="2" l="1"/>
  <c r="D12" i="2"/>
  <c r="D13" i="2" s="1"/>
  <c r="D14" i="2" s="1"/>
  <c r="D15" i="2" s="1"/>
  <c r="D16" i="2" s="1"/>
  <c r="D17" i="2" s="1"/>
  <c r="D18" i="2" s="1"/>
  <c r="D19" i="2" s="1"/>
  <c r="D20" i="2" s="1"/>
  <c r="D21" i="2" s="1"/>
  <c r="D22" i="2" s="1"/>
  <c r="D23" i="2" s="1"/>
  <c r="D24" i="2" s="1"/>
  <c r="D25" i="2" s="1"/>
  <c r="D26" i="2" s="1"/>
  <c r="D27" i="2" s="1"/>
  <c r="D28" i="2" s="1"/>
  <c r="D29" i="2" s="1"/>
  <c r="D30" i="2" s="1"/>
  <c r="D31" i="2" s="1"/>
  <c r="D32" i="2" s="1"/>
  <c r="D33" i="2" s="1"/>
  <c r="D34" i="2" s="1"/>
  <c r="D35" i="2" s="1"/>
  <c r="D36" i="2" s="1"/>
  <c r="D37" i="2" s="1"/>
  <c r="D38" i="2" s="1"/>
  <c r="D39" i="2" s="1"/>
  <c r="D40" i="2" s="1"/>
  <c r="D41" i="2" s="1"/>
  <c r="D42" i="2" s="1"/>
  <c r="D43" i="2" s="1"/>
  <c r="D44" i="2" s="1"/>
  <c r="D45" i="2" s="1"/>
  <c r="D46" i="2" s="1"/>
  <c r="D47" i="2" s="1"/>
  <c r="D48" i="2" s="1"/>
  <c r="D49" i="2" s="1"/>
  <c r="D50" i="2" s="1"/>
  <c r="D51" i="2" s="1"/>
  <c r="D52" i="2" s="1"/>
  <c r="D53" i="2" s="1"/>
  <c r="D54" i="2" s="1"/>
  <c r="D55" i="2" s="1"/>
  <c r="D56" i="2" s="1"/>
  <c r="D57" i="2" s="1"/>
  <c r="D58" i="2" s="1"/>
  <c r="D59" i="2" s="1"/>
  <c r="D60" i="2" s="1"/>
  <c r="D61" i="2" s="1"/>
  <c r="D62" i="2" s="1"/>
  <c r="D63" i="2" s="1"/>
  <c r="D64" i="2" s="1"/>
  <c r="D65" i="2" s="1"/>
  <c r="D66" i="2" s="1"/>
  <c r="D67" i="2" s="1"/>
  <c r="D68" i="2" s="1"/>
  <c r="D69" i="2" s="1"/>
  <c r="D70" i="2" s="1"/>
  <c r="D71" i="2" s="1"/>
  <c r="D72" i="2" s="1"/>
  <c r="D73" i="2" s="1"/>
  <c r="D74" i="2" s="1"/>
  <c r="D75" i="2" s="1"/>
  <c r="D76" i="2" s="1"/>
  <c r="D77" i="2" s="1"/>
  <c r="D78" i="2" s="1"/>
  <c r="D79" i="2" s="1"/>
  <c r="D80" i="2" s="1"/>
  <c r="D81" i="2" s="1"/>
  <c r="D82" i="2" s="1"/>
  <c r="D83" i="2" s="1"/>
  <c r="D84" i="2" s="1"/>
  <c r="D85" i="2" s="1"/>
  <c r="D86" i="2"/>
  <c r="D87" i="2" s="1"/>
  <c r="D88" i="2" s="1"/>
  <c r="D89" i="2" s="1"/>
  <c r="D90" i="2" s="1"/>
  <c r="D91" i="2" s="1"/>
  <c r="D92" i="2" s="1"/>
  <c r="D93" i="2" s="1"/>
  <c r="D94" i="2" s="1"/>
  <c r="D95" i="2" s="1"/>
  <c r="D96" i="2" s="1"/>
  <c r="D97" i="2" s="1"/>
  <c r="D98" i="2" s="1"/>
  <c r="D99" i="2" s="1"/>
  <c r="D100" i="2" s="1"/>
  <c r="D101" i="2" s="1"/>
  <c r="D102" i="2" s="1"/>
  <c r="D103" i="2" s="1"/>
  <c r="D104" i="2" s="1"/>
  <c r="D105" i="2" s="1"/>
  <c r="D106" i="2" s="1"/>
  <c r="D107" i="2" s="1"/>
  <c r="D108" i="2" s="1"/>
  <c r="D109" i="2" s="1"/>
  <c r="C11" i="2"/>
  <c r="D10" i="2"/>
  <c r="C10" i="2"/>
  <c r="L11" i="2"/>
  <c r="L12" i="2"/>
  <c r="L13" i="2" s="1"/>
  <c r="L14" i="2" s="1"/>
  <c r="L15" i="2" s="1"/>
  <c r="L16" i="2" s="1"/>
  <c r="L17" i="2" s="1"/>
  <c r="L18" i="2" s="1"/>
  <c r="L19" i="2" s="1"/>
  <c r="K11" i="2"/>
  <c r="L10" i="2"/>
  <c r="K10" i="2"/>
  <c r="H10" i="5" l="1"/>
  <c r="D10" i="5"/>
  <c r="E10" i="5" s="1"/>
  <c r="F10" i="5" s="1"/>
  <c r="G10" i="5" s="1"/>
  <c r="M10" i="2"/>
  <c r="N10" i="2" s="1"/>
  <c r="O10" i="2"/>
  <c r="P10" i="2" s="1"/>
  <c r="M11" i="2"/>
  <c r="O11" i="2"/>
  <c r="P11" i="2" s="1"/>
  <c r="O9" i="2"/>
  <c r="P9" i="2" s="1"/>
  <c r="G9" i="2"/>
  <c r="H9" i="2" s="1"/>
  <c r="M9" i="2"/>
  <c r="N9" i="2" s="1"/>
  <c r="E9" i="2"/>
  <c r="F9" i="2" s="1"/>
  <c r="E10" i="2"/>
  <c r="F10" i="2" s="1"/>
  <c r="G10" i="2"/>
  <c r="H10" i="2" s="1"/>
  <c r="E11" i="2"/>
  <c r="G11" i="2"/>
  <c r="H11" i="2" s="1"/>
  <c r="H10" i="1"/>
  <c r="D10" i="1"/>
  <c r="G10" i="1"/>
  <c r="G11" i="1" s="1"/>
  <c r="G12" i="1" s="1"/>
  <c r="G13" i="1" s="1"/>
  <c r="G14" i="1" s="1"/>
  <c r="G15" i="1" s="1"/>
  <c r="G16" i="1" s="1"/>
  <c r="G17" i="1" s="1"/>
  <c r="G18" i="1" s="1"/>
  <c r="G19" i="1" s="1"/>
  <c r="C10" i="1"/>
  <c r="C11" i="1" s="1"/>
  <c r="C12" i="1" s="1"/>
  <c r="C13" i="1" s="1"/>
  <c r="C14" i="1" s="1"/>
  <c r="C15" i="1" s="1"/>
  <c r="C16" i="1" s="1"/>
  <c r="C17" i="1" s="1"/>
  <c r="C18" i="1" s="1"/>
  <c r="C19" i="1" s="1"/>
  <c r="C20" i="1" s="1"/>
  <c r="C21" i="1" s="1"/>
  <c r="C22" i="1" s="1"/>
  <c r="C23" i="1" s="1"/>
  <c r="C24" i="1" s="1"/>
  <c r="C25" i="1" s="1"/>
  <c r="C26" i="1" s="1"/>
  <c r="C27" i="1" s="1"/>
  <c r="C28" i="1" s="1"/>
  <c r="C29" i="1" s="1"/>
  <c r="C30" i="1" s="1"/>
  <c r="C31" i="1" s="1"/>
  <c r="C32" i="1" s="1"/>
  <c r="C33" i="1" s="1"/>
  <c r="C34" i="1" s="1"/>
  <c r="C35" i="1" s="1"/>
  <c r="C36" i="1" s="1"/>
  <c r="C37" i="1" s="1"/>
  <c r="C38" i="1" s="1"/>
  <c r="C39" i="1" s="1"/>
  <c r="C40" i="1" s="1"/>
  <c r="C41" i="1" s="1"/>
  <c r="C42" i="1" s="1"/>
  <c r="C43" i="1" s="1"/>
  <c r="C44" i="1" s="1"/>
  <c r="C45" i="1" s="1"/>
  <c r="C46" i="1" s="1"/>
  <c r="C47" i="1" s="1"/>
  <c r="C48" i="1" s="1"/>
  <c r="C49" i="1" s="1"/>
  <c r="C50" i="1" s="1"/>
  <c r="C51" i="1" s="1"/>
  <c r="C52" i="1" s="1"/>
  <c r="C53" i="1" s="1"/>
  <c r="C54" i="1" s="1"/>
  <c r="C55" i="1" s="1"/>
  <c r="C56" i="1" s="1"/>
  <c r="C57" i="1" s="1"/>
  <c r="C58" i="1" s="1"/>
  <c r="C59" i="1" s="1"/>
  <c r="C60" i="1" s="1"/>
  <c r="C61" i="1" s="1"/>
  <c r="C62" i="1" s="1"/>
  <c r="C63" i="1" s="1"/>
  <c r="C64" i="1" s="1"/>
  <c r="C65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1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I10" i="5" l="1"/>
  <c r="J10" i="5" s="1"/>
  <c r="K10" i="5" s="1"/>
  <c r="B11" i="5"/>
  <c r="F11" i="2"/>
  <c r="C12" i="2"/>
  <c r="N11" i="2"/>
  <c r="K12" i="2"/>
  <c r="H11" i="1"/>
  <c r="H12" i="1" s="1"/>
  <c r="H13" i="1" s="1"/>
  <c r="H14" i="1" s="1"/>
  <c r="H15" i="1" s="1"/>
  <c r="H16" i="1" s="1"/>
  <c r="H17" i="1" s="1"/>
  <c r="H18" i="1" s="1"/>
  <c r="H19" i="1" s="1"/>
  <c r="D11" i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D64" i="1" s="1"/>
  <c r="D65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1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H11" i="5" l="1"/>
  <c r="I11" i="5" s="1"/>
  <c r="J11" i="5" s="1"/>
  <c r="K11" i="5" s="1"/>
  <c r="C11" i="5"/>
  <c r="D11" i="5"/>
  <c r="E11" i="5" s="1"/>
  <c r="F11" i="5" s="1"/>
  <c r="G11" i="5" s="1"/>
  <c r="E12" i="2"/>
  <c r="F12" i="2" s="1"/>
  <c r="G12" i="2"/>
  <c r="H12" i="2" s="1"/>
  <c r="M12" i="2"/>
  <c r="N12" i="2" s="1"/>
  <c r="O12" i="2"/>
  <c r="P12" i="2" s="1"/>
  <c r="C12" i="5" l="1"/>
  <c r="B12" i="5"/>
  <c r="C13" i="2"/>
  <c r="K13" i="2"/>
  <c r="H12" i="5" l="1"/>
  <c r="I12" i="5" s="1"/>
  <c r="J12" i="5" s="1"/>
  <c r="K12" i="5" s="1"/>
  <c r="D12" i="5"/>
  <c r="E12" i="5" s="1"/>
  <c r="F12" i="5" s="1"/>
  <c r="G12" i="5" s="1"/>
  <c r="B13" i="5" s="1"/>
  <c r="E13" i="2"/>
  <c r="F13" i="2" s="1"/>
  <c r="G13" i="2"/>
  <c r="H13" i="2" s="1"/>
  <c r="M13" i="2"/>
  <c r="N13" i="2" s="1"/>
  <c r="O13" i="2"/>
  <c r="P13" i="2" s="1"/>
  <c r="H13" i="5" l="1"/>
  <c r="I13" i="5" s="1"/>
  <c r="J13" i="5" s="1"/>
  <c r="K13" i="5" s="1"/>
  <c r="C13" i="5"/>
  <c r="D13" i="5"/>
  <c r="E13" i="5" s="1"/>
  <c r="F13" i="5" s="1"/>
  <c r="C14" i="2"/>
  <c r="K14" i="2"/>
  <c r="C14" i="5" l="1"/>
  <c r="G13" i="5"/>
  <c r="B14" i="5" s="1"/>
  <c r="E14" i="2"/>
  <c r="F14" i="2" s="1"/>
  <c r="G14" i="2"/>
  <c r="H14" i="2" s="1"/>
  <c r="M14" i="2"/>
  <c r="N14" i="2" s="1"/>
  <c r="O14" i="2"/>
  <c r="P14" i="2" s="1"/>
  <c r="H14" i="5" l="1"/>
  <c r="I14" i="5" s="1"/>
  <c r="J14" i="5" s="1"/>
  <c r="K14" i="5" s="1"/>
  <c r="D14" i="5"/>
  <c r="E14" i="5" s="1"/>
  <c r="F14" i="5" s="1"/>
  <c r="C15" i="2"/>
  <c r="K15" i="2"/>
  <c r="C15" i="5" l="1"/>
  <c r="G14" i="5"/>
  <c r="B15" i="5" s="1"/>
  <c r="E15" i="2"/>
  <c r="F15" i="2" s="1"/>
  <c r="G15" i="2"/>
  <c r="H15" i="2" s="1"/>
  <c r="M15" i="2"/>
  <c r="N15" i="2" s="1"/>
  <c r="O15" i="2"/>
  <c r="P15" i="2" s="1"/>
  <c r="H15" i="5" l="1"/>
  <c r="I15" i="5" s="1"/>
  <c r="J15" i="5" s="1"/>
  <c r="K15" i="5" s="1"/>
  <c r="D15" i="5"/>
  <c r="E15" i="5" s="1"/>
  <c r="F15" i="5" s="1"/>
  <c r="C16" i="2"/>
  <c r="K16" i="2"/>
  <c r="C16" i="5" l="1"/>
  <c r="G15" i="5"/>
  <c r="B16" i="5" s="1"/>
  <c r="E16" i="2"/>
  <c r="F16" i="2" s="1"/>
  <c r="G16" i="2"/>
  <c r="H16" i="2" s="1"/>
  <c r="M16" i="2"/>
  <c r="N16" i="2" s="1"/>
  <c r="O16" i="2"/>
  <c r="P16" i="2" s="1"/>
  <c r="H16" i="5" l="1"/>
  <c r="I16" i="5" s="1"/>
  <c r="J16" i="5" s="1"/>
  <c r="K16" i="5" s="1"/>
  <c r="D16" i="5"/>
  <c r="E16" i="5" s="1"/>
  <c r="F16" i="5" s="1"/>
  <c r="G16" i="5" s="1"/>
  <c r="C17" i="2"/>
  <c r="K17" i="2"/>
  <c r="C17" i="5" l="1"/>
  <c r="B17" i="5"/>
  <c r="E17" i="2"/>
  <c r="F17" i="2" s="1"/>
  <c r="G17" i="2"/>
  <c r="H17" i="2" s="1"/>
  <c r="M17" i="2"/>
  <c r="N17" i="2" s="1"/>
  <c r="O17" i="2"/>
  <c r="P17" i="2" s="1"/>
  <c r="H17" i="5" l="1"/>
  <c r="I17" i="5" s="1"/>
  <c r="J17" i="5" s="1"/>
  <c r="K17" i="5" s="1"/>
  <c r="D17" i="5"/>
  <c r="E17" i="5" s="1"/>
  <c r="F17" i="5" s="1"/>
  <c r="C18" i="2"/>
  <c r="K18" i="2"/>
  <c r="C18" i="5" l="1"/>
  <c r="G17" i="5"/>
  <c r="B18" i="5" s="1"/>
  <c r="E18" i="2"/>
  <c r="F18" i="2" s="1"/>
  <c r="G18" i="2"/>
  <c r="H18" i="2" s="1"/>
  <c r="M18" i="2"/>
  <c r="N18" i="2" s="1"/>
  <c r="O18" i="2"/>
  <c r="P18" i="2" s="1"/>
  <c r="H18" i="5" l="1"/>
  <c r="I18" i="5" s="1"/>
  <c r="J18" i="5" s="1"/>
  <c r="K18" i="5" s="1"/>
  <c r="D18" i="5"/>
  <c r="E18" i="5" s="1"/>
  <c r="F18" i="5" s="1"/>
  <c r="C19" i="2"/>
  <c r="K19" i="2"/>
  <c r="C19" i="5" l="1"/>
  <c r="G18" i="5"/>
  <c r="B19" i="5" s="1"/>
  <c r="E19" i="2"/>
  <c r="G19" i="2"/>
  <c r="H19" i="2"/>
  <c r="M19" i="2"/>
  <c r="N19" i="2" s="1"/>
  <c r="O19" i="2"/>
  <c r="P19" i="2" s="1"/>
  <c r="H19" i="5" l="1"/>
  <c r="I19" i="5" s="1"/>
  <c r="J19" i="5" s="1"/>
  <c r="K19" i="5" s="1"/>
  <c r="D19" i="5"/>
  <c r="E19" i="5" s="1"/>
  <c r="F19" i="5" s="1"/>
  <c r="G19" i="5" s="1"/>
  <c r="F19" i="2"/>
  <c r="C20" i="2" s="1"/>
  <c r="C20" i="5" l="1"/>
  <c r="B20" i="5"/>
  <c r="E20" i="2"/>
  <c r="C21" i="2" s="1"/>
  <c r="G20" i="2"/>
  <c r="H20" i="2"/>
  <c r="F20" i="2"/>
  <c r="H20" i="5" l="1"/>
  <c r="I20" i="5" s="1"/>
  <c r="J20" i="5" s="1"/>
  <c r="K20" i="5" s="1"/>
  <c r="D20" i="5"/>
  <c r="E20" i="5" s="1"/>
  <c r="F20" i="5" s="1"/>
  <c r="E21" i="2"/>
  <c r="C22" i="2" s="1"/>
  <c r="G21" i="2"/>
  <c r="H21" i="2" s="1"/>
  <c r="F21" i="2"/>
  <c r="C21" i="5" l="1"/>
  <c r="G20" i="5"/>
  <c r="B21" i="5" s="1"/>
  <c r="E22" i="2"/>
  <c r="G22" i="2"/>
  <c r="H22" i="2"/>
  <c r="H21" i="5" l="1"/>
  <c r="I21" i="5" s="1"/>
  <c r="J21" i="5" s="1"/>
  <c r="K21" i="5" s="1"/>
  <c r="D21" i="5"/>
  <c r="E21" i="5" s="1"/>
  <c r="F21" i="5" s="1"/>
  <c r="G21" i="5" s="1"/>
  <c r="F22" i="2"/>
  <c r="C23" i="2" s="1"/>
  <c r="C22" i="5" l="1"/>
  <c r="B22" i="5"/>
  <c r="E23" i="2"/>
  <c r="G23" i="2"/>
  <c r="H23" i="2"/>
  <c r="H22" i="5" l="1"/>
  <c r="I22" i="5" s="1"/>
  <c r="J22" i="5" s="1"/>
  <c r="K22" i="5" s="1"/>
  <c r="D22" i="5"/>
  <c r="E22" i="5" s="1"/>
  <c r="F22" i="5" s="1"/>
  <c r="G22" i="5" s="1"/>
  <c r="F23" i="2"/>
  <c r="C24" i="2" s="1"/>
  <c r="C23" i="5" l="1"/>
  <c r="B23" i="5"/>
  <c r="E24" i="2"/>
  <c r="G24" i="2"/>
  <c r="H24" i="2"/>
  <c r="H23" i="5" l="1"/>
  <c r="I23" i="5" s="1"/>
  <c r="J23" i="5" s="1"/>
  <c r="K23" i="5" s="1"/>
  <c r="D23" i="5"/>
  <c r="E23" i="5" s="1"/>
  <c r="F23" i="5" s="1"/>
  <c r="F24" i="2"/>
  <c r="C25" i="2" s="1"/>
  <c r="C24" i="5" l="1"/>
  <c r="G23" i="5"/>
  <c r="B24" i="5" s="1"/>
  <c r="E25" i="2"/>
  <c r="G25" i="2"/>
  <c r="H25" i="2"/>
  <c r="H24" i="5" l="1"/>
  <c r="I24" i="5" s="1"/>
  <c r="J24" i="5" s="1"/>
  <c r="K24" i="5" s="1"/>
  <c r="D24" i="5"/>
  <c r="E24" i="5" s="1"/>
  <c r="F25" i="2"/>
  <c r="C26" i="2" s="1"/>
  <c r="C25" i="5" l="1"/>
  <c r="F24" i="5"/>
  <c r="G24" i="5" s="1"/>
  <c r="E26" i="2"/>
  <c r="G26" i="2"/>
  <c r="H26" i="2"/>
  <c r="B25" i="5" l="1"/>
  <c r="F26" i="2"/>
  <c r="C27" i="2" s="1"/>
  <c r="H25" i="5" l="1"/>
  <c r="D25" i="5"/>
  <c r="E25" i="5" s="1"/>
  <c r="F25" i="5" s="1"/>
  <c r="G25" i="5" s="1"/>
  <c r="E27" i="2"/>
  <c r="G27" i="2"/>
  <c r="H27" i="2"/>
  <c r="I25" i="5" l="1"/>
  <c r="J25" i="5" s="1"/>
  <c r="K25" i="5" s="1"/>
  <c r="B26" i="5"/>
  <c r="F27" i="2"/>
  <c r="C28" i="2" s="1"/>
  <c r="H26" i="5" l="1"/>
  <c r="I26" i="5" s="1"/>
  <c r="J26" i="5" s="1"/>
  <c r="K26" i="5" s="1"/>
  <c r="C26" i="5"/>
  <c r="D26" i="5"/>
  <c r="E26" i="5" s="1"/>
  <c r="E28" i="2"/>
  <c r="G28" i="2"/>
  <c r="H28" i="2"/>
  <c r="C27" i="5" l="1"/>
  <c r="F26" i="5"/>
  <c r="G26" i="5" s="1"/>
  <c r="F28" i="2"/>
  <c r="C29" i="2" s="1"/>
  <c r="B27" i="5" l="1"/>
  <c r="E29" i="2"/>
  <c r="G29" i="2"/>
  <c r="H29" i="2"/>
  <c r="H27" i="5" l="1"/>
  <c r="D27" i="5"/>
  <c r="E27" i="5" s="1"/>
  <c r="F27" i="5" s="1"/>
  <c r="G27" i="5" s="1"/>
  <c r="B28" i="5" s="1"/>
  <c r="F29" i="2"/>
  <c r="C30" i="2" s="1"/>
  <c r="H28" i="5" l="1"/>
  <c r="I28" i="5" s="1"/>
  <c r="J28" i="5" s="1"/>
  <c r="K28" i="5" s="1"/>
  <c r="I27" i="5"/>
  <c r="J27" i="5" s="1"/>
  <c r="K27" i="5" s="1"/>
  <c r="D28" i="5"/>
  <c r="E28" i="5" s="1"/>
  <c r="F28" i="5" s="1"/>
  <c r="E30" i="2"/>
  <c r="G30" i="2"/>
  <c r="H30" i="2"/>
  <c r="C28" i="5" l="1"/>
  <c r="C29" i="5" s="1"/>
  <c r="G28" i="5"/>
  <c r="B29" i="5" s="1"/>
  <c r="F30" i="2"/>
  <c r="C31" i="2" s="1"/>
  <c r="H29" i="5" l="1"/>
  <c r="I29" i="5" s="1"/>
  <c r="J29" i="5" s="1"/>
  <c r="K29" i="5" s="1"/>
  <c r="D29" i="5"/>
  <c r="E29" i="5" s="1"/>
  <c r="E31" i="2"/>
  <c r="G31" i="2"/>
  <c r="H31" i="2"/>
  <c r="C30" i="5" l="1"/>
  <c r="F29" i="5"/>
  <c r="G29" i="5" s="1"/>
  <c r="F31" i="2"/>
  <c r="C32" i="2" s="1"/>
  <c r="B30" i="5" l="1"/>
  <c r="E32" i="2"/>
  <c r="G32" i="2"/>
  <c r="H32" i="2"/>
  <c r="H30" i="5" l="1"/>
  <c r="D30" i="5"/>
  <c r="E30" i="5" s="1"/>
  <c r="F30" i="5" s="1"/>
  <c r="G30" i="5" s="1"/>
  <c r="B31" i="5" s="1"/>
  <c r="F32" i="2"/>
  <c r="C33" i="2" s="1"/>
  <c r="H31" i="5" l="1"/>
  <c r="I31" i="5" s="1"/>
  <c r="J31" i="5" s="1"/>
  <c r="K31" i="5" s="1"/>
  <c r="I30" i="5"/>
  <c r="J30" i="5" s="1"/>
  <c r="K30" i="5" s="1"/>
  <c r="D31" i="5"/>
  <c r="E31" i="5" s="1"/>
  <c r="F31" i="5" s="1"/>
  <c r="G31" i="5" s="1"/>
  <c r="E33" i="2"/>
  <c r="G33" i="2"/>
  <c r="H33" i="2"/>
  <c r="C31" i="5" l="1"/>
  <c r="C32" i="5" s="1"/>
  <c r="B32" i="5"/>
  <c r="F33" i="2"/>
  <c r="C34" i="2" s="1"/>
  <c r="H32" i="5" l="1"/>
  <c r="I32" i="5" s="1"/>
  <c r="J32" i="5" s="1"/>
  <c r="K32" i="5" s="1"/>
  <c r="D32" i="5"/>
  <c r="E32" i="5" s="1"/>
  <c r="F32" i="5" s="1"/>
  <c r="G32" i="5" s="1"/>
  <c r="E34" i="2"/>
  <c r="G34" i="2"/>
  <c r="H34" i="2"/>
  <c r="C33" i="5" l="1"/>
  <c r="B33" i="5"/>
  <c r="F34" i="2"/>
  <c r="C35" i="2" s="1"/>
  <c r="H33" i="5" l="1"/>
  <c r="I33" i="5" s="1"/>
  <c r="J33" i="5" s="1"/>
  <c r="K33" i="5" s="1"/>
  <c r="D33" i="5"/>
  <c r="E33" i="5" s="1"/>
  <c r="F33" i="5" s="1"/>
  <c r="G33" i="5" s="1"/>
  <c r="E35" i="2"/>
  <c r="G35" i="2"/>
  <c r="H35" i="2"/>
  <c r="C34" i="5" l="1"/>
  <c r="B34" i="5"/>
  <c r="F35" i="2"/>
  <c r="C36" i="2" s="1"/>
  <c r="H34" i="5" l="1"/>
  <c r="I34" i="5" s="1"/>
  <c r="J34" i="5" s="1"/>
  <c r="K34" i="5" s="1"/>
  <c r="D34" i="5"/>
  <c r="E34" i="5" s="1"/>
  <c r="F34" i="5" s="1"/>
  <c r="G34" i="5" s="1"/>
  <c r="B35" i="5" s="1"/>
  <c r="E36" i="2"/>
  <c r="G36" i="2"/>
  <c r="H36" i="2"/>
  <c r="H35" i="5" l="1"/>
  <c r="I35" i="5" s="1"/>
  <c r="J35" i="5" s="1"/>
  <c r="K35" i="5" s="1"/>
  <c r="C35" i="5"/>
  <c r="D35" i="5"/>
  <c r="E35" i="5" s="1"/>
  <c r="F35" i="5" s="1"/>
  <c r="G35" i="5" s="1"/>
  <c r="F36" i="2"/>
  <c r="C37" i="2" s="1"/>
  <c r="C36" i="5" l="1"/>
  <c r="B36" i="5"/>
  <c r="E37" i="2"/>
  <c r="G37" i="2"/>
  <c r="H37" i="2"/>
  <c r="H36" i="5" l="1"/>
  <c r="I36" i="5" s="1"/>
  <c r="J36" i="5" s="1"/>
  <c r="K36" i="5" s="1"/>
  <c r="D36" i="5"/>
  <c r="E36" i="5" s="1"/>
  <c r="F37" i="2"/>
  <c r="C38" i="2" s="1"/>
  <c r="C37" i="5" l="1"/>
  <c r="F36" i="5"/>
  <c r="G36" i="5" s="1"/>
  <c r="E38" i="2"/>
  <c r="G38" i="2"/>
  <c r="H38" i="2"/>
  <c r="B37" i="5" l="1"/>
  <c r="F38" i="2"/>
  <c r="C39" i="2" s="1"/>
  <c r="D37" i="5" l="1"/>
  <c r="E37" i="5" s="1"/>
  <c r="F37" i="5" s="1"/>
  <c r="G37" i="5" s="1"/>
  <c r="H37" i="5"/>
  <c r="I37" i="5" s="1"/>
  <c r="J37" i="5" s="1"/>
  <c r="K37" i="5" s="1"/>
  <c r="E39" i="2"/>
  <c r="G39" i="2"/>
  <c r="H39" i="2"/>
  <c r="B38" i="5" l="1"/>
  <c r="D38" i="5"/>
  <c r="E38" i="5" s="1"/>
  <c r="F38" i="5" s="1"/>
  <c r="G38" i="5" s="1"/>
  <c r="B39" i="5" s="1"/>
  <c r="D39" i="5" s="1"/>
  <c r="E39" i="5" s="1"/>
  <c r="F39" i="5" s="1"/>
  <c r="G39" i="5" s="1"/>
  <c r="H38" i="5"/>
  <c r="I38" i="5" s="1"/>
  <c r="J38" i="5" s="1"/>
  <c r="K38" i="5" s="1"/>
  <c r="C38" i="5"/>
  <c r="F39" i="2"/>
  <c r="C40" i="2" s="1"/>
  <c r="C39" i="5" l="1"/>
  <c r="I39" i="5"/>
  <c r="J39" i="5" s="1"/>
  <c r="K39" i="5" s="1"/>
  <c r="H39" i="5"/>
  <c r="B40" i="5"/>
  <c r="E40" i="2"/>
  <c r="G40" i="2"/>
  <c r="H40" i="2"/>
  <c r="H40" i="5" l="1"/>
  <c r="I40" i="5" s="1"/>
  <c r="J40" i="5" s="1"/>
  <c r="K40" i="5" s="1"/>
  <c r="C40" i="5"/>
  <c r="D40" i="5"/>
  <c r="E40" i="5" s="1"/>
  <c r="F40" i="5" s="1"/>
  <c r="G40" i="5" s="1"/>
  <c r="B41" i="5" s="1"/>
  <c r="F40" i="2"/>
  <c r="C41" i="2" s="1"/>
  <c r="H41" i="5" l="1"/>
  <c r="I41" i="5" s="1"/>
  <c r="J41" i="5" s="1"/>
  <c r="K41" i="5" s="1"/>
  <c r="C41" i="5"/>
  <c r="D41" i="5"/>
  <c r="E41" i="5" s="1"/>
  <c r="F41" i="5" s="1"/>
  <c r="G41" i="5" s="1"/>
  <c r="E41" i="2"/>
  <c r="G41" i="2"/>
  <c r="H41" i="2"/>
  <c r="C42" i="5" l="1"/>
  <c r="B42" i="5"/>
  <c r="F41" i="2"/>
  <c r="C42" i="2" s="1"/>
  <c r="H42" i="5" l="1"/>
  <c r="I42" i="5" s="1"/>
  <c r="J42" i="5" s="1"/>
  <c r="K42" i="5" s="1"/>
  <c r="D42" i="5"/>
  <c r="E42" i="5" s="1"/>
  <c r="F42" i="5" s="1"/>
  <c r="G42" i="5" s="1"/>
  <c r="E42" i="2"/>
  <c r="G42" i="2"/>
  <c r="H42" i="2"/>
  <c r="C43" i="5" l="1"/>
  <c r="B43" i="5"/>
  <c r="F42" i="2"/>
  <c r="C43" i="2" s="1"/>
  <c r="H43" i="5" l="1"/>
  <c r="I43" i="5" s="1"/>
  <c r="J43" i="5" s="1"/>
  <c r="K43" i="5" s="1"/>
  <c r="D43" i="5"/>
  <c r="E43" i="5" s="1"/>
  <c r="F43" i="5" s="1"/>
  <c r="G43" i="5" s="1"/>
  <c r="B44" i="5" s="1"/>
  <c r="E43" i="2"/>
  <c r="G43" i="2"/>
  <c r="H43" i="2"/>
  <c r="H44" i="5" l="1"/>
  <c r="I44" i="5" s="1"/>
  <c r="J44" i="5" s="1"/>
  <c r="K44" i="5" s="1"/>
  <c r="C44" i="5"/>
  <c r="D44" i="5"/>
  <c r="E44" i="5" s="1"/>
  <c r="F44" i="5" s="1"/>
  <c r="G44" i="5" s="1"/>
  <c r="F43" i="2"/>
  <c r="C44" i="2" s="1"/>
  <c r="C45" i="5" l="1"/>
  <c r="B45" i="5"/>
  <c r="E44" i="2"/>
  <c r="G44" i="2"/>
  <c r="H44" i="2"/>
  <c r="H45" i="5" l="1"/>
  <c r="I45" i="5" s="1"/>
  <c r="J45" i="5" s="1"/>
  <c r="K45" i="5" s="1"/>
  <c r="D45" i="5"/>
  <c r="E45" i="5" s="1"/>
  <c r="F45" i="5" s="1"/>
  <c r="G45" i="5" s="1"/>
  <c r="F44" i="2"/>
  <c r="C45" i="2" s="1"/>
  <c r="C46" i="5" l="1"/>
  <c r="B46" i="5"/>
  <c r="E45" i="2"/>
  <c r="G45" i="2"/>
  <c r="H45" i="2"/>
  <c r="H46" i="5" l="1"/>
  <c r="I46" i="5" s="1"/>
  <c r="J46" i="5" s="1"/>
  <c r="K46" i="5" s="1"/>
  <c r="D46" i="5"/>
  <c r="E46" i="5" s="1"/>
  <c r="F46" i="5" s="1"/>
  <c r="G46" i="5" s="1"/>
  <c r="B47" i="5" s="1"/>
  <c r="F45" i="2"/>
  <c r="C46" i="2" s="1"/>
  <c r="H47" i="5" l="1"/>
  <c r="I47" i="5" s="1"/>
  <c r="J47" i="5" s="1"/>
  <c r="K47" i="5" s="1"/>
  <c r="C47" i="5"/>
  <c r="D47" i="5"/>
  <c r="E47" i="5" s="1"/>
  <c r="F47" i="5" s="1"/>
  <c r="G47" i="5" s="1"/>
  <c r="E46" i="2"/>
  <c r="G46" i="2"/>
  <c r="H46" i="2"/>
  <c r="C48" i="5" l="1"/>
  <c r="B48" i="5"/>
  <c r="F46" i="2"/>
  <c r="C47" i="2" s="1"/>
  <c r="H48" i="5" l="1"/>
  <c r="I48" i="5" s="1"/>
  <c r="J48" i="5" s="1"/>
  <c r="K48" i="5" s="1"/>
  <c r="D48" i="5"/>
  <c r="E48" i="5" s="1"/>
  <c r="F48" i="5" s="1"/>
  <c r="G48" i="5" s="1"/>
  <c r="E47" i="2"/>
  <c r="G47" i="2"/>
  <c r="H47" i="2"/>
  <c r="C49" i="5" l="1"/>
  <c r="B49" i="5"/>
  <c r="F47" i="2"/>
  <c r="C48" i="2" s="1"/>
  <c r="H49" i="5" l="1"/>
  <c r="I49" i="5" s="1"/>
  <c r="J49" i="5" s="1"/>
  <c r="K49" i="5" s="1"/>
  <c r="D49" i="5"/>
  <c r="E49" i="5" s="1"/>
  <c r="F49" i="5" s="1"/>
  <c r="G49" i="5" s="1"/>
  <c r="E48" i="2"/>
  <c r="G48" i="2"/>
  <c r="H48" i="2"/>
  <c r="C50" i="5" l="1"/>
  <c r="B50" i="5"/>
  <c r="F48" i="2"/>
  <c r="C49" i="2" s="1"/>
  <c r="H50" i="5" l="1"/>
  <c r="I50" i="5" s="1"/>
  <c r="J50" i="5" s="1"/>
  <c r="K50" i="5" s="1"/>
  <c r="D50" i="5"/>
  <c r="E50" i="5" s="1"/>
  <c r="F50" i="5" s="1"/>
  <c r="G50" i="5" s="1"/>
  <c r="E49" i="2"/>
  <c r="G49" i="2"/>
  <c r="H49" i="2"/>
  <c r="C51" i="5" l="1"/>
  <c r="B51" i="5"/>
  <c r="F49" i="2"/>
  <c r="C50" i="2" s="1"/>
  <c r="H51" i="5" l="1"/>
  <c r="I51" i="5" s="1"/>
  <c r="J51" i="5" s="1"/>
  <c r="K51" i="5" s="1"/>
  <c r="D51" i="5"/>
  <c r="E51" i="5" s="1"/>
  <c r="F51" i="5" s="1"/>
  <c r="G51" i="5" s="1"/>
  <c r="E50" i="2"/>
  <c r="G50" i="2"/>
  <c r="H50" i="2"/>
  <c r="C52" i="5" l="1"/>
  <c r="B52" i="5"/>
  <c r="F50" i="2"/>
  <c r="C51" i="2" s="1"/>
  <c r="H52" i="5" l="1"/>
  <c r="I52" i="5" s="1"/>
  <c r="J52" i="5" s="1"/>
  <c r="K52" i="5" s="1"/>
  <c r="D52" i="5"/>
  <c r="E52" i="5" s="1"/>
  <c r="F52" i="5" s="1"/>
  <c r="G52" i="5" s="1"/>
  <c r="B53" i="5" s="1"/>
  <c r="E51" i="2"/>
  <c r="G51" i="2"/>
  <c r="H51" i="2"/>
  <c r="H53" i="5" l="1"/>
  <c r="I53" i="5" s="1"/>
  <c r="J53" i="5" s="1"/>
  <c r="K53" i="5" s="1"/>
  <c r="C53" i="5"/>
  <c r="D53" i="5"/>
  <c r="E53" i="5" s="1"/>
  <c r="F53" i="5" s="1"/>
  <c r="G53" i="5" s="1"/>
  <c r="F51" i="2"/>
  <c r="C52" i="2" s="1"/>
  <c r="C54" i="5" l="1"/>
  <c r="B54" i="5"/>
  <c r="E52" i="2"/>
  <c r="G52" i="2"/>
  <c r="H52" i="2"/>
  <c r="H54" i="5" l="1"/>
  <c r="I54" i="5" s="1"/>
  <c r="J54" i="5" s="1"/>
  <c r="K54" i="5" s="1"/>
  <c r="D54" i="5"/>
  <c r="E54" i="5" s="1"/>
  <c r="F54" i="5" s="1"/>
  <c r="G54" i="5" s="1"/>
  <c r="B55" i="5" s="1"/>
  <c r="F52" i="2"/>
  <c r="C53" i="2" s="1"/>
  <c r="H55" i="5" l="1"/>
  <c r="I55" i="5" s="1"/>
  <c r="J55" i="5" s="1"/>
  <c r="K55" i="5" s="1"/>
  <c r="C55" i="5"/>
  <c r="D55" i="5"/>
  <c r="E55" i="5" s="1"/>
  <c r="F55" i="5" s="1"/>
  <c r="G55" i="5" s="1"/>
  <c r="E53" i="2"/>
  <c r="G53" i="2"/>
  <c r="H53" i="2"/>
  <c r="C56" i="5" l="1"/>
  <c r="B56" i="5"/>
  <c r="F53" i="2"/>
  <c r="C54" i="2" s="1"/>
  <c r="H56" i="5" l="1"/>
  <c r="I56" i="5"/>
  <c r="J56" i="5" s="1"/>
  <c r="K56" i="5" s="1"/>
  <c r="D56" i="5"/>
  <c r="E56" i="5" s="1"/>
  <c r="F56" i="5" s="1"/>
  <c r="G56" i="5" s="1"/>
  <c r="B57" i="5" s="1"/>
  <c r="E54" i="2"/>
  <c r="G54" i="2"/>
  <c r="H54" i="2"/>
  <c r="H57" i="5" l="1"/>
  <c r="I57" i="5" s="1"/>
  <c r="J57" i="5" s="1"/>
  <c r="K57" i="5" s="1"/>
  <c r="C57" i="5"/>
  <c r="D57" i="5"/>
  <c r="E57" i="5" s="1"/>
  <c r="F57" i="5" s="1"/>
  <c r="G57" i="5" s="1"/>
  <c r="F54" i="2"/>
  <c r="C55" i="2" s="1"/>
  <c r="C58" i="5" l="1"/>
  <c r="B58" i="5"/>
  <c r="E55" i="2"/>
  <c r="G55" i="2"/>
  <c r="H55" i="2"/>
  <c r="H58" i="5" l="1"/>
  <c r="I58" i="5" s="1"/>
  <c r="J58" i="5" s="1"/>
  <c r="K58" i="5" s="1"/>
  <c r="D58" i="5"/>
  <c r="E58" i="5" s="1"/>
  <c r="F58" i="5" s="1"/>
  <c r="G58" i="5" s="1"/>
  <c r="F55" i="2"/>
  <c r="C56" i="2" s="1"/>
  <c r="C59" i="5" l="1"/>
  <c r="B59" i="5"/>
  <c r="E56" i="2"/>
  <c r="G56" i="2"/>
  <c r="H56" i="2"/>
  <c r="H59" i="5" l="1"/>
  <c r="I59" i="5" s="1"/>
  <c r="J59" i="5" s="1"/>
  <c r="K59" i="5" s="1"/>
  <c r="D59" i="5"/>
  <c r="E59" i="5" s="1"/>
  <c r="F59" i="5" s="1"/>
  <c r="G59" i="5" s="1"/>
  <c r="F56" i="2"/>
  <c r="C57" i="2" s="1"/>
  <c r="C60" i="5" l="1"/>
  <c r="B60" i="5"/>
  <c r="E57" i="2"/>
  <c r="G57" i="2"/>
  <c r="H57" i="2"/>
  <c r="H60" i="5" l="1"/>
  <c r="I60" i="5"/>
  <c r="J60" i="5" s="1"/>
  <c r="K60" i="5" s="1"/>
  <c r="D60" i="5"/>
  <c r="E60" i="5" s="1"/>
  <c r="F60" i="5" s="1"/>
  <c r="G60" i="5" s="1"/>
  <c r="B61" i="5" s="1"/>
  <c r="F57" i="2"/>
  <c r="C58" i="2" s="1"/>
  <c r="H61" i="5" l="1"/>
  <c r="I61" i="5" s="1"/>
  <c r="J61" i="5" s="1"/>
  <c r="K61" i="5" s="1"/>
  <c r="C61" i="5"/>
  <c r="D61" i="5"/>
  <c r="E61" i="5" s="1"/>
  <c r="F61" i="5" s="1"/>
  <c r="G61" i="5" s="1"/>
  <c r="B62" i="5" s="1"/>
  <c r="E58" i="2"/>
  <c r="G58" i="2"/>
  <c r="H58" i="2"/>
  <c r="H62" i="5" l="1"/>
  <c r="I62" i="5" s="1"/>
  <c r="J62" i="5" s="1"/>
  <c r="K62" i="5" s="1"/>
  <c r="C62" i="5"/>
  <c r="D62" i="5"/>
  <c r="E62" i="5" s="1"/>
  <c r="F62" i="5" s="1"/>
  <c r="G62" i="5" s="1"/>
  <c r="B63" i="5" s="1"/>
  <c r="F58" i="2"/>
  <c r="C59" i="2" s="1"/>
  <c r="H63" i="5" l="1"/>
  <c r="I63" i="5" s="1"/>
  <c r="J63" i="5" s="1"/>
  <c r="K63" i="5" s="1"/>
  <c r="C63" i="5"/>
  <c r="D63" i="5"/>
  <c r="E63" i="5" s="1"/>
  <c r="F63" i="5" s="1"/>
  <c r="G63" i="5" s="1"/>
  <c r="E59" i="2"/>
  <c r="G59" i="2"/>
  <c r="H59" i="2"/>
  <c r="C64" i="5" l="1"/>
  <c r="B64" i="5"/>
  <c r="F59" i="2"/>
  <c r="C60" i="2" s="1"/>
  <c r="D64" i="5" l="1"/>
  <c r="E64" i="5" s="1"/>
  <c r="F64" i="5" s="1"/>
  <c r="H64" i="5"/>
  <c r="I64" i="5" s="1"/>
  <c r="G64" i="5"/>
  <c r="B65" i="5" s="1"/>
  <c r="E60" i="2"/>
  <c r="G60" i="2"/>
  <c r="H60" i="2"/>
  <c r="J64" i="5" l="1"/>
  <c r="K64" i="5" s="1"/>
  <c r="C65" i="5" s="1"/>
  <c r="D65" i="5"/>
  <c r="E65" i="5" s="1"/>
  <c r="F65" i="5" s="1"/>
  <c r="G65" i="5" s="1"/>
  <c r="B66" i="5" s="1"/>
  <c r="H65" i="5"/>
  <c r="I65" i="5" s="1"/>
  <c r="J65" i="5" s="1"/>
  <c r="K65" i="5" s="1"/>
  <c r="F60" i="2"/>
  <c r="C61" i="2" s="1"/>
  <c r="H66" i="5" l="1"/>
  <c r="I66" i="5" s="1"/>
  <c r="J66" i="5" s="1"/>
  <c r="K66" i="5" s="1"/>
  <c r="C66" i="5"/>
  <c r="D66" i="5"/>
  <c r="E66" i="5" s="1"/>
  <c r="E61" i="2"/>
  <c r="G61" i="2"/>
  <c r="H61" i="2"/>
  <c r="C67" i="5" l="1"/>
  <c r="F66" i="5"/>
  <c r="G66" i="5" s="1"/>
  <c r="B67" i="5" s="1"/>
  <c r="F61" i="2"/>
  <c r="C62" i="2" s="1"/>
  <c r="H67" i="5" l="1"/>
  <c r="I67" i="5" s="1"/>
  <c r="J67" i="5" s="1"/>
  <c r="K67" i="5" s="1"/>
  <c r="D67" i="5"/>
  <c r="E67" i="5" s="1"/>
  <c r="E62" i="2"/>
  <c r="G62" i="2"/>
  <c r="H62" i="2"/>
  <c r="C68" i="5" l="1"/>
  <c r="F67" i="5"/>
  <c r="G67" i="5" s="1"/>
  <c r="B68" i="5" s="1"/>
  <c r="F62" i="2"/>
  <c r="C63" i="2" s="1"/>
  <c r="H68" i="5" l="1"/>
  <c r="I68" i="5"/>
  <c r="J68" i="5" s="1"/>
  <c r="K68" i="5" s="1"/>
  <c r="D68" i="5"/>
  <c r="E68" i="5" s="1"/>
  <c r="F68" i="5" s="1"/>
  <c r="G68" i="5" s="1"/>
  <c r="E63" i="2"/>
  <c r="G63" i="2"/>
  <c r="H63" i="2"/>
  <c r="C69" i="5" l="1"/>
  <c r="B69" i="5"/>
  <c r="F63" i="2"/>
  <c r="C64" i="2" s="1"/>
  <c r="H69" i="5" l="1"/>
  <c r="I69" i="5" s="1"/>
  <c r="J69" i="5" s="1"/>
  <c r="K69" i="5" s="1"/>
  <c r="D69" i="5"/>
  <c r="E69" i="5" s="1"/>
  <c r="F69" i="5" s="1"/>
  <c r="G69" i="5" s="1"/>
  <c r="B70" i="5" s="1"/>
  <c r="E64" i="2"/>
  <c r="G64" i="2"/>
  <c r="H64" i="2"/>
  <c r="H70" i="5" l="1"/>
  <c r="I70" i="5" s="1"/>
  <c r="J70" i="5" s="1"/>
  <c r="K70" i="5" s="1"/>
  <c r="C70" i="5"/>
  <c r="D70" i="5"/>
  <c r="E70" i="5" s="1"/>
  <c r="F70" i="5" s="1"/>
  <c r="G70" i="5" s="1"/>
  <c r="F64" i="2"/>
  <c r="C65" i="2" s="1"/>
  <c r="C71" i="5" l="1"/>
  <c r="B71" i="5"/>
  <c r="D71" i="5" s="1"/>
  <c r="E65" i="2"/>
  <c r="G65" i="2"/>
  <c r="H65" i="2"/>
  <c r="H71" i="5" l="1"/>
  <c r="I71" i="5" s="1"/>
  <c r="J71" i="5" s="1"/>
  <c r="K71" i="5" s="1"/>
  <c r="E71" i="5"/>
  <c r="F71" i="5" s="1"/>
  <c r="G71" i="5" s="1"/>
  <c r="B72" i="5" s="1"/>
  <c r="F65" i="2"/>
  <c r="C66" i="2" s="1"/>
  <c r="D72" i="5" l="1"/>
  <c r="E72" i="5" s="1"/>
  <c r="F72" i="5" s="1"/>
  <c r="G72" i="5" s="1"/>
  <c r="H72" i="5"/>
  <c r="I72" i="5" s="1"/>
  <c r="J72" i="5" s="1"/>
  <c r="K72" i="5" s="1"/>
  <c r="C72" i="5"/>
  <c r="B73" i="5"/>
  <c r="E66" i="2"/>
  <c r="G66" i="2"/>
  <c r="H66" i="2"/>
  <c r="C73" i="5" l="1"/>
  <c r="H73" i="5"/>
  <c r="I73" i="5" s="1"/>
  <c r="J73" i="5" s="1"/>
  <c r="K73" i="5" s="1"/>
  <c r="D73" i="5"/>
  <c r="E73" i="5" s="1"/>
  <c r="F73" i="5" s="1"/>
  <c r="G73" i="5" s="1"/>
  <c r="B74" i="5" s="1"/>
  <c r="F66" i="2"/>
  <c r="C67" i="2" s="1"/>
  <c r="H74" i="5" l="1"/>
  <c r="I74" i="5" s="1"/>
  <c r="J74" i="5" s="1"/>
  <c r="K74" i="5" s="1"/>
  <c r="C74" i="5"/>
  <c r="D74" i="5"/>
  <c r="E74" i="5" s="1"/>
  <c r="F74" i="5" s="1"/>
  <c r="G74" i="5" s="1"/>
  <c r="E67" i="2"/>
  <c r="G67" i="2"/>
  <c r="H67" i="2"/>
  <c r="C75" i="5" l="1"/>
  <c r="B75" i="5"/>
  <c r="F67" i="2"/>
  <c r="C68" i="2" s="1"/>
  <c r="H75" i="5" l="1"/>
  <c r="I75" i="5" s="1"/>
  <c r="D75" i="5"/>
  <c r="E75" i="5"/>
  <c r="F75" i="5" s="1"/>
  <c r="G75" i="5" s="1"/>
  <c r="B76" i="5" s="1"/>
  <c r="D76" i="5" s="1"/>
  <c r="E76" i="5" s="1"/>
  <c r="F76" i="5" s="1"/>
  <c r="G76" i="5" s="1"/>
  <c r="E68" i="2"/>
  <c r="G68" i="2"/>
  <c r="H68" i="2"/>
  <c r="J75" i="5" l="1"/>
  <c r="K75" i="5" s="1"/>
  <c r="C76" i="5" s="1"/>
  <c r="H76" i="5"/>
  <c r="I76" i="5"/>
  <c r="J76" i="5" s="1"/>
  <c r="K76" i="5" s="1"/>
  <c r="B77" i="5"/>
  <c r="D77" i="5"/>
  <c r="F68" i="2"/>
  <c r="C69" i="2" s="1"/>
  <c r="C77" i="5" l="1"/>
  <c r="H77" i="5"/>
  <c r="I77" i="5" s="1"/>
  <c r="J77" i="5" s="1"/>
  <c r="K77" i="5" s="1"/>
  <c r="E77" i="5"/>
  <c r="F77" i="5" s="1"/>
  <c r="G77" i="5" s="1"/>
  <c r="B78" i="5" s="1"/>
  <c r="E69" i="2"/>
  <c r="G69" i="2"/>
  <c r="H69" i="2"/>
  <c r="H78" i="5" l="1"/>
  <c r="I78" i="5" s="1"/>
  <c r="J78" i="5" s="1"/>
  <c r="K78" i="5" s="1"/>
  <c r="D78" i="5"/>
  <c r="E78" i="5" s="1"/>
  <c r="F78" i="5" s="1"/>
  <c r="G78" i="5" s="1"/>
  <c r="B79" i="5" s="1"/>
  <c r="C78" i="5"/>
  <c r="F69" i="2"/>
  <c r="C70" i="2" s="1"/>
  <c r="H79" i="5" l="1"/>
  <c r="I79" i="5" s="1"/>
  <c r="J79" i="5" s="1"/>
  <c r="K79" i="5" s="1"/>
  <c r="C79" i="5"/>
  <c r="D79" i="5"/>
  <c r="E70" i="2"/>
  <c r="G70" i="2"/>
  <c r="H70" i="2"/>
  <c r="C80" i="5" l="1"/>
  <c r="E79" i="5"/>
  <c r="F79" i="5" s="1"/>
  <c r="G79" i="5" s="1"/>
  <c r="F70" i="2"/>
  <c r="C71" i="2" s="1"/>
  <c r="B80" i="5" l="1"/>
  <c r="E71" i="2"/>
  <c r="G71" i="2"/>
  <c r="H71" i="2"/>
  <c r="H80" i="5" l="1"/>
  <c r="I80" i="5"/>
  <c r="J80" i="5" s="1"/>
  <c r="K80" i="5" s="1"/>
  <c r="D80" i="5"/>
  <c r="E80" i="5" s="1"/>
  <c r="F80" i="5" s="1"/>
  <c r="G80" i="5" s="1"/>
  <c r="F71" i="2"/>
  <c r="C72" i="2" s="1"/>
  <c r="C81" i="5" l="1"/>
  <c r="B81" i="5"/>
  <c r="E72" i="2"/>
  <c r="G72" i="2"/>
  <c r="H72" i="2"/>
  <c r="H81" i="5" l="1"/>
  <c r="D81" i="5"/>
  <c r="E81" i="5" s="1"/>
  <c r="F72" i="2"/>
  <c r="C73" i="2" s="1"/>
  <c r="I81" i="5" l="1"/>
  <c r="J81" i="5" s="1"/>
  <c r="K81" i="5" s="1"/>
  <c r="F81" i="5"/>
  <c r="G81" i="5" s="1"/>
  <c r="B82" i="5" s="1"/>
  <c r="E73" i="2"/>
  <c r="G73" i="2"/>
  <c r="H73" i="2"/>
  <c r="H82" i="5" l="1"/>
  <c r="I82" i="5" s="1"/>
  <c r="J82" i="5" s="1"/>
  <c r="K82" i="5" s="1"/>
  <c r="C82" i="5"/>
  <c r="D82" i="5"/>
  <c r="E82" i="5" s="1"/>
  <c r="F82" i="5" s="1"/>
  <c r="G82" i="5" s="1"/>
  <c r="F73" i="2"/>
  <c r="C74" i="2" s="1"/>
  <c r="C83" i="5" l="1"/>
  <c r="B83" i="5"/>
  <c r="E74" i="2"/>
  <c r="G74" i="2"/>
  <c r="H74" i="2"/>
  <c r="H83" i="5" l="1"/>
  <c r="I83" i="5" s="1"/>
  <c r="D83" i="5"/>
  <c r="F74" i="2"/>
  <c r="C75" i="2" s="1"/>
  <c r="J83" i="5" l="1"/>
  <c r="K83" i="5" s="1"/>
  <c r="E83" i="5"/>
  <c r="F83" i="5" s="1"/>
  <c r="G83" i="5" s="1"/>
  <c r="E75" i="2"/>
  <c r="G75" i="2"/>
  <c r="H75" i="2"/>
  <c r="C84" i="5" l="1"/>
  <c r="B84" i="5"/>
  <c r="F75" i="2"/>
  <c r="C76" i="2" s="1"/>
  <c r="H84" i="5" l="1"/>
  <c r="I84" i="5" s="1"/>
  <c r="J84" i="5" s="1"/>
  <c r="K84" i="5" s="1"/>
  <c r="D84" i="5"/>
  <c r="E84" i="5" s="1"/>
  <c r="E76" i="2"/>
  <c r="G76" i="2"/>
  <c r="H76" i="2"/>
  <c r="C85" i="5" l="1"/>
  <c r="F84" i="5"/>
  <c r="G84" i="5" s="1"/>
  <c r="F76" i="2"/>
  <c r="C77" i="2" s="1"/>
  <c r="B85" i="5" l="1"/>
  <c r="E77" i="2"/>
  <c r="G77" i="2"/>
  <c r="H77" i="2"/>
  <c r="H85" i="5" l="1"/>
  <c r="D85" i="5"/>
  <c r="E85" i="5" s="1"/>
  <c r="F85" i="5" s="1"/>
  <c r="F77" i="2"/>
  <c r="C78" i="2" s="1"/>
  <c r="I85" i="5" l="1"/>
  <c r="J85" i="5" s="1"/>
  <c r="K85" i="5" s="1"/>
  <c r="G85" i="5"/>
  <c r="B86" i="5" s="1"/>
  <c r="E78" i="2"/>
  <c r="G78" i="2"/>
  <c r="H78" i="2"/>
  <c r="H86" i="5" l="1"/>
  <c r="I86" i="5" s="1"/>
  <c r="J86" i="5" s="1"/>
  <c r="K86" i="5" s="1"/>
  <c r="C86" i="5"/>
  <c r="D86" i="5"/>
  <c r="E86" i="5" s="1"/>
  <c r="F78" i="2"/>
  <c r="C79" i="2" s="1"/>
  <c r="C87" i="5" l="1"/>
  <c r="F86" i="5"/>
  <c r="G86" i="5" s="1"/>
  <c r="E79" i="2"/>
  <c r="G79" i="2"/>
  <c r="H79" i="2"/>
  <c r="B87" i="5" l="1"/>
  <c r="F79" i="2"/>
  <c r="C80" i="2" s="1"/>
  <c r="H87" i="5" l="1"/>
  <c r="D87" i="5"/>
  <c r="E87" i="5" s="1"/>
  <c r="F87" i="5" s="1"/>
  <c r="G87" i="5" s="1"/>
  <c r="E80" i="2"/>
  <c r="G80" i="2"/>
  <c r="H80" i="2"/>
  <c r="I87" i="5" l="1"/>
  <c r="J87" i="5" s="1"/>
  <c r="K87" i="5" s="1"/>
  <c r="B88" i="5"/>
  <c r="F80" i="2"/>
  <c r="C81" i="2" s="1"/>
  <c r="H88" i="5" l="1"/>
  <c r="I88" i="5"/>
  <c r="J88" i="5" s="1"/>
  <c r="K88" i="5" s="1"/>
  <c r="C88" i="5"/>
  <c r="D88" i="5"/>
  <c r="E88" i="5" s="1"/>
  <c r="F88" i="5" s="1"/>
  <c r="G88" i="5" s="1"/>
  <c r="E81" i="2"/>
  <c r="G81" i="2"/>
  <c r="H81" i="2"/>
  <c r="C89" i="5" l="1"/>
  <c r="B89" i="5"/>
  <c r="F81" i="2"/>
  <c r="C82" i="2" s="1"/>
  <c r="H89" i="5" l="1"/>
  <c r="D89" i="5"/>
  <c r="E89" i="5" s="1"/>
  <c r="F89" i="5" s="1"/>
  <c r="G89" i="5" s="1"/>
  <c r="E82" i="2"/>
  <c r="G82" i="2"/>
  <c r="H82" i="2"/>
  <c r="I89" i="5" l="1"/>
  <c r="J89" i="5" s="1"/>
  <c r="K89" i="5" s="1"/>
  <c r="B90" i="5"/>
  <c r="F82" i="2"/>
  <c r="C83" i="2" s="1"/>
  <c r="H90" i="5" l="1"/>
  <c r="I90" i="5" s="1"/>
  <c r="J90" i="5" s="1"/>
  <c r="K90" i="5" s="1"/>
  <c r="C90" i="5"/>
  <c r="D90" i="5"/>
  <c r="E90" i="5" s="1"/>
  <c r="E83" i="2"/>
  <c r="G83" i="2"/>
  <c r="H83" i="2"/>
  <c r="C91" i="5" l="1"/>
  <c r="F90" i="5"/>
  <c r="G90" i="5" s="1"/>
  <c r="F83" i="2"/>
  <c r="C84" i="2" s="1"/>
  <c r="B91" i="5" l="1"/>
  <c r="E84" i="2"/>
  <c r="G84" i="2"/>
  <c r="H84" i="2"/>
  <c r="H91" i="5" l="1"/>
  <c r="D91" i="5"/>
  <c r="E91" i="5" s="1"/>
  <c r="F91" i="5" s="1"/>
  <c r="F84" i="2"/>
  <c r="C85" i="2" s="1"/>
  <c r="I91" i="5" l="1"/>
  <c r="J91" i="5" s="1"/>
  <c r="K91" i="5" s="1"/>
  <c r="G91" i="5"/>
  <c r="B92" i="5" s="1"/>
  <c r="E85" i="2"/>
  <c r="G85" i="2"/>
  <c r="H85" i="2"/>
  <c r="H92" i="5" l="1"/>
  <c r="I92" i="5" s="1"/>
  <c r="J92" i="5" s="1"/>
  <c r="K92" i="5" s="1"/>
  <c r="C92" i="5"/>
  <c r="D92" i="5"/>
  <c r="E92" i="5" s="1"/>
  <c r="F92" i="5" s="1"/>
  <c r="G92" i="5" s="1"/>
  <c r="F85" i="2"/>
  <c r="C86" i="2" s="1"/>
  <c r="C93" i="5" l="1"/>
  <c r="B93" i="5"/>
  <c r="E86" i="2"/>
  <c r="G86" i="2"/>
  <c r="H86" i="2"/>
  <c r="H93" i="5" l="1"/>
  <c r="D93" i="5"/>
  <c r="E93" i="5" s="1"/>
  <c r="F93" i="5" s="1"/>
  <c r="F86" i="2"/>
  <c r="C87" i="2" s="1"/>
  <c r="I93" i="5" l="1"/>
  <c r="J93" i="5" s="1"/>
  <c r="K93" i="5" s="1"/>
  <c r="G93" i="5"/>
  <c r="B94" i="5" s="1"/>
  <c r="E87" i="2"/>
  <c r="G87" i="2"/>
  <c r="H87" i="2"/>
  <c r="C94" i="5" l="1"/>
  <c r="H94" i="5"/>
  <c r="I94" i="5" s="1"/>
  <c r="J94" i="5" s="1"/>
  <c r="K94" i="5" s="1"/>
  <c r="D94" i="5"/>
  <c r="E94" i="5" s="1"/>
  <c r="F94" i="5" s="1"/>
  <c r="F87" i="2"/>
  <c r="C88" i="2" s="1"/>
  <c r="C95" i="5" l="1"/>
  <c r="G94" i="5"/>
  <c r="B95" i="5" s="1"/>
  <c r="E88" i="2"/>
  <c r="G88" i="2"/>
  <c r="H88" i="2"/>
  <c r="H95" i="5" l="1"/>
  <c r="D95" i="5"/>
  <c r="E95" i="5" s="1"/>
  <c r="F88" i="2"/>
  <c r="C89" i="2" s="1"/>
  <c r="I95" i="5" l="1"/>
  <c r="J95" i="5" s="1"/>
  <c r="K95" i="5" s="1"/>
  <c r="F95" i="5"/>
  <c r="G95" i="5" s="1"/>
  <c r="E89" i="2"/>
  <c r="G89" i="2"/>
  <c r="H89" i="2"/>
  <c r="C96" i="5" l="1"/>
  <c r="B96" i="5"/>
  <c r="F89" i="2"/>
  <c r="C90" i="2" s="1"/>
  <c r="H96" i="5" l="1"/>
  <c r="I96" i="5"/>
  <c r="D96" i="5"/>
  <c r="E96" i="5" s="1"/>
  <c r="F96" i="5" s="1"/>
  <c r="E90" i="2"/>
  <c r="G90" i="2"/>
  <c r="H90" i="2"/>
  <c r="J96" i="5" l="1"/>
  <c r="K96" i="5" s="1"/>
  <c r="G96" i="5"/>
  <c r="B97" i="5" s="1"/>
  <c r="F90" i="2"/>
  <c r="C91" i="2" s="1"/>
  <c r="H97" i="5" l="1"/>
  <c r="I97" i="5" s="1"/>
  <c r="J97" i="5" s="1"/>
  <c r="K97" i="5" s="1"/>
  <c r="C97" i="5"/>
  <c r="D97" i="5"/>
  <c r="E97" i="5" s="1"/>
  <c r="F97" i="5" s="1"/>
  <c r="E91" i="2"/>
  <c r="G91" i="2"/>
  <c r="H91" i="2"/>
  <c r="C98" i="5" l="1"/>
  <c r="G97" i="5"/>
  <c r="B98" i="5" s="1"/>
  <c r="F91" i="2"/>
  <c r="C92" i="2" s="1"/>
  <c r="H98" i="5" l="1"/>
  <c r="I98" i="5" s="1"/>
  <c r="J98" i="5" s="1"/>
  <c r="K98" i="5" s="1"/>
  <c r="D98" i="5"/>
  <c r="E98" i="5" s="1"/>
  <c r="F98" i="5" s="1"/>
  <c r="E92" i="2"/>
  <c r="G92" i="2"/>
  <c r="H92" i="2"/>
  <c r="C99" i="5" l="1"/>
  <c r="G98" i="5"/>
  <c r="B99" i="5" s="1"/>
  <c r="F92" i="2"/>
  <c r="C93" i="2" s="1"/>
  <c r="H99" i="5" l="1"/>
  <c r="D99" i="5"/>
  <c r="E99" i="5" s="1"/>
  <c r="E93" i="2"/>
  <c r="G93" i="2"/>
  <c r="H93" i="2"/>
  <c r="I99" i="5" l="1"/>
  <c r="J99" i="5" s="1"/>
  <c r="K99" i="5" s="1"/>
  <c r="F99" i="5"/>
  <c r="G99" i="5" s="1"/>
  <c r="F93" i="2"/>
  <c r="C94" i="2" s="1"/>
  <c r="C100" i="5" l="1"/>
  <c r="B100" i="5"/>
  <c r="E94" i="2"/>
  <c r="G94" i="2"/>
  <c r="H94" i="2"/>
  <c r="H100" i="5" l="1"/>
  <c r="I100" i="5" s="1"/>
  <c r="D100" i="5"/>
  <c r="E100" i="5" s="1"/>
  <c r="F100" i="5" s="1"/>
  <c r="G100" i="5" s="1"/>
  <c r="F94" i="2"/>
  <c r="C95" i="2" s="1"/>
  <c r="J100" i="5" l="1"/>
  <c r="K100" i="5" s="1"/>
  <c r="B101" i="5"/>
  <c r="E95" i="2"/>
  <c r="G95" i="2"/>
  <c r="H95" i="2"/>
  <c r="H101" i="5" l="1"/>
  <c r="I101" i="5" s="1"/>
  <c r="J101" i="5" s="1"/>
  <c r="K101" i="5" s="1"/>
  <c r="C101" i="5"/>
  <c r="D101" i="5"/>
  <c r="E101" i="5" s="1"/>
  <c r="F101" i="5" s="1"/>
  <c r="G101" i="5" s="1"/>
  <c r="F95" i="2"/>
  <c r="C96" i="2" s="1"/>
  <c r="C102" i="5" l="1"/>
  <c r="B102" i="5"/>
  <c r="E96" i="2"/>
  <c r="G96" i="2"/>
  <c r="H96" i="2"/>
  <c r="H102" i="5" l="1"/>
  <c r="I102" i="5" s="1"/>
  <c r="J102" i="5" s="1"/>
  <c r="K102" i="5" s="1"/>
  <c r="D102" i="5"/>
  <c r="E102" i="5" s="1"/>
  <c r="F96" i="2"/>
  <c r="C97" i="2" s="1"/>
  <c r="C103" i="5" l="1"/>
  <c r="F102" i="5"/>
  <c r="G102" i="5" s="1"/>
  <c r="E97" i="2"/>
  <c r="G97" i="2"/>
  <c r="H97" i="2"/>
  <c r="B103" i="5" l="1"/>
  <c r="F97" i="2"/>
  <c r="C98" i="2" s="1"/>
  <c r="H103" i="5" l="1"/>
  <c r="D103" i="5"/>
  <c r="E103" i="5" s="1"/>
  <c r="E98" i="2"/>
  <c r="G98" i="2"/>
  <c r="H98" i="2"/>
  <c r="I103" i="5" l="1"/>
  <c r="J103" i="5" s="1"/>
  <c r="K103" i="5" s="1"/>
  <c r="F103" i="5"/>
  <c r="G103" i="5" s="1"/>
  <c r="F98" i="2"/>
  <c r="C99" i="2" s="1"/>
  <c r="C104" i="5" l="1"/>
  <c r="B104" i="5"/>
  <c r="E99" i="2"/>
  <c r="G99" i="2"/>
  <c r="H99" i="2"/>
  <c r="H104" i="5" l="1"/>
  <c r="I104" i="5" s="1"/>
  <c r="D104" i="5"/>
  <c r="E104" i="5" s="1"/>
  <c r="F104" i="5" s="1"/>
  <c r="G104" i="5" s="1"/>
  <c r="F99" i="2"/>
  <c r="C100" i="2" s="1"/>
  <c r="J104" i="5" l="1"/>
  <c r="K104" i="5" s="1"/>
  <c r="B105" i="5"/>
  <c r="E100" i="2"/>
  <c r="C101" i="2" s="1"/>
  <c r="G100" i="2"/>
  <c r="F100" i="2"/>
  <c r="H100" i="2"/>
  <c r="H105" i="5" l="1"/>
  <c r="I105" i="5" s="1"/>
  <c r="J105" i="5" s="1"/>
  <c r="K105" i="5" s="1"/>
  <c r="C105" i="5"/>
  <c r="D105" i="5"/>
  <c r="E105" i="5" s="1"/>
  <c r="F105" i="5" s="1"/>
  <c r="G105" i="5" s="1"/>
  <c r="E101" i="2"/>
  <c r="C102" i="2" s="1"/>
  <c r="G101" i="2"/>
  <c r="F101" i="2"/>
  <c r="H101" i="2"/>
  <c r="C106" i="5" l="1"/>
  <c r="B106" i="5"/>
  <c r="E102" i="2"/>
  <c r="C103" i="2" s="1"/>
  <c r="G102" i="2"/>
  <c r="F102" i="2"/>
  <c r="H102" i="2"/>
  <c r="H106" i="5" l="1"/>
  <c r="I106" i="5" s="1"/>
  <c r="J106" i="5" s="1"/>
  <c r="K106" i="5" s="1"/>
  <c r="D106" i="5"/>
  <c r="E106" i="5" s="1"/>
  <c r="E103" i="2"/>
  <c r="C104" i="2" s="1"/>
  <c r="G103" i="2"/>
  <c r="F103" i="2"/>
  <c r="H103" i="2"/>
  <c r="C107" i="5" l="1"/>
  <c r="F106" i="5"/>
  <c r="G106" i="5" s="1"/>
  <c r="E104" i="2"/>
  <c r="C105" i="2" s="1"/>
  <c r="G104" i="2"/>
  <c r="F104" i="2"/>
  <c r="H104" i="2"/>
  <c r="B107" i="5" l="1"/>
  <c r="E105" i="2"/>
  <c r="C106" i="2" s="1"/>
  <c r="G105" i="2"/>
  <c r="F105" i="2"/>
  <c r="H105" i="2"/>
  <c r="H107" i="5" l="1"/>
  <c r="D107" i="5"/>
  <c r="E107" i="5" s="1"/>
  <c r="F107" i="5" s="1"/>
  <c r="E106" i="2"/>
  <c r="C107" i="2" s="1"/>
  <c r="G106" i="2"/>
  <c r="F106" i="2"/>
  <c r="H106" i="2"/>
  <c r="I107" i="5" l="1"/>
  <c r="J107" i="5" s="1"/>
  <c r="K107" i="5" s="1"/>
  <c r="G107" i="5"/>
  <c r="B108" i="5" s="1"/>
  <c r="E107" i="2"/>
  <c r="C108" i="2" s="1"/>
  <c r="G107" i="2"/>
  <c r="F107" i="2"/>
  <c r="H107" i="2"/>
  <c r="H108" i="5" l="1"/>
  <c r="I108" i="5" s="1"/>
  <c r="J108" i="5" s="1"/>
  <c r="K108" i="5" s="1"/>
  <c r="C108" i="5"/>
  <c r="D108" i="5"/>
  <c r="E108" i="5" s="1"/>
  <c r="F108" i="5" s="1"/>
  <c r="G108" i="5" s="1"/>
  <c r="E108" i="2"/>
  <c r="C109" i="2" s="1"/>
  <c r="G108" i="2"/>
  <c r="F108" i="2"/>
  <c r="H108" i="2"/>
  <c r="C109" i="5" l="1"/>
  <c r="B109" i="5"/>
  <c r="E109" i="2"/>
  <c r="G109" i="2"/>
  <c r="F109" i="2"/>
  <c r="H109" i="2"/>
  <c r="H109" i="5" l="1"/>
  <c r="I109" i="5" s="1"/>
  <c r="J109" i="5" s="1"/>
  <c r="K109" i="5" s="1"/>
  <c r="D109" i="5"/>
  <c r="E109" i="5" s="1"/>
  <c r="F109" i="5" s="1"/>
  <c r="G109" i="5" s="1"/>
</calcChain>
</file>

<file path=xl/sharedStrings.xml><?xml version="1.0" encoding="utf-8"?>
<sst xmlns="http://schemas.openxmlformats.org/spreadsheetml/2006/main" count="95" uniqueCount="21">
  <si>
    <t>y1(0)=0.03</t>
  </si>
  <si>
    <t>y2(0)=0.0</t>
  </si>
  <si>
    <t>b1</t>
  </si>
  <si>
    <t>b2</t>
  </si>
  <si>
    <t>b3</t>
  </si>
  <si>
    <t>dy1/dt=(b1*y1)-((b1/b2)*y1^2)</t>
  </si>
  <si>
    <t>dy2/dt=b3*y1</t>
  </si>
  <si>
    <t>t</t>
  </si>
  <si>
    <t>y1</t>
  </si>
  <si>
    <t>y2</t>
  </si>
  <si>
    <t>h=</t>
  </si>
  <si>
    <t>*look at Chart 1</t>
  </si>
  <si>
    <t>*look at Chart 2</t>
  </si>
  <si>
    <t>k1</t>
  </si>
  <si>
    <t>k2</t>
  </si>
  <si>
    <t>k3</t>
  </si>
  <si>
    <t>k4</t>
  </si>
  <si>
    <t>N</t>
  </si>
  <si>
    <t>timemax</t>
  </si>
  <si>
    <t>time</t>
  </si>
  <si>
    <t>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</si>
</sst>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C99FF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9999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2" fillId="0" borderId="0" xfId="0" applyFont="1"/>
    <xf numFmtId="0" fontId="0" fillId="0" borderId="1" xfId="0" applyBorder="1"/>
    <xf numFmtId="0" fontId="0" fillId="2" borderId="1" xfId="0" applyFill="1" applyBorder="1"/>
    <xf numFmtId="0" fontId="0" fillId="3" borderId="1" xfId="0" applyFill="1" applyBorder="1"/>
    <xf numFmtId="0" fontId="0" fillId="4" borderId="1" xfId="0" applyFill="1" applyBorder="1"/>
    <xf numFmtId="0" fontId="1" fillId="0" borderId="1" xfId="0" applyFont="1" applyBorder="1"/>
    <xf numFmtId="0" fontId="0" fillId="5" borderId="1" xfId="0" applyFill="1" applyBorder="1"/>
    <xf numFmtId="0" fontId="3" fillId="0" borderId="0" xfId="0" applyFont="1"/>
    <xf numFmtId="0" fontId="1" fillId="0" borderId="1" xfId="0" applyFont="1" applyFill="1" applyBorder="1"/>
    <xf numFmtId="0" fontId="0" fillId="0" borderId="1" xfId="0" applyFill="1" applyBorder="1"/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1" fillId="0" borderId="4" xfId="0" applyFont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9999"/>
      <color rgb="FF33CCCC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Chart 1 </a:t>
            </a:r>
          </a:p>
          <a:p>
            <a:pPr>
              <a:defRPr/>
            </a:pPr>
            <a:r>
              <a:rPr lang="en-US"/>
              <a:t>cell mass vs penicillin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'a)'!$C$8</c:f>
              <c:strCache>
                <c:ptCount val="1"/>
                <c:pt idx="0">
                  <c:v>y1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'a)'!$B$9:$B$109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xVal>
          <c:yVal>
            <c:numRef>
              <c:f>'a)'!$C$9:$C$109</c:f>
              <c:numCache>
                <c:formatCode>General</c:formatCode>
                <c:ptCount val="101"/>
                <c:pt idx="0">
                  <c:v>0.03</c:v>
                </c:pt>
                <c:pt idx="1">
                  <c:v>3.3804574468085102E-2</c:v>
                </c:pt>
                <c:pt idx="2">
                  <c:v>3.8073718242126756E-2</c:v>
                </c:pt>
                <c:pt idx="3">
                  <c:v>4.2859355490651431E-2</c:v>
                </c:pt>
                <c:pt idx="4">
                  <c:v>4.8217934155402618E-2</c:v>
                </c:pt>
                <c:pt idx="5">
                  <c:v>5.4210471868247456E-2</c:v>
                </c:pt>
                <c:pt idx="6">
                  <c:v>6.0902490960558803E-2</c:v>
                </c:pt>
                <c:pt idx="7">
                  <c:v>6.8363808918858682E-2</c:v>
                </c:pt>
                <c:pt idx="8">
                  <c:v>7.6668145590999229E-2</c:v>
                </c:pt>
                <c:pt idx="9">
                  <c:v>8.5892503944446183E-2</c:v>
                </c:pt>
                <c:pt idx="10">
                  <c:v>9.6116277905175102E-2</c:v>
                </c:pt>
                <c:pt idx="11">
                  <c:v>0.10742003967983477</c:v>
                </c:pt>
                <c:pt idx="12">
                  <c:v>0.11988396114900901</c:v>
                </c:pt>
                <c:pt idx="13">
                  <c:v>0.13358583080161238</c:v>
                </c:pt>
                <c:pt idx="14">
                  <c:v>0.14859864078660726</c:v>
                </c:pt>
                <c:pt idx="15">
                  <c:v>0.16498773949378562</c:v>
                </c:pt>
                <c:pt idx="16">
                  <c:v>0.1828075748589521</c:v>
                </c:pt>
                <c:pt idx="17">
                  <c:v>0.20209809287315431</c:v>
                </c:pt>
                <c:pt idx="18">
                  <c:v>0.22288090396748586</c:v>
                </c:pt>
                <c:pt idx="19">
                  <c:v>0.24515538477734286</c:v>
                </c:pt>
                <c:pt idx="20">
                  <c:v>0.26889493985149621</c:v>
                </c:pt>
                <c:pt idx="21">
                  <c:v>0.29404370035844229</c:v>
                </c:pt>
                <c:pt idx="22">
                  <c:v>0.32051397574222418</c:v>
                </c:pt>
                <c:pt idx="23">
                  <c:v>0.34818478918930934</c:v>
                </c:pt>
                <c:pt idx="24">
                  <c:v>0.37690180847482452</c:v>
                </c:pt>
                <c:pt idx="25">
                  <c:v>0.40647892251977258</c:v>
                </c:pt>
                <c:pt idx="26">
                  <c:v>0.43670160818547832</c:v>
                </c:pt>
                <c:pt idx="27">
                  <c:v>0.46733208631360196</c:v>
                </c:pt>
                <c:pt idx="28">
                  <c:v>0.49811609436997389</c:v>
                </c:pt>
                <c:pt idx="29">
                  <c:v>0.52879092688709795</c:v>
                </c:pt>
                <c:pt idx="30">
                  <c:v>0.55909424085088943</c:v>
                </c:pt>
                <c:pt idx="31">
                  <c:v>0.58877301779597846</c:v>
                </c:pt>
                <c:pt idx="32">
                  <c:v>0.61759203811716601</c:v>
                </c:pt>
                <c:pt idx="33">
                  <c:v>0.64534126506105871</c:v>
                </c:pt>
                <c:pt idx="34">
                  <c:v>0.67184165095515358</c:v>
                </c:pt>
                <c:pt idx="35">
                  <c:v>0.69694904795526047</c:v>
                </c:pt>
                <c:pt idx="36">
                  <c:v>0.72055610219123734</c:v>
                </c:pt>
                <c:pt idx="37">
                  <c:v>0.74259220303673756</c:v>
                </c:pt>
                <c:pt idx="38">
                  <c:v>0.76302172144153402</c:v>
                </c:pt>
                <c:pt idx="39">
                  <c:v>0.78184088470750279</c:v>
                </c:pt>
                <c:pt idx="40">
                  <c:v>0.79907369258394356</c:v>
                </c:pt>
                <c:pt idx="41">
                  <c:v>0.8147672842171787</c:v>
                </c:pt>
                <c:pt idx="42">
                  <c:v>0.82898712792472118</c:v>
                </c:pt>
                <c:pt idx="43">
                  <c:v>0.84181234037147767</c:v>
                </c:pt>
                <c:pt idx="44">
                  <c:v>0.85333136318501002</c:v>
                </c:pt>
                <c:pt idx="45">
                  <c:v>0.86363814578695952</c:v>
                </c:pt>
                <c:pt idx="46">
                  <c:v>0.87282891209947433</c:v>
                </c:pt>
                <c:pt idx="47">
                  <c:v>0.88099953087878791</c:v>
                </c:pt>
                <c:pt idx="48">
                  <c:v>0.88824346653398101</c:v>
                </c:pt>
                <c:pt idx="49">
                  <c:v>0.89465025882537963</c:v>
                </c:pt>
                <c:pt idx="50">
                  <c:v>0.90030446377859186</c:v>
                </c:pt>
                <c:pt idx="51">
                  <c:v>0.90528498182884787</c:v>
                </c:pt>
                <c:pt idx="52">
                  <c:v>0.9096646998946436</c:v>
                </c:pt>
                <c:pt idx="53">
                  <c:v>0.9135103793290249</c:v>
                </c:pt>
                <c:pt idx="54">
                  <c:v>0.91688272953008088</c:v>
                </c:pt>
                <c:pt idx="55">
                  <c:v>0.91983661592609633</c:v>
                </c:pt>
                <c:pt idx="56">
                  <c:v>0.92242136005945019</c:v>
                </c:pt>
                <c:pt idx="57">
                  <c:v>0.92468109792968045</c:v>
                </c:pt>
                <c:pt idx="58">
                  <c:v>0.92665517026297328</c:v>
                </c:pt>
                <c:pt idx="59">
                  <c:v>0.92837852480216942</c:v>
                </c:pt>
                <c:pt idx="60">
                  <c:v>0.92988211604474869</c:v>
                </c:pt>
                <c:pt idx="61">
                  <c:v>0.93119329216584312</c:v>
                </c:pt>
                <c:pt idx="62">
                  <c:v>0.93233616226288707</c:v>
                </c:pt>
                <c:pt idx="63">
                  <c:v>0.93333193967925654</c:v>
                </c:pt>
                <c:pt idx="64">
                  <c:v>0.93419925913794866</c:v>
                </c:pt>
                <c:pt idx="65">
                  <c:v>0.9349544668654669</c:v>
                </c:pt>
                <c:pt idx="66">
                  <c:v>0.93561188391885231</c:v>
                </c:pt>
                <c:pt idx="67">
                  <c:v>0.93618404363748353</c:v>
                </c:pt>
                <c:pt idx="68">
                  <c:v>0.93668190460234779</c:v>
                </c:pt>
                <c:pt idx="69">
                  <c:v>0.9371150407609552</c:v>
                </c:pt>
                <c:pt idx="70">
                  <c:v>0.93749181051524322</c:v>
                </c:pt>
                <c:pt idx="71">
                  <c:v>0.93781950661125868</c:v>
                </c:pt>
                <c:pt idx="72">
                  <c:v>0.93810448864280527</c:v>
                </c:pt>
                <c:pt idx="73">
                  <c:v>0.93835229990911584</c:v>
                </c:pt>
                <c:pt idx="74">
                  <c:v>0.93856777026576399</c:v>
                </c:pt>
                <c:pt idx="75">
                  <c:v>0.93875510649079619</c:v>
                </c:pt>
                <c:pt idx="76">
                  <c:v>0.93891797156333145</c:v>
                </c:pt>
                <c:pt idx="77">
                  <c:v>0.93905955412586961</c:v>
                </c:pt>
                <c:pt idx="78">
                  <c:v>0.93918262927853391</c:v>
                </c:pt>
                <c:pt idx="79">
                  <c:v>0.93928961173620396</c:v>
                </c:pt>
                <c:pt idx="80">
                  <c:v>0.9393826022696713</c:v>
                </c:pt>
                <c:pt idx="81">
                  <c:v>0.9394634282504567</c:v>
                </c:pt>
                <c:pt idx="82">
                  <c:v>0.93953367902612483</c:v>
                </c:pt>
                <c:pt idx="83">
                  <c:v>0.93959473676876859</c:v>
                </c:pt>
                <c:pt idx="84">
                  <c:v>0.93964780336353271</c:v>
                </c:pt>
                <c:pt idx="85">
                  <c:v>0.93969392383614003</c:v>
                </c:pt>
                <c:pt idx="86">
                  <c:v>0.93973400675783658</c:v>
                </c:pt>
                <c:pt idx="87">
                  <c:v>0.93976884201238442</c:v>
                </c:pt>
                <c:pt idx="88">
                  <c:v>0.93979911626210677</c:v>
                </c:pt>
                <c:pt idx="89">
                  <c:v>0.93982542640793021</c:v>
                </c:pt>
                <c:pt idx="90">
                  <c:v>0.93984829130131264</c:v>
                </c:pt>
                <c:pt idx="91">
                  <c:v>0.93986816193335732</c:v>
                </c:pt>
                <c:pt idx="92">
                  <c:v>0.93988543029780336</c:v>
                </c:pt>
                <c:pt idx="93">
                  <c:v>0.93990043709949922</c:v>
                </c:pt>
                <c:pt idx="94">
                  <c:v>0.93991347845800421</c:v>
                </c:pt>
                <c:pt idx="95">
                  <c:v>0.93992481173674713</c:v>
                </c:pt>
                <c:pt idx="96">
                  <c:v>0.9399346606113832</c:v>
                </c:pt>
                <c:pt idx="97">
                  <c:v>0.93994321947632398</c:v>
                </c:pt>
                <c:pt idx="98">
                  <c:v>0.93995065727561955</c:v>
                </c:pt>
                <c:pt idx="99">
                  <c:v>0.93995712083320881</c:v>
                </c:pt>
                <c:pt idx="100">
                  <c:v>0.93996273774782479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2C-47EA-9767-6F866EF8D260}"/>
            </c:ext>
          </c:extLst>
        </c:ser>
        <c:ser>
          <c:idx val="1"/>
          <c:order val="1"/>
          <c:tx>
            <c:strRef>
              <c:f>'a)'!$D$8</c:f>
              <c:strCache>
                <c:ptCount val="1"/>
                <c:pt idx="0">
                  <c:v>y2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'a)'!$B$9:$B$109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xVal>
          <c:yVal>
            <c:numRef>
              <c:f>'a)'!$D$9:$D$109</c:f>
              <c:numCache>
                <c:formatCode>General</c:formatCode>
                <c:ptCount val="101"/>
                <c:pt idx="0">
                  <c:v>0</c:v>
                </c:pt>
                <c:pt idx="1">
                  <c:v>5.13E-4</c:v>
                </c:pt>
                <c:pt idx="2">
                  <c:v>1.0910582234042554E-3</c:v>
                </c:pt>
                <c:pt idx="3">
                  <c:v>1.742118805344623E-3</c:v>
                </c:pt>
                <c:pt idx="4">
                  <c:v>2.4750137842347625E-3</c:v>
                </c:pt>
                <c:pt idx="5">
                  <c:v>3.2995404582921474E-3</c:v>
                </c:pt>
                <c:pt idx="6">
                  <c:v>4.226539527239179E-3</c:v>
                </c:pt>
                <c:pt idx="7">
                  <c:v>5.2679721226647344E-3</c:v>
                </c:pt>
                <c:pt idx="8">
                  <c:v>6.4369932551772181E-3</c:v>
                </c:pt>
                <c:pt idx="9">
                  <c:v>7.748018544783305E-3</c:v>
                </c:pt>
                <c:pt idx="10">
                  <c:v>9.2167803622333344E-3</c:v>
                </c:pt>
                <c:pt idx="11">
                  <c:v>1.0860368714411829E-2</c:v>
                </c:pt>
                <c:pt idx="12">
                  <c:v>1.2697251392937004E-2</c:v>
                </c:pt>
                <c:pt idx="13">
                  <c:v>1.4747267128585057E-2</c:v>
                </c:pt>
                <c:pt idx="14">
                  <c:v>1.7031584835292629E-2</c:v>
                </c:pt>
                <c:pt idx="15">
                  <c:v>1.9572621592743613E-2</c:v>
                </c:pt>
                <c:pt idx="16">
                  <c:v>2.2393911938087346E-2</c:v>
                </c:pt>
                <c:pt idx="17">
                  <c:v>2.5519921468175426E-2</c:v>
                </c:pt>
                <c:pt idx="18">
                  <c:v>2.8975798856306363E-2</c:v>
                </c:pt>
                <c:pt idx="19">
                  <c:v>3.2787062314150371E-2</c:v>
                </c:pt>
                <c:pt idx="20">
                  <c:v>3.6979219393842931E-2</c:v>
                </c:pt>
                <c:pt idx="21">
                  <c:v>4.1577322865303516E-2</c:v>
                </c:pt>
                <c:pt idx="22">
                  <c:v>4.6605470141432882E-2</c:v>
                </c:pt>
                <c:pt idx="23">
                  <c:v>5.2086259126624915E-2</c:v>
                </c:pt>
                <c:pt idx="24">
                  <c:v>5.8040219021762103E-2</c:v>
                </c:pt>
                <c:pt idx="25">
                  <c:v>6.4485239946681608E-2</c:v>
                </c:pt>
                <c:pt idx="26">
                  <c:v>7.1436029521769723E-2</c:v>
                </c:pt>
                <c:pt idx="27">
                  <c:v>7.8903627021741404E-2</c:v>
                </c:pt>
                <c:pt idx="28">
                  <c:v>8.6895005697704003E-2</c:v>
                </c:pt>
                <c:pt idx="29">
                  <c:v>9.5412790911430553E-2</c:v>
                </c:pt>
                <c:pt idx="30">
                  <c:v>0.10445511576119992</c:v>
                </c:pt>
                <c:pt idx="31">
                  <c:v>0.11401562727975013</c:v>
                </c:pt>
                <c:pt idx="32">
                  <c:v>0.12408364588406137</c:v>
                </c:pt>
                <c:pt idx="33">
                  <c:v>0.13464446973586491</c:v>
                </c:pt>
                <c:pt idx="34">
                  <c:v>0.14567980536840902</c:v>
                </c:pt>
                <c:pt idx="35">
                  <c:v>0.15716829759974216</c:v>
                </c:pt>
                <c:pt idx="36">
                  <c:v>0.1690861263197771</c:v>
                </c:pt>
                <c:pt idx="37">
                  <c:v>0.18140763566724727</c:v>
                </c:pt>
                <c:pt idx="38">
                  <c:v>0.19410596233917549</c:v>
                </c:pt>
                <c:pt idx="39">
                  <c:v>0.20715363377582571</c:v>
                </c:pt>
                <c:pt idx="40">
                  <c:v>0.22052311290432403</c:v>
                </c:pt>
                <c:pt idx="41">
                  <c:v>0.23418727304750947</c:v>
                </c:pt>
                <c:pt idx="42">
                  <c:v>0.24811979360762323</c:v>
                </c:pt>
                <c:pt idx="43">
                  <c:v>0.26229547349513599</c:v>
                </c:pt>
                <c:pt idx="44">
                  <c:v>0.27669046451548823</c:v>
                </c:pt>
                <c:pt idx="45">
                  <c:v>0.2912824308259519</c:v>
                </c:pt>
                <c:pt idx="46">
                  <c:v>0.30605064311890889</c:v>
                </c:pt>
                <c:pt idx="47">
                  <c:v>0.3209760175158099</c:v>
                </c:pt>
                <c:pt idx="48">
                  <c:v>0.33604110949383714</c:v>
                </c:pt>
                <c:pt idx="49">
                  <c:v>0.3512300727715682</c:v>
                </c:pt>
                <c:pt idx="50">
                  <c:v>0.36652859219748218</c:v>
                </c:pt>
                <c:pt idx="51">
                  <c:v>0.3819237985280961</c:v>
                </c:pt>
                <c:pt idx="52">
                  <c:v>0.39740417171736941</c:v>
                </c:pt>
                <c:pt idx="53">
                  <c:v>0.41295943808556784</c:v>
                </c:pt>
                <c:pt idx="54">
                  <c:v>0.42858046557209417</c:v>
                </c:pt>
                <c:pt idx="55">
                  <c:v>0.44425916024705858</c:v>
                </c:pt>
                <c:pt idx="56">
                  <c:v>0.45998836637939483</c:v>
                </c:pt>
                <c:pt idx="57">
                  <c:v>0.47576177163641142</c:v>
                </c:pt>
                <c:pt idx="58">
                  <c:v>0.49157381841100894</c:v>
                </c:pt>
                <c:pt idx="59">
                  <c:v>0.50741962182250577</c:v>
                </c:pt>
                <c:pt idx="60">
                  <c:v>0.52329489459662282</c:v>
                </c:pt>
                <c:pt idx="61">
                  <c:v>0.53919587878098807</c:v>
                </c:pt>
                <c:pt idx="62">
                  <c:v>0.55511928407702393</c:v>
                </c:pt>
                <c:pt idx="63">
                  <c:v>0.57106223245171928</c:v>
                </c:pt>
                <c:pt idx="64">
                  <c:v>0.58702220862023458</c:v>
                </c:pt>
                <c:pt idx="65">
                  <c:v>0.60299701595149346</c:v>
                </c:pt>
                <c:pt idx="66">
                  <c:v>0.6189847373348929</c:v>
                </c:pt>
                <c:pt idx="67">
                  <c:v>0.63498370054990527</c:v>
                </c:pt>
                <c:pt idx="68">
                  <c:v>0.6509924476961062</c:v>
                </c:pt>
                <c:pt idx="69">
                  <c:v>0.66700970826480632</c:v>
                </c:pt>
                <c:pt idx="70">
                  <c:v>0.68303437546181867</c:v>
                </c:pt>
                <c:pt idx="71">
                  <c:v>0.69906548542162927</c:v>
                </c:pt>
                <c:pt idx="72">
                  <c:v>0.71510219898468175</c:v>
                </c:pt>
                <c:pt idx="73">
                  <c:v>0.73114378574047367</c:v>
                </c:pt>
                <c:pt idx="74">
                  <c:v>0.7471896100689196</c:v>
                </c:pt>
                <c:pt idx="75">
                  <c:v>0.76323911894046415</c:v>
                </c:pt>
                <c:pt idx="76">
                  <c:v>0.77929183126145674</c:v>
                </c:pt>
                <c:pt idx="77">
                  <c:v>0.79534732857518975</c:v>
                </c:pt>
                <c:pt idx="78">
                  <c:v>0.81140524695074212</c:v>
                </c:pt>
                <c:pt idx="79">
                  <c:v>0.82746526991140501</c:v>
                </c:pt>
                <c:pt idx="80">
                  <c:v>0.84352712227209414</c:v>
                </c:pt>
                <c:pt idx="81">
                  <c:v>0.85959056477090556</c:v>
                </c:pt>
                <c:pt idx="82">
                  <c:v>0.87565538939398835</c:v>
                </c:pt>
                <c:pt idx="83">
                  <c:v>0.89172141530533511</c:v>
                </c:pt>
                <c:pt idx="84">
                  <c:v>0.90778848530408107</c:v>
                </c:pt>
                <c:pt idx="85">
                  <c:v>0.9238564627415975</c:v>
                </c:pt>
                <c:pt idx="86">
                  <c:v>0.93992522883919549</c:v>
                </c:pt>
                <c:pt idx="87">
                  <c:v>0.95599468035475454</c:v>
                </c:pt>
                <c:pt idx="88">
                  <c:v>0.97206472755316631</c:v>
                </c:pt>
                <c:pt idx="89">
                  <c:v>0.98813529244124831</c:v>
                </c:pt>
                <c:pt idx="90">
                  <c:v>1.004206307232824</c:v>
                </c:pt>
                <c:pt idx="91">
                  <c:v>1.0202777130140765</c:v>
                </c:pt>
                <c:pt idx="92">
                  <c:v>1.036349458583137</c:v>
                </c:pt>
                <c:pt idx="93">
                  <c:v>1.0524214994412293</c:v>
                </c:pt>
                <c:pt idx="94">
                  <c:v>1.0684937969156307</c:v>
                </c:pt>
                <c:pt idx="95">
                  <c:v>1.0845663173972626</c:v>
                </c:pt>
                <c:pt idx="96">
                  <c:v>1.1006390316779611</c:v>
                </c:pt>
                <c:pt idx="97">
                  <c:v>1.1167119143744157</c:v>
                </c:pt>
                <c:pt idx="98">
                  <c:v>1.1327849434274608</c:v>
                </c:pt>
                <c:pt idx="99">
                  <c:v>1.148858099666874</c:v>
                </c:pt>
                <c:pt idx="100">
                  <c:v>1.1649313664331218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72C-47EA-9767-6F866EF8D2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5944784"/>
        <c:axId val="595945440"/>
      </c:scatterChart>
      <c:valAx>
        <c:axId val="595944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945440"/>
        <c:crosses val="autoZero"/>
        <c:crossBetween val="midCat"/>
      </c:valAx>
      <c:valAx>
        <c:axId val="59594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Concentration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9447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a:effectLst/>
              </a:rPr>
              <a:t>Chart 2</a:t>
            </a:r>
            <a:endParaRPr lang="en-US" sz="1400">
              <a:effectLst/>
            </a:endParaRPr>
          </a:p>
          <a:p>
            <a:pPr>
              <a:defRPr/>
            </a:pPr>
            <a:r>
              <a:rPr lang="en-US" sz="1400" b="0" i="0" baseline="0">
                <a:effectLst/>
              </a:rPr>
              <a:t>cell mass vs penicillin over time</a:t>
            </a:r>
            <a:endParaRPr lang="en-US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'a)'!$G$8</c:f>
              <c:strCache>
                <c:ptCount val="1"/>
                <c:pt idx="0">
                  <c:v>y1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'a)'!$F$9:$F$19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'a)'!$G$9:$G$19</c:f>
              <c:numCache>
                <c:formatCode>General</c:formatCode>
                <c:ptCount val="11"/>
                <c:pt idx="0">
                  <c:v>0.03</c:v>
                </c:pt>
                <c:pt idx="1">
                  <c:v>6.8045744680851061E-2</c:v>
                </c:pt>
                <c:pt idx="2">
                  <c:v>0.1507329121131758</c:v>
                </c:pt>
                <c:pt idx="3">
                  <c:v>0.31652947576835622</c:v>
                </c:pt>
                <c:pt idx="4">
                  <c:v>0.59155533282325456</c:v>
                </c:pt>
                <c:pt idx="5">
                  <c:v>0.87881366728231658</c:v>
                </c:pt>
                <c:pt idx="6">
                  <c:v>0.95375038529356149</c:v>
                </c:pt>
                <c:pt idx="7">
                  <c:v>0.935473885074533</c:v>
                </c:pt>
                <c:pt idx="8">
                  <c:v>0.94137454638394014</c:v>
                </c:pt>
                <c:pt idx="9">
                  <c:v>0.93957125755197024</c:v>
                </c:pt>
                <c:pt idx="10">
                  <c:v>0.94013265398408752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5A-41D7-8E99-D1D6D25BE63B}"/>
            </c:ext>
          </c:extLst>
        </c:ser>
        <c:ser>
          <c:idx val="1"/>
          <c:order val="1"/>
          <c:tx>
            <c:strRef>
              <c:f>'a)'!$H$8</c:f>
              <c:strCache>
                <c:ptCount val="1"/>
                <c:pt idx="0">
                  <c:v>y2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'a)'!$F$9:$F$19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'a)'!$H$9:$H$19</c:f>
              <c:numCache>
                <c:formatCode>General</c:formatCode>
                <c:ptCount val="11"/>
                <c:pt idx="0">
                  <c:v>0</c:v>
                </c:pt>
                <c:pt idx="1">
                  <c:v>5.13E-3</c:v>
                </c:pt>
                <c:pt idx="2">
                  <c:v>1.6765822340425531E-2</c:v>
                </c:pt>
                <c:pt idx="3">
                  <c:v>4.2541150311778596E-2</c:v>
                </c:pt>
                <c:pt idx="4">
                  <c:v>9.6667690668167522E-2</c:v>
                </c:pt>
                <c:pt idx="5">
                  <c:v>0.19782365258094406</c:v>
                </c:pt>
                <c:pt idx="6">
                  <c:v>0.34810078968622021</c:v>
                </c:pt>
                <c:pt idx="7">
                  <c:v>0.51119210557141925</c:v>
                </c:pt>
                <c:pt idx="8">
                  <c:v>0.6711581399191644</c:v>
                </c:pt>
                <c:pt idx="9">
                  <c:v>0.8321331873508182</c:v>
                </c:pt>
                <c:pt idx="10">
                  <c:v>0.99279987239220513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B5A-41D7-8E99-D1D6D25BE6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5949376"/>
        <c:axId val="595955936"/>
      </c:scatterChart>
      <c:valAx>
        <c:axId val="595949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955936"/>
        <c:crosses val="autoZero"/>
        <c:crossBetween val="midCat"/>
      </c:valAx>
      <c:valAx>
        <c:axId val="595955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Concentration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9493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Chart 1</a:t>
            </a:r>
          </a:p>
          <a:p>
            <a:pPr>
              <a:defRPr/>
            </a:pPr>
            <a:r>
              <a:rPr lang="en-US" sz="1400" b="0" i="0" kern="1200" spc="0" baseline="0">
                <a:solidFill>
                  <a:srgbClr val="595959"/>
                </a:solidFill>
                <a:effectLst/>
              </a:rPr>
              <a:t>cell mass vs penicillin over time</a:t>
            </a:r>
            <a:endParaRPr lang="en-US" sz="1400" b="0" i="0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'b)'!$C$8</c:f>
              <c:strCache>
                <c:ptCount val="1"/>
                <c:pt idx="0">
                  <c:v>y1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'b)'!$B$9:$B$109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xVal>
          <c:yVal>
            <c:numRef>
              <c:f>'b)'!$C$9:$C$109</c:f>
              <c:numCache>
                <c:formatCode>General</c:formatCode>
                <c:ptCount val="101"/>
                <c:pt idx="0">
                  <c:v>0.03</c:v>
                </c:pt>
                <c:pt idx="1">
                  <c:v>3.4036859121063377E-2</c:v>
                </c:pt>
                <c:pt idx="2">
                  <c:v>3.8594043084743124E-2</c:v>
                </c:pt>
                <c:pt idx="3">
                  <c:v>4.3732128902594238E-2</c:v>
                </c:pt>
                <c:pt idx="4">
                  <c:v>4.9516924492541546E-2</c:v>
                </c:pt>
                <c:pt idx="5">
                  <c:v>5.6019398863162498E-2</c:v>
                </c:pt>
                <c:pt idx="6">
                  <c:v>6.3315431539740161E-2</c:v>
                </c:pt>
                <c:pt idx="7">
                  <c:v>7.1485331273957259E-2</c:v>
                </c:pt>
                <c:pt idx="8">
                  <c:v>8.061306878696009E-2</c:v>
                </c:pt>
                <c:pt idx="9">
                  <c:v>9.0785165208964444E-2</c:v>
                </c:pt>
                <c:pt idx="10">
                  <c:v>0.10208917844924467</c:v>
                </c:pt>
                <c:pt idx="11">
                  <c:v>0.1146117357318662</c:v>
                </c:pt>
                <c:pt idx="12">
                  <c:v>0.12843607395979684</c:v>
                </c:pt>
                <c:pt idx="13">
                  <c:v>0.14363907242309068</c:v>
                </c:pt>
                <c:pt idx="14">
                  <c:v>0.1602877962875166</c:v>
                </c:pt>
                <c:pt idx="15">
                  <c:v>0.17843561504857813</c:v>
                </c:pt>
                <c:pt idx="16">
                  <c:v>0.19811801693438888</c:v>
                </c:pt>
                <c:pt idx="17">
                  <c:v>0.21934830507317396</c:v>
                </c:pt>
                <c:pt idx="18">
                  <c:v>0.24211342828065774</c:v>
                </c:pt>
                <c:pt idx="19">
                  <c:v>0.26637025973721046</c:v>
                </c:pt>
                <c:pt idx="20">
                  <c:v>0.29204267924740823</c:v>
                </c:pt>
                <c:pt idx="21">
                  <c:v>0.31901982667836432</c:v>
                </c:pt>
                <c:pt idx="22">
                  <c:v>0.34715586420622974</c:v>
                </c:pt>
                <c:pt idx="23">
                  <c:v>0.37627150602376974</c:v>
                </c:pt>
                <c:pt idx="24">
                  <c:v>0.40615744633732642</c:v>
                </c:pt>
                <c:pt idx="25">
                  <c:v>0.43657964944020278</c:v>
                </c:pt>
                <c:pt idx="26">
                  <c:v>0.46728627872167672</c:v>
                </c:pt>
                <c:pt idx="27">
                  <c:v>0.49801586130709885</c:v>
                </c:pt>
                <c:pt idx="28">
                  <c:v>0.52850614070794033</c:v>
                </c:pt>
                <c:pt idx="29">
                  <c:v>0.55850298654992603</c:v>
                </c:pt>
                <c:pt idx="30">
                  <c:v>0.58776872332190699</c:v>
                </c:pt>
                <c:pt idx="31">
                  <c:v>0.61608931049812798</c:v>
                </c:pt>
                <c:pt idx="32">
                  <c:v>0.64327994149437595</c:v>
                </c:pt>
                <c:pt idx="33">
                  <c:v>0.66918880495725575</c:v>
                </c:pt>
                <c:pt idx="34">
                  <c:v>0.69369893994550713</c:v>
                </c:pt>
                <c:pt idx="35">
                  <c:v>0.71672828905796726</c:v>
                </c:pt>
                <c:pt idx="36">
                  <c:v>0.73822818952449742</c:v>
                </c:pt>
                <c:pt idx="37">
                  <c:v>0.75818063024116356</c:v>
                </c:pt>
                <c:pt idx="38">
                  <c:v>0.77659464096260833</c:v>
                </c:pt>
                <c:pt idx="39">
                  <c:v>0.79350217445196591</c:v>
                </c:pt>
                <c:pt idx="40">
                  <c:v>0.80895380422599383</c:v>
                </c:pt>
                <c:pt idx="41">
                  <c:v>0.82301450219281125</c:v>
                </c:pt>
                <c:pt idx="42">
                  <c:v>0.83575969370597225</c:v>
                </c:pt>
                <c:pt idx="43">
                  <c:v>0.84727172171221388</c:v>
                </c:pt>
                <c:pt idx="44">
                  <c:v>0.85763679311273955</c:v>
                </c:pt>
                <c:pt idx="45">
                  <c:v>0.86694243265630111</c:v>
                </c:pt>
                <c:pt idx="46">
                  <c:v>0.87527543374189964</c:v>
                </c:pt>
                <c:pt idx="47">
                  <c:v>0.88272027087167815</c:v>
                </c:pt>
                <c:pt idx="48">
                  <c:v>0.88935792361628241</c:v>
                </c:pt>
                <c:pt idx="49">
                  <c:v>0.8952650548571075</c:v>
                </c:pt>
                <c:pt idx="50">
                  <c:v>0.90051348473112347</c:v>
                </c:pt>
                <c:pt idx="51">
                  <c:v>0.90516990429950939</c:v>
                </c:pt>
                <c:pt idx="52">
                  <c:v>0.90929577797990402</c:v>
                </c:pt>
                <c:pt idx="53">
                  <c:v>0.9129473900576297</c:v>
                </c:pt>
                <c:pt idx="54">
                  <c:v>0.91617599728166055</c:v>
                </c:pt>
                <c:pt idx="55">
                  <c:v>0.91902805609014615</c:v>
                </c:pt>
                <c:pt idx="56">
                  <c:v>0.92154549905028182</c:v>
                </c:pt>
                <c:pt idx="57">
                  <c:v>0.92376604045342126</c:v>
                </c:pt>
                <c:pt idx="58">
                  <c:v>0.92572349560822575</c:v>
                </c:pt>
                <c:pt idx="59">
                  <c:v>0.92744810222739171</c:v>
                </c:pt>
                <c:pt idx="60">
                  <c:v>0.92896683545788417</c:v>
                </c:pt>
                <c:pt idx="61">
                  <c:v>0.93030371063571471</c:v>
                </c:pt>
                <c:pt idx="62">
                  <c:v>0.93148006983889953</c:v>
                </c:pt>
                <c:pt idx="63">
                  <c:v>0.93251484985128164</c:v>
                </c:pt>
                <c:pt idx="64">
                  <c:v>0.93342483031496981</c:v>
                </c:pt>
                <c:pt idx="65">
                  <c:v>0.9342248617114286</c:v>
                </c:pt>
                <c:pt idx="66">
                  <c:v>0.93492807343240858</c:v>
                </c:pt>
                <c:pt idx="67">
                  <c:v>0.93554606263400431</c:v>
                </c:pt>
                <c:pt idx="68">
                  <c:v>0.9360890648532515</c:v>
                </c:pt>
                <c:pt idx="69">
                  <c:v>0.93656610754188929</c:v>
                </c:pt>
                <c:pt idx="70">
                  <c:v>0.93698514776430675</c:v>
                </c:pt>
                <c:pt idx="71">
                  <c:v>0.93735319533849304</c:v>
                </c:pt>
                <c:pt idx="72">
                  <c:v>0.93767642268736306</c:v>
                </c:pt>
                <c:pt idx="73">
                  <c:v>0.93796026262651633</c:v>
                </c:pt>
                <c:pt idx="74">
                  <c:v>0.9382094952534894</c:v>
                </c:pt>
                <c:pt idx="75">
                  <c:v>0.93842832503052431</c:v>
                </c:pt>
                <c:pt idx="76">
                  <c:v>0.93862044907344666</c:v>
                </c:pt>
                <c:pt idx="77">
                  <c:v>0.93878911757752137</c:v>
                </c:pt>
                <c:pt idx="78">
                  <c:v>0.93893718723003428</c:v>
                </c:pt>
                <c:pt idx="79">
                  <c:v>0.93906716838081616</c:v>
                </c:pt>
                <c:pt idx="80">
                  <c:v>0.93918126666729285</c:v>
                </c:pt>
                <c:pt idx="81">
                  <c:v>0.93928141972069745</c:v>
                </c:pt>
                <c:pt idx="82">
                  <c:v>0.93936932951523711</c:v>
                </c:pt>
                <c:pt idx="83">
                  <c:v>0.93944649086241983</c:v>
                </c:pt>
                <c:pt idx="84">
                  <c:v>0.93951421649837019</c:v>
                </c:pt>
                <c:pt idx="85">
                  <c:v>0.93957365916263236</c:v>
                </c:pt>
                <c:pt idx="86">
                  <c:v>0.9396258310224177</c:v>
                </c:pt>
                <c:pt idx="87">
                  <c:v>0.93967162075620148</c:v>
                </c:pt>
                <c:pt idx="88">
                  <c:v>0.93971180857467262</c:v>
                </c:pt>
                <c:pt idx="89">
                  <c:v>0.93974707942496405</c:v>
                </c:pt>
                <c:pt idx="90">
                  <c:v>0.9397780345954887</c:v>
                </c:pt>
                <c:pt idx="91">
                  <c:v>0.93980520191326566</c:v>
                </c:pt>
                <c:pt idx="92">
                  <c:v>0.93982904470302686</c:v>
                </c:pt>
                <c:pt idx="93">
                  <c:v>0.93984996965736101</c:v>
                </c:pt>
                <c:pt idx="94">
                  <c:v>0.9398683337494137</c:v>
                </c:pt>
                <c:pt idx="95">
                  <c:v>0.93988445030397283</c:v>
                </c:pt>
                <c:pt idx="96">
                  <c:v>0.93989859432890499</c:v>
                </c:pt>
                <c:pt idx="97">
                  <c:v>0.93991100719667042</c:v>
                </c:pt>
                <c:pt idx="98">
                  <c:v>0.93992190075484794</c:v>
                </c:pt>
                <c:pt idx="99">
                  <c:v>0.93993146093508451</c:v>
                </c:pt>
                <c:pt idx="100">
                  <c:v>0.93993985092149501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8-4F63-9D78-5CD9380DEC4F}"/>
            </c:ext>
          </c:extLst>
        </c:ser>
        <c:ser>
          <c:idx val="1"/>
          <c:order val="1"/>
          <c:tx>
            <c:strRef>
              <c:f>'b)'!$D$8</c:f>
              <c:strCache>
                <c:ptCount val="1"/>
                <c:pt idx="0">
                  <c:v>y2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'b)'!$B$9:$B$109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xVal>
          <c:yVal>
            <c:numRef>
              <c:f>'b)'!$D$9:$D$109</c:f>
              <c:numCache>
                <c:formatCode>General</c:formatCode>
                <c:ptCount val="101"/>
                <c:pt idx="0">
                  <c:v>0</c:v>
                </c:pt>
                <c:pt idx="1">
                  <c:v>5.1738614999999994E-4</c:v>
                </c:pt>
                <c:pt idx="2">
                  <c:v>1.1043927999579788E-3</c:v>
                </c:pt>
                <c:pt idx="3">
                  <c:v>1.7699935787762911E-3</c:v>
                </c:pt>
                <c:pt idx="4">
                  <c:v>2.5242068389168563E-3</c:v>
                </c:pt>
                <c:pt idx="5">
                  <c:v>3.3781858696847488E-3</c:v>
                </c:pt>
                <c:pt idx="6">
                  <c:v>4.3443079064556158E-3</c:v>
                </c:pt>
                <c:pt idx="7">
                  <c:v>5.4362588184534407E-3</c:v>
                </c:pt>
                <c:pt idx="8">
                  <c:v>6.6691094960970188E-3</c:v>
                </c:pt>
                <c:pt idx="9">
                  <c:v>8.059379006076034E-3</c:v>
                </c:pt>
                <c:pt idx="10">
                  <c:v>9.6250785762287024E-3</c:v>
                </c:pt>
                <c:pt idx="11">
                  <c:v>1.1385729476045959E-2</c:v>
                </c:pt>
                <c:pt idx="12">
                  <c:v>1.3362346965883547E-2</c:v>
                </c:pt>
                <c:pt idx="13">
                  <c:v>1.5577381826789366E-2</c:v>
                </c:pt>
                <c:pt idx="14">
                  <c:v>1.8054610715807835E-2</c:v>
                </c:pt>
                <c:pt idx="15">
                  <c:v>2.0818966909580586E-2</c:v>
                </c:pt>
                <c:pt idx="16">
                  <c:v>2.3896304106009451E-2</c:v>
                </c:pt>
                <c:pt idx="17">
                  <c:v>2.7313088040253394E-2</c:v>
                </c:pt>
                <c:pt idx="18">
                  <c:v>3.1096013875947893E-2</c:v>
                </c:pt>
                <c:pt idx="19">
                  <c:v>3.5271551693328913E-2</c:v>
                </c:pt>
                <c:pt idx="20">
                  <c:v>3.9865427798660091E-2</c:v>
                </c:pt>
                <c:pt idx="21">
                  <c:v>4.4902055713710143E-2</c:v>
                </c:pt>
                <c:pt idx="22">
                  <c:v>5.0403937043669682E-2</c:v>
                </c:pt>
                <c:pt idx="23">
                  <c:v>5.6391058244722486E-2</c:v>
                </c:pt>
                <c:pt idx="24">
                  <c:v>6.2880313773267152E-2</c:v>
                </c:pt>
                <c:pt idx="25">
                  <c:v>6.9884988355077185E-2</c:v>
                </c:pt>
                <c:pt idx="26">
                  <c:v>7.7414330488151051E-2</c:v>
                </c:pt>
                <c:pt idx="27">
                  <c:v>8.5473245444672219E-2</c:v>
                </c:pt>
                <c:pt idx="28">
                  <c:v>9.4062129082026019E-2</c:v>
                </c:pt>
                <c:pt idx="29">
                  <c:v>0.103176854328434</c:v>
                </c:pt>
                <c:pt idx="30">
                  <c:v>0.11280891132758628</c:v>
                </c:pt>
                <c:pt idx="31">
                  <c:v>0.12294569122258417</c:v>
                </c:pt>
                <c:pt idx="32">
                  <c:v>0.13357089376974354</c:v>
                </c:pt>
                <c:pt idx="33">
                  <c:v>0.14466503151314355</c:v>
                </c:pt>
                <c:pt idx="34">
                  <c:v>0.1562059988271414</c:v>
                </c:pt>
                <c:pt idx="35">
                  <c:v>0.16816967295372431</c:v>
                </c:pt>
                <c:pt idx="36">
                  <c:v>0.18053051595611727</c:v>
                </c:pt>
                <c:pt idx="37">
                  <c:v>0.19326215064943561</c:v>
                </c:pt>
                <c:pt idx="38">
                  <c:v>0.20633788922560392</c:v>
                </c:pt>
                <c:pt idx="39">
                  <c:v>0.21973119960554646</c:v>
                </c:pt>
                <c:pt idx="40">
                  <c:v>0.23341610077409083</c:v>
                </c:pt>
                <c:pt idx="41">
                  <c:v>0.24736748391730218</c:v>
                </c:pt>
                <c:pt idx="42">
                  <c:v>0.26156136074009234</c:v>
                </c:pt>
                <c:pt idx="43">
                  <c:v>0.27597504374848275</c:v>
                </c:pt>
                <c:pt idx="44">
                  <c:v>0.29058726555183456</c:v>
                </c:pt>
                <c:pt idx="45">
                  <c:v>0.30537824550139947</c:v>
                </c:pt>
                <c:pt idx="46">
                  <c:v>0.32032971241818875</c:v>
                </c:pt>
                <c:pt idx="47">
                  <c:v>0.33542489197996544</c:v>
                </c:pt>
                <c:pt idx="48">
                  <c:v>0.35064846672907396</c:v>
                </c:pt>
                <c:pt idx="49">
                  <c:v>0.36598651579813468</c:v>
                </c:pt>
                <c:pt idx="50">
                  <c:v>0.38142644046353658</c:v>
                </c:pt>
                <c:pt idx="51">
                  <c:v>0.39695688062647388</c:v>
                </c:pt>
                <c:pt idx="52">
                  <c:v>0.41256762635585359</c:v>
                </c:pt>
                <c:pt idx="53">
                  <c:v>0.42824952774852948</c:v>
                </c:pt>
                <c:pt idx="54">
                  <c:v>0.4439944055916783</c:v>
                </c:pt>
                <c:pt idx="55">
                  <c:v>0.45979496465687725</c:v>
                </c:pt>
                <c:pt idx="56">
                  <c:v>0.4756447109129594</c:v>
                </c:pt>
                <c:pt idx="57">
                  <c:v>0.49153787350640787</c:v>
                </c:pt>
                <c:pt idx="58">
                  <c:v>0.50746933201210587</c:v>
                </c:pt>
                <c:pt idx="59">
                  <c:v>0.52343454919068189</c:v>
                </c:pt>
                <c:pt idx="60">
                  <c:v>0.53942950928855649</c:v>
                </c:pt>
                <c:pt idx="61">
                  <c:v>0.55545066177106439</c:v>
                </c:pt>
                <c:pt idx="62">
                  <c:v>0.57149487027694856</c:v>
                </c:pt>
                <c:pt idx="63">
                  <c:v>0.58755936651480456</c:v>
                </c:pt>
                <c:pt idx="64">
                  <c:v>0.60364170878088397</c:v>
                </c:pt>
                <c:pt idx="65">
                  <c:v>0.61973974475658611</c:v>
                </c:pt>
                <c:pt idx="66">
                  <c:v>0.63585157823775806</c:v>
                </c:pt>
                <c:pt idx="67">
                  <c:v>0.65197553945242848</c:v>
                </c:pt>
                <c:pt idx="68">
                  <c:v>0.66811015863555734</c:v>
                </c:pt>
                <c:pt idx="69">
                  <c:v>0.68425414254627481</c:v>
                </c:pt>
                <c:pt idx="70">
                  <c:v>0.70040635363299431</c:v>
                </c:pt>
                <c:pt idx="71">
                  <c:v>0.71656579157329281</c:v>
                </c:pt>
                <c:pt idx="72">
                  <c:v>0.73273157693750546</c:v>
                </c:pt>
                <c:pt idx="73">
                  <c:v>0.74890293674683839</c:v>
                </c:pt>
                <c:pt idx="74">
                  <c:v>0.76507919171794914</c:v>
                </c:pt>
                <c:pt idx="75">
                  <c:v>0.78125974500603734</c:v>
                </c:pt>
                <c:pt idx="76">
                  <c:v>0.79744407227732039</c:v>
                </c:pt>
                <c:pt idx="77">
                  <c:v>0.81363171295923309</c:v>
                </c:pt>
                <c:pt idx="78">
                  <c:v>0.82982226253274416</c:v>
                </c:pt>
                <c:pt idx="79">
                  <c:v>0.84601536574583669</c:v>
                </c:pt>
                <c:pt idx="80">
                  <c:v>0.86221071064050181</c:v>
                </c:pt>
                <c:pt idx="81">
                  <c:v>0.87840802329760559</c:v>
                </c:pt>
                <c:pt idx="82">
                  <c:v>0.89460706321479977</c:v>
                </c:pt>
                <c:pt idx="83">
                  <c:v>0.91080761924233211</c:v>
                </c:pt>
                <c:pt idx="84">
                  <c:v>0.92700950601027599</c:v>
                </c:pt>
                <c:pt idx="85">
                  <c:v>0.94321256078842131</c:v>
                </c:pt>
                <c:pt idx="86">
                  <c:v>0.95941664072694022</c:v>
                </c:pt>
                <c:pt idx="87">
                  <c:v>0.97562162043204814</c:v>
                </c:pt>
                <c:pt idx="88">
                  <c:v>0.99182738983629182</c:v>
                </c:pt>
                <c:pt idx="89">
                  <c:v>1.0080338523278913</c:v>
                </c:pt>
                <c:pt idx="90">
                  <c:v>1.0242409231078056</c:v>
                </c:pt>
                <c:pt idx="91">
                  <c:v>1.0404485277469364</c:v>
                </c:pt>
                <c:pt idx="92">
                  <c:v>1.0566566009191989</c:v>
                </c:pt>
                <c:pt idx="93">
                  <c:v>1.0728650852891015</c:v>
                </c:pt>
                <c:pt idx="94">
                  <c:v>1.0890739305350561</c:v>
                </c:pt>
                <c:pt idx="95">
                  <c:v>1.1052830924919068</c:v>
                </c:pt>
                <c:pt idx="96">
                  <c:v>1.1214925323981615</c:v>
                </c:pt>
                <c:pt idx="97">
                  <c:v>1.1377022162351695</c:v>
                </c:pt>
                <c:pt idx="98">
                  <c:v>1.1539121141470399</c:v>
                </c:pt>
                <c:pt idx="99">
                  <c:v>1.1701221999314477</c:v>
                </c:pt>
                <c:pt idx="100">
                  <c:v>1.1863324505926838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9F8-4F63-9D78-5CD9380DEC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9154496"/>
        <c:axId val="579161384"/>
      </c:scatterChart>
      <c:valAx>
        <c:axId val="579154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161384"/>
        <c:crosses val="autoZero"/>
        <c:crossBetween val="midCat"/>
      </c:valAx>
      <c:valAx>
        <c:axId val="579161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Concentration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154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Chart 2</a:t>
            </a:r>
          </a:p>
          <a:p>
            <a:pPr>
              <a:defRPr/>
            </a:pPr>
            <a:r>
              <a:rPr lang="en-US"/>
              <a:t>cell</a:t>
            </a:r>
            <a:r>
              <a:rPr lang="en-US" baseline="0"/>
              <a:t> mass vs penicillin over time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'b)'!$K$8</c:f>
              <c:strCache>
                <c:ptCount val="1"/>
                <c:pt idx="0">
                  <c:v>y1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'b)'!$J$9:$J$19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'b)'!$K$9:$K$19</c:f>
              <c:numCache>
                <c:formatCode>General</c:formatCode>
                <c:ptCount val="11"/>
                <c:pt idx="0">
                  <c:v>0.03</c:v>
                </c:pt>
                <c:pt idx="1">
                  <c:v>9.0366456056587885E-2</c:v>
                </c:pt>
                <c:pt idx="2">
                  <c:v>0.24599803088588504</c:v>
                </c:pt>
                <c:pt idx="3">
                  <c:v>0.51874932120611184</c:v>
                </c:pt>
                <c:pt idx="4">
                  <c:v>0.73797330579810128</c:v>
                </c:pt>
                <c:pt idx="5">
                  <c:v>0.83807267506369709</c:v>
                </c:pt>
                <c:pt idx="6">
                  <c:v>0.88617869765692814</c:v>
                </c:pt>
                <c:pt idx="7">
                  <c:v>0.91101749637544371</c:v>
                </c:pt>
                <c:pt idx="8">
                  <c:v>0.92425503900402251</c:v>
                </c:pt>
                <c:pt idx="9">
                  <c:v>0.93141019038741579</c:v>
                </c:pt>
                <c:pt idx="10">
                  <c:v>0.93530372649857241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D6-440A-A815-5BE019A4C785}"/>
            </c:ext>
          </c:extLst>
        </c:ser>
        <c:ser>
          <c:idx val="1"/>
          <c:order val="1"/>
          <c:tx>
            <c:strRef>
              <c:f>'b)'!$L$8</c:f>
              <c:strCache>
                <c:ptCount val="1"/>
                <c:pt idx="0">
                  <c:v>y2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'b)'!$J$9:$J$19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'b)'!$L$9:$L$19</c:f>
              <c:numCache>
                <c:formatCode>General</c:formatCode>
                <c:ptCount val="11"/>
                <c:pt idx="0">
                  <c:v>0</c:v>
                </c:pt>
                <c:pt idx="1">
                  <c:v>5.5686150000000007E-3</c:v>
                </c:pt>
                <c:pt idx="2">
                  <c:v>2.2342481756451871E-2</c:v>
                </c:pt>
                <c:pt idx="3">
                  <c:v>6.8004759248505298E-2</c:v>
                </c:pt>
                <c:pt idx="4">
                  <c:v>0.16429526762544439</c:v>
                </c:pt>
                <c:pt idx="5">
                  <c:v>0.30127824163434086</c:v>
                </c:pt>
                <c:pt idx="6">
                  <c:v>0.45684171061600187</c:v>
                </c:pt>
                <c:pt idx="7">
                  <c:v>0.62133464356442969</c:v>
                </c:pt>
                <c:pt idx="8">
                  <c:v>0.79043816675038769</c:v>
                </c:pt>
                <c:pt idx="9">
                  <c:v>0.96199884921783385</c:v>
                </c:pt>
                <c:pt idx="10">
                  <c:v>1.1348876744626413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3D6-440A-A815-5BE019A4C7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9167288"/>
        <c:axId val="579167616"/>
      </c:scatterChart>
      <c:valAx>
        <c:axId val="579167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167616"/>
        <c:crosses val="autoZero"/>
        <c:crossBetween val="midCat"/>
      </c:valAx>
      <c:valAx>
        <c:axId val="579167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Concetration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1672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cell mass vs penicillin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'c) M1'!$B$2</c:f>
              <c:strCache>
                <c:ptCount val="1"/>
                <c:pt idx="0">
                  <c:v>y1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'c) M1'!$A$3:$A$103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'c) M1'!$B$3:$B$103</c:f>
              <c:numCache>
                <c:formatCode>General</c:formatCode>
                <c:ptCount val="101"/>
                <c:pt idx="0">
                  <c:v>0.03</c:v>
                </c:pt>
                <c:pt idx="1">
                  <c:v>3.3799999999999997E-2</c:v>
                </c:pt>
                <c:pt idx="2">
                  <c:v>3.807E-2</c:v>
                </c:pt>
                <c:pt idx="3">
                  <c:v>4.2860000000000002E-2</c:v>
                </c:pt>
                <c:pt idx="4">
                  <c:v>4.8219999999999999E-2</c:v>
                </c:pt>
                <c:pt idx="5">
                  <c:v>5.4210000000000001E-2</c:v>
                </c:pt>
                <c:pt idx="6">
                  <c:v>6.0900000000000003E-2</c:v>
                </c:pt>
                <c:pt idx="7">
                  <c:v>6.8360000000000004E-2</c:v>
                </c:pt>
                <c:pt idx="8">
                  <c:v>7.6670000000000002E-2</c:v>
                </c:pt>
                <c:pt idx="9">
                  <c:v>8.5889999999999994E-2</c:v>
                </c:pt>
                <c:pt idx="10">
                  <c:v>9.6119999999999997E-2</c:v>
                </c:pt>
                <c:pt idx="11">
                  <c:v>0.10742</c:v>
                </c:pt>
                <c:pt idx="12">
                  <c:v>0.11988</c:v>
                </c:pt>
                <c:pt idx="13">
                  <c:v>0.13358999999999999</c:v>
                </c:pt>
                <c:pt idx="14">
                  <c:v>0.14860000000000001</c:v>
                </c:pt>
                <c:pt idx="15">
                  <c:v>0.16499</c:v>
                </c:pt>
                <c:pt idx="16">
                  <c:v>0.18281</c:v>
                </c:pt>
                <c:pt idx="17">
                  <c:v>0.2021</c:v>
                </c:pt>
                <c:pt idx="18">
                  <c:v>0.22287999999999999</c:v>
                </c:pt>
                <c:pt idx="19">
                  <c:v>0.24515999999999999</c:v>
                </c:pt>
                <c:pt idx="20">
                  <c:v>0.26889000000000002</c:v>
                </c:pt>
                <c:pt idx="21">
                  <c:v>0.29404000000000002</c:v>
                </c:pt>
                <c:pt idx="22">
                  <c:v>0.32051000000000002</c:v>
                </c:pt>
                <c:pt idx="23">
                  <c:v>0.34817999999999999</c:v>
                </c:pt>
                <c:pt idx="24">
                  <c:v>0.37690000000000001</c:v>
                </c:pt>
                <c:pt idx="25">
                  <c:v>0.40648000000000001</c:v>
                </c:pt>
                <c:pt idx="26">
                  <c:v>0.43669999999999998</c:v>
                </c:pt>
                <c:pt idx="27">
                  <c:v>0.46733000000000002</c:v>
                </c:pt>
                <c:pt idx="28">
                  <c:v>0.49812000000000001</c:v>
                </c:pt>
                <c:pt idx="29">
                  <c:v>0.52878999999999998</c:v>
                </c:pt>
                <c:pt idx="30">
                  <c:v>0.55908999999999998</c:v>
                </c:pt>
                <c:pt idx="31">
                  <c:v>0.58877000000000002</c:v>
                </c:pt>
                <c:pt idx="32">
                  <c:v>0.61758999999999997</c:v>
                </c:pt>
                <c:pt idx="33">
                  <c:v>0.64534000000000002</c:v>
                </c:pt>
                <c:pt idx="34">
                  <c:v>0.67183999999999999</c:v>
                </c:pt>
                <c:pt idx="35">
                  <c:v>0.69694999999999996</c:v>
                </c:pt>
                <c:pt idx="36">
                  <c:v>0.72055999999999998</c:v>
                </c:pt>
                <c:pt idx="37">
                  <c:v>0.74258999999999997</c:v>
                </c:pt>
                <c:pt idx="38">
                  <c:v>0.76302000000000003</c:v>
                </c:pt>
                <c:pt idx="39">
                  <c:v>0.78183999999999998</c:v>
                </c:pt>
                <c:pt idx="40">
                  <c:v>0.79906999999999995</c:v>
                </c:pt>
                <c:pt idx="41">
                  <c:v>0.81476999999999999</c:v>
                </c:pt>
                <c:pt idx="42">
                  <c:v>0.82899</c:v>
                </c:pt>
                <c:pt idx="43">
                  <c:v>0.84180999999999995</c:v>
                </c:pt>
                <c:pt idx="44">
                  <c:v>0.85333000000000003</c:v>
                </c:pt>
                <c:pt idx="45">
                  <c:v>0.86363999999999996</c:v>
                </c:pt>
                <c:pt idx="46">
                  <c:v>0.87282999999999999</c:v>
                </c:pt>
                <c:pt idx="47">
                  <c:v>0.88100000000000001</c:v>
                </c:pt>
                <c:pt idx="48">
                  <c:v>0.88824000000000003</c:v>
                </c:pt>
                <c:pt idx="49">
                  <c:v>0.89464999999999995</c:v>
                </c:pt>
                <c:pt idx="50">
                  <c:v>0.90029999999999999</c:v>
                </c:pt>
                <c:pt idx="51">
                  <c:v>0.90527999999999997</c:v>
                </c:pt>
                <c:pt idx="52">
                  <c:v>0.90966000000000002</c:v>
                </c:pt>
                <c:pt idx="53">
                  <c:v>0.91351000000000004</c:v>
                </c:pt>
                <c:pt idx="54">
                  <c:v>0.91688000000000003</c:v>
                </c:pt>
                <c:pt idx="55">
                  <c:v>0.91983999999999999</c:v>
                </c:pt>
                <c:pt idx="56">
                  <c:v>0.92242000000000002</c:v>
                </c:pt>
                <c:pt idx="57">
                  <c:v>0.92467999999999995</c:v>
                </c:pt>
                <c:pt idx="58">
                  <c:v>0.92666000000000004</c:v>
                </c:pt>
                <c:pt idx="59">
                  <c:v>0.92837999999999998</c:v>
                </c:pt>
                <c:pt idx="60">
                  <c:v>0.92988000000000004</c:v>
                </c:pt>
                <c:pt idx="61">
                  <c:v>0.93118999999999996</c:v>
                </c:pt>
                <c:pt idx="62">
                  <c:v>0.93233999999999995</c:v>
                </c:pt>
                <c:pt idx="63">
                  <c:v>0.93332999999999999</c:v>
                </c:pt>
                <c:pt idx="64">
                  <c:v>0.93420000000000003</c:v>
                </c:pt>
                <c:pt idx="65">
                  <c:v>0.93494999999999995</c:v>
                </c:pt>
                <c:pt idx="66">
                  <c:v>0.93561000000000005</c:v>
                </c:pt>
                <c:pt idx="67">
                  <c:v>0.93618000000000001</c:v>
                </c:pt>
                <c:pt idx="68">
                  <c:v>0.93667999999999996</c:v>
                </c:pt>
                <c:pt idx="69">
                  <c:v>0.93711999999999995</c:v>
                </c:pt>
                <c:pt idx="70">
                  <c:v>0.93749000000000005</c:v>
                </c:pt>
                <c:pt idx="71">
                  <c:v>0.93781999999999999</c:v>
                </c:pt>
                <c:pt idx="72">
                  <c:v>0.93810000000000004</c:v>
                </c:pt>
                <c:pt idx="73">
                  <c:v>0.93835000000000002</c:v>
                </c:pt>
                <c:pt idx="74">
                  <c:v>0.93857000000000002</c:v>
                </c:pt>
                <c:pt idx="75">
                  <c:v>0.93876000000000004</c:v>
                </c:pt>
                <c:pt idx="76">
                  <c:v>0.93891999999999998</c:v>
                </c:pt>
                <c:pt idx="77">
                  <c:v>0.93906000000000001</c:v>
                </c:pt>
                <c:pt idx="78">
                  <c:v>0.93918000000000001</c:v>
                </c:pt>
                <c:pt idx="79">
                  <c:v>0.93928999999999996</c:v>
                </c:pt>
                <c:pt idx="80">
                  <c:v>0.93937999999999999</c:v>
                </c:pt>
                <c:pt idx="81">
                  <c:v>0.93945999999999996</c:v>
                </c:pt>
                <c:pt idx="82">
                  <c:v>0.93952999999999998</c:v>
                </c:pt>
                <c:pt idx="83">
                  <c:v>0.93959000000000004</c:v>
                </c:pt>
                <c:pt idx="84">
                  <c:v>0.93964999999999999</c:v>
                </c:pt>
                <c:pt idx="85">
                  <c:v>0.93969000000000003</c:v>
                </c:pt>
                <c:pt idx="86">
                  <c:v>0.93972999999999995</c:v>
                </c:pt>
                <c:pt idx="87">
                  <c:v>0.93976999999999999</c:v>
                </c:pt>
                <c:pt idx="88">
                  <c:v>0.93979999999999997</c:v>
                </c:pt>
                <c:pt idx="89">
                  <c:v>0.93983000000000005</c:v>
                </c:pt>
                <c:pt idx="90">
                  <c:v>0.93984999999999996</c:v>
                </c:pt>
                <c:pt idx="91">
                  <c:v>0.93986999999999998</c:v>
                </c:pt>
                <c:pt idx="92">
                  <c:v>0.93989</c:v>
                </c:pt>
                <c:pt idx="93">
                  <c:v>0.93989999999999996</c:v>
                </c:pt>
                <c:pt idx="94">
                  <c:v>0.93991000000000002</c:v>
                </c:pt>
                <c:pt idx="95">
                  <c:v>0.93991999999999998</c:v>
                </c:pt>
                <c:pt idx="96">
                  <c:v>0.93993000000000004</c:v>
                </c:pt>
                <c:pt idx="97">
                  <c:v>0.93994</c:v>
                </c:pt>
                <c:pt idx="98">
                  <c:v>0.93994999999999995</c:v>
                </c:pt>
                <c:pt idx="99">
                  <c:v>0.93996000000000002</c:v>
                </c:pt>
                <c:pt idx="100">
                  <c:v>0.93996000000000002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B-413C-A5CF-19D46A0C38B8}"/>
            </c:ext>
          </c:extLst>
        </c:ser>
        <c:ser>
          <c:idx val="1"/>
          <c:order val="1"/>
          <c:tx>
            <c:strRef>
              <c:f>'c) M1'!$C$2</c:f>
              <c:strCache>
                <c:ptCount val="1"/>
                <c:pt idx="0">
                  <c:v>y2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'c) M1'!$A$3:$A$103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'c) M1'!$C$3:$C$103</c:f>
              <c:numCache>
                <c:formatCode>General</c:formatCode>
                <c:ptCount val="101"/>
                <c:pt idx="0">
                  <c:v>0</c:v>
                </c:pt>
                <c:pt idx="1">
                  <c:v>5.1000000000000004E-4</c:v>
                </c:pt>
                <c:pt idx="2">
                  <c:v>1.09E-3</c:v>
                </c:pt>
                <c:pt idx="3">
                  <c:v>1.74E-3</c:v>
                </c:pt>
                <c:pt idx="4">
                  <c:v>2.48E-3</c:v>
                </c:pt>
                <c:pt idx="5">
                  <c:v>3.3E-3</c:v>
                </c:pt>
                <c:pt idx="6">
                  <c:v>4.2300000000000003E-3</c:v>
                </c:pt>
                <c:pt idx="7">
                  <c:v>5.2700000000000004E-3</c:v>
                </c:pt>
                <c:pt idx="8">
                  <c:v>6.4400000000000004E-3</c:v>
                </c:pt>
                <c:pt idx="9">
                  <c:v>7.7499999999999999E-3</c:v>
                </c:pt>
                <c:pt idx="10">
                  <c:v>9.2200000000000008E-3</c:v>
                </c:pt>
                <c:pt idx="11">
                  <c:v>1.086E-2</c:v>
                </c:pt>
                <c:pt idx="12">
                  <c:v>1.2699999999999999E-2</c:v>
                </c:pt>
                <c:pt idx="13">
                  <c:v>1.4749999999999999E-2</c:v>
                </c:pt>
                <c:pt idx="14">
                  <c:v>1.703E-2</c:v>
                </c:pt>
                <c:pt idx="15">
                  <c:v>1.9570000000000001E-2</c:v>
                </c:pt>
                <c:pt idx="16">
                  <c:v>2.239E-2</c:v>
                </c:pt>
                <c:pt idx="17">
                  <c:v>2.5520000000000001E-2</c:v>
                </c:pt>
                <c:pt idx="18">
                  <c:v>2.8979999999999999E-2</c:v>
                </c:pt>
                <c:pt idx="19">
                  <c:v>3.279E-2</c:v>
                </c:pt>
                <c:pt idx="20">
                  <c:v>3.6979999999999999E-2</c:v>
                </c:pt>
                <c:pt idx="21">
                  <c:v>4.1579999999999999E-2</c:v>
                </c:pt>
                <c:pt idx="22">
                  <c:v>4.6609999999999999E-2</c:v>
                </c:pt>
                <c:pt idx="23">
                  <c:v>5.2089999999999997E-2</c:v>
                </c:pt>
                <c:pt idx="24">
                  <c:v>5.8040000000000001E-2</c:v>
                </c:pt>
                <c:pt idx="25">
                  <c:v>6.4490000000000006E-2</c:v>
                </c:pt>
                <c:pt idx="26">
                  <c:v>7.1440000000000003E-2</c:v>
                </c:pt>
                <c:pt idx="27">
                  <c:v>7.8899999999999998E-2</c:v>
                </c:pt>
                <c:pt idx="28">
                  <c:v>8.6900000000000005E-2</c:v>
                </c:pt>
                <c:pt idx="29">
                  <c:v>9.5409999999999995E-2</c:v>
                </c:pt>
                <c:pt idx="30">
                  <c:v>0.10446</c:v>
                </c:pt>
                <c:pt idx="31">
                  <c:v>0.11402</c:v>
                </c:pt>
                <c:pt idx="32">
                  <c:v>0.12408</c:v>
                </c:pt>
                <c:pt idx="33">
                  <c:v>0.13464000000000001</c:v>
                </c:pt>
                <c:pt idx="34">
                  <c:v>0.14568</c:v>
                </c:pt>
                <c:pt idx="35">
                  <c:v>0.15717</c:v>
                </c:pt>
                <c:pt idx="36">
                  <c:v>0.16908999999999999</c:v>
                </c:pt>
                <c:pt idx="37">
                  <c:v>0.18140999999999999</c:v>
                </c:pt>
                <c:pt idx="38">
                  <c:v>0.19411</c:v>
                </c:pt>
                <c:pt idx="39">
                  <c:v>0.20715</c:v>
                </c:pt>
                <c:pt idx="40">
                  <c:v>0.22051999999999999</c:v>
                </c:pt>
                <c:pt idx="41">
                  <c:v>0.23419000000000001</c:v>
                </c:pt>
                <c:pt idx="42">
                  <c:v>0.24812000000000001</c:v>
                </c:pt>
                <c:pt idx="43">
                  <c:v>0.26229999999999998</c:v>
                </c:pt>
                <c:pt idx="44">
                  <c:v>0.27668999999999999</c:v>
                </c:pt>
                <c:pt idx="45">
                  <c:v>0.29127999999999998</c:v>
                </c:pt>
                <c:pt idx="46">
                  <c:v>0.30604999999999999</c:v>
                </c:pt>
                <c:pt idx="47">
                  <c:v>0.32097999999999999</c:v>
                </c:pt>
                <c:pt idx="48">
                  <c:v>0.33604000000000001</c:v>
                </c:pt>
                <c:pt idx="49">
                  <c:v>0.35122999999999999</c:v>
                </c:pt>
                <c:pt idx="50">
                  <c:v>0.36653000000000002</c:v>
                </c:pt>
                <c:pt idx="51">
                  <c:v>0.38191999999999998</c:v>
                </c:pt>
                <c:pt idx="52">
                  <c:v>0.39739999999999998</c:v>
                </c:pt>
                <c:pt idx="53">
                  <c:v>0.41295999999999999</c:v>
                </c:pt>
                <c:pt idx="54">
                  <c:v>0.42858000000000002</c:v>
                </c:pt>
                <c:pt idx="55">
                  <c:v>0.44425999999999999</c:v>
                </c:pt>
                <c:pt idx="56">
                  <c:v>0.45999000000000001</c:v>
                </c:pt>
                <c:pt idx="57">
                  <c:v>0.47576000000000002</c:v>
                </c:pt>
                <c:pt idx="58">
                  <c:v>0.49157000000000001</c:v>
                </c:pt>
                <c:pt idx="59">
                  <c:v>0.50741999999999998</c:v>
                </c:pt>
                <c:pt idx="60">
                  <c:v>0.52329000000000003</c:v>
                </c:pt>
                <c:pt idx="61">
                  <c:v>0.53920000000000001</c:v>
                </c:pt>
                <c:pt idx="62">
                  <c:v>0.55511999999999995</c:v>
                </c:pt>
                <c:pt idx="63">
                  <c:v>0.57106000000000001</c:v>
                </c:pt>
                <c:pt idx="64">
                  <c:v>0.58701999999999999</c:v>
                </c:pt>
                <c:pt idx="65">
                  <c:v>0.60299999999999998</c:v>
                </c:pt>
                <c:pt idx="66">
                  <c:v>0.61897999999999997</c:v>
                </c:pt>
                <c:pt idx="67">
                  <c:v>0.63497999999999999</c:v>
                </c:pt>
                <c:pt idx="68">
                  <c:v>0.65098999999999996</c:v>
                </c:pt>
                <c:pt idx="69">
                  <c:v>0.66700999999999999</c:v>
                </c:pt>
                <c:pt idx="70">
                  <c:v>0.68303000000000003</c:v>
                </c:pt>
                <c:pt idx="71">
                  <c:v>0.69906999999999997</c:v>
                </c:pt>
                <c:pt idx="72">
                  <c:v>0.71509999999999996</c:v>
                </c:pt>
                <c:pt idx="73">
                  <c:v>0.73114000000000001</c:v>
                </c:pt>
                <c:pt idx="74">
                  <c:v>0.74719000000000002</c:v>
                </c:pt>
                <c:pt idx="75">
                  <c:v>0.76324000000000003</c:v>
                </c:pt>
                <c:pt idx="76">
                  <c:v>0.77929000000000004</c:v>
                </c:pt>
                <c:pt idx="77">
                  <c:v>0.79535</c:v>
                </c:pt>
                <c:pt idx="78">
                  <c:v>0.81140999999999996</c:v>
                </c:pt>
                <c:pt idx="79">
                  <c:v>0.82747000000000004</c:v>
                </c:pt>
                <c:pt idx="80">
                  <c:v>0.84353</c:v>
                </c:pt>
                <c:pt idx="81">
                  <c:v>0.85958999999999997</c:v>
                </c:pt>
                <c:pt idx="82">
                  <c:v>0.87565999999999999</c:v>
                </c:pt>
                <c:pt idx="83">
                  <c:v>0.89171999999999996</c:v>
                </c:pt>
                <c:pt idx="84">
                  <c:v>0.90778999999999999</c:v>
                </c:pt>
                <c:pt idx="85">
                  <c:v>0.92386000000000001</c:v>
                </c:pt>
                <c:pt idx="86">
                  <c:v>0.93993000000000004</c:v>
                </c:pt>
                <c:pt idx="87">
                  <c:v>0.95599000000000001</c:v>
                </c:pt>
                <c:pt idx="88">
                  <c:v>0.97206000000000004</c:v>
                </c:pt>
                <c:pt idx="89">
                  <c:v>0.98814000000000002</c:v>
                </c:pt>
                <c:pt idx="90">
                  <c:v>1.00421</c:v>
                </c:pt>
                <c:pt idx="91">
                  <c:v>1.0202800000000001</c:v>
                </c:pt>
                <c:pt idx="92">
                  <c:v>1.0363500000000001</c:v>
                </c:pt>
                <c:pt idx="93">
                  <c:v>1.0524199999999999</c:v>
                </c:pt>
                <c:pt idx="94">
                  <c:v>1.0684899999999999</c:v>
                </c:pt>
                <c:pt idx="95">
                  <c:v>1.08457</c:v>
                </c:pt>
                <c:pt idx="96">
                  <c:v>1.1006400000000001</c:v>
                </c:pt>
                <c:pt idx="97">
                  <c:v>1.1167100000000001</c:v>
                </c:pt>
                <c:pt idx="98">
                  <c:v>1.1327799999999999</c:v>
                </c:pt>
                <c:pt idx="99">
                  <c:v>1.14886</c:v>
                </c:pt>
                <c:pt idx="100">
                  <c:v>1.16493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B-413C-A5CF-19D46A0C38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4840800"/>
        <c:axId val="664841456"/>
      </c:scatterChart>
      <c:valAx>
        <c:axId val="664840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841456"/>
        <c:crosses val="autoZero"/>
        <c:crossBetween val="midCat"/>
      </c:valAx>
      <c:valAx>
        <c:axId val="664841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Concentraion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8408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cell</a:t>
            </a:r>
            <a:r>
              <a:rPr lang="en-US" baseline="0"/>
              <a:t> mass vs penicillin over time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'd) M2'!$B$2</c:f>
              <c:strCache>
                <c:ptCount val="1"/>
                <c:pt idx="0">
                  <c:v>y1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'd) M2'!$A$3:$A$103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'd) M2'!$B$3:$B$103</c:f>
              <c:numCache>
                <c:formatCode>General</c:formatCode>
                <c:ptCount val="101"/>
                <c:pt idx="0">
                  <c:v>0.03</c:v>
                </c:pt>
                <c:pt idx="1">
                  <c:v>3.4040000000000001E-2</c:v>
                </c:pt>
                <c:pt idx="2">
                  <c:v>3.8589999999999999E-2</c:v>
                </c:pt>
                <c:pt idx="3">
                  <c:v>4.3729999999999998E-2</c:v>
                </c:pt>
                <c:pt idx="4">
                  <c:v>4.9520000000000002E-2</c:v>
                </c:pt>
                <c:pt idx="5">
                  <c:v>5.602E-2</c:v>
                </c:pt>
                <c:pt idx="6">
                  <c:v>6.3320000000000001E-2</c:v>
                </c:pt>
                <c:pt idx="7">
                  <c:v>7.1489999999999998E-2</c:v>
                </c:pt>
                <c:pt idx="8">
                  <c:v>8.0610000000000001E-2</c:v>
                </c:pt>
                <c:pt idx="9">
                  <c:v>9.0789999999999996E-2</c:v>
                </c:pt>
                <c:pt idx="10">
                  <c:v>0.10209</c:v>
                </c:pt>
                <c:pt idx="11">
                  <c:v>0.11461</c:v>
                </c:pt>
                <c:pt idx="12">
                  <c:v>0.12844</c:v>
                </c:pt>
                <c:pt idx="13">
                  <c:v>0.14363999999999999</c:v>
                </c:pt>
                <c:pt idx="14">
                  <c:v>0.16028999999999999</c:v>
                </c:pt>
                <c:pt idx="15">
                  <c:v>0.17843999999999999</c:v>
                </c:pt>
                <c:pt idx="16">
                  <c:v>0.19811999999999999</c:v>
                </c:pt>
                <c:pt idx="17">
                  <c:v>0.21934999999999999</c:v>
                </c:pt>
                <c:pt idx="18">
                  <c:v>0.24210999999999999</c:v>
                </c:pt>
                <c:pt idx="19">
                  <c:v>0.26637</c:v>
                </c:pt>
                <c:pt idx="20">
                  <c:v>0.29204000000000002</c:v>
                </c:pt>
                <c:pt idx="21">
                  <c:v>0.31902000000000003</c:v>
                </c:pt>
                <c:pt idx="22">
                  <c:v>0.34716000000000002</c:v>
                </c:pt>
                <c:pt idx="23">
                  <c:v>0.37626999999999999</c:v>
                </c:pt>
                <c:pt idx="24">
                  <c:v>0.40616000000000002</c:v>
                </c:pt>
                <c:pt idx="25">
                  <c:v>0.43658000000000002</c:v>
                </c:pt>
                <c:pt idx="26">
                  <c:v>0.46728999999999998</c:v>
                </c:pt>
                <c:pt idx="27">
                  <c:v>0.49802000000000002</c:v>
                </c:pt>
                <c:pt idx="28">
                  <c:v>0.52851000000000004</c:v>
                </c:pt>
                <c:pt idx="29">
                  <c:v>0.5585</c:v>
                </c:pt>
                <c:pt idx="30">
                  <c:v>0.58777000000000001</c:v>
                </c:pt>
                <c:pt idx="31">
                  <c:v>0.61609000000000003</c:v>
                </c:pt>
                <c:pt idx="32">
                  <c:v>0.64327999999999996</c:v>
                </c:pt>
                <c:pt idx="33">
                  <c:v>0.66918999999999995</c:v>
                </c:pt>
                <c:pt idx="34">
                  <c:v>0.69369999999999998</c:v>
                </c:pt>
                <c:pt idx="35">
                  <c:v>0.71672999999999998</c:v>
                </c:pt>
                <c:pt idx="36">
                  <c:v>0.73823000000000005</c:v>
                </c:pt>
                <c:pt idx="37">
                  <c:v>0.75817999999999997</c:v>
                </c:pt>
                <c:pt idx="38">
                  <c:v>0.77659</c:v>
                </c:pt>
                <c:pt idx="39">
                  <c:v>0.79349999999999998</c:v>
                </c:pt>
                <c:pt idx="40">
                  <c:v>0.80894999999999995</c:v>
                </c:pt>
                <c:pt idx="41">
                  <c:v>0.82301000000000002</c:v>
                </c:pt>
                <c:pt idx="42">
                  <c:v>0.83575999999999995</c:v>
                </c:pt>
                <c:pt idx="43">
                  <c:v>0.84726999999999997</c:v>
                </c:pt>
                <c:pt idx="44">
                  <c:v>0.85763999999999996</c:v>
                </c:pt>
                <c:pt idx="45">
                  <c:v>0.86694000000000004</c:v>
                </c:pt>
                <c:pt idx="46">
                  <c:v>0.87527999999999995</c:v>
                </c:pt>
                <c:pt idx="47">
                  <c:v>0.88271999999999995</c:v>
                </c:pt>
                <c:pt idx="48">
                  <c:v>0.88936000000000004</c:v>
                </c:pt>
                <c:pt idx="49">
                  <c:v>0.89527000000000001</c:v>
                </c:pt>
                <c:pt idx="50">
                  <c:v>0.90051000000000003</c:v>
                </c:pt>
                <c:pt idx="51">
                  <c:v>0.90517000000000003</c:v>
                </c:pt>
                <c:pt idx="52">
                  <c:v>0.9093</c:v>
                </c:pt>
                <c:pt idx="53">
                  <c:v>0.91295000000000004</c:v>
                </c:pt>
                <c:pt idx="54">
                  <c:v>0.91617999999999999</c:v>
                </c:pt>
                <c:pt idx="55">
                  <c:v>0.91903000000000001</c:v>
                </c:pt>
                <c:pt idx="56">
                  <c:v>0.92154999999999998</c:v>
                </c:pt>
                <c:pt idx="57">
                  <c:v>0.92376999999999998</c:v>
                </c:pt>
                <c:pt idx="58">
                  <c:v>0.92571999999999999</c:v>
                </c:pt>
                <c:pt idx="59">
                  <c:v>0.92745</c:v>
                </c:pt>
                <c:pt idx="60">
                  <c:v>0.92896999999999996</c:v>
                </c:pt>
                <c:pt idx="61">
                  <c:v>0.93030000000000002</c:v>
                </c:pt>
                <c:pt idx="62">
                  <c:v>0.93147999999999997</c:v>
                </c:pt>
                <c:pt idx="63">
                  <c:v>0.93250999999999995</c:v>
                </c:pt>
                <c:pt idx="64">
                  <c:v>0.93342000000000003</c:v>
                </c:pt>
                <c:pt idx="65">
                  <c:v>0.93422000000000005</c:v>
                </c:pt>
                <c:pt idx="66">
                  <c:v>0.93493000000000004</c:v>
                </c:pt>
                <c:pt idx="67">
                  <c:v>0.93554999999999999</c:v>
                </c:pt>
                <c:pt idx="68">
                  <c:v>0.93608999999999998</c:v>
                </c:pt>
                <c:pt idx="69">
                  <c:v>0.93657000000000001</c:v>
                </c:pt>
                <c:pt idx="70">
                  <c:v>0.93698999999999999</c:v>
                </c:pt>
                <c:pt idx="71">
                  <c:v>0.93735000000000002</c:v>
                </c:pt>
                <c:pt idx="72">
                  <c:v>0.93767999999999996</c:v>
                </c:pt>
                <c:pt idx="73">
                  <c:v>0.93796000000000002</c:v>
                </c:pt>
                <c:pt idx="74">
                  <c:v>0.93820999999999999</c:v>
                </c:pt>
                <c:pt idx="75">
                  <c:v>0.93842999999999999</c:v>
                </c:pt>
                <c:pt idx="76">
                  <c:v>0.93862000000000001</c:v>
                </c:pt>
                <c:pt idx="77">
                  <c:v>0.93879000000000001</c:v>
                </c:pt>
                <c:pt idx="78">
                  <c:v>0.93894</c:v>
                </c:pt>
                <c:pt idx="79">
                  <c:v>0.93906999999999996</c:v>
                </c:pt>
                <c:pt idx="80">
                  <c:v>0.93918000000000001</c:v>
                </c:pt>
                <c:pt idx="81">
                  <c:v>0.93928</c:v>
                </c:pt>
                <c:pt idx="82">
                  <c:v>0.93937000000000004</c:v>
                </c:pt>
                <c:pt idx="83">
                  <c:v>0.93945000000000001</c:v>
                </c:pt>
                <c:pt idx="84">
                  <c:v>0.93950999999999996</c:v>
                </c:pt>
                <c:pt idx="85">
                  <c:v>0.93957000000000002</c:v>
                </c:pt>
                <c:pt idx="86">
                  <c:v>0.93962999999999997</c:v>
                </c:pt>
                <c:pt idx="87">
                  <c:v>0.93967000000000001</c:v>
                </c:pt>
                <c:pt idx="88">
                  <c:v>0.93971000000000005</c:v>
                </c:pt>
                <c:pt idx="89">
                  <c:v>0.93974999999999997</c:v>
                </c:pt>
                <c:pt idx="90">
                  <c:v>0.93977999999999995</c:v>
                </c:pt>
                <c:pt idx="91">
                  <c:v>0.93981000000000003</c:v>
                </c:pt>
                <c:pt idx="92">
                  <c:v>0.93983000000000005</c:v>
                </c:pt>
                <c:pt idx="93">
                  <c:v>0.93984999999999996</c:v>
                </c:pt>
                <c:pt idx="94">
                  <c:v>0.93986999999999998</c:v>
                </c:pt>
                <c:pt idx="95">
                  <c:v>0.93988000000000005</c:v>
                </c:pt>
                <c:pt idx="96">
                  <c:v>0.93989999999999996</c:v>
                </c:pt>
                <c:pt idx="97">
                  <c:v>0.93991000000000002</c:v>
                </c:pt>
                <c:pt idx="98">
                  <c:v>0.93991999999999998</c:v>
                </c:pt>
                <c:pt idx="99">
                  <c:v>0.93993000000000004</c:v>
                </c:pt>
                <c:pt idx="100">
                  <c:v>0.93994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14-4819-9051-A0353ABB345D}"/>
            </c:ext>
          </c:extLst>
        </c:ser>
        <c:ser>
          <c:idx val="1"/>
          <c:order val="1"/>
          <c:tx>
            <c:strRef>
              <c:f>'d) M2'!$C$2</c:f>
              <c:strCache>
                <c:ptCount val="1"/>
                <c:pt idx="0">
                  <c:v>y2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'd) M2'!$A$3:$A$103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'd) M2'!$C$3:$C$103</c:f>
              <c:numCache>
                <c:formatCode>General</c:formatCode>
                <c:ptCount val="101"/>
                <c:pt idx="0">
                  <c:v>0</c:v>
                </c:pt>
                <c:pt idx="1">
                  <c:v>5.1999999999999995E-4</c:v>
                </c:pt>
                <c:pt idx="2">
                  <c:v>1.1000000000000001E-3</c:v>
                </c:pt>
                <c:pt idx="3">
                  <c:v>1.7700000000000001E-3</c:v>
                </c:pt>
                <c:pt idx="4">
                  <c:v>2.5200000000000001E-3</c:v>
                </c:pt>
                <c:pt idx="5">
                  <c:v>3.3800000000000002E-3</c:v>
                </c:pt>
                <c:pt idx="6">
                  <c:v>4.3400000000000001E-3</c:v>
                </c:pt>
                <c:pt idx="7">
                  <c:v>5.4400000000000004E-3</c:v>
                </c:pt>
                <c:pt idx="8">
                  <c:v>6.6699999999999997E-3</c:v>
                </c:pt>
                <c:pt idx="9">
                  <c:v>8.0599999999999995E-3</c:v>
                </c:pt>
                <c:pt idx="10">
                  <c:v>9.6299999999999997E-3</c:v>
                </c:pt>
                <c:pt idx="11">
                  <c:v>1.1390000000000001E-2</c:v>
                </c:pt>
                <c:pt idx="12">
                  <c:v>1.336E-2</c:v>
                </c:pt>
                <c:pt idx="13">
                  <c:v>1.558E-2</c:v>
                </c:pt>
                <c:pt idx="14">
                  <c:v>1.805E-2</c:v>
                </c:pt>
                <c:pt idx="15">
                  <c:v>2.0820000000000002E-2</c:v>
                </c:pt>
                <c:pt idx="16">
                  <c:v>2.3900000000000001E-2</c:v>
                </c:pt>
                <c:pt idx="17">
                  <c:v>2.7310000000000001E-2</c:v>
                </c:pt>
                <c:pt idx="18">
                  <c:v>3.1099999999999999E-2</c:v>
                </c:pt>
                <c:pt idx="19">
                  <c:v>3.5270000000000003E-2</c:v>
                </c:pt>
                <c:pt idx="20">
                  <c:v>3.9870000000000003E-2</c:v>
                </c:pt>
                <c:pt idx="21">
                  <c:v>4.4900000000000002E-2</c:v>
                </c:pt>
                <c:pt idx="22">
                  <c:v>5.04E-2</c:v>
                </c:pt>
                <c:pt idx="23">
                  <c:v>5.6390000000000003E-2</c:v>
                </c:pt>
                <c:pt idx="24">
                  <c:v>6.2880000000000005E-2</c:v>
                </c:pt>
                <c:pt idx="25">
                  <c:v>6.9879999999999998E-2</c:v>
                </c:pt>
                <c:pt idx="26">
                  <c:v>7.7410000000000007E-2</c:v>
                </c:pt>
                <c:pt idx="27">
                  <c:v>8.5470000000000004E-2</c:v>
                </c:pt>
                <c:pt idx="28">
                  <c:v>9.4060000000000005E-2</c:v>
                </c:pt>
                <c:pt idx="29">
                  <c:v>0.10317999999999999</c:v>
                </c:pt>
                <c:pt idx="30">
                  <c:v>0.11280999999999999</c:v>
                </c:pt>
                <c:pt idx="31">
                  <c:v>0.12295</c:v>
                </c:pt>
                <c:pt idx="32">
                  <c:v>0.13356999999999999</c:v>
                </c:pt>
                <c:pt idx="33">
                  <c:v>0.14466999999999999</c:v>
                </c:pt>
                <c:pt idx="34">
                  <c:v>0.15620999999999999</c:v>
                </c:pt>
                <c:pt idx="35">
                  <c:v>0.16816999999999999</c:v>
                </c:pt>
                <c:pt idx="36">
                  <c:v>0.18053</c:v>
                </c:pt>
                <c:pt idx="37">
                  <c:v>0.19325999999999999</c:v>
                </c:pt>
                <c:pt idx="38">
                  <c:v>0.20634</c:v>
                </c:pt>
                <c:pt idx="39">
                  <c:v>0.21973000000000001</c:v>
                </c:pt>
                <c:pt idx="40">
                  <c:v>0.23341999999999999</c:v>
                </c:pt>
                <c:pt idx="41">
                  <c:v>0.24737000000000001</c:v>
                </c:pt>
                <c:pt idx="42">
                  <c:v>0.26156000000000001</c:v>
                </c:pt>
                <c:pt idx="43">
                  <c:v>0.27598</c:v>
                </c:pt>
                <c:pt idx="44">
                  <c:v>0.29059000000000001</c:v>
                </c:pt>
                <c:pt idx="45">
                  <c:v>0.30537999999999998</c:v>
                </c:pt>
                <c:pt idx="46">
                  <c:v>0.32033</c:v>
                </c:pt>
                <c:pt idx="47">
                  <c:v>0.33542</c:v>
                </c:pt>
                <c:pt idx="48">
                  <c:v>0.35065000000000002</c:v>
                </c:pt>
                <c:pt idx="49">
                  <c:v>0.36598999999999998</c:v>
                </c:pt>
                <c:pt idx="50">
                  <c:v>0.38142999999999999</c:v>
                </c:pt>
                <c:pt idx="51">
                  <c:v>0.39695999999999998</c:v>
                </c:pt>
                <c:pt idx="52">
                  <c:v>0.41256999999999999</c:v>
                </c:pt>
                <c:pt idx="53">
                  <c:v>0.42825000000000002</c:v>
                </c:pt>
                <c:pt idx="54">
                  <c:v>0.44399</c:v>
                </c:pt>
                <c:pt idx="55">
                  <c:v>0.45978999999999998</c:v>
                </c:pt>
                <c:pt idx="56">
                  <c:v>0.47564000000000001</c:v>
                </c:pt>
                <c:pt idx="57">
                  <c:v>0.49153999999999998</c:v>
                </c:pt>
                <c:pt idx="58">
                  <c:v>0.50746999999999998</c:v>
                </c:pt>
                <c:pt idx="59">
                  <c:v>0.52342999999999995</c:v>
                </c:pt>
                <c:pt idx="60">
                  <c:v>0.53942999999999997</c:v>
                </c:pt>
                <c:pt idx="61">
                  <c:v>0.55545</c:v>
                </c:pt>
                <c:pt idx="62">
                  <c:v>0.57149000000000005</c:v>
                </c:pt>
                <c:pt idx="63">
                  <c:v>0.58755999999999997</c:v>
                </c:pt>
                <c:pt idx="64">
                  <c:v>0.60363999999999995</c:v>
                </c:pt>
                <c:pt idx="65">
                  <c:v>0.61973999999999996</c:v>
                </c:pt>
                <c:pt idx="66">
                  <c:v>0.63585000000000003</c:v>
                </c:pt>
                <c:pt idx="67">
                  <c:v>0.65198</c:v>
                </c:pt>
                <c:pt idx="68">
                  <c:v>0.66810999999999998</c:v>
                </c:pt>
                <c:pt idx="69">
                  <c:v>0.68425000000000002</c:v>
                </c:pt>
                <c:pt idx="70">
                  <c:v>0.70040999999999998</c:v>
                </c:pt>
                <c:pt idx="71">
                  <c:v>0.71657000000000004</c:v>
                </c:pt>
                <c:pt idx="72">
                  <c:v>0.73272999999999999</c:v>
                </c:pt>
                <c:pt idx="73">
                  <c:v>0.74890000000000001</c:v>
                </c:pt>
                <c:pt idx="74">
                  <c:v>0.76507999999999998</c:v>
                </c:pt>
                <c:pt idx="75">
                  <c:v>0.78125999999999995</c:v>
                </c:pt>
                <c:pt idx="76">
                  <c:v>0.79744000000000004</c:v>
                </c:pt>
                <c:pt idx="77">
                  <c:v>0.81362999999999996</c:v>
                </c:pt>
                <c:pt idx="78">
                  <c:v>0.82982</c:v>
                </c:pt>
                <c:pt idx="79">
                  <c:v>0.84601999999999999</c:v>
                </c:pt>
                <c:pt idx="80">
                  <c:v>0.86221000000000003</c:v>
                </c:pt>
                <c:pt idx="81">
                  <c:v>0.87841000000000002</c:v>
                </c:pt>
                <c:pt idx="82">
                  <c:v>0.89461000000000002</c:v>
                </c:pt>
                <c:pt idx="83">
                  <c:v>0.91081000000000001</c:v>
                </c:pt>
                <c:pt idx="84">
                  <c:v>0.92701</c:v>
                </c:pt>
                <c:pt idx="85">
                  <c:v>0.94320999999999999</c:v>
                </c:pt>
                <c:pt idx="86">
                  <c:v>0.95942000000000005</c:v>
                </c:pt>
                <c:pt idx="87">
                  <c:v>0.97562000000000004</c:v>
                </c:pt>
                <c:pt idx="88">
                  <c:v>0.99182999999999999</c:v>
                </c:pt>
                <c:pt idx="89">
                  <c:v>1.00803</c:v>
                </c:pt>
                <c:pt idx="90">
                  <c:v>1.02424</c:v>
                </c:pt>
                <c:pt idx="91">
                  <c:v>1.0404500000000001</c:v>
                </c:pt>
                <c:pt idx="92">
                  <c:v>1.0566599999999999</c:v>
                </c:pt>
                <c:pt idx="93">
                  <c:v>1.07287</c:v>
                </c:pt>
                <c:pt idx="94">
                  <c:v>1.08907</c:v>
                </c:pt>
                <c:pt idx="95">
                  <c:v>1.10528</c:v>
                </c:pt>
                <c:pt idx="96">
                  <c:v>1.1214900000000001</c:v>
                </c:pt>
                <c:pt idx="97">
                  <c:v>1.1376999999999999</c:v>
                </c:pt>
                <c:pt idx="98">
                  <c:v>1.15391</c:v>
                </c:pt>
                <c:pt idx="99">
                  <c:v>1.17012</c:v>
                </c:pt>
                <c:pt idx="100">
                  <c:v>1.1863300000000001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714-4819-9051-A0353ABB3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4825056"/>
        <c:axId val="569084568"/>
      </c:scatterChart>
      <c:valAx>
        <c:axId val="664825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084568"/>
        <c:crosses val="autoZero"/>
        <c:crossBetween val="midCat"/>
      </c:valAx>
      <c:valAx>
        <c:axId val="569084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Concentration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8250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Chart 1</a:t>
            </a:r>
          </a:p>
          <a:p>
            <a:pPr>
              <a:defRPr/>
            </a:pPr>
            <a:r>
              <a:rPr lang="en-US"/>
              <a:t>cell</a:t>
            </a:r>
            <a:r>
              <a:rPr lang="en-US" baseline="0"/>
              <a:t> mass vs penicillin over time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'e)'!$B$8</c:f>
              <c:strCache>
                <c:ptCount val="1"/>
                <c:pt idx="0">
                  <c:v>y1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'e)'!$A$9:$A$109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xVal>
          <c:yVal>
            <c:numRef>
              <c:f>'e)'!$B$9:$B$109</c:f>
              <c:numCache>
                <c:formatCode>General</c:formatCode>
                <c:ptCount val="101"/>
                <c:pt idx="0">
                  <c:v>0.03</c:v>
                </c:pt>
                <c:pt idx="1">
                  <c:v>3.4046935800245204E-2</c:v>
                </c:pt>
                <c:pt idx="2">
                  <c:v>3.8616628075328639E-2</c:v>
                </c:pt>
                <c:pt idx="3">
                  <c:v>4.3770020557971932E-2</c:v>
                </c:pt>
                <c:pt idx="4">
                  <c:v>4.9573311524021321E-2</c:v>
                </c:pt>
                <c:pt idx="5">
                  <c:v>5.6097876507966209E-2</c:v>
                </c:pt>
                <c:pt idx="6">
                  <c:v>6.3420006882308949E-2</c:v>
                </c:pt>
                <c:pt idx="7">
                  <c:v>7.1620413782668174E-2</c:v>
                </c:pt>
                <c:pt idx="8">
                  <c:v>8.0783441683763252E-2</c:v>
                </c:pt>
                <c:pt idx="9">
                  <c:v>9.0995933072081925E-2</c:v>
                </c:pt>
                <c:pt idx="10">
                  <c:v>0.10234568659971172</c:v>
                </c:pt>
                <c:pt idx="11">
                  <c:v>0.11491945763486619</c:v>
                </c:pt>
                <c:pt idx="12">
                  <c:v>0.12880046424489403</c:v>
                </c:pt>
                <c:pt idx="13">
                  <c:v>0.14406538532689095</c:v>
                </c:pt>
                <c:pt idx="14">
                  <c:v>0.16078087240511763</c:v>
                </c:pt>
                <c:pt idx="15">
                  <c:v>0.1789996431710936</c:v>
                </c:pt>
                <c:pt idx="16">
                  <c:v>0.19875628218462227</c:v>
                </c:pt>
                <c:pt idx="17">
                  <c:v>0.22006293903820798</c:v>
                </c:pt>
                <c:pt idx="18">
                  <c:v>0.24290518066187658</c:v>
                </c:pt>
                <c:pt idx="19">
                  <c:v>0.26723831332262887</c:v>
                </c:pt>
                <c:pt idx="20">
                  <c:v>0.2929845298803716</c:v>
                </c:pt>
                <c:pt idx="21">
                  <c:v>0.32003124669006144</c:v>
                </c:pt>
                <c:pt idx="22">
                  <c:v>0.34823096130482756</c:v>
                </c:pt>
                <c:pt idx="23">
                  <c:v>0.37740288036928415</c:v>
                </c:pt>
                <c:pt idx="24">
                  <c:v>0.40733643768963496</c:v>
                </c:pt>
                <c:pt idx="25">
                  <c:v>0.43779665563843256</c:v>
                </c:pt>
                <c:pt idx="26">
                  <c:v>0.46853111833317979</c:v>
                </c:pt>
                <c:pt idx="27">
                  <c:v>0.49927814876518245</c:v>
                </c:pt>
                <c:pt idx="28">
                  <c:v>0.52977564253935538</c:v>
                </c:pt>
                <c:pt idx="29">
                  <c:v>0.55976993220096871</c:v>
                </c:pt>
                <c:pt idx="30">
                  <c:v>0.58902405241683176</c:v>
                </c:pt>
                <c:pt idx="31">
                  <c:v>0.61732484822216072</c:v>
                </c:pt>
                <c:pt idx="32">
                  <c:v>0.64448850317571826</c:v>
                </c:pt>
                <c:pt idx="33">
                  <c:v>0.670364238224327</c:v>
                </c:pt>
                <c:pt idx="34">
                  <c:v>0.69483611720076588</c:v>
                </c:pt>
                <c:pt idx="35">
                  <c:v>0.71782306439374233</c:v>
                </c:pt>
                <c:pt idx="36">
                  <c:v>0.73927733319900957</c:v>
                </c:pt>
                <c:pt idx="37">
                  <c:v>0.7591817513486494</c:v>
                </c:pt>
                <c:pt idx="38">
                  <c:v>0.77754610589857731</c:v>
                </c:pt>
                <c:pt idx="39">
                  <c:v>0.79440302591689149</c:v>
                </c:pt>
                <c:pt idx="40">
                  <c:v>0.80980368325408392</c:v>
                </c:pt>
                <c:pt idx="41">
                  <c:v>0.82381357417972445</c:v>
                </c:pt>
                <c:pt idx="42">
                  <c:v>0.83650857857847882</c:v>
                </c:pt>
                <c:pt idx="43">
                  <c:v>0.84797142806327264</c:v>
                </c:pt>
                <c:pt idx="44">
                  <c:v>0.85828865611989891</c:v>
                </c:pt>
                <c:pt idx="45">
                  <c:v>0.86754805573860372</c:v>
                </c:pt>
                <c:pt idx="46">
                  <c:v>0.8758366340696625</c:v>
                </c:pt>
                <c:pt idx="47">
                  <c:v>0.88323902895628736</c:v>
                </c:pt>
                <c:pt idx="48">
                  <c:v>0.88983633724777356</c:v>
                </c:pt>
                <c:pt idx="49">
                  <c:v>0.89570529762850259</c:v>
                </c:pt>
                <c:pt idx="50">
                  <c:v>0.90091776930793799</c:v>
                </c:pt>
                <c:pt idx="51">
                  <c:v>0.90554045048300114</c:v>
                </c:pt>
                <c:pt idx="52">
                  <c:v>0.90963478549434307</c:v>
                </c:pt>
                <c:pt idx="53">
                  <c:v>0.91325701588116237</c:v>
                </c:pt>
                <c:pt idx="54">
                  <c:v>0.91645833724757475</c:v>
                </c:pt>
                <c:pt idx="55">
                  <c:v>0.91928513041567983</c:v>
                </c:pt>
                <c:pt idx="56">
                  <c:v>0.92177924140465506</c:v>
                </c:pt>
                <c:pt idx="57">
                  <c:v>0.92397829015385724</c:v>
                </c:pt>
                <c:pt idx="58">
                  <c:v>0.92591599252907164</c:v>
                </c:pt>
                <c:pt idx="59">
                  <c:v>0.92762248401908243</c:v>
                </c:pt>
                <c:pt idx="60">
                  <c:v>0.92912463669536038</c:v>
                </c:pt>
                <c:pt idx="61">
                  <c:v>0.93044636354631027</c:v>
                </c:pt>
                <c:pt idx="62">
                  <c:v>0.93160890629448856</c:v>
                </c:pt>
                <c:pt idx="63">
                  <c:v>0.93263110434608454</c:v>
                </c:pt>
                <c:pt idx="64">
                  <c:v>0.93352964368693636</c:v>
                </c:pt>
                <c:pt idx="65">
                  <c:v>0.9343192854001624</c:v>
                </c:pt>
                <c:pt idx="66">
                  <c:v>0.93501307409925938</c:v>
                </c:pt>
                <c:pt idx="67">
                  <c:v>0.93562252699968529</c:v>
                </c:pt>
                <c:pt idx="68">
                  <c:v>0.93615780463488474</c:v>
                </c:pt>
                <c:pt idx="69">
                  <c:v>0.93662786439468992</c:v>
                </c:pt>
                <c:pt idx="70">
                  <c:v>0.93704059815328655</c:v>
                </c:pt>
                <c:pt idx="71">
                  <c:v>0.93740295528278639</c:v>
                </c:pt>
                <c:pt idx="72">
                  <c:v>0.93772105233430547</c:v>
                </c:pt>
                <c:pt idx="73">
                  <c:v>0.93800027062471003</c:v>
                </c:pt>
                <c:pt idx="74">
                  <c:v>0.93824534290405892</c:v>
                </c:pt>
                <c:pt idx="75">
                  <c:v>0.93846043020387115</c:v>
                </c:pt>
                <c:pt idx="76">
                  <c:v>0.9386491898853182</c:v>
                </c:pt>
                <c:pt idx="77">
                  <c:v>0.93881483582335212</c:v>
                </c:pt>
                <c:pt idx="78">
                  <c:v>0.93896019158051269</c:v>
                </c:pt>
                <c:pt idx="79">
                  <c:v>0.93908773734466777</c:v>
                </c:pt>
                <c:pt idx="80">
                  <c:v>0.93919965132951488</c:v>
                </c:pt>
                <c:pt idx="81">
                  <c:v>0.93929784626607715</c:v>
                </c:pt>
                <c:pt idx="82">
                  <c:v>0.93938400154805635</c:v>
                </c:pt>
                <c:pt idx="83">
                  <c:v>0.93945959153389569</c:v>
                </c:pt>
                <c:pt idx="84">
                  <c:v>0.93952591045369482</c:v>
                </c:pt>
                <c:pt idx="85">
                  <c:v>0.93958409431952761</c:v>
                </c:pt>
                <c:pt idx="86">
                  <c:v>0.93963514019296845</c:v>
                </c:pt>
                <c:pt idx="87">
                  <c:v>0.93967992312342985</c:v>
                </c:pt>
                <c:pt idx="88">
                  <c:v>0.93971921103490474</c:v>
                </c:pt>
                <c:pt idx="89">
                  <c:v>0.93975367780654673</c:v>
                </c:pt>
                <c:pt idx="90">
                  <c:v>0.9397839147638728</c:v>
                </c:pt>
                <c:pt idx="91">
                  <c:v>0.93981044077189901</c:v>
                </c:pt>
                <c:pt idx="92">
                  <c:v>0.93983371109891067</c:v>
                </c:pt>
                <c:pt idx="93">
                  <c:v>0.93985412519953637</c:v>
                </c:pt>
                <c:pt idx="94">
                  <c:v>0.93987203354806248</c:v>
                </c:pt>
                <c:pt idx="95">
                  <c:v>0.93988774363725314</c:v>
                </c:pt>
                <c:pt idx="96">
                  <c:v>0.9399015252440962</c:v>
                </c:pt>
                <c:pt idx="97">
                  <c:v>0.93991361505168547</c:v>
                </c:pt>
                <c:pt idx="98">
                  <c:v>0.93992422070567627</c:v>
                </c:pt>
                <c:pt idx="99">
                  <c:v>0.9399335243742668</c:v>
                </c:pt>
                <c:pt idx="100">
                  <c:v>0.93994168587229598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E4-4BF3-B297-45975018DCD7}"/>
            </c:ext>
          </c:extLst>
        </c:ser>
        <c:ser>
          <c:idx val="1"/>
          <c:order val="1"/>
          <c:tx>
            <c:strRef>
              <c:f>'e)'!$C$8</c:f>
              <c:strCache>
                <c:ptCount val="1"/>
                <c:pt idx="0">
                  <c:v>y2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'e)'!$A$9:$A$109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xVal>
          <c:yVal>
            <c:numRef>
              <c:f>'e)'!$C$9:$C$109</c:f>
              <c:numCache>
                <c:formatCode>General</c:formatCode>
                <c:ptCount val="101"/>
                <c:pt idx="0">
                  <c:v>0</c:v>
                </c:pt>
                <c:pt idx="1">
                  <c:v>5.1741125793451008E-4</c:v>
                </c:pt>
                <c:pt idx="2">
                  <c:v>1.1046201873085226E-3</c:v>
                </c:pt>
                <c:pt idx="3">
                  <c:v>1.770642790963353E-3</c:v>
                </c:pt>
                <c:pt idx="4">
                  <c:v>2.5255461708540072E-3</c:v>
                </c:pt>
                <c:pt idx="5">
                  <c:v>3.3805391533747809E-3</c:v>
                </c:pt>
                <c:pt idx="6">
                  <c:v>4.3480615817561678E-3</c:v>
                </c:pt>
                <c:pt idx="7">
                  <c:v>5.441869099729193E-3</c:v>
                </c:pt>
                <c:pt idx="8">
                  <c:v>6.6771093793652082E-3</c:v>
                </c:pt>
                <c:pt idx="9">
                  <c:v>8.0703847854277106E-3</c:v>
                </c:pt>
                <c:pt idx="10">
                  <c:v>9.6397954586860575E-3</c:v>
                </c:pt>
                <c:pt idx="11">
                  <c:v>1.1404955806943657E-2</c:v>
                </c:pt>
                <c:pt idx="12">
                  <c:v>1.338697651147725E-2</c:v>
                </c:pt>
                <c:pt idx="13">
                  <c:v>1.5608403519060565E-2</c:v>
                </c:pt>
                <c:pt idx="14">
                  <c:v>1.8093105260620784E-2</c:v>
                </c:pt>
                <c:pt idx="15">
                  <c:v>2.0866099708718781E-2</c:v>
                </c:pt>
                <c:pt idx="16">
                  <c:v>2.3953314060151581E-2</c:v>
                </c:pt>
                <c:pt idx="17">
                  <c:v>2.738127199306931E-2</c:v>
                </c:pt>
                <c:pt idx="18">
                  <c:v>3.1176706730153464E-2</c:v>
                </c:pt>
                <c:pt idx="19">
                  <c:v>3.5366102566322499E-2</c:v>
                </c:pt>
                <c:pt idx="20">
                  <c:v>3.9975172961807769E-2</c:v>
                </c:pt>
                <c:pt idx="21">
                  <c:v>4.5028289433832906E-2</c:v>
                </c:pt>
                <c:pt idx="22">
                  <c:v>5.0547881764774712E-2</c:v>
                </c:pt>
                <c:pt idx="23">
                  <c:v>5.6553835756123862E-2</c:v>
                </c:pt>
                <c:pt idx="24">
                  <c:v>6.3062919058789815E-2</c:v>
                </c:pt>
                <c:pt idx="25">
                  <c:v>7.0088267679708355E-2</c:v>
                </c:pt>
                <c:pt idx="26">
                  <c:v>7.7638964956821793E-2</c:v>
                </c:pt>
                <c:pt idx="27">
                  <c:v>8.5719740800762903E-2</c:v>
                </c:pt>
                <c:pt idx="28">
                  <c:v>9.4330811967823114E-2</c:v>
                </c:pt>
                <c:pt idx="29">
                  <c:v>0.10346787468880149</c:v>
                </c:pt>
                <c:pt idx="30">
                  <c:v>0.11312225018126879</c:v>
                </c:pt>
                <c:pt idx="31">
                  <c:v>0.12328117271175798</c:v>
                </c:pt>
                <c:pt idx="32">
                  <c:v>0.13392820025418661</c:v>
                </c:pt>
                <c:pt idx="33">
                  <c:v>0.14504372049260256</c:v>
                </c:pt>
                <c:pt idx="34">
                  <c:v>0.15660552061840119</c:v>
                </c:pt>
                <c:pt idx="35">
                  <c:v>0.16858938826704048</c:v>
                </c:pt>
                <c:pt idx="36">
                  <c:v>0.18096971275778617</c:v>
                </c:pt>
                <c:pt idx="37">
                  <c:v>0.1937200599222185</c:v>
                </c:pt>
                <c:pt idx="38">
                  <c:v>0.20681369942109279</c:v>
                </c:pt>
                <c:pt idx="39">
                  <c:v>0.22022406971292821</c:v>
                </c:pt>
                <c:pt idx="40">
                  <c:v>0.23392517201114954</c:v>
                </c:pt>
                <c:pt idx="41">
                  <c:v>0.24789189009223273</c:v>
                </c:pt>
                <c:pt idx="42">
                  <c:v>0.26210023734956128</c:v>
                </c:pt>
                <c:pt idx="43">
                  <c:v>0.27652753588007128</c:v>
                </c:pt>
                <c:pt idx="44">
                  <c:v>0.29115253465629598</c:v>
                </c:pt>
                <c:pt idx="45">
                  <c:v>0.30595547509742654</c:v>
                </c:pt>
                <c:pt idx="46">
                  <c:v>0.32091811279203819</c:v>
                </c:pt>
                <c:pt idx="47">
                  <c:v>0.33602370394467523</c:v>
                </c:pt>
                <c:pt idx="48">
                  <c:v>0.35125696451231281</c:v>
                </c:pt>
                <c:pt idx="49">
                  <c:v>0.36660400913268637</c:v>
                </c:pt>
                <c:pt idx="50">
                  <c:v>0.38205227595883867</c:v>
                </c:pt>
                <c:pt idx="51">
                  <c:v>0.39759044250261111</c:v>
                </c:pt>
                <c:pt idx="52">
                  <c:v>0.41320833662244422</c:v>
                </c:pt>
                <c:pt idx="53">
                  <c:v>0.42889684590989807</c:v>
                </c:pt>
                <c:pt idx="54">
                  <c:v>0.4446478279567177</c:v>
                </c:pt>
                <c:pt idx="55">
                  <c:v>0.46045402332737895</c:v>
                </c:pt>
                <c:pt idx="56">
                  <c:v>0.4763089725183412</c:v>
                </c:pt>
                <c:pt idx="57">
                  <c:v>0.49220693774611124</c:v>
                </c:pt>
                <c:pt idx="58">
                  <c:v>0.50814283005986738</c:v>
                </c:pt>
                <c:pt idx="59">
                  <c:v>0.52411214200773892</c:v>
                </c:pt>
                <c:pt idx="60">
                  <c:v>0.54011088588589384</c:v>
                </c:pt>
                <c:pt idx="61">
                  <c:v>0.5561355374542436</c:v>
                </c:pt>
                <c:pt idx="62">
                  <c:v>0.57218298490101316</c:v>
                </c:pt>
                <c:pt idx="63">
                  <c:v>0.58825048277130731</c:v>
                </c:pt>
                <c:pt idx="64">
                  <c:v>0.60433561053425933</c:v>
                </c:pt>
                <c:pt idx="65">
                  <c:v>0.62043623544289972</c:v>
                </c:pt>
                <c:pt idx="66">
                  <c:v>0.63655047933527875</c:v>
                </c:pt>
                <c:pt idx="67">
                  <c:v>0.6526766890304424</c:v>
                </c:pt>
                <c:pt idx="68">
                  <c:v>0.66881340998533478</c:v>
                </c:pt>
                <c:pt idx="69">
                  <c:v>0.68495936289604631</c:v>
                </c:pt>
                <c:pt idx="70">
                  <c:v>0.70111342294714529</c:v>
                </c:pt>
                <c:pt idx="71">
                  <c:v>0.71727460143468524</c:v>
                </c:pt>
                <c:pt idx="72">
                  <c:v>0.73344202951083171</c:v>
                </c:pt>
                <c:pt idx="73">
                  <c:v>0.74961494382016391</c:v>
                </c:pt>
                <c:pt idx="74">
                  <c:v>0.76579267381905869</c:v>
                </c:pt>
                <c:pt idx="75">
                  <c:v>0.78197463058983152</c:v>
                </c:pt>
                <c:pt idx="76">
                  <c:v>0.79816029698028312</c:v>
                </c:pt>
                <c:pt idx="77">
                  <c:v>0.81434921891687551</c:v>
                </c:pt>
                <c:pt idx="78">
                  <c:v>0.83054099775590684</c:v>
                </c:pt>
                <c:pt idx="79">
                  <c:v>0.84673528355177685</c:v>
                </c:pt>
                <c:pt idx="80">
                  <c:v>0.86293176913478942</c:v>
                </c:pt>
                <c:pt idx="81">
                  <c:v>0.87913018490299133</c:v>
                </c:pt>
                <c:pt idx="82">
                  <c:v>0.89533029424338162</c:v>
                </c:pt>
                <c:pt idx="83">
                  <c:v>0.91153188950753272</c:v>
                </c:pt>
                <c:pt idx="84">
                  <c:v>0.92773478847533919</c:v>
                </c:pt>
                <c:pt idx="85">
                  <c:v>0.94393883124833622</c:v>
                </c:pt>
                <c:pt idx="86">
                  <c:v>0.96014387752090702</c:v>
                </c:pt>
                <c:pt idx="87">
                  <c:v>0.97634980418379747</c:v>
                </c:pt>
                <c:pt idx="88">
                  <c:v>0.99255650321976741</c:v>
                </c:pt>
                <c:pt idx="89">
                  <c:v>1.0087638798559939</c:v>
                </c:pt>
                <c:pt idx="90">
                  <c:v>1.0249718509420762</c:v>
                </c:pt>
                <c:pt idx="91">
                  <c:v>1.0411803435262292</c:v>
                </c:pt>
                <c:pt idx="92">
                  <c:v>1.0573892936055551</c:v>
                </c:pt>
                <c:pt idx="93">
                  <c:v>1.0735986450291866</c:v>
                </c:pt>
                <c:pt idx="94">
                  <c:v>1.0898083485356675</c:v>
                </c:pt>
                <c:pt idx="95">
                  <c:v>1.1060183609081866</c:v>
                </c:pt>
                <c:pt idx="96">
                  <c:v>1.1222286442332725</c:v>
                </c:pt>
                <c:pt idx="97">
                  <c:v>1.1384391652503096</c:v>
                </c:pt>
                <c:pt idx="98">
                  <c:v>1.1546498947807651</c:v>
                </c:pt>
                <c:pt idx="99">
                  <c:v>1.1708608072273796</c:v>
                </c:pt>
                <c:pt idx="100">
                  <c:v>1.1870718801347566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CE4-4BF3-B297-45975018DC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0140688"/>
        <c:axId val="600144296"/>
      </c:scatterChart>
      <c:valAx>
        <c:axId val="600140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0144296"/>
        <c:crosses val="autoZero"/>
        <c:crossBetween val="midCat"/>
      </c:valAx>
      <c:valAx>
        <c:axId val="600144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Concentraion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01406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Chart 2</a:t>
            </a:r>
          </a:p>
          <a:p>
            <a:pPr>
              <a:defRPr/>
            </a:pPr>
            <a:r>
              <a:rPr lang="en-US"/>
              <a:t>cell</a:t>
            </a:r>
            <a:r>
              <a:rPr lang="en-US" baseline="0"/>
              <a:t> mass vs penicillin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'e)'!$N$9</c:f>
              <c:strCache>
                <c:ptCount val="1"/>
                <c:pt idx="0">
                  <c:v>y1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'e)'!$M$10:$M$20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'e)'!$N$10:$N$20</c:f>
              <c:numCache>
                <c:formatCode>General</c:formatCode>
                <c:ptCount val="11"/>
                <c:pt idx="0">
                  <c:v>0.03</c:v>
                </c:pt>
                <c:pt idx="1">
                  <c:v>0.10153271323308985</c:v>
                </c:pt>
                <c:pt idx="2">
                  <c:v>0.28996154462795465</c:v>
                </c:pt>
                <c:pt idx="3">
                  <c:v>0.58509214748519112</c:v>
                </c:pt>
                <c:pt idx="4">
                  <c:v>0.80647102309241481</c:v>
                </c:pt>
                <c:pt idx="5">
                  <c:v>0.89768284257754583</c:v>
                </c:pt>
                <c:pt idx="6">
                  <c:v>0.92722047155154508</c:v>
                </c:pt>
                <c:pt idx="7">
                  <c:v>0.93619396646090802</c:v>
                </c:pt>
                <c:pt idx="8">
                  <c:v>0.9388711544406666</c:v>
                </c:pt>
                <c:pt idx="9">
                  <c:v>0.93966560247786146</c:v>
                </c:pt>
                <c:pt idx="10">
                  <c:v>0.93990097759567937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67-48DC-B5D5-FA4177C98529}"/>
            </c:ext>
          </c:extLst>
        </c:ser>
        <c:ser>
          <c:idx val="1"/>
          <c:order val="1"/>
          <c:tx>
            <c:strRef>
              <c:f>'e)'!$O$9</c:f>
              <c:strCache>
                <c:ptCount val="1"/>
                <c:pt idx="0">
                  <c:v>y2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'e)'!$M$10:$M$20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'e)'!$O$10:$O$20</c:f>
              <c:numCache>
                <c:formatCode>General</c:formatCode>
                <c:ptCount val="11"/>
                <c:pt idx="0">
                  <c:v>0</c:v>
                </c:pt>
                <c:pt idx="1">
                  <c:v>5.5946848501012498E-3</c:v>
                </c:pt>
                <c:pt idx="2">
                  <c:v>2.4529469267262665E-2</c:v>
                </c:pt>
                <c:pt idx="3">
                  <c:v>7.8604251295328512E-2</c:v>
                </c:pt>
                <c:pt idx="4">
                  <c:v>0.187717790410282</c:v>
                </c:pt>
                <c:pt idx="5">
                  <c:v>0.33811616424164159</c:v>
                </c:pt>
                <c:pt idx="6">
                  <c:v>0.50552458422712232</c:v>
                </c:pt>
                <c:pt idx="7">
                  <c:v>0.67844146172356123</c:v>
                </c:pt>
                <c:pt idx="8">
                  <c:v>0.85303180175406257</c:v>
                </c:pt>
                <c:pt idx="9">
                  <c:v>1.0281214092189381</c:v>
                </c:pt>
                <c:pt idx="10">
                  <c:v>1.2033591728970767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167-48DC-B5D5-FA4177C985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9163352"/>
        <c:axId val="579156792"/>
      </c:scatterChart>
      <c:valAx>
        <c:axId val="579163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156792"/>
        <c:crosses val="autoZero"/>
        <c:crossBetween val="midCat"/>
      </c:valAx>
      <c:valAx>
        <c:axId val="579156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Concentration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1633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123825</xdr:colOff>
      <xdr:row>1</xdr:row>
      <xdr:rowOff>61912</xdr:rowOff>
    </xdr:from>
    <xdr:to>
      <xdr:col>18</xdr:col>
      <xdr:colOff>428625</xdr:colOff>
      <xdr:row>15</xdr:row>
      <xdr:rowOff>138112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B8D95CB-4198-467A-8295-93A807C02B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152400</xdr:colOff>
      <xdr:row>17</xdr:row>
      <xdr:rowOff>14287</xdr:rowOff>
    </xdr:from>
    <xdr:to>
      <xdr:col>18</xdr:col>
      <xdr:colOff>457200</xdr:colOff>
      <xdr:row>31</xdr:row>
      <xdr:rowOff>90487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D769547-58D0-47A6-A010-BC8954888A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447674</xdr:colOff>
      <xdr:row>2</xdr:row>
      <xdr:rowOff>147637</xdr:rowOff>
    </xdr:from>
    <xdr:to>
      <xdr:col>25</xdr:col>
      <xdr:colOff>323849</xdr:colOff>
      <xdr:row>17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AA987ED-F06D-4BA6-ACC3-7B032EED52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457199</xdr:colOff>
      <xdr:row>19</xdr:row>
      <xdr:rowOff>14287</xdr:rowOff>
    </xdr:from>
    <xdr:to>
      <xdr:col>25</xdr:col>
      <xdr:colOff>352424</xdr:colOff>
      <xdr:row>33</xdr:row>
      <xdr:rowOff>123825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BCB8A79-BFBA-43D2-ADAD-82AF748C43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247650</xdr:colOff>
      <xdr:row>3</xdr:row>
      <xdr:rowOff>42862</xdr:rowOff>
    </xdr:from>
    <xdr:to>
      <xdr:col>11</xdr:col>
      <xdr:colOff>552450</xdr:colOff>
      <xdr:row>17</xdr:row>
      <xdr:rowOff>119062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5F80B87-D458-49F7-9F10-501A676423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390525</xdr:colOff>
      <xdr:row>2</xdr:row>
      <xdr:rowOff>23812</xdr:rowOff>
    </xdr:from>
    <xdr:to>
      <xdr:col>12</xdr:col>
      <xdr:colOff>85725</xdr:colOff>
      <xdr:row>16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3572A99-2D01-47B7-87B8-EB1EA68810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300037</xdr:colOff>
      <xdr:row>109</xdr:row>
      <xdr:rowOff>176212</xdr:rowOff>
    </xdr:from>
    <xdr:to>
      <xdr:col>9</xdr:col>
      <xdr:colOff>604837</xdr:colOff>
      <xdr:row>124</xdr:row>
      <xdr:rowOff>61912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EAD3964-81F6-47EE-A7E7-B9EE227A8A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9525</xdr:colOff>
      <xdr:row>21</xdr:row>
      <xdr:rowOff>90487</xdr:rowOff>
    </xdr:from>
    <xdr:to>
      <xdr:col>21</xdr:col>
      <xdr:colOff>314325</xdr:colOff>
      <xdr:row>35</xdr:row>
      <xdr:rowOff>166687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F63465C-67E4-4987-9992-5BF5FB00AB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7274E8-1030-41F8-9816-2E1AC4797934}">
  <sheetPr codeName="Sheet1"/>
  <dimension ref="B2:J109"/>
  <sheetViews>
    <sheetView workbookViewId="0">
      <selection activeCell="B7" sqref="B7:C7"/>
    </sheetView>
  </sheetViews>
  <sheetFormatPr defaultRowHeight="15" x14ac:dyDescent="0.25"/>
  <cols>
    <col min="8" max="8" width="10.85546875" customWidth="1"/>
  </cols>
  <sheetData>
    <row r="2" spans="2:10" ht="18.75" x14ac:dyDescent="0.3">
      <c r="B2" s="8" t="s">
        <v>5</v>
      </c>
      <c r="G2" s="8" t="s">
        <v>0</v>
      </c>
      <c r="I2" s="6" t="s">
        <v>2</v>
      </c>
      <c r="J2" s="7">
        <v>13.1</v>
      </c>
    </row>
    <row r="3" spans="2:10" ht="18.75" x14ac:dyDescent="0.3">
      <c r="B3" s="8" t="s">
        <v>6</v>
      </c>
      <c r="G3" s="8" t="s">
        <v>1</v>
      </c>
      <c r="I3" s="6" t="s">
        <v>3</v>
      </c>
      <c r="J3" s="7">
        <v>0.94</v>
      </c>
    </row>
    <row r="4" spans="2:10" x14ac:dyDescent="0.25">
      <c r="I4" s="6" t="s">
        <v>4</v>
      </c>
      <c r="J4" s="7">
        <v>1.71</v>
      </c>
    </row>
    <row r="6" spans="2:10" x14ac:dyDescent="0.25">
      <c r="B6" s="1" t="s">
        <v>11</v>
      </c>
      <c r="F6" s="1" t="s">
        <v>12</v>
      </c>
    </row>
    <row r="7" spans="2:10" x14ac:dyDescent="0.25">
      <c r="B7" s="11" t="s">
        <v>10</v>
      </c>
      <c r="C7" s="12"/>
      <c r="D7" s="3">
        <v>0.01</v>
      </c>
      <c r="F7" s="13" t="s">
        <v>10</v>
      </c>
      <c r="G7" s="13"/>
      <c r="H7" s="4">
        <v>0.1</v>
      </c>
    </row>
    <row r="8" spans="2:10" x14ac:dyDescent="0.25">
      <c r="B8" s="6" t="s">
        <v>7</v>
      </c>
      <c r="C8" s="6" t="s">
        <v>8</v>
      </c>
      <c r="D8" s="6" t="s">
        <v>9</v>
      </c>
      <c r="F8" s="6" t="s">
        <v>7</v>
      </c>
      <c r="G8" s="6" t="s">
        <v>8</v>
      </c>
      <c r="H8" s="6" t="s">
        <v>9</v>
      </c>
    </row>
    <row r="9" spans="2:10" x14ac:dyDescent="0.25">
      <c r="B9" s="2">
        <v>0</v>
      </c>
      <c r="C9" s="5">
        <v>0.03</v>
      </c>
      <c r="D9" s="5">
        <v>0</v>
      </c>
      <c r="F9" s="2">
        <v>0</v>
      </c>
      <c r="G9" s="5">
        <v>0.03</v>
      </c>
      <c r="H9" s="5">
        <v>0</v>
      </c>
    </row>
    <row r="10" spans="2:10" x14ac:dyDescent="0.25">
      <c r="B10" s="2">
        <v>0.01</v>
      </c>
      <c r="C10" s="5">
        <f t="shared" ref="C10:C41" si="0">C9+h_1*(b_1*C9-((b_1/b_2)*C9^2))</f>
        <v>3.3804574468085102E-2</v>
      </c>
      <c r="D10" s="5">
        <f t="shared" ref="D10:D41" si="1">D9+h_1*(b_3*C9)</f>
        <v>5.13E-4</v>
      </c>
      <c r="F10" s="2">
        <v>0.1</v>
      </c>
      <c r="G10" s="5">
        <f t="shared" ref="G10:G19" si="2">G9+h_2*(b_1*G9-((b_1/b_2)*G9^2))</f>
        <v>6.8045744680851061E-2</v>
      </c>
      <c r="H10" s="5">
        <f t="shared" ref="H10:H19" si="3">H9+h_2*b_3*G9</f>
        <v>5.13E-3</v>
      </c>
    </row>
    <row r="11" spans="2:10" x14ac:dyDescent="0.25">
      <c r="B11" s="2">
        <v>0.02</v>
      </c>
      <c r="C11" s="5">
        <f t="shared" si="0"/>
        <v>3.8073718242126756E-2</v>
      </c>
      <c r="D11" s="5">
        <f t="shared" si="1"/>
        <v>1.0910582234042554E-3</v>
      </c>
      <c r="F11" s="2">
        <v>0.2</v>
      </c>
      <c r="G11" s="5">
        <f t="shared" si="2"/>
        <v>0.1507329121131758</v>
      </c>
      <c r="H11" s="5">
        <f t="shared" si="3"/>
        <v>1.6765822340425531E-2</v>
      </c>
    </row>
    <row r="12" spans="2:10" x14ac:dyDescent="0.25">
      <c r="B12" s="2">
        <v>0.03</v>
      </c>
      <c r="C12" s="5">
        <f t="shared" si="0"/>
        <v>4.2859355490651431E-2</v>
      </c>
      <c r="D12" s="5">
        <f t="shared" si="1"/>
        <v>1.742118805344623E-3</v>
      </c>
      <c r="F12" s="2">
        <v>0.3</v>
      </c>
      <c r="G12" s="5">
        <f t="shared" si="2"/>
        <v>0.31652947576835622</v>
      </c>
      <c r="H12" s="5">
        <f t="shared" si="3"/>
        <v>4.2541150311778596E-2</v>
      </c>
    </row>
    <row r="13" spans="2:10" x14ac:dyDescent="0.25">
      <c r="B13" s="2">
        <v>0.04</v>
      </c>
      <c r="C13" s="5">
        <f t="shared" si="0"/>
        <v>4.8217934155402618E-2</v>
      </c>
      <c r="D13" s="5">
        <f t="shared" si="1"/>
        <v>2.4750137842347625E-3</v>
      </c>
      <c r="F13" s="2">
        <v>0.4</v>
      </c>
      <c r="G13" s="5">
        <f t="shared" si="2"/>
        <v>0.59155533282325456</v>
      </c>
      <c r="H13" s="5">
        <f t="shared" si="3"/>
        <v>9.6667690668167522E-2</v>
      </c>
    </row>
    <row r="14" spans="2:10" x14ac:dyDescent="0.25">
      <c r="B14" s="2">
        <v>0.05</v>
      </c>
      <c r="C14" s="5">
        <f t="shared" si="0"/>
        <v>5.4210471868247456E-2</v>
      </c>
      <c r="D14" s="5">
        <f t="shared" si="1"/>
        <v>3.2995404582921474E-3</v>
      </c>
      <c r="F14" s="2">
        <v>0.5</v>
      </c>
      <c r="G14" s="5">
        <f t="shared" si="2"/>
        <v>0.87881366728231658</v>
      </c>
      <c r="H14" s="5">
        <f t="shared" si="3"/>
        <v>0.19782365258094406</v>
      </c>
    </row>
    <row r="15" spans="2:10" x14ac:dyDescent="0.25">
      <c r="B15" s="2">
        <v>0.06</v>
      </c>
      <c r="C15" s="5">
        <f t="shared" si="0"/>
        <v>6.0902490960558803E-2</v>
      </c>
      <c r="D15" s="5">
        <f t="shared" si="1"/>
        <v>4.226539527239179E-3</v>
      </c>
      <c r="F15" s="2">
        <v>0.6</v>
      </c>
      <c r="G15" s="5">
        <f t="shared" si="2"/>
        <v>0.95375038529356149</v>
      </c>
      <c r="H15" s="5">
        <f t="shared" si="3"/>
        <v>0.34810078968622021</v>
      </c>
    </row>
    <row r="16" spans="2:10" x14ac:dyDescent="0.25">
      <c r="B16" s="2">
        <v>7.0000000000000007E-2</v>
      </c>
      <c r="C16" s="5">
        <f t="shared" si="0"/>
        <v>6.8363808918858682E-2</v>
      </c>
      <c r="D16" s="5">
        <f t="shared" si="1"/>
        <v>5.2679721226647344E-3</v>
      </c>
      <c r="F16" s="2">
        <v>0.7</v>
      </c>
      <c r="G16" s="5">
        <f t="shared" si="2"/>
        <v>0.935473885074533</v>
      </c>
      <c r="H16" s="5">
        <f t="shared" si="3"/>
        <v>0.51119210557141925</v>
      </c>
    </row>
    <row r="17" spans="2:8" x14ac:dyDescent="0.25">
      <c r="B17" s="2">
        <v>0.08</v>
      </c>
      <c r="C17" s="5">
        <f t="shared" si="0"/>
        <v>7.6668145590999229E-2</v>
      </c>
      <c r="D17" s="5">
        <f t="shared" si="1"/>
        <v>6.4369932551772181E-3</v>
      </c>
      <c r="F17" s="2">
        <v>0.8</v>
      </c>
      <c r="G17" s="5">
        <f t="shared" si="2"/>
        <v>0.94137454638394014</v>
      </c>
      <c r="H17" s="5">
        <f t="shared" si="3"/>
        <v>0.6711581399191644</v>
      </c>
    </row>
    <row r="18" spans="2:8" x14ac:dyDescent="0.25">
      <c r="B18" s="2">
        <v>0.09</v>
      </c>
      <c r="C18" s="5">
        <f t="shared" si="0"/>
        <v>8.5892503944446183E-2</v>
      </c>
      <c r="D18" s="5">
        <f t="shared" si="1"/>
        <v>7.748018544783305E-3</v>
      </c>
      <c r="F18" s="2">
        <v>0.9</v>
      </c>
      <c r="G18" s="5">
        <f t="shared" si="2"/>
        <v>0.93957125755197024</v>
      </c>
      <c r="H18" s="5">
        <f t="shared" si="3"/>
        <v>0.8321331873508182</v>
      </c>
    </row>
    <row r="19" spans="2:8" x14ac:dyDescent="0.25">
      <c r="B19" s="2">
        <v>0.1</v>
      </c>
      <c r="C19" s="5">
        <f t="shared" si="0"/>
        <v>9.6116277905175102E-2</v>
      </c>
      <c r="D19" s="5">
        <f t="shared" si="1"/>
        <v>9.2167803622333344E-3</v>
      </c>
      <c r="F19" s="2">
        <v>1</v>
      </c>
      <c r="G19" s="5">
        <f t="shared" si="2"/>
        <v>0.94013265398408752</v>
      </c>
      <c r="H19" s="5">
        <f t="shared" si="3"/>
        <v>0.99279987239220513</v>
      </c>
    </row>
    <row r="20" spans="2:8" x14ac:dyDescent="0.25">
      <c r="B20" s="2">
        <v>0.11</v>
      </c>
      <c r="C20" s="5">
        <f t="shared" si="0"/>
        <v>0.10742003967983477</v>
      </c>
      <c r="D20" s="5">
        <f t="shared" si="1"/>
        <v>1.0860368714411829E-2</v>
      </c>
    </row>
    <row r="21" spans="2:8" x14ac:dyDescent="0.25">
      <c r="B21" s="2">
        <v>0.12</v>
      </c>
      <c r="C21" s="5">
        <f t="shared" si="0"/>
        <v>0.11988396114900901</v>
      </c>
      <c r="D21" s="5">
        <f t="shared" si="1"/>
        <v>1.2697251392937004E-2</v>
      </c>
    </row>
    <row r="22" spans="2:8" x14ac:dyDescent="0.25">
      <c r="B22" s="2">
        <v>0.13</v>
      </c>
      <c r="C22" s="5">
        <f t="shared" si="0"/>
        <v>0.13358583080161238</v>
      </c>
      <c r="D22" s="5">
        <f t="shared" si="1"/>
        <v>1.4747267128585057E-2</v>
      </c>
    </row>
    <row r="23" spans="2:8" x14ac:dyDescent="0.25">
      <c r="B23" s="2">
        <v>0.14000000000000001</v>
      </c>
      <c r="C23" s="5">
        <f t="shared" si="0"/>
        <v>0.14859864078660726</v>
      </c>
      <c r="D23" s="5">
        <f t="shared" si="1"/>
        <v>1.7031584835292629E-2</v>
      </c>
    </row>
    <row r="24" spans="2:8" x14ac:dyDescent="0.25">
      <c r="B24" s="2">
        <v>0.15</v>
      </c>
      <c r="C24" s="5">
        <f t="shared" si="0"/>
        <v>0.16498773949378562</v>
      </c>
      <c r="D24" s="5">
        <f t="shared" si="1"/>
        <v>1.9572621592743613E-2</v>
      </c>
    </row>
    <row r="25" spans="2:8" x14ac:dyDescent="0.25">
      <c r="B25" s="2">
        <v>0.16</v>
      </c>
      <c r="C25" s="5">
        <f t="shared" si="0"/>
        <v>0.1828075748589521</v>
      </c>
      <c r="D25" s="5">
        <f t="shared" si="1"/>
        <v>2.2393911938087346E-2</v>
      </c>
    </row>
    <row r="26" spans="2:8" x14ac:dyDescent="0.25">
      <c r="B26" s="2">
        <v>0.17</v>
      </c>
      <c r="C26" s="5">
        <f t="shared" si="0"/>
        <v>0.20209809287315431</v>
      </c>
      <c r="D26" s="5">
        <f t="shared" si="1"/>
        <v>2.5519921468175426E-2</v>
      </c>
    </row>
    <row r="27" spans="2:8" x14ac:dyDescent="0.25">
      <c r="B27" s="2">
        <v>0.18</v>
      </c>
      <c r="C27" s="5">
        <f t="shared" si="0"/>
        <v>0.22288090396748586</v>
      </c>
      <c r="D27" s="5">
        <f t="shared" si="1"/>
        <v>2.8975798856306363E-2</v>
      </c>
    </row>
    <row r="28" spans="2:8" x14ac:dyDescent="0.25">
      <c r="B28" s="2">
        <v>0.19</v>
      </c>
      <c r="C28" s="5">
        <f t="shared" si="0"/>
        <v>0.24515538477734286</v>
      </c>
      <c r="D28" s="5">
        <f t="shared" si="1"/>
        <v>3.2787062314150371E-2</v>
      </c>
    </row>
    <row r="29" spans="2:8" x14ac:dyDescent="0.25">
      <c r="B29" s="2">
        <v>0.2</v>
      </c>
      <c r="C29" s="5">
        <f t="shared" si="0"/>
        <v>0.26889493985149621</v>
      </c>
      <c r="D29" s="5">
        <f t="shared" si="1"/>
        <v>3.6979219393842931E-2</v>
      </c>
    </row>
    <row r="30" spans="2:8" x14ac:dyDescent="0.25">
      <c r="B30" s="2">
        <v>0.21</v>
      </c>
      <c r="C30" s="5">
        <f t="shared" si="0"/>
        <v>0.29404370035844229</v>
      </c>
      <c r="D30" s="5">
        <f t="shared" si="1"/>
        <v>4.1577322865303516E-2</v>
      </c>
    </row>
    <row r="31" spans="2:8" x14ac:dyDescent="0.25">
      <c r="B31" s="2">
        <v>0.22</v>
      </c>
      <c r="C31" s="5">
        <f t="shared" si="0"/>
        <v>0.32051397574222418</v>
      </c>
      <c r="D31" s="5">
        <f t="shared" si="1"/>
        <v>4.6605470141432882E-2</v>
      </c>
    </row>
    <row r="32" spans="2:8" x14ac:dyDescent="0.25">
      <c r="B32" s="2">
        <v>0.23</v>
      </c>
      <c r="C32" s="5">
        <f t="shared" si="0"/>
        <v>0.34818478918930934</v>
      </c>
      <c r="D32" s="5">
        <f t="shared" si="1"/>
        <v>5.2086259126624915E-2</v>
      </c>
    </row>
    <row r="33" spans="2:4" x14ac:dyDescent="0.25">
      <c r="B33" s="2">
        <v>0.24</v>
      </c>
      <c r="C33" s="5">
        <f t="shared" si="0"/>
        <v>0.37690180847482452</v>
      </c>
      <c r="D33" s="5">
        <f t="shared" si="1"/>
        <v>5.8040219021762103E-2</v>
      </c>
    </row>
    <row r="34" spans="2:4" x14ac:dyDescent="0.25">
      <c r="B34" s="2">
        <v>0.25</v>
      </c>
      <c r="C34" s="5">
        <f t="shared" si="0"/>
        <v>0.40647892251977258</v>
      </c>
      <c r="D34" s="5">
        <f t="shared" si="1"/>
        <v>6.4485239946681608E-2</v>
      </c>
    </row>
    <row r="35" spans="2:4" x14ac:dyDescent="0.25">
      <c r="B35" s="2">
        <v>0.26</v>
      </c>
      <c r="C35" s="5">
        <f t="shared" si="0"/>
        <v>0.43670160818547832</v>
      </c>
      <c r="D35" s="5">
        <f t="shared" si="1"/>
        <v>7.1436029521769723E-2</v>
      </c>
    </row>
    <row r="36" spans="2:4" x14ac:dyDescent="0.25">
      <c r="B36" s="2">
        <v>0.27</v>
      </c>
      <c r="C36" s="5">
        <f t="shared" si="0"/>
        <v>0.46733208631360196</v>
      </c>
      <c r="D36" s="5">
        <f t="shared" si="1"/>
        <v>7.8903627021741404E-2</v>
      </c>
    </row>
    <row r="37" spans="2:4" x14ac:dyDescent="0.25">
      <c r="B37" s="2">
        <v>0.28000000000000003</v>
      </c>
      <c r="C37" s="5">
        <f t="shared" si="0"/>
        <v>0.49811609436997389</v>
      </c>
      <c r="D37" s="5">
        <f t="shared" si="1"/>
        <v>8.6895005697704003E-2</v>
      </c>
    </row>
    <row r="38" spans="2:4" x14ac:dyDescent="0.25">
      <c r="B38" s="2">
        <v>0.28999999999999998</v>
      </c>
      <c r="C38" s="5">
        <f t="shared" si="0"/>
        <v>0.52879092688709795</v>
      </c>
      <c r="D38" s="5">
        <f t="shared" si="1"/>
        <v>9.5412790911430553E-2</v>
      </c>
    </row>
    <row r="39" spans="2:4" x14ac:dyDescent="0.25">
      <c r="B39" s="2">
        <v>0.3</v>
      </c>
      <c r="C39" s="5">
        <f t="shared" si="0"/>
        <v>0.55909424085088943</v>
      </c>
      <c r="D39" s="5">
        <f t="shared" si="1"/>
        <v>0.10445511576119992</v>
      </c>
    </row>
    <row r="40" spans="2:4" x14ac:dyDescent="0.25">
      <c r="B40" s="2">
        <v>0.31</v>
      </c>
      <c r="C40" s="5">
        <f t="shared" si="0"/>
        <v>0.58877301779597846</v>
      </c>
      <c r="D40" s="5">
        <f t="shared" si="1"/>
        <v>0.11401562727975013</v>
      </c>
    </row>
    <row r="41" spans="2:4" x14ac:dyDescent="0.25">
      <c r="B41" s="2">
        <v>0.32</v>
      </c>
      <c r="C41" s="5">
        <f t="shared" si="0"/>
        <v>0.61759203811716601</v>
      </c>
      <c r="D41" s="5">
        <f t="shared" si="1"/>
        <v>0.12408364588406137</v>
      </c>
    </row>
    <row r="42" spans="2:4" x14ac:dyDescent="0.25">
      <c r="B42" s="2">
        <v>0.33</v>
      </c>
      <c r="C42" s="5">
        <f t="shared" ref="C42:C73" si="4">C41+h_1*(b_1*C41-((b_1/b_2)*C41^2))</f>
        <v>0.64534126506105871</v>
      </c>
      <c r="D42" s="5">
        <f t="shared" ref="D42:D73" si="5">D41+h_1*(b_3*C41)</f>
        <v>0.13464446973586491</v>
      </c>
    </row>
    <row r="43" spans="2:4" x14ac:dyDescent="0.25">
      <c r="B43" s="2">
        <v>0.34</v>
      </c>
      <c r="C43" s="5">
        <f t="shared" si="4"/>
        <v>0.67184165095515358</v>
      </c>
      <c r="D43" s="5">
        <f t="shared" si="5"/>
        <v>0.14567980536840902</v>
      </c>
    </row>
    <row r="44" spans="2:4" x14ac:dyDescent="0.25">
      <c r="B44" s="2">
        <v>0.35</v>
      </c>
      <c r="C44" s="5">
        <f t="shared" si="4"/>
        <v>0.69694904795526047</v>
      </c>
      <c r="D44" s="5">
        <f t="shared" si="5"/>
        <v>0.15716829759974216</v>
      </c>
    </row>
    <row r="45" spans="2:4" x14ac:dyDescent="0.25">
      <c r="B45" s="2">
        <v>0.36</v>
      </c>
      <c r="C45" s="5">
        <f t="shared" si="4"/>
        <v>0.72055610219123734</v>
      </c>
      <c r="D45" s="5">
        <f t="shared" si="5"/>
        <v>0.1690861263197771</v>
      </c>
    </row>
    <row r="46" spans="2:4" x14ac:dyDescent="0.25">
      <c r="B46" s="2">
        <v>0.37</v>
      </c>
      <c r="C46" s="5">
        <f t="shared" si="4"/>
        <v>0.74259220303673756</v>
      </c>
      <c r="D46" s="5">
        <f t="shared" si="5"/>
        <v>0.18140763566724727</v>
      </c>
    </row>
    <row r="47" spans="2:4" x14ac:dyDescent="0.25">
      <c r="B47" s="2">
        <v>0.38</v>
      </c>
      <c r="C47" s="5">
        <f t="shared" si="4"/>
        <v>0.76302172144153402</v>
      </c>
      <c r="D47" s="5">
        <f t="shared" si="5"/>
        <v>0.19410596233917549</v>
      </c>
    </row>
    <row r="48" spans="2:4" x14ac:dyDescent="0.25">
      <c r="B48" s="2">
        <v>0.39</v>
      </c>
      <c r="C48" s="5">
        <f t="shared" si="4"/>
        <v>0.78184088470750279</v>
      </c>
      <c r="D48" s="5">
        <f t="shared" si="5"/>
        <v>0.20715363377582571</v>
      </c>
    </row>
    <row r="49" spans="2:4" x14ac:dyDescent="0.25">
      <c r="B49" s="2">
        <v>0.4</v>
      </c>
      <c r="C49" s="5">
        <f t="shared" si="4"/>
        <v>0.79907369258394356</v>
      </c>
      <c r="D49" s="5">
        <f t="shared" si="5"/>
        <v>0.22052311290432403</v>
      </c>
    </row>
    <row r="50" spans="2:4" x14ac:dyDescent="0.25">
      <c r="B50" s="2">
        <v>0.41</v>
      </c>
      <c r="C50" s="5">
        <f t="shared" si="4"/>
        <v>0.8147672842171787</v>
      </c>
      <c r="D50" s="5">
        <f t="shared" si="5"/>
        <v>0.23418727304750947</v>
      </c>
    </row>
    <row r="51" spans="2:4" x14ac:dyDescent="0.25">
      <c r="B51" s="2">
        <v>0.42</v>
      </c>
      <c r="C51" s="5">
        <f t="shared" si="4"/>
        <v>0.82898712792472118</v>
      </c>
      <c r="D51" s="5">
        <f t="shared" si="5"/>
        <v>0.24811979360762323</v>
      </c>
    </row>
    <row r="52" spans="2:4" x14ac:dyDescent="0.25">
      <c r="B52" s="2">
        <v>0.43</v>
      </c>
      <c r="C52" s="5">
        <f t="shared" si="4"/>
        <v>0.84181234037147767</v>
      </c>
      <c r="D52" s="5">
        <f t="shared" si="5"/>
        <v>0.26229547349513599</v>
      </c>
    </row>
    <row r="53" spans="2:4" x14ac:dyDescent="0.25">
      <c r="B53" s="2">
        <v>0.44</v>
      </c>
      <c r="C53" s="5">
        <f t="shared" si="4"/>
        <v>0.85333136318501002</v>
      </c>
      <c r="D53" s="5">
        <f t="shared" si="5"/>
        <v>0.27669046451548823</v>
      </c>
    </row>
    <row r="54" spans="2:4" x14ac:dyDescent="0.25">
      <c r="B54" s="2">
        <v>0.45</v>
      </c>
      <c r="C54" s="5">
        <f t="shared" si="4"/>
        <v>0.86363814578695952</v>
      </c>
      <c r="D54" s="5">
        <f t="shared" si="5"/>
        <v>0.2912824308259519</v>
      </c>
    </row>
    <row r="55" spans="2:4" x14ac:dyDescent="0.25">
      <c r="B55" s="2">
        <v>0.46</v>
      </c>
      <c r="C55" s="5">
        <f t="shared" si="4"/>
        <v>0.87282891209947433</v>
      </c>
      <c r="D55" s="5">
        <f t="shared" si="5"/>
        <v>0.30605064311890889</v>
      </c>
    </row>
    <row r="56" spans="2:4" x14ac:dyDescent="0.25">
      <c r="B56" s="2">
        <v>0.47</v>
      </c>
      <c r="C56" s="5">
        <f t="shared" si="4"/>
        <v>0.88099953087878791</v>
      </c>
      <c r="D56" s="5">
        <f t="shared" si="5"/>
        <v>0.3209760175158099</v>
      </c>
    </row>
    <row r="57" spans="2:4" x14ac:dyDescent="0.25">
      <c r="B57" s="2">
        <v>0.48</v>
      </c>
      <c r="C57" s="5">
        <f t="shared" si="4"/>
        <v>0.88824346653398101</v>
      </c>
      <c r="D57" s="5">
        <f t="shared" si="5"/>
        <v>0.33604110949383714</v>
      </c>
    </row>
    <row r="58" spans="2:4" x14ac:dyDescent="0.25">
      <c r="B58" s="2">
        <v>0.49</v>
      </c>
      <c r="C58" s="5">
        <f t="shared" si="4"/>
        <v>0.89465025882537963</v>
      </c>
      <c r="D58" s="5">
        <f t="shared" si="5"/>
        <v>0.3512300727715682</v>
      </c>
    </row>
    <row r="59" spans="2:4" x14ac:dyDescent="0.25">
      <c r="B59" s="2">
        <v>0.5</v>
      </c>
      <c r="C59" s="5">
        <f t="shared" si="4"/>
        <v>0.90030446377859186</v>
      </c>
      <c r="D59" s="5">
        <f t="shared" si="5"/>
        <v>0.36652859219748218</v>
      </c>
    </row>
    <row r="60" spans="2:4" x14ac:dyDescent="0.25">
      <c r="B60" s="2">
        <v>0.51</v>
      </c>
      <c r="C60" s="5">
        <f t="shared" si="4"/>
        <v>0.90528498182884787</v>
      </c>
      <c r="D60" s="5">
        <f t="shared" si="5"/>
        <v>0.3819237985280961</v>
      </c>
    </row>
    <row r="61" spans="2:4" x14ac:dyDescent="0.25">
      <c r="B61" s="2">
        <v>0.52</v>
      </c>
      <c r="C61" s="5">
        <f t="shared" si="4"/>
        <v>0.9096646998946436</v>
      </c>
      <c r="D61" s="5">
        <f t="shared" si="5"/>
        <v>0.39740417171736941</v>
      </c>
    </row>
    <row r="62" spans="2:4" x14ac:dyDescent="0.25">
      <c r="B62" s="2">
        <v>0.53</v>
      </c>
      <c r="C62" s="5">
        <f t="shared" si="4"/>
        <v>0.9135103793290249</v>
      </c>
      <c r="D62" s="5">
        <f t="shared" si="5"/>
        <v>0.41295943808556784</v>
      </c>
    </row>
    <row r="63" spans="2:4" x14ac:dyDescent="0.25">
      <c r="B63" s="2">
        <v>0.54</v>
      </c>
      <c r="C63" s="5">
        <f t="shared" si="4"/>
        <v>0.91688272953008088</v>
      </c>
      <c r="D63" s="5">
        <f t="shared" si="5"/>
        <v>0.42858046557209417</v>
      </c>
    </row>
    <row r="64" spans="2:4" x14ac:dyDescent="0.25">
      <c r="B64" s="2">
        <v>0.55000000000000004</v>
      </c>
      <c r="C64" s="5">
        <f t="shared" si="4"/>
        <v>0.91983661592609633</v>
      </c>
      <c r="D64" s="5">
        <f t="shared" si="5"/>
        <v>0.44425916024705858</v>
      </c>
    </row>
    <row r="65" spans="2:4" x14ac:dyDescent="0.25">
      <c r="B65" s="2">
        <v>0.56000000000000005</v>
      </c>
      <c r="C65" s="5">
        <f t="shared" si="4"/>
        <v>0.92242136005945019</v>
      </c>
      <c r="D65" s="5">
        <f t="shared" si="5"/>
        <v>0.45998836637939483</v>
      </c>
    </row>
    <row r="66" spans="2:4" x14ac:dyDescent="0.25">
      <c r="B66" s="2">
        <v>0.56999999999999995</v>
      </c>
      <c r="C66" s="5">
        <f t="shared" si="4"/>
        <v>0.92468109792968045</v>
      </c>
      <c r="D66" s="5">
        <f t="shared" si="5"/>
        <v>0.47576177163641142</v>
      </c>
    </row>
    <row r="67" spans="2:4" x14ac:dyDescent="0.25">
      <c r="B67" s="2">
        <v>0.57999999999999996</v>
      </c>
      <c r="C67" s="5">
        <f t="shared" si="4"/>
        <v>0.92665517026297328</v>
      </c>
      <c r="D67" s="5">
        <f t="shared" si="5"/>
        <v>0.49157381841100894</v>
      </c>
    </row>
    <row r="68" spans="2:4" x14ac:dyDescent="0.25">
      <c r="B68" s="2">
        <v>0.59</v>
      </c>
      <c r="C68" s="5">
        <f t="shared" si="4"/>
        <v>0.92837852480216942</v>
      </c>
      <c r="D68" s="5">
        <f t="shared" si="5"/>
        <v>0.50741962182250577</v>
      </c>
    </row>
    <row r="69" spans="2:4" x14ac:dyDescent="0.25">
      <c r="B69" s="2">
        <v>0.6</v>
      </c>
      <c r="C69" s="5">
        <f t="shared" si="4"/>
        <v>0.92988211604474869</v>
      </c>
      <c r="D69" s="5">
        <f t="shared" si="5"/>
        <v>0.52329489459662282</v>
      </c>
    </row>
    <row r="70" spans="2:4" x14ac:dyDescent="0.25">
      <c r="B70" s="2">
        <v>0.61</v>
      </c>
      <c r="C70" s="5">
        <f t="shared" si="4"/>
        <v>0.93119329216584312</v>
      </c>
      <c r="D70" s="5">
        <f t="shared" si="5"/>
        <v>0.53919587878098807</v>
      </c>
    </row>
    <row r="71" spans="2:4" x14ac:dyDescent="0.25">
      <c r="B71" s="2">
        <v>0.62</v>
      </c>
      <c r="C71" s="5">
        <f t="shared" si="4"/>
        <v>0.93233616226288707</v>
      </c>
      <c r="D71" s="5">
        <f t="shared" si="5"/>
        <v>0.55511928407702393</v>
      </c>
    </row>
    <row r="72" spans="2:4" x14ac:dyDescent="0.25">
      <c r="B72" s="2">
        <v>0.63</v>
      </c>
      <c r="C72" s="5">
        <f t="shared" si="4"/>
        <v>0.93333193967925654</v>
      </c>
      <c r="D72" s="5">
        <f t="shared" si="5"/>
        <v>0.57106223245171928</v>
      </c>
    </row>
    <row r="73" spans="2:4" x14ac:dyDescent="0.25">
      <c r="B73" s="2">
        <v>0.64</v>
      </c>
      <c r="C73" s="5">
        <f t="shared" si="4"/>
        <v>0.93419925913794866</v>
      </c>
      <c r="D73" s="5">
        <f t="shared" si="5"/>
        <v>0.58702220862023458</v>
      </c>
    </row>
    <row r="74" spans="2:4" x14ac:dyDescent="0.25">
      <c r="B74" s="2">
        <v>0.65</v>
      </c>
      <c r="C74" s="5">
        <f t="shared" ref="C74:C109" si="6">C73+h_1*(b_1*C73-((b_1/b_2)*C73^2))</f>
        <v>0.9349544668654669</v>
      </c>
      <c r="D74" s="5">
        <f t="shared" ref="D74:D109" si="7">D73+h_1*(b_3*C73)</f>
        <v>0.60299701595149346</v>
      </c>
    </row>
    <row r="75" spans="2:4" x14ac:dyDescent="0.25">
      <c r="B75" s="2">
        <v>0.66</v>
      </c>
      <c r="C75" s="5">
        <f t="shared" si="6"/>
        <v>0.93561188391885231</v>
      </c>
      <c r="D75" s="5">
        <f t="shared" si="7"/>
        <v>0.6189847373348929</v>
      </c>
    </row>
    <row r="76" spans="2:4" x14ac:dyDescent="0.25">
      <c r="B76" s="2">
        <v>0.67</v>
      </c>
      <c r="C76" s="5">
        <f t="shared" si="6"/>
        <v>0.93618404363748353</v>
      </c>
      <c r="D76" s="5">
        <f t="shared" si="7"/>
        <v>0.63498370054990527</v>
      </c>
    </row>
    <row r="77" spans="2:4" x14ac:dyDescent="0.25">
      <c r="B77" s="2">
        <v>0.68</v>
      </c>
      <c r="C77" s="5">
        <f t="shared" si="6"/>
        <v>0.93668190460234779</v>
      </c>
      <c r="D77" s="5">
        <f t="shared" si="7"/>
        <v>0.6509924476961062</v>
      </c>
    </row>
    <row r="78" spans="2:4" x14ac:dyDescent="0.25">
      <c r="B78" s="2">
        <v>0.69</v>
      </c>
      <c r="C78" s="5">
        <f t="shared" si="6"/>
        <v>0.9371150407609552</v>
      </c>
      <c r="D78" s="5">
        <f t="shared" si="7"/>
        <v>0.66700970826480632</v>
      </c>
    </row>
    <row r="79" spans="2:4" x14ac:dyDescent="0.25">
      <c r="B79" s="2">
        <v>0.7</v>
      </c>
      <c r="C79" s="5">
        <f t="shared" si="6"/>
        <v>0.93749181051524322</v>
      </c>
      <c r="D79" s="5">
        <f t="shared" si="7"/>
        <v>0.68303437546181867</v>
      </c>
    </row>
    <row r="80" spans="2:4" x14ac:dyDescent="0.25">
      <c r="B80" s="2">
        <v>0.71</v>
      </c>
      <c r="C80" s="5">
        <f t="shared" si="6"/>
        <v>0.93781950661125868</v>
      </c>
      <c r="D80" s="5">
        <f t="shared" si="7"/>
        <v>0.69906548542162927</v>
      </c>
    </row>
    <row r="81" spans="2:4" x14ac:dyDescent="0.25">
      <c r="B81" s="2">
        <v>0.72</v>
      </c>
      <c r="C81" s="5">
        <f t="shared" si="6"/>
        <v>0.93810448864280527</v>
      </c>
      <c r="D81" s="5">
        <f t="shared" si="7"/>
        <v>0.71510219898468175</v>
      </c>
    </row>
    <row r="82" spans="2:4" x14ac:dyDescent="0.25">
      <c r="B82" s="2">
        <v>0.73</v>
      </c>
      <c r="C82" s="5">
        <f t="shared" si="6"/>
        <v>0.93835229990911584</v>
      </c>
      <c r="D82" s="5">
        <f t="shared" si="7"/>
        <v>0.73114378574047367</v>
      </c>
    </row>
    <row r="83" spans="2:4" x14ac:dyDescent="0.25">
      <c r="B83" s="2">
        <v>0.74</v>
      </c>
      <c r="C83" s="5">
        <f t="shared" si="6"/>
        <v>0.93856777026576399</v>
      </c>
      <c r="D83" s="5">
        <f t="shared" si="7"/>
        <v>0.7471896100689196</v>
      </c>
    </row>
    <row r="84" spans="2:4" x14ac:dyDescent="0.25">
      <c r="B84" s="2">
        <v>0.75</v>
      </c>
      <c r="C84" s="5">
        <f t="shared" si="6"/>
        <v>0.93875510649079619</v>
      </c>
      <c r="D84" s="5">
        <f t="shared" si="7"/>
        <v>0.76323911894046415</v>
      </c>
    </row>
    <row r="85" spans="2:4" x14ac:dyDescent="0.25">
      <c r="B85" s="2">
        <v>0.76</v>
      </c>
      <c r="C85" s="5">
        <f t="shared" si="6"/>
        <v>0.93891797156333145</v>
      </c>
      <c r="D85" s="5">
        <f t="shared" si="7"/>
        <v>0.77929183126145674</v>
      </c>
    </row>
    <row r="86" spans="2:4" x14ac:dyDescent="0.25">
      <c r="B86" s="2">
        <v>0.77</v>
      </c>
      <c r="C86" s="5">
        <f t="shared" si="6"/>
        <v>0.93905955412586961</v>
      </c>
      <c r="D86" s="5">
        <f t="shared" si="7"/>
        <v>0.79534732857518975</v>
      </c>
    </row>
    <row r="87" spans="2:4" x14ac:dyDescent="0.25">
      <c r="B87" s="2">
        <v>0.78</v>
      </c>
      <c r="C87" s="5">
        <f t="shared" si="6"/>
        <v>0.93918262927853391</v>
      </c>
      <c r="D87" s="5">
        <f t="shared" si="7"/>
        <v>0.81140524695074212</v>
      </c>
    </row>
    <row r="88" spans="2:4" x14ac:dyDescent="0.25">
      <c r="B88" s="2">
        <v>0.79</v>
      </c>
      <c r="C88" s="5">
        <f t="shared" si="6"/>
        <v>0.93928961173620396</v>
      </c>
      <c r="D88" s="5">
        <f t="shared" si="7"/>
        <v>0.82746526991140501</v>
      </c>
    </row>
    <row r="89" spans="2:4" x14ac:dyDescent="0.25">
      <c r="B89" s="2">
        <v>0.8</v>
      </c>
      <c r="C89" s="5">
        <f t="shared" si="6"/>
        <v>0.9393826022696713</v>
      </c>
      <c r="D89" s="5">
        <f t="shared" si="7"/>
        <v>0.84352712227209414</v>
      </c>
    </row>
    <row r="90" spans="2:4" x14ac:dyDescent="0.25">
      <c r="B90" s="2">
        <v>0.81</v>
      </c>
      <c r="C90" s="5">
        <f t="shared" si="6"/>
        <v>0.9394634282504567</v>
      </c>
      <c r="D90" s="5">
        <f t="shared" si="7"/>
        <v>0.85959056477090556</v>
      </c>
    </row>
    <row r="91" spans="2:4" x14ac:dyDescent="0.25">
      <c r="B91" s="2">
        <v>0.82</v>
      </c>
      <c r="C91" s="5">
        <f t="shared" si="6"/>
        <v>0.93953367902612483</v>
      </c>
      <c r="D91" s="5">
        <f t="shared" si="7"/>
        <v>0.87565538939398835</v>
      </c>
    </row>
    <row r="92" spans="2:4" x14ac:dyDescent="0.25">
      <c r="B92" s="2">
        <v>0.83</v>
      </c>
      <c r="C92" s="5">
        <f t="shared" si="6"/>
        <v>0.93959473676876859</v>
      </c>
      <c r="D92" s="5">
        <f t="shared" si="7"/>
        <v>0.89172141530533511</v>
      </c>
    </row>
    <row r="93" spans="2:4" x14ac:dyDescent="0.25">
      <c r="B93" s="2">
        <v>0.84</v>
      </c>
      <c r="C93" s="5">
        <f t="shared" si="6"/>
        <v>0.93964780336353271</v>
      </c>
      <c r="D93" s="5">
        <f t="shared" si="7"/>
        <v>0.90778848530408107</v>
      </c>
    </row>
    <row r="94" spans="2:4" x14ac:dyDescent="0.25">
      <c r="B94" s="2">
        <v>0.85</v>
      </c>
      <c r="C94" s="5">
        <f t="shared" si="6"/>
        <v>0.93969392383614003</v>
      </c>
      <c r="D94" s="5">
        <f t="shared" si="7"/>
        <v>0.9238564627415975</v>
      </c>
    </row>
    <row r="95" spans="2:4" x14ac:dyDescent="0.25">
      <c r="B95" s="2">
        <v>0.86</v>
      </c>
      <c r="C95" s="5">
        <f t="shared" si="6"/>
        <v>0.93973400675783658</v>
      </c>
      <c r="D95" s="5">
        <f t="shared" si="7"/>
        <v>0.93992522883919549</v>
      </c>
    </row>
    <row r="96" spans="2:4" x14ac:dyDescent="0.25">
      <c r="B96" s="2">
        <v>0.87</v>
      </c>
      <c r="C96" s="5">
        <f t="shared" si="6"/>
        <v>0.93976884201238442</v>
      </c>
      <c r="D96" s="5">
        <f t="shared" si="7"/>
        <v>0.95599468035475454</v>
      </c>
    </row>
    <row r="97" spans="2:4" x14ac:dyDescent="0.25">
      <c r="B97" s="2">
        <v>0.88</v>
      </c>
      <c r="C97" s="5">
        <f t="shared" si="6"/>
        <v>0.93979911626210677</v>
      </c>
      <c r="D97" s="5">
        <f t="shared" si="7"/>
        <v>0.97206472755316631</v>
      </c>
    </row>
    <row r="98" spans="2:4" x14ac:dyDescent="0.25">
      <c r="B98" s="2">
        <v>0.89</v>
      </c>
      <c r="C98" s="5">
        <f t="shared" si="6"/>
        <v>0.93982542640793021</v>
      </c>
      <c r="D98" s="5">
        <f t="shared" si="7"/>
        <v>0.98813529244124831</v>
      </c>
    </row>
    <row r="99" spans="2:4" x14ac:dyDescent="0.25">
      <c r="B99" s="2">
        <v>0.9</v>
      </c>
      <c r="C99" s="5">
        <f t="shared" si="6"/>
        <v>0.93984829130131264</v>
      </c>
      <c r="D99" s="5">
        <f t="shared" si="7"/>
        <v>1.004206307232824</v>
      </c>
    </row>
    <row r="100" spans="2:4" x14ac:dyDescent="0.25">
      <c r="B100" s="2">
        <v>0.91</v>
      </c>
      <c r="C100" s="5">
        <f t="shared" si="6"/>
        <v>0.93986816193335732</v>
      </c>
      <c r="D100" s="5">
        <f t="shared" si="7"/>
        <v>1.0202777130140765</v>
      </c>
    </row>
    <row r="101" spans="2:4" x14ac:dyDescent="0.25">
      <c r="B101" s="2">
        <v>0.92</v>
      </c>
      <c r="C101" s="5">
        <f t="shared" si="6"/>
        <v>0.93988543029780336</v>
      </c>
      <c r="D101" s="5">
        <f t="shared" si="7"/>
        <v>1.036349458583137</v>
      </c>
    </row>
    <row r="102" spans="2:4" x14ac:dyDescent="0.25">
      <c r="B102" s="2">
        <v>0.93</v>
      </c>
      <c r="C102" s="5">
        <f t="shared" si="6"/>
        <v>0.93990043709949922</v>
      </c>
      <c r="D102" s="5">
        <f t="shared" si="7"/>
        <v>1.0524214994412293</v>
      </c>
    </row>
    <row r="103" spans="2:4" x14ac:dyDescent="0.25">
      <c r="B103" s="2">
        <v>0.94</v>
      </c>
      <c r="C103" s="5">
        <f t="shared" si="6"/>
        <v>0.93991347845800421</v>
      </c>
      <c r="D103" s="5">
        <f t="shared" si="7"/>
        <v>1.0684937969156307</v>
      </c>
    </row>
    <row r="104" spans="2:4" x14ac:dyDescent="0.25">
      <c r="B104" s="2">
        <v>0.95</v>
      </c>
      <c r="C104" s="5">
        <f t="shared" si="6"/>
        <v>0.93992481173674713</v>
      </c>
      <c r="D104" s="5">
        <f t="shared" si="7"/>
        <v>1.0845663173972626</v>
      </c>
    </row>
    <row r="105" spans="2:4" x14ac:dyDescent="0.25">
      <c r="B105" s="2">
        <v>0.96</v>
      </c>
      <c r="C105" s="5">
        <f t="shared" si="6"/>
        <v>0.9399346606113832</v>
      </c>
      <c r="D105" s="5">
        <f t="shared" si="7"/>
        <v>1.1006390316779611</v>
      </c>
    </row>
    <row r="106" spans="2:4" x14ac:dyDescent="0.25">
      <c r="B106" s="2">
        <v>0.97</v>
      </c>
      <c r="C106" s="5">
        <f t="shared" si="6"/>
        <v>0.93994321947632398</v>
      </c>
      <c r="D106" s="5">
        <f t="shared" si="7"/>
        <v>1.1167119143744157</v>
      </c>
    </row>
    <row r="107" spans="2:4" x14ac:dyDescent="0.25">
      <c r="B107" s="2">
        <v>0.98</v>
      </c>
      <c r="C107" s="5">
        <f t="shared" si="6"/>
        <v>0.93995065727561955</v>
      </c>
      <c r="D107" s="5">
        <f t="shared" si="7"/>
        <v>1.1327849434274608</v>
      </c>
    </row>
    <row r="108" spans="2:4" x14ac:dyDescent="0.25">
      <c r="B108" s="2">
        <v>0.99</v>
      </c>
      <c r="C108" s="5">
        <f t="shared" si="6"/>
        <v>0.93995712083320881</v>
      </c>
      <c r="D108" s="5">
        <f t="shared" si="7"/>
        <v>1.148858099666874</v>
      </c>
    </row>
    <row r="109" spans="2:4" x14ac:dyDescent="0.25">
      <c r="B109" s="2">
        <v>1</v>
      </c>
      <c r="C109" s="5">
        <f t="shared" si="6"/>
        <v>0.93996273774782479</v>
      </c>
      <c r="D109" s="5">
        <f t="shared" si="7"/>
        <v>1.1649313664331218</v>
      </c>
    </row>
  </sheetData>
  <mergeCells count="2">
    <mergeCell ref="B7:C7"/>
    <mergeCell ref="F7:G7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69F3EB-EC85-4D1F-9BED-AFB521082C8C}">
  <sheetPr codeName="Sheet2"/>
  <dimension ref="B2:P109"/>
  <sheetViews>
    <sheetView workbookViewId="0">
      <selection activeCell="I10" sqref="I10"/>
    </sheetView>
  </sheetViews>
  <sheetFormatPr defaultRowHeight="15" x14ac:dyDescent="0.25"/>
  <cols>
    <col min="8" max="8" width="10" customWidth="1"/>
  </cols>
  <sheetData>
    <row r="2" spans="2:16" ht="18.75" x14ac:dyDescent="0.3">
      <c r="B2" s="8" t="s">
        <v>5</v>
      </c>
      <c r="G2" s="8" t="s">
        <v>0</v>
      </c>
      <c r="I2" s="6" t="s">
        <v>2</v>
      </c>
      <c r="J2" s="7">
        <v>13.1</v>
      </c>
    </row>
    <row r="3" spans="2:16" ht="18.75" x14ac:dyDescent="0.3">
      <c r="B3" s="8" t="s">
        <v>6</v>
      </c>
      <c r="G3" s="8" t="s">
        <v>1</v>
      </c>
      <c r="I3" s="6" t="s">
        <v>3</v>
      </c>
      <c r="J3" s="7">
        <v>0.94</v>
      </c>
    </row>
    <row r="4" spans="2:16" x14ac:dyDescent="0.25">
      <c r="I4" s="6" t="s">
        <v>4</v>
      </c>
      <c r="J4" s="7">
        <v>1.71</v>
      </c>
    </row>
    <row r="6" spans="2:16" x14ac:dyDescent="0.25">
      <c r="B6" s="1" t="s">
        <v>11</v>
      </c>
      <c r="J6" s="1" t="s">
        <v>12</v>
      </c>
    </row>
    <row r="7" spans="2:16" ht="18.75" x14ac:dyDescent="0.3">
      <c r="B7" s="11" t="s">
        <v>10</v>
      </c>
      <c r="C7" s="12"/>
      <c r="D7" s="3">
        <v>0.01</v>
      </c>
      <c r="E7" s="14" t="s">
        <v>8</v>
      </c>
      <c r="F7" s="14"/>
      <c r="G7" s="14" t="s">
        <v>9</v>
      </c>
      <c r="H7" s="14"/>
      <c r="J7" s="13" t="s">
        <v>10</v>
      </c>
      <c r="K7" s="13"/>
      <c r="L7" s="4">
        <v>0.1</v>
      </c>
      <c r="M7" s="14" t="s">
        <v>8</v>
      </c>
      <c r="N7" s="14"/>
      <c r="O7" s="14" t="s">
        <v>9</v>
      </c>
      <c r="P7" s="14"/>
    </row>
    <row r="8" spans="2:16" x14ac:dyDescent="0.25">
      <c r="B8" s="6" t="s">
        <v>7</v>
      </c>
      <c r="C8" s="6" t="s">
        <v>8</v>
      </c>
      <c r="D8" s="6" t="s">
        <v>9</v>
      </c>
      <c r="E8" s="9" t="s">
        <v>13</v>
      </c>
      <c r="F8" s="9" t="s">
        <v>14</v>
      </c>
      <c r="G8" s="9" t="s">
        <v>13</v>
      </c>
      <c r="H8" s="9" t="s">
        <v>14</v>
      </c>
      <c r="J8" s="6" t="s">
        <v>7</v>
      </c>
      <c r="K8" s="6" t="s">
        <v>8</v>
      </c>
      <c r="L8" s="6" t="s">
        <v>9</v>
      </c>
      <c r="M8" s="9" t="s">
        <v>13</v>
      </c>
      <c r="N8" s="9" t="s">
        <v>14</v>
      </c>
      <c r="O8" s="9" t="s">
        <v>13</v>
      </c>
      <c r="P8" s="9" t="s">
        <v>14</v>
      </c>
    </row>
    <row r="9" spans="2:16" x14ac:dyDescent="0.25">
      <c r="B9" s="2">
        <v>0</v>
      </c>
      <c r="C9" s="10">
        <v>0.03</v>
      </c>
      <c r="D9" s="10">
        <v>0</v>
      </c>
      <c r="E9" s="5">
        <f t="shared" ref="E9:E40" si="0">h_1*((b_1*C9)-(b_1/b_2)*C9^2)</f>
        <v>3.8045744680851065E-3</v>
      </c>
      <c r="F9" s="5">
        <f t="shared" ref="F9:F40" si="1">h_1*(b_1*(C9+E9)-(b_1/b_2)*(C9+E9)^2)</f>
        <v>4.2691437740416498E-3</v>
      </c>
      <c r="G9" s="5">
        <f t="shared" ref="G9:G40" si="2">h_1*b_3*C9</f>
        <v>5.13E-4</v>
      </c>
      <c r="H9" s="5">
        <f t="shared" ref="H9:H40" si="3">h_1*b_3*(C9+G9)</f>
        <v>5.2177229999999998E-4</v>
      </c>
      <c r="J9" s="2">
        <v>0</v>
      </c>
      <c r="K9" s="10">
        <v>0.03</v>
      </c>
      <c r="L9" s="10">
        <v>0</v>
      </c>
      <c r="M9" s="5">
        <f t="shared" ref="M9:M19" si="4">h_2*((b_1*K9)-(b_1/b_2)*K9^2)</f>
        <v>3.8045744680851062E-2</v>
      </c>
      <c r="N9" s="5">
        <f t="shared" ref="N9:N19" si="5">h_2*(b_1*(K9+M9)-(b_1/b_2)*(K9+M9)^2)</f>
        <v>8.2687167432324724E-2</v>
      </c>
      <c r="O9" s="5">
        <f t="shared" ref="O9:O19" si="6">h_2*b_3*K9</f>
        <v>5.13E-3</v>
      </c>
      <c r="P9" s="5">
        <f t="shared" ref="P9:P19" si="7">h_2*b_3*(K9+O9)</f>
        <v>6.0072300000000006E-3</v>
      </c>
    </row>
    <row r="10" spans="2:16" x14ac:dyDescent="0.25">
      <c r="B10" s="2">
        <v>0.01</v>
      </c>
      <c r="C10" s="10">
        <f>C9+(1/2)*(E9+F9)</f>
        <v>3.4036859121063377E-2</v>
      </c>
      <c r="D10" s="10">
        <f>D9+(1/2)*(G9+H9)</f>
        <v>5.1738614999999994E-4</v>
      </c>
      <c r="E10" s="5">
        <f t="shared" si="0"/>
        <v>4.2973769288738211E-3</v>
      </c>
      <c r="F10" s="5">
        <f t="shared" si="1"/>
        <v>4.8169909984856754E-3</v>
      </c>
      <c r="G10" s="5">
        <f t="shared" si="2"/>
        <v>5.820302909701838E-4</v>
      </c>
      <c r="H10" s="5">
        <f t="shared" si="3"/>
        <v>5.9198300894577395E-4</v>
      </c>
      <c r="J10" s="2">
        <v>0.1</v>
      </c>
      <c r="K10" s="10">
        <f>K9+(1/2)*(M9+N9)</f>
        <v>9.0366456056587885E-2</v>
      </c>
      <c r="L10" s="10">
        <f>L9+(1/2)*(O9+P9)</f>
        <v>5.5686150000000007E-3</v>
      </c>
      <c r="M10" s="5">
        <f t="shared" si="4"/>
        <v>0.10699964652126029</v>
      </c>
      <c r="N10" s="5">
        <f t="shared" si="5"/>
        <v>0.20426350313733402</v>
      </c>
      <c r="O10" s="5">
        <f t="shared" si="6"/>
        <v>1.545266398567653E-2</v>
      </c>
      <c r="P10" s="5">
        <f t="shared" si="7"/>
        <v>1.8095069527227215E-2</v>
      </c>
    </row>
    <row r="11" spans="2:16" x14ac:dyDescent="0.25">
      <c r="B11" s="2">
        <v>0.02</v>
      </c>
      <c r="C11" s="10">
        <f t="shared" ref="C11:C74" si="8">C10+(1/2)*(E10+F10)</f>
        <v>3.8594043084743124E-2</v>
      </c>
      <c r="D11" s="10">
        <f t="shared" ref="D11:D74" si="9">D10+(1/2)*(G10+H10)</f>
        <v>1.1043927999579788E-3</v>
      </c>
      <c r="E11" s="5">
        <f t="shared" si="0"/>
        <v>4.8482403662575852E-3</v>
      </c>
      <c r="F11" s="5">
        <f t="shared" si="1"/>
        <v>5.4279312694446467E-3</v>
      </c>
      <c r="G11" s="5">
        <f t="shared" si="2"/>
        <v>6.5995813674910747E-4</v>
      </c>
      <c r="H11" s="5">
        <f t="shared" si="3"/>
        <v>6.7124342088751719E-4</v>
      </c>
      <c r="J11" s="2">
        <v>0.2</v>
      </c>
      <c r="K11" s="10">
        <f t="shared" ref="K11:K19" si="10">K10+(1/2)*(M10+N10)</f>
        <v>0.24599803088588504</v>
      </c>
      <c r="L11" s="10">
        <f t="shared" ref="L11:L19" si="11">L10+(1/2)*(O10+P10)</f>
        <v>2.2342481756451871E-2</v>
      </c>
      <c r="M11" s="5">
        <f t="shared" si="4"/>
        <v>0.23792264293747745</v>
      </c>
      <c r="N11" s="5">
        <f t="shared" si="5"/>
        <v>0.3075799377029762</v>
      </c>
      <c r="O11" s="5">
        <f t="shared" si="6"/>
        <v>4.2065663281486344E-2</v>
      </c>
      <c r="P11" s="5">
        <f t="shared" si="7"/>
        <v>4.9258891702620509E-2</v>
      </c>
    </row>
    <row r="12" spans="2:16" x14ac:dyDescent="0.25">
      <c r="B12" s="2">
        <v>0.03</v>
      </c>
      <c r="C12" s="10">
        <f t="shared" si="8"/>
        <v>4.3732128902594238E-2</v>
      </c>
      <c r="D12" s="10">
        <f t="shared" si="9"/>
        <v>1.7699935787762911E-3</v>
      </c>
      <c r="E12" s="5">
        <f t="shared" si="0"/>
        <v>5.4623797565757403E-3</v>
      </c>
      <c r="F12" s="5">
        <f t="shared" si="1"/>
        <v>6.1072114233188769E-3</v>
      </c>
      <c r="G12" s="5">
        <f t="shared" si="2"/>
        <v>7.4781940423436152E-4</v>
      </c>
      <c r="H12" s="5">
        <f t="shared" si="3"/>
        <v>7.6060711604676904E-4</v>
      </c>
      <c r="J12" s="2">
        <v>0.3</v>
      </c>
      <c r="K12" s="10">
        <f t="shared" si="10"/>
        <v>0.51874932120611184</v>
      </c>
      <c r="L12" s="10">
        <f t="shared" si="11"/>
        <v>6.8004759248505298E-2</v>
      </c>
      <c r="M12" s="5">
        <f t="shared" si="4"/>
        <v>0.30453807428015506</v>
      </c>
      <c r="N12" s="5">
        <f t="shared" si="5"/>
        <v>0.13390989490382382</v>
      </c>
      <c r="O12" s="5">
        <f t="shared" si="6"/>
        <v>8.8706133926245129E-2</v>
      </c>
      <c r="P12" s="5">
        <f t="shared" si="7"/>
        <v>0.10387488282763305</v>
      </c>
    </row>
    <row r="13" spans="2:16" x14ac:dyDescent="0.25">
      <c r="B13" s="2">
        <v>0.04</v>
      </c>
      <c r="C13" s="10">
        <f t="shared" si="8"/>
        <v>4.9516924492541546E-2</v>
      </c>
      <c r="D13" s="10">
        <f t="shared" si="9"/>
        <v>2.5242068389168563E-3</v>
      </c>
      <c r="E13" s="5">
        <f t="shared" si="0"/>
        <v>6.1450125539833601E-3</v>
      </c>
      <c r="F13" s="5">
        <f t="shared" si="1"/>
        <v>6.8599361872585486E-3</v>
      </c>
      <c r="G13" s="5">
        <f t="shared" si="2"/>
        <v>8.4673940882246048E-4</v>
      </c>
      <c r="H13" s="5">
        <f t="shared" si="3"/>
        <v>8.6121865271332454E-4</v>
      </c>
      <c r="J13" s="2">
        <v>0.4</v>
      </c>
      <c r="K13" s="10">
        <f t="shared" si="10"/>
        <v>0.73797330579810128</v>
      </c>
      <c r="L13" s="10">
        <f t="shared" si="11"/>
        <v>0.16429526762544439</v>
      </c>
      <c r="M13" s="5">
        <f t="shared" si="4"/>
        <v>0.20777479007162222</v>
      </c>
      <c r="N13" s="5">
        <f t="shared" si="5"/>
        <v>-7.5760515404304845E-3</v>
      </c>
      <c r="O13" s="5">
        <f t="shared" si="6"/>
        <v>0.12619343529147534</v>
      </c>
      <c r="P13" s="5">
        <f t="shared" si="7"/>
        <v>0.14777251272631761</v>
      </c>
    </row>
    <row r="14" spans="2:16" x14ac:dyDescent="0.25">
      <c r="B14" s="2">
        <v>0.05</v>
      </c>
      <c r="C14" s="10">
        <f t="shared" si="8"/>
        <v>5.6019398863162498E-2</v>
      </c>
      <c r="D14" s="10">
        <f t="shared" si="9"/>
        <v>3.3781858696847488E-3</v>
      </c>
      <c r="E14" s="5">
        <f t="shared" si="0"/>
        <v>6.9012001133958809E-3</v>
      </c>
      <c r="F14" s="5">
        <f t="shared" si="1"/>
        <v>7.6908652397594422E-3</v>
      </c>
      <c r="G14" s="5">
        <f t="shared" si="2"/>
        <v>9.579317205600787E-4</v>
      </c>
      <c r="H14" s="5">
        <f t="shared" si="3"/>
        <v>9.7431235298165613E-4</v>
      </c>
      <c r="J14" s="2">
        <v>0.5</v>
      </c>
      <c r="K14" s="10">
        <f t="shared" si="10"/>
        <v>0.83807267506369709</v>
      </c>
      <c r="L14" s="10">
        <f t="shared" si="11"/>
        <v>0.30127824163434086</v>
      </c>
      <c r="M14" s="5">
        <f t="shared" si="4"/>
        <v>0.11904625818255817</v>
      </c>
      <c r="N14" s="5">
        <f t="shared" si="5"/>
        <v>-2.2834212996096073E-2</v>
      </c>
      <c r="O14" s="5">
        <f t="shared" si="6"/>
        <v>0.1433104274358922</v>
      </c>
      <c r="P14" s="5">
        <f t="shared" si="7"/>
        <v>0.16781651052742977</v>
      </c>
    </row>
    <row r="15" spans="2:16" x14ac:dyDescent="0.25">
      <c r="B15" s="2">
        <v>0.06</v>
      </c>
      <c r="C15" s="10">
        <f t="shared" si="8"/>
        <v>6.3315431539740161E-2</v>
      </c>
      <c r="D15" s="10">
        <f t="shared" si="9"/>
        <v>4.3443079064556158E-3</v>
      </c>
      <c r="E15" s="5">
        <f t="shared" si="0"/>
        <v>7.7356422262705119E-3</v>
      </c>
      <c r="F15" s="5">
        <f t="shared" si="1"/>
        <v>8.6041572421636705E-3</v>
      </c>
      <c r="G15" s="5">
        <f t="shared" si="2"/>
        <v>1.0826938793295569E-3</v>
      </c>
      <c r="H15" s="5">
        <f t="shared" si="3"/>
        <v>1.1012079446660924E-3</v>
      </c>
      <c r="J15" s="2">
        <v>0.6</v>
      </c>
      <c r="K15" s="10">
        <f t="shared" si="10"/>
        <v>0.88617869765692814</v>
      </c>
      <c r="L15" s="10">
        <f t="shared" si="11"/>
        <v>0.45684171061600187</v>
      </c>
      <c r="M15" s="5">
        <f t="shared" si="4"/>
        <v>6.6468970231621155E-2</v>
      </c>
      <c r="N15" s="5">
        <f t="shared" si="5"/>
        <v>-1.6791372794589955E-2</v>
      </c>
      <c r="O15" s="5">
        <f t="shared" si="6"/>
        <v>0.15153655729933471</v>
      </c>
      <c r="P15" s="5">
        <f t="shared" si="7"/>
        <v>0.17744930859752098</v>
      </c>
    </row>
    <row r="16" spans="2:16" x14ac:dyDescent="0.25">
      <c r="B16" s="2">
        <v>7.0000000000000007E-2</v>
      </c>
      <c r="C16" s="10">
        <f t="shared" si="8"/>
        <v>7.1485331273957259E-2</v>
      </c>
      <c r="D16" s="10">
        <f t="shared" si="9"/>
        <v>5.4362588184534407E-3</v>
      </c>
      <c r="E16" s="5">
        <f t="shared" si="0"/>
        <v>8.6524188341836027E-3</v>
      </c>
      <c r="F16" s="5">
        <f t="shared" si="1"/>
        <v>9.6030561918220674E-3</v>
      </c>
      <c r="G16" s="5">
        <f t="shared" si="2"/>
        <v>1.2223991647846691E-3</v>
      </c>
      <c r="H16" s="5">
        <f t="shared" si="3"/>
        <v>1.243302190502487E-3</v>
      </c>
      <c r="J16" s="2">
        <v>0.7</v>
      </c>
      <c r="K16" s="10">
        <f t="shared" si="10"/>
        <v>0.91101749637544371</v>
      </c>
      <c r="L16" s="10">
        <f t="shared" si="11"/>
        <v>0.62133464356442969</v>
      </c>
      <c r="M16" s="5">
        <f t="shared" si="4"/>
        <v>3.6796461634961197E-2</v>
      </c>
      <c r="N16" s="5">
        <f t="shared" si="5"/>
        <v>-1.032137637780366E-2</v>
      </c>
      <c r="O16" s="5">
        <f t="shared" si="6"/>
        <v>0.15578399188020089</v>
      </c>
      <c r="P16" s="5">
        <f t="shared" si="7"/>
        <v>0.18242305449171525</v>
      </c>
    </row>
    <row r="17" spans="2:16" x14ac:dyDescent="0.25">
      <c r="B17" s="2">
        <v>0.08</v>
      </c>
      <c r="C17" s="10">
        <f t="shared" si="8"/>
        <v>8.061306878696009E-2</v>
      </c>
      <c r="D17" s="10">
        <f t="shared" si="9"/>
        <v>6.6691094960970188E-3</v>
      </c>
      <c r="E17" s="5">
        <f t="shared" si="0"/>
        <v>9.6546746083663454E-3</v>
      </c>
      <c r="F17" s="5">
        <f t="shared" si="1"/>
        <v>1.068951823564237E-2</v>
      </c>
      <c r="G17" s="5">
        <f t="shared" si="2"/>
        <v>1.3784834762570176E-3</v>
      </c>
      <c r="H17" s="5">
        <f t="shared" si="3"/>
        <v>1.4020555437010127E-3</v>
      </c>
      <c r="J17" s="2">
        <v>0.8</v>
      </c>
      <c r="K17" s="10">
        <f t="shared" si="10"/>
        <v>0.92425503900402251</v>
      </c>
      <c r="L17" s="10">
        <f t="shared" si="11"/>
        <v>0.79043816675038769</v>
      </c>
      <c r="M17" s="5">
        <f t="shared" si="4"/>
        <v>2.0280415953919651E-2</v>
      </c>
      <c r="N17" s="5">
        <f t="shared" si="5"/>
        <v>-5.9701131871330304E-3</v>
      </c>
      <c r="O17" s="5">
        <f t="shared" si="6"/>
        <v>0.15804761166968787</v>
      </c>
      <c r="P17" s="5">
        <f t="shared" si="7"/>
        <v>0.18507375326520448</v>
      </c>
    </row>
    <row r="18" spans="2:16" x14ac:dyDescent="0.25">
      <c r="B18" s="2">
        <v>0.09</v>
      </c>
      <c r="C18" s="10">
        <f t="shared" si="8"/>
        <v>9.0785165208964444E-2</v>
      </c>
      <c r="D18" s="10">
        <f t="shared" si="9"/>
        <v>8.059379006076034E-3</v>
      </c>
      <c r="E18" s="5">
        <f t="shared" si="0"/>
        <v>1.0744244988029143E-2</v>
      </c>
      <c r="F18" s="5">
        <f t="shared" si="1"/>
        <v>1.1863781492531297E-2</v>
      </c>
      <c r="G18" s="5">
        <f t="shared" si="2"/>
        <v>1.552426325073292E-3</v>
      </c>
      <c r="H18" s="5">
        <f t="shared" si="3"/>
        <v>1.5789728152320454E-3</v>
      </c>
      <c r="J18" s="2">
        <v>0.9</v>
      </c>
      <c r="K18" s="10">
        <f t="shared" si="10"/>
        <v>0.93141019038741579</v>
      </c>
      <c r="L18" s="10">
        <f t="shared" si="11"/>
        <v>0.96199884921783385</v>
      </c>
      <c r="M18" s="5">
        <f t="shared" si="4"/>
        <v>1.114982279862744E-2</v>
      </c>
      <c r="N18" s="5">
        <f t="shared" si="5"/>
        <v>-3.3627505763142553E-3</v>
      </c>
      <c r="O18" s="5">
        <f t="shared" si="6"/>
        <v>0.15927114255624811</v>
      </c>
      <c r="P18" s="5">
        <f t="shared" si="7"/>
        <v>0.18650650793336657</v>
      </c>
    </row>
    <row r="19" spans="2:16" x14ac:dyDescent="0.25">
      <c r="B19" s="2">
        <v>0.1</v>
      </c>
      <c r="C19" s="10">
        <f t="shared" si="8"/>
        <v>0.10208917844924467</v>
      </c>
      <c r="D19" s="10">
        <f t="shared" si="9"/>
        <v>9.6250785762287024E-3</v>
      </c>
      <c r="E19" s="5">
        <f t="shared" si="0"/>
        <v>1.1921226795261836E-2</v>
      </c>
      <c r="F19" s="5">
        <f t="shared" si="1"/>
        <v>1.3123887769981231E-2</v>
      </c>
      <c r="G19" s="5">
        <f t="shared" si="2"/>
        <v>1.745724951482084E-3</v>
      </c>
      <c r="H19" s="5">
        <f t="shared" si="3"/>
        <v>1.7755768481524275E-3</v>
      </c>
      <c r="J19" s="2">
        <v>1</v>
      </c>
      <c r="K19" s="10">
        <f t="shared" si="10"/>
        <v>0.93530372649857241</v>
      </c>
      <c r="L19" s="10">
        <f t="shared" si="11"/>
        <v>1.1348876744626413</v>
      </c>
      <c r="M19" s="5">
        <f t="shared" si="4"/>
        <v>6.1213820846482752E-3</v>
      </c>
      <c r="N19" s="5">
        <f t="shared" si="5"/>
        <v>-1.86972258887117E-3</v>
      </c>
      <c r="O19" s="5">
        <f t="shared" si="6"/>
        <v>0.1599369372312559</v>
      </c>
      <c r="P19" s="5">
        <f t="shared" si="7"/>
        <v>0.18728615349780067</v>
      </c>
    </row>
    <row r="20" spans="2:16" x14ac:dyDescent="0.25">
      <c r="B20" s="2">
        <v>0.11</v>
      </c>
      <c r="C20" s="10">
        <f t="shared" si="8"/>
        <v>0.1146117357318662</v>
      </c>
      <c r="D20" s="10">
        <f t="shared" si="9"/>
        <v>1.1385729476045959E-2</v>
      </c>
      <c r="E20" s="5">
        <f t="shared" si="0"/>
        <v>1.3183502970514134E-2</v>
      </c>
      <c r="F20" s="5">
        <f t="shared" si="1"/>
        <v>1.4465173485347156E-2</v>
      </c>
      <c r="G20" s="5">
        <f t="shared" si="2"/>
        <v>1.9598606810149119E-3</v>
      </c>
      <c r="H20" s="5">
        <f t="shared" si="3"/>
        <v>1.9933742986602671E-3</v>
      </c>
    </row>
    <row r="21" spans="2:16" x14ac:dyDescent="0.25">
      <c r="B21" s="2">
        <v>0.12</v>
      </c>
      <c r="C21" s="10">
        <f t="shared" si="8"/>
        <v>0.12843607395979684</v>
      </c>
      <c r="D21" s="10">
        <f t="shared" si="9"/>
        <v>1.3362346965883547E-2</v>
      </c>
      <c r="E21" s="5">
        <f t="shared" si="0"/>
        <v>1.4526239425604619E-2</v>
      </c>
      <c r="F21" s="5">
        <f t="shared" si="1"/>
        <v>1.5879757500983069E-2</v>
      </c>
      <c r="G21" s="5">
        <f t="shared" si="2"/>
        <v>2.1962568647125261E-3</v>
      </c>
      <c r="H21" s="5">
        <f t="shared" si="3"/>
        <v>2.2338128570991104E-3</v>
      </c>
    </row>
    <row r="22" spans="2:16" x14ac:dyDescent="0.25">
      <c r="B22" s="2">
        <v>0.13</v>
      </c>
      <c r="C22" s="10">
        <f t="shared" si="8"/>
        <v>0.14363907242309068</v>
      </c>
      <c r="D22" s="10">
        <f t="shared" si="9"/>
        <v>1.5577381826789366E-2</v>
      </c>
      <c r="E22" s="5">
        <f t="shared" si="0"/>
        <v>1.5941382328297081E-2</v>
      </c>
      <c r="F22" s="5">
        <f t="shared" si="1"/>
        <v>1.7356065400554753E-2</v>
      </c>
      <c r="G22" s="5">
        <f t="shared" si="2"/>
        <v>2.4562281384348508E-3</v>
      </c>
      <c r="H22" s="5">
        <f t="shared" si="3"/>
        <v>2.4982296396020868E-3</v>
      </c>
    </row>
    <row r="23" spans="2:16" x14ac:dyDescent="0.25">
      <c r="B23" s="2">
        <v>0.14000000000000001</v>
      </c>
      <c r="C23" s="10">
        <f t="shared" si="8"/>
        <v>0.1602877962875166</v>
      </c>
      <c r="D23" s="10">
        <f t="shared" si="9"/>
        <v>1.8054610715807835E-2</v>
      </c>
      <c r="E23" s="5">
        <f t="shared" si="0"/>
        <v>1.7417195706568075E-2</v>
      </c>
      <c r="F23" s="5">
        <f t="shared" si="1"/>
        <v>1.8878441815554967E-2</v>
      </c>
      <c r="G23" s="5">
        <f t="shared" si="2"/>
        <v>2.7409213165165342E-3</v>
      </c>
      <c r="H23" s="5">
        <f t="shared" si="3"/>
        <v>2.787791071028967E-3</v>
      </c>
    </row>
    <row r="24" spans="2:16" x14ac:dyDescent="0.25">
      <c r="B24" s="2">
        <v>0.15</v>
      </c>
      <c r="C24" s="10">
        <f t="shared" si="8"/>
        <v>0.17843561504857813</v>
      </c>
      <c r="D24" s="10">
        <f t="shared" si="9"/>
        <v>2.0818966909580586E-2</v>
      </c>
      <c r="E24" s="5">
        <f t="shared" si="0"/>
        <v>1.8937890888356148E-2</v>
      </c>
      <c r="F24" s="5">
        <f t="shared" si="1"/>
        <v>2.0426912883265362E-2</v>
      </c>
      <c r="G24" s="5">
        <f t="shared" si="2"/>
        <v>3.0512490173306862E-3</v>
      </c>
      <c r="H24" s="5">
        <f t="shared" si="3"/>
        <v>3.1034253755270413E-3</v>
      </c>
    </row>
    <row r="25" spans="2:16" x14ac:dyDescent="0.25">
      <c r="B25" s="2">
        <v>0.16</v>
      </c>
      <c r="C25" s="10">
        <f t="shared" si="8"/>
        <v>0.19811801693438888</v>
      </c>
      <c r="D25" s="10">
        <f t="shared" si="9"/>
        <v>2.3896304106009451E-2</v>
      </c>
      <c r="E25" s="5">
        <f t="shared" si="0"/>
        <v>2.0483409078983734E-2</v>
      </c>
      <c r="F25" s="5">
        <f t="shared" si="1"/>
        <v>2.1977167198586407E-2</v>
      </c>
      <c r="G25" s="5">
        <f t="shared" si="2"/>
        <v>3.3878180895780502E-3</v>
      </c>
      <c r="H25" s="5">
        <f t="shared" si="3"/>
        <v>3.4457497789098348E-3</v>
      </c>
    </row>
    <row r="26" spans="2:16" x14ac:dyDescent="0.25">
      <c r="B26" s="2">
        <v>0.17</v>
      </c>
      <c r="C26" s="10">
        <f t="shared" si="8"/>
        <v>0.21934830507317396</v>
      </c>
      <c r="D26" s="10">
        <f t="shared" si="9"/>
        <v>2.7313088040253394E-2</v>
      </c>
      <c r="E26" s="5">
        <f t="shared" si="0"/>
        <v>2.2029423772096299E-2</v>
      </c>
      <c r="F26" s="5">
        <f t="shared" si="1"/>
        <v>2.3500822642871247E-2</v>
      </c>
      <c r="G26" s="5">
        <f t="shared" si="2"/>
        <v>3.7508560167512747E-3</v>
      </c>
      <c r="H26" s="5">
        <f t="shared" si="3"/>
        <v>3.8149956546377215E-3</v>
      </c>
    </row>
    <row r="27" spans="2:16" x14ac:dyDescent="0.25">
      <c r="B27" s="2">
        <v>0.18</v>
      </c>
      <c r="C27" s="10">
        <f t="shared" si="8"/>
        <v>0.24211342828065774</v>
      </c>
      <c r="D27" s="10">
        <f t="shared" si="9"/>
        <v>3.1096013875947893E-2</v>
      </c>
      <c r="E27" s="5">
        <f t="shared" si="0"/>
        <v>2.3547627730139006E-2</v>
      </c>
      <c r="F27" s="5">
        <f t="shared" si="1"/>
        <v>2.4966035182966403E-2</v>
      </c>
      <c r="G27" s="5">
        <f t="shared" si="2"/>
        <v>4.1401396235992479E-3</v>
      </c>
      <c r="H27" s="5">
        <f t="shared" si="3"/>
        <v>4.2109360111627948E-3</v>
      </c>
    </row>
    <row r="28" spans="2:16" x14ac:dyDescent="0.25">
      <c r="B28" s="2">
        <v>0.19</v>
      </c>
      <c r="C28" s="10">
        <f t="shared" si="8"/>
        <v>0.26637025973721046</v>
      </c>
      <c r="D28" s="10">
        <f t="shared" si="9"/>
        <v>3.5271551693328913E-2</v>
      </c>
      <c r="E28" s="5">
        <f t="shared" si="0"/>
        <v>2.5006357109943256E-2</v>
      </c>
      <c r="F28" s="5">
        <f t="shared" si="1"/>
        <v>2.6338481910452256E-2</v>
      </c>
      <c r="G28" s="5">
        <f t="shared" si="2"/>
        <v>4.5549314415062993E-3</v>
      </c>
      <c r="H28" s="5">
        <f t="shared" si="3"/>
        <v>4.6328207691560567E-3</v>
      </c>
    </row>
    <row r="29" spans="2:16" x14ac:dyDescent="0.25">
      <c r="B29" s="2">
        <v>0.2</v>
      </c>
      <c r="C29" s="10">
        <f t="shared" si="8"/>
        <v>0.29204267924740823</v>
      </c>
      <c r="D29" s="10">
        <f t="shared" si="9"/>
        <v>3.9865427798660091E-2</v>
      </c>
      <c r="E29" s="5">
        <f t="shared" si="0"/>
        <v>2.6371581011450269E-2</v>
      </c>
      <c r="F29" s="5">
        <f t="shared" si="1"/>
        <v>2.7582713850461866E-2</v>
      </c>
      <c r="G29" s="5">
        <f t="shared" si="2"/>
        <v>4.9939298151306811E-3</v>
      </c>
      <c r="H29" s="5">
        <f t="shared" si="3"/>
        <v>5.0793260149694158E-3</v>
      </c>
    </row>
    <row r="30" spans="2:16" x14ac:dyDescent="0.25">
      <c r="B30" s="2">
        <v>0.21</v>
      </c>
      <c r="C30" s="10">
        <f t="shared" si="8"/>
        <v>0.31901982667836432</v>
      </c>
      <c r="D30" s="10">
        <f t="shared" si="9"/>
        <v>4.4902055713710143E-2</v>
      </c>
      <c r="E30" s="5">
        <f t="shared" si="0"/>
        <v>2.7608248225057145E-2</v>
      </c>
      <c r="F30" s="5">
        <f t="shared" si="1"/>
        <v>2.8663826830673735E-2</v>
      </c>
      <c r="G30" s="5">
        <f t="shared" si="2"/>
        <v>5.4552390362000297E-3</v>
      </c>
      <c r="H30" s="5">
        <f t="shared" si="3"/>
        <v>5.5485236237190509E-3</v>
      </c>
    </row>
    <row r="31" spans="2:16" x14ac:dyDescent="0.25">
      <c r="B31" s="2">
        <v>0.22</v>
      </c>
      <c r="C31" s="10">
        <f t="shared" si="8"/>
        <v>0.34715586420622974</v>
      </c>
      <c r="D31" s="10">
        <f t="shared" si="9"/>
        <v>5.0403937043669682E-2</v>
      </c>
      <c r="E31" s="5">
        <f t="shared" si="0"/>
        <v>2.8681936912172024E-2</v>
      </c>
      <c r="F31" s="5">
        <f t="shared" si="1"/>
        <v>2.9549346722907967E-2</v>
      </c>
      <c r="G31" s="5">
        <f t="shared" si="2"/>
        <v>5.9363652779265289E-3</v>
      </c>
      <c r="H31" s="5">
        <f t="shared" si="3"/>
        <v>6.0378771241790721E-3</v>
      </c>
    </row>
    <row r="32" spans="2:16" x14ac:dyDescent="0.25">
      <c r="B32" s="2">
        <v>0.23</v>
      </c>
      <c r="C32" s="10">
        <f t="shared" si="8"/>
        <v>0.37627150602376974</v>
      </c>
      <c r="D32" s="10">
        <f t="shared" si="9"/>
        <v>5.6391058244722486E-2</v>
      </c>
      <c r="E32" s="5">
        <f t="shared" si="0"/>
        <v>2.9560703184702292E-2</v>
      </c>
      <c r="F32" s="5">
        <f t="shared" si="1"/>
        <v>3.0211177442411113E-2</v>
      </c>
      <c r="G32" s="5">
        <f t="shared" si="2"/>
        <v>6.4342427530064625E-3</v>
      </c>
      <c r="H32" s="5">
        <f t="shared" si="3"/>
        <v>6.5442683040828733E-3</v>
      </c>
    </row>
    <row r="33" spans="2:8" x14ac:dyDescent="0.25">
      <c r="B33" s="2">
        <v>0.24</v>
      </c>
      <c r="C33" s="10">
        <f t="shared" si="8"/>
        <v>0.40615744633732642</v>
      </c>
      <c r="D33" s="10">
        <f t="shared" si="9"/>
        <v>6.2880313773267152E-2</v>
      </c>
      <c r="E33" s="5">
        <f t="shared" si="0"/>
        <v>3.0216979588063356E-2</v>
      </c>
      <c r="F33" s="5">
        <f t="shared" si="1"/>
        <v>3.0627426617689388E-2</v>
      </c>
      <c r="G33" s="5">
        <f t="shared" si="2"/>
        <v>6.9452923323682818E-3</v>
      </c>
      <c r="H33" s="5">
        <f t="shared" si="3"/>
        <v>7.0640568312517801E-3</v>
      </c>
    </row>
    <row r="34" spans="2:8" x14ac:dyDescent="0.25">
      <c r="B34" s="2">
        <v>0.25</v>
      </c>
      <c r="C34" s="10">
        <f t="shared" si="8"/>
        <v>0.43657964944020278</v>
      </c>
      <c r="D34" s="10">
        <f t="shared" si="9"/>
        <v>6.9884988355077185E-2</v>
      </c>
      <c r="E34" s="5">
        <f t="shared" si="0"/>
        <v>3.0629344151136488E-2</v>
      </c>
      <c r="F34" s="5">
        <f t="shared" si="1"/>
        <v>3.078391441181139E-2</v>
      </c>
      <c r="G34" s="5">
        <f t="shared" si="2"/>
        <v>7.465512005427468E-3</v>
      </c>
      <c r="H34" s="5">
        <f t="shared" si="3"/>
        <v>7.5931722607202774E-3</v>
      </c>
    </row>
    <row r="35" spans="2:8" x14ac:dyDescent="0.25">
      <c r="B35" s="2">
        <v>0.26</v>
      </c>
      <c r="C35" s="10">
        <f t="shared" si="8"/>
        <v>0.46728627872167672</v>
      </c>
      <c r="D35" s="10">
        <f t="shared" si="9"/>
        <v>7.7414330488151051E-2</v>
      </c>
      <c r="E35" s="5">
        <f t="shared" si="0"/>
        <v>3.078397370096158E-2</v>
      </c>
      <c r="F35" s="5">
        <f t="shared" si="1"/>
        <v>3.067519146988271E-2</v>
      </c>
      <c r="G35" s="5">
        <f t="shared" si="2"/>
        <v>7.990595366140673E-3</v>
      </c>
      <c r="H35" s="5">
        <f t="shared" si="3"/>
        <v>8.1272345469016773E-3</v>
      </c>
    </row>
    <row r="36" spans="2:8" x14ac:dyDescent="0.25">
      <c r="B36" s="2">
        <v>0.27</v>
      </c>
      <c r="C36" s="10">
        <f t="shared" si="8"/>
        <v>0.49801586130709885</v>
      </c>
      <c r="D36" s="10">
        <f t="shared" si="9"/>
        <v>8.5473245444672219E-2</v>
      </c>
      <c r="E36" s="5">
        <f t="shared" si="0"/>
        <v>3.0675616604780857E-2</v>
      </c>
      <c r="F36" s="5">
        <f t="shared" si="1"/>
        <v>3.0304942196902156E-2</v>
      </c>
      <c r="G36" s="5">
        <f t="shared" si="2"/>
        <v>8.5160712283513899E-3</v>
      </c>
      <c r="H36" s="5">
        <f t="shared" si="3"/>
        <v>8.6616960463562001E-3</v>
      </c>
    </row>
    <row r="37" spans="2:8" x14ac:dyDescent="0.25">
      <c r="B37" s="2">
        <v>0.28000000000000003</v>
      </c>
      <c r="C37" s="10">
        <f t="shared" si="8"/>
        <v>0.52850614070794033</v>
      </c>
      <c r="D37" s="10">
        <f t="shared" si="9"/>
        <v>9.4062129082026019E-2</v>
      </c>
      <c r="E37" s="5">
        <f t="shared" si="0"/>
        <v>3.0307969283435755E-2</v>
      </c>
      <c r="F37" s="5">
        <f t="shared" si="1"/>
        <v>2.9685722400535752E-2</v>
      </c>
      <c r="G37" s="5">
        <f t="shared" si="2"/>
        <v>9.0374550061057806E-3</v>
      </c>
      <c r="H37" s="5">
        <f t="shared" si="3"/>
        <v>9.1919954867101892E-3</v>
      </c>
    </row>
    <row r="38" spans="2:8" x14ac:dyDescent="0.25">
      <c r="B38" s="2">
        <v>0.28999999999999998</v>
      </c>
      <c r="C38" s="10">
        <f t="shared" si="8"/>
        <v>0.55850298654992603</v>
      </c>
      <c r="D38" s="10">
        <f t="shared" si="9"/>
        <v>0.103176854328434</v>
      </c>
      <c r="E38" s="5">
        <f t="shared" si="0"/>
        <v>2.9693410637977039E-2</v>
      </c>
      <c r="F38" s="5">
        <f t="shared" si="1"/>
        <v>2.8838062905984813E-2</v>
      </c>
      <c r="G38" s="5">
        <f t="shared" si="2"/>
        <v>9.5504010700037355E-3</v>
      </c>
      <c r="H38" s="5">
        <f t="shared" si="3"/>
        <v>9.7137129283007984E-3</v>
      </c>
    </row>
    <row r="39" spans="2:8" x14ac:dyDescent="0.25">
      <c r="B39" s="2">
        <v>0.3</v>
      </c>
      <c r="C39" s="10">
        <f t="shared" si="8"/>
        <v>0.58776872332190699</v>
      </c>
      <c r="D39" s="10">
        <f t="shared" si="9"/>
        <v>0.11280891132758628</v>
      </c>
      <c r="E39" s="5">
        <f t="shared" si="0"/>
        <v>2.8852126747589128E-2</v>
      </c>
      <c r="F39" s="5">
        <f t="shared" si="1"/>
        <v>2.7789047604852846E-2</v>
      </c>
      <c r="G39" s="5">
        <f t="shared" si="2"/>
        <v>1.005084516880461E-2</v>
      </c>
      <c r="H39" s="5">
        <f t="shared" si="3"/>
        <v>1.0222714621191169E-2</v>
      </c>
    </row>
    <row r="40" spans="2:8" x14ac:dyDescent="0.25">
      <c r="B40" s="2">
        <v>0.31</v>
      </c>
      <c r="C40" s="10">
        <f t="shared" si="8"/>
        <v>0.61608931049812798</v>
      </c>
      <c r="D40" s="10">
        <f t="shared" si="9"/>
        <v>0.12294569122258417</v>
      </c>
      <c r="E40" s="5">
        <f t="shared" si="0"/>
        <v>2.7810730478640196E-2</v>
      </c>
      <c r="F40" s="5">
        <f t="shared" si="1"/>
        <v>2.65705315138558E-2</v>
      </c>
      <c r="G40" s="5">
        <f t="shared" si="2"/>
        <v>1.0535127209517988E-2</v>
      </c>
      <c r="H40" s="5">
        <f t="shared" si="3"/>
        <v>1.0715277884800747E-2</v>
      </c>
    </row>
    <row r="41" spans="2:8" x14ac:dyDescent="0.25">
      <c r="B41" s="2">
        <v>0.32</v>
      </c>
      <c r="C41" s="10">
        <f t="shared" si="8"/>
        <v>0.64327994149437595</v>
      </c>
      <c r="D41" s="10">
        <f t="shared" si="9"/>
        <v>0.13357089376974354</v>
      </c>
      <c r="E41" s="5">
        <f t="shared" ref="E41:E72" si="12">h_1*((b_1*C41)-(b_1/b_2)*C41^2)</f>
        <v>2.6600534155018538E-2</v>
      </c>
      <c r="F41" s="5">
        <f t="shared" ref="F41:F72" si="13">h_1*(b_1*(C41+E41)-(b_1/b_2)*(C41+E41)^2)</f>
        <v>2.5217192770740953E-2</v>
      </c>
      <c r="G41" s="5">
        <f t="shared" ref="G41:G72" si="14">h_1*b_3*C41</f>
        <v>1.100008699955383E-2</v>
      </c>
      <c r="H41" s="5">
        <f t="shared" ref="H41:H72" si="15">h_1*b_3*(C41+G41)</f>
        <v>1.1188188487246198E-2</v>
      </c>
    </row>
    <row r="42" spans="2:8" x14ac:dyDescent="0.25">
      <c r="B42" s="2">
        <v>0.33</v>
      </c>
      <c r="C42" s="10">
        <f t="shared" si="8"/>
        <v>0.66918880495725575</v>
      </c>
      <c r="D42" s="10">
        <f t="shared" si="9"/>
        <v>0.14466503151314355</v>
      </c>
      <c r="E42" s="5">
        <f t="shared" si="12"/>
        <v>2.5255660018447586E-2</v>
      </c>
      <c r="F42" s="5">
        <f t="shared" si="13"/>
        <v>2.3764609958055207E-2</v>
      </c>
      <c r="G42" s="5">
        <f t="shared" si="14"/>
        <v>1.1443128564769074E-2</v>
      </c>
      <c r="H42" s="5">
        <f t="shared" si="15"/>
        <v>1.1638806063226623E-2</v>
      </c>
    </row>
    <row r="43" spans="2:8" x14ac:dyDescent="0.25">
      <c r="B43" s="2">
        <v>0.34</v>
      </c>
      <c r="C43" s="10">
        <f t="shared" si="8"/>
        <v>0.69369893994550713</v>
      </c>
      <c r="D43" s="10">
        <f t="shared" si="9"/>
        <v>0.1562059988271414</v>
      </c>
      <c r="E43" s="5">
        <f t="shared" si="12"/>
        <v>2.3811170998947421E-2</v>
      </c>
      <c r="F43" s="5">
        <f t="shared" si="13"/>
        <v>2.2247527225972927E-2</v>
      </c>
      <c r="G43" s="5">
        <f t="shared" si="14"/>
        <v>1.1862251873068172E-2</v>
      </c>
      <c r="H43" s="5">
        <f t="shared" si="15"/>
        <v>1.2065096380097638E-2</v>
      </c>
    </row>
    <row r="44" spans="2:8" x14ac:dyDescent="0.25">
      <c r="B44" s="2">
        <v>0.35</v>
      </c>
      <c r="C44" s="10">
        <f t="shared" si="8"/>
        <v>0.71672828905796726</v>
      </c>
      <c r="D44" s="10">
        <f t="shared" si="9"/>
        <v>0.16816967295372431</v>
      </c>
      <c r="E44" s="5">
        <f t="shared" si="12"/>
        <v>2.2301377479348076E-2</v>
      </c>
      <c r="F44" s="5">
        <f t="shared" si="13"/>
        <v>2.0698423453712252E-2</v>
      </c>
      <c r="G44" s="5">
        <f t="shared" si="14"/>
        <v>1.2256053742891241E-2</v>
      </c>
      <c r="H44" s="5">
        <f t="shared" si="15"/>
        <v>1.2465632261894682E-2</v>
      </c>
    </row>
    <row r="45" spans="2:8" x14ac:dyDescent="0.25">
      <c r="B45" s="2">
        <v>0.36</v>
      </c>
      <c r="C45" s="10">
        <f t="shared" si="8"/>
        <v>0.73822818952449742</v>
      </c>
      <c r="D45" s="10">
        <f t="shared" si="9"/>
        <v>0.18053051595611727</v>
      </c>
      <c r="E45" s="5">
        <f t="shared" si="12"/>
        <v>2.075843257778482E-2</v>
      </c>
      <c r="F45" s="5">
        <f t="shared" si="13"/>
        <v>1.9146448855547397E-2</v>
      </c>
      <c r="G45" s="5">
        <f t="shared" si="14"/>
        <v>1.2623702040868906E-2</v>
      </c>
      <c r="H45" s="5">
        <f t="shared" si="15"/>
        <v>1.2839567345767765E-2</v>
      </c>
    </row>
    <row r="46" spans="2:8" x14ac:dyDescent="0.25">
      <c r="B46" s="2">
        <v>0.37</v>
      </c>
      <c r="C46" s="10">
        <f t="shared" si="8"/>
        <v>0.75818063024116356</v>
      </c>
      <c r="D46" s="10">
        <f t="shared" si="9"/>
        <v>0.19326215064943561</v>
      </c>
      <c r="E46" s="5">
        <f t="shared" si="12"/>
        <v>1.9211278819519732E-2</v>
      </c>
      <c r="F46" s="5">
        <f t="shared" si="13"/>
        <v>1.7616742623369923E-2</v>
      </c>
      <c r="G46" s="5">
        <f t="shared" si="14"/>
        <v>1.2964888777123897E-2</v>
      </c>
      <c r="H46" s="5">
        <f t="shared" si="15"/>
        <v>1.3186588375212716E-2</v>
      </c>
    </row>
    <row r="47" spans="2:8" x14ac:dyDescent="0.25">
      <c r="B47" s="2">
        <v>0.38</v>
      </c>
      <c r="C47" s="10">
        <f t="shared" si="8"/>
        <v>0.77659464096260833</v>
      </c>
      <c r="D47" s="10">
        <f t="shared" si="9"/>
        <v>0.20633788922560392</v>
      </c>
      <c r="E47" s="5">
        <f t="shared" si="12"/>
        <v>1.7684961833430018E-2</v>
      </c>
      <c r="F47" s="5">
        <f t="shared" si="13"/>
        <v>1.613010514528522E-2</v>
      </c>
      <c r="G47" s="5">
        <f t="shared" si="14"/>
        <v>1.3279768360460603E-2</v>
      </c>
      <c r="H47" s="5">
        <f t="shared" si="15"/>
        <v>1.3506852399424479E-2</v>
      </c>
    </row>
    <row r="48" spans="2:8" x14ac:dyDescent="0.25">
      <c r="B48" s="2">
        <v>0.39</v>
      </c>
      <c r="C48" s="10">
        <f t="shared" si="8"/>
        <v>0.79350217445196591</v>
      </c>
      <c r="D48" s="10">
        <f t="shared" si="9"/>
        <v>0.21973119960554646</v>
      </c>
      <c r="E48" s="5">
        <f t="shared" si="12"/>
        <v>1.6200288243995012E-2</v>
      </c>
      <c r="F48" s="5">
        <f t="shared" si="13"/>
        <v>1.4702971304060846E-2</v>
      </c>
      <c r="G48" s="5">
        <f t="shared" si="14"/>
        <v>1.3568887183128618E-2</v>
      </c>
      <c r="H48" s="5">
        <f t="shared" si="15"/>
        <v>1.3800915153960118E-2</v>
      </c>
    </row>
    <row r="49" spans="2:8" x14ac:dyDescent="0.25">
      <c r="B49" s="2">
        <v>0.4</v>
      </c>
      <c r="C49" s="10">
        <f t="shared" si="8"/>
        <v>0.80895380422599383</v>
      </c>
      <c r="D49" s="10">
        <f t="shared" si="9"/>
        <v>0.23341610077409083</v>
      </c>
      <c r="E49" s="5">
        <f t="shared" si="12"/>
        <v>1.4773778443292737E-2</v>
      </c>
      <c r="F49" s="5">
        <f t="shared" si="13"/>
        <v>1.3347617490342056E-2</v>
      </c>
      <c r="G49" s="5">
        <f t="shared" si="14"/>
        <v>1.3833110052264496E-2</v>
      </c>
      <c r="H49" s="5">
        <f t="shared" si="15"/>
        <v>1.4069656234158219E-2</v>
      </c>
    </row>
    <row r="50" spans="2:8" x14ac:dyDescent="0.25">
      <c r="B50" s="2">
        <v>0.41</v>
      </c>
      <c r="C50" s="10">
        <f t="shared" si="8"/>
        <v>0.82301450219281125</v>
      </c>
      <c r="D50" s="10">
        <f t="shared" si="9"/>
        <v>0.24736748391730218</v>
      </c>
      <c r="E50" s="5">
        <f t="shared" si="12"/>
        <v>1.3417850768770823E-2</v>
      </c>
      <c r="F50" s="5">
        <f t="shared" si="13"/>
        <v>1.2072532257551102E-2</v>
      </c>
      <c r="G50" s="5">
        <f t="shared" si="14"/>
        <v>1.4073547987497072E-2</v>
      </c>
      <c r="H50" s="5">
        <f t="shared" si="15"/>
        <v>1.4314205658083272E-2</v>
      </c>
    </row>
    <row r="51" spans="2:8" x14ac:dyDescent="0.25">
      <c r="B51" s="2">
        <v>0.42</v>
      </c>
      <c r="C51" s="10">
        <f t="shared" si="8"/>
        <v>0.83575969370597225</v>
      </c>
      <c r="D51" s="10">
        <f t="shared" si="9"/>
        <v>0.26156136074009234</v>
      </c>
      <c r="E51" s="5">
        <f t="shared" si="12"/>
        <v>1.2141170091781728E-2</v>
      </c>
      <c r="F51" s="5">
        <f t="shared" si="13"/>
        <v>1.0882885920701461E-2</v>
      </c>
      <c r="G51" s="5">
        <f t="shared" si="14"/>
        <v>1.4291490762372126E-2</v>
      </c>
      <c r="H51" s="5">
        <f t="shared" si="15"/>
        <v>1.4535875254408689E-2</v>
      </c>
    </row>
    <row r="52" spans="2:8" x14ac:dyDescent="0.25">
      <c r="B52" s="2">
        <v>0.43</v>
      </c>
      <c r="C52" s="10">
        <f t="shared" si="8"/>
        <v>0.84727172171221388</v>
      </c>
      <c r="D52" s="10">
        <f t="shared" si="9"/>
        <v>0.27597504374848275</v>
      </c>
      <c r="E52" s="5">
        <f t="shared" si="12"/>
        <v>1.0949098178208026E-2</v>
      </c>
      <c r="F52" s="5">
        <f t="shared" si="13"/>
        <v>9.7810446228433351E-3</v>
      </c>
      <c r="G52" s="5">
        <f t="shared" si="14"/>
        <v>1.4488346441278858E-2</v>
      </c>
      <c r="H52" s="5">
        <f t="shared" si="15"/>
        <v>1.4736097165424726E-2</v>
      </c>
    </row>
    <row r="53" spans="2:8" x14ac:dyDescent="0.25">
      <c r="B53" s="2">
        <v>0.44</v>
      </c>
      <c r="C53" s="10">
        <f t="shared" si="8"/>
        <v>0.85763679311273955</v>
      </c>
      <c r="D53" s="10">
        <f t="shared" si="9"/>
        <v>0.29058726555183456</v>
      </c>
      <c r="E53" s="5">
        <f t="shared" si="12"/>
        <v>9.8441924233090457E-3</v>
      </c>
      <c r="F53" s="5">
        <f t="shared" si="13"/>
        <v>8.7670866638140232E-3</v>
      </c>
      <c r="G53" s="5">
        <f t="shared" si="14"/>
        <v>1.4665589162227847E-2</v>
      </c>
      <c r="H53" s="5">
        <f t="shared" si="15"/>
        <v>1.4916370736901942E-2</v>
      </c>
    </row>
    <row r="54" spans="2:8" x14ac:dyDescent="0.25">
      <c r="B54" s="2">
        <v>0.45</v>
      </c>
      <c r="C54" s="10">
        <f t="shared" si="8"/>
        <v>0.86694243265630111</v>
      </c>
      <c r="D54" s="10">
        <f t="shared" si="9"/>
        <v>0.30537824550139947</v>
      </c>
      <c r="E54" s="5">
        <f t="shared" si="12"/>
        <v>8.8267110378229853E-3</v>
      </c>
      <c r="F54" s="5">
        <f t="shared" si="13"/>
        <v>7.8392911333740045E-3</v>
      </c>
      <c r="G54" s="5">
        <f t="shared" si="14"/>
        <v>1.4824715598422749E-2</v>
      </c>
      <c r="H54" s="5">
        <f t="shared" si="15"/>
        <v>1.5078218235155779E-2</v>
      </c>
    </row>
    <row r="55" spans="2:8" x14ac:dyDescent="0.25">
      <c r="B55" s="2">
        <v>0.46</v>
      </c>
      <c r="C55" s="10">
        <f t="shared" si="8"/>
        <v>0.87527543374189964</v>
      </c>
      <c r="D55" s="10">
        <f t="shared" si="9"/>
        <v>0.32032971241818875</v>
      </c>
      <c r="E55" s="5">
        <f t="shared" si="12"/>
        <v>7.8950944547832684E-3</v>
      </c>
      <c r="F55" s="5">
        <f t="shared" si="13"/>
        <v>6.9945798047737111E-3</v>
      </c>
      <c r="G55" s="5">
        <f t="shared" si="14"/>
        <v>1.4967209916986484E-2</v>
      </c>
      <c r="H55" s="5">
        <f t="shared" si="15"/>
        <v>1.5223149206566955E-2</v>
      </c>
    </row>
    <row r="56" spans="2:8" x14ac:dyDescent="0.25">
      <c r="B56" s="2">
        <v>0.47</v>
      </c>
      <c r="C56" s="10">
        <f t="shared" si="8"/>
        <v>0.88272027087167815</v>
      </c>
      <c r="D56" s="10">
        <f t="shared" si="9"/>
        <v>0.33542489197996544</v>
      </c>
      <c r="E56" s="5">
        <f t="shared" si="12"/>
        <v>7.0464033186390471E-3</v>
      </c>
      <c r="F56" s="5">
        <f t="shared" si="13"/>
        <v>6.2289021705693769E-3</v>
      </c>
      <c r="G56" s="5">
        <f t="shared" si="14"/>
        <v>1.5094516631905697E-2</v>
      </c>
      <c r="H56" s="5">
        <f t="shared" si="15"/>
        <v>1.5352632866311283E-2</v>
      </c>
    </row>
    <row r="57" spans="2:8" x14ac:dyDescent="0.25">
      <c r="B57" s="2">
        <v>0.48</v>
      </c>
      <c r="C57" s="10">
        <f t="shared" si="8"/>
        <v>0.88935792361628241</v>
      </c>
      <c r="D57" s="10">
        <f t="shared" si="9"/>
        <v>0.35064846672907396</v>
      </c>
      <c r="E57" s="5">
        <f t="shared" si="12"/>
        <v>6.2767022116292101E-3</v>
      </c>
      <c r="F57" s="5">
        <f t="shared" si="13"/>
        <v>5.537560270020947E-3</v>
      </c>
      <c r="G57" s="5">
        <f t="shared" si="14"/>
        <v>1.5208020493838429E-2</v>
      </c>
      <c r="H57" s="5">
        <f t="shared" si="15"/>
        <v>1.5468077644283066E-2</v>
      </c>
    </row>
    <row r="58" spans="2:8" x14ac:dyDescent="0.25">
      <c r="B58" s="2">
        <v>0.49</v>
      </c>
      <c r="C58" s="10">
        <f t="shared" si="8"/>
        <v>0.8952650548571075</v>
      </c>
      <c r="D58" s="10">
        <f t="shared" si="9"/>
        <v>0.36598651579813468</v>
      </c>
      <c r="E58" s="5">
        <f t="shared" si="12"/>
        <v>5.581385040826543E-3</v>
      </c>
      <c r="F58" s="5">
        <f t="shared" si="13"/>
        <v>4.9154747072054587E-3</v>
      </c>
      <c r="G58" s="5">
        <f t="shared" si="14"/>
        <v>1.5309032438056539E-2</v>
      </c>
      <c r="H58" s="5">
        <f t="shared" si="15"/>
        <v>1.5570816892747306E-2</v>
      </c>
    </row>
    <row r="59" spans="2:8" x14ac:dyDescent="0.25">
      <c r="B59" s="2">
        <v>0.5</v>
      </c>
      <c r="C59" s="10">
        <f t="shared" si="8"/>
        <v>0.90051348473112347</v>
      </c>
      <c r="D59" s="10">
        <f t="shared" si="9"/>
        <v>0.38142644046353658</v>
      </c>
      <c r="E59" s="5">
        <f t="shared" si="12"/>
        <v>4.955442840288384E-3</v>
      </c>
      <c r="F59" s="5">
        <f t="shared" si="13"/>
        <v>4.3573962964833695E-3</v>
      </c>
      <c r="G59" s="5">
        <f t="shared" si="14"/>
        <v>1.5398780588902213E-2</v>
      </c>
      <c r="H59" s="5">
        <f t="shared" si="15"/>
        <v>1.566209973697244E-2</v>
      </c>
    </row>
    <row r="60" spans="2:8" x14ac:dyDescent="0.25">
      <c r="B60" s="2">
        <v>0.51</v>
      </c>
      <c r="C60" s="10">
        <f t="shared" si="8"/>
        <v>0.90516990429950939</v>
      </c>
      <c r="D60" s="10">
        <f t="shared" si="9"/>
        <v>0.39695688062647388</v>
      </c>
      <c r="E60" s="5">
        <f t="shared" si="12"/>
        <v>4.3936778993044715E-3</v>
      </c>
      <c r="F60" s="5">
        <f t="shared" si="13"/>
        <v>3.8580694614846855E-3</v>
      </c>
      <c r="G60" s="5">
        <f t="shared" si="14"/>
        <v>1.5478405363521611E-2</v>
      </c>
      <c r="H60" s="5">
        <f t="shared" si="15"/>
        <v>1.5743086095237831E-2</v>
      </c>
    </row>
    <row r="61" spans="2:8" x14ac:dyDescent="0.25">
      <c r="B61" s="2">
        <v>0.52</v>
      </c>
      <c r="C61" s="10">
        <f t="shared" si="8"/>
        <v>0.90929577797990402</v>
      </c>
      <c r="D61" s="10">
        <f t="shared" si="9"/>
        <v>0.41256762635585359</v>
      </c>
      <c r="E61" s="5">
        <f t="shared" si="12"/>
        <v>3.8908699444925787E-3</v>
      </c>
      <c r="F61" s="5">
        <f t="shared" si="13"/>
        <v>3.4123542109588635E-3</v>
      </c>
      <c r="G61" s="5">
        <f t="shared" si="14"/>
        <v>1.5548957803456359E-2</v>
      </c>
      <c r="H61" s="5">
        <f t="shared" si="15"/>
        <v>1.5814844981895462E-2</v>
      </c>
    </row>
    <row r="62" spans="2:8" x14ac:dyDescent="0.25">
      <c r="B62" s="2">
        <v>0.53</v>
      </c>
      <c r="C62" s="10">
        <f t="shared" si="8"/>
        <v>0.9129473900576297</v>
      </c>
      <c r="D62" s="10">
        <f t="shared" si="9"/>
        <v>0.42824952774852948</v>
      </c>
      <c r="E62" s="5">
        <f t="shared" si="12"/>
        <v>3.4419009180729175E-3</v>
      </c>
      <c r="F62" s="5">
        <f t="shared" si="13"/>
        <v>3.0153135299887525E-3</v>
      </c>
      <c r="G62" s="5">
        <f t="shared" si="14"/>
        <v>1.5611400369985469E-2</v>
      </c>
      <c r="H62" s="5">
        <f t="shared" si="15"/>
        <v>1.587835531631222E-2</v>
      </c>
    </row>
    <row r="63" spans="2:8" x14ac:dyDescent="0.25">
      <c r="B63" s="2">
        <v>0.54</v>
      </c>
      <c r="C63" s="10">
        <f t="shared" si="8"/>
        <v>0.91617599728166055</v>
      </c>
      <c r="D63" s="10">
        <f t="shared" si="9"/>
        <v>0.4439944055916783</v>
      </c>
      <c r="E63" s="5">
        <f t="shared" si="12"/>
        <v>3.0418450084178164E-3</v>
      </c>
      <c r="F63" s="5">
        <f t="shared" si="13"/>
        <v>2.6622726085534687E-3</v>
      </c>
      <c r="G63" s="5">
        <f t="shared" si="14"/>
        <v>1.5666609553516397E-2</v>
      </c>
      <c r="H63" s="5">
        <f t="shared" si="15"/>
        <v>1.5934508576881525E-2</v>
      </c>
    </row>
    <row r="64" spans="2:8" x14ac:dyDescent="0.25">
      <c r="B64" s="2">
        <v>0.55000000000000004</v>
      </c>
      <c r="C64" s="10">
        <f t="shared" si="8"/>
        <v>0.91902805609014615</v>
      </c>
      <c r="D64" s="10">
        <f t="shared" si="9"/>
        <v>0.45979496465687725</v>
      </c>
      <c r="E64" s="5">
        <f t="shared" si="12"/>
        <v>2.6860302495228441E-3</v>
      </c>
      <c r="F64" s="5">
        <f t="shared" si="13"/>
        <v>2.3488556707485665E-3</v>
      </c>
      <c r="G64" s="5">
        <f t="shared" si="14"/>
        <v>1.5715379759141501E-2</v>
      </c>
      <c r="H64" s="5">
        <f t="shared" si="15"/>
        <v>1.5984112753022819E-2</v>
      </c>
    </row>
    <row r="65" spans="2:8" x14ac:dyDescent="0.25">
      <c r="B65" s="2">
        <v>0.56000000000000005</v>
      </c>
      <c r="C65" s="10">
        <f t="shared" si="8"/>
        <v>0.92154549905028182</v>
      </c>
      <c r="D65" s="10">
        <f t="shared" si="9"/>
        <v>0.4756447109129594</v>
      </c>
      <c r="E65" s="5">
        <f t="shared" si="12"/>
        <v>2.3700774038867855E-3</v>
      </c>
      <c r="F65" s="5">
        <f t="shared" si="13"/>
        <v>2.0710054023921564E-3</v>
      </c>
      <c r="G65" s="5">
        <f t="shared" si="14"/>
        <v>1.5758428033759819E-2</v>
      </c>
      <c r="H65" s="5">
        <f t="shared" si="15"/>
        <v>1.6027897153137113E-2</v>
      </c>
    </row>
    <row r="66" spans="2:8" x14ac:dyDescent="0.25">
      <c r="B66" s="2">
        <v>0.56999999999999995</v>
      </c>
      <c r="C66" s="10">
        <f t="shared" si="8"/>
        <v>0.92376604045342126</v>
      </c>
      <c r="D66" s="10">
        <f t="shared" si="9"/>
        <v>0.49153787350640787</v>
      </c>
      <c r="E66" s="5">
        <f t="shared" si="12"/>
        <v>2.0899211165854581E-3</v>
      </c>
      <c r="F66" s="5">
        <f t="shared" si="13"/>
        <v>1.8249891930234696E-3</v>
      </c>
      <c r="G66" s="5">
        <f t="shared" si="14"/>
        <v>1.5796399291753502E-2</v>
      </c>
      <c r="H66" s="5">
        <f t="shared" si="15"/>
        <v>1.6066517719642487E-2</v>
      </c>
    </row>
    <row r="67" spans="2:8" x14ac:dyDescent="0.25">
      <c r="B67" s="2">
        <v>0.57999999999999996</v>
      </c>
      <c r="C67" s="10">
        <f t="shared" si="8"/>
        <v>0.92572349560822575</v>
      </c>
      <c r="D67" s="10">
        <f t="shared" si="9"/>
        <v>0.50746933201210587</v>
      </c>
      <c r="E67" s="5">
        <f t="shared" si="12"/>
        <v>1.8418175714161045E-3</v>
      </c>
      <c r="F67" s="5">
        <f t="shared" si="13"/>
        <v>1.607395666915874E-3</v>
      </c>
      <c r="G67" s="5">
        <f t="shared" si="14"/>
        <v>1.582987177490066E-2</v>
      </c>
      <c r="H67" s="5">
        <f t="shared" si="15"/>
        <v>1.6100562582251461E-2</v>
      </c>
    </row>
    <row r="68" spans="2:8" x14ac:dyDescent="0.25">
      <c r="B68" s="2">
        <v>0.59</v>
      </c>
      <c r="C68" s="10">
        <f t="shared" si="8"/>
        <v>0.92744810222739171</v>
      </c>
      <c r="D68" s="10">
        <f t="shared" si="9"/>
        <v>0.52343454919068189</v>
      </c>
      <c r="E68" s="5">
        <f t="shared" si="12"/>
        <v>1.6223421528521876E-3</v>
      </c>
      <c r="F68" s="5">
        <f t="shared" si="13"/>
        <v>1.4151243081327891E-3</v>
      </c>
      <c r="G68" s="5">
        <f t="shared" si="14"/>
        <v>1.5859362548088399E-2</v>
      </c>
      <c r="H68" s="5">
        <f t="shared" si="15"/>
        <v>1.613055764766071E-2</v>
      </c>
    </row>
    <row r="69" spans="2:8" x14ac:dyDescent="0.25">
      <c r="B69" s="2">
        <v>0.6</v>
      </c>
      <c r="C69" s="10">
        <f t="shared" si="8"/>
        <v>0.92896683545788417</v>
      </c>
      <c r="D69" s="10">
        <f t="shared" si="9"/>
        <v>0.53942950928855649</v>
      </c>
      <c r="E69" s="5">
        <f t="shared" si="12"/>
        <v>1.4283799547027342E-3</v>
      </c>
      <c r="F69" s="5">
        <f t="shared" si="13"/>
        <v>1.2453704009584145E-3</v>
      </c>
      <c r="G69" s="5">
        <f t="shared" si="14"/>
        <v>1.5885332886329821E-2</v>
      </c>
      <c r="H69" s="5">
        <f t="shared" si="15"/>
        <v>1.615697207868606E-2</v>
      </c>
    </row>
    <row r="70" spans="2:8" x14ac:dyDescent="0.25">
      <c r="B70" s="2">
        <v>0.61</v>
      </c>
      <c r="C70" s="10">
        <f t="shared" si="8"/>
        <v>0.93030371063571471</v>
      </c>
      <c r="D70" s="10">
        <f t="shared" si="9"/>
        <v>0.55545066177106439</v>
      </c>
      <c r="E70" s="5">
        <f t="shared" si="12"/>
        <v>1.2571113943872093E-3</v>
      </c>
      <c r="F70" s="5">
        <f t="shared" si="13"/>
        <v>1.0956070119823736E-3</v>
      </c>
      <c r="G70" s="5">
        <f t="shared" si="14"/>
        <v>1.5908193451870722E-2</v>
      </c>
      <c r="H70" s="5">
        <f t="shared" si="15"/>
        <v>1.6180223559897712E-2</v>
      </c>
    </row>
    <row r="71" spans="2:8" x14ac:dyDescent="0.25">
      <c r="B71" s="2">
        <v>0.62</v>
      </c>
      <c r="C71" s="10">
        <f t="shared" si="8"/>
        <v>0.93148006983889953</v>
      </c>
      <c r="D71" s="10">
        <f t="shared" si="9"/>
        <v>0.57149487027694856</v>
      </c>
      <c r="E71" s="5">
        <f t="shared" si="12"/>
        <v>1.1059946952494037E-3</v>
      </c>
      <c r="F71" s="5">
        <f t="shared" si="13"/>
        <v>9.6356532951475066E-4</v>
      </c>
      <c r="G71" s="5">
        <f t="shared" si="14"/>
        <v>1.5928309194245184E-2</v>
      </c>
      <c r="H71" s="5">
        <f t="shared" si="15"/>
        <v>1.6200683281466774E-2</v>
      </c>
    </row>
    <row r="72" spans="2:8" x14ac:dyDescent="0.25">
      <c r="B72" s="2">
        <v>0.63</v>
      </c>
      <c r="C72" s="10">
        <f t="shared" si="8"/>
        <v>0.93251484985128164</v>
      </c>
      <c r="D72" s="10">
        <f t="shared" si="9"/>
        <v>0.58755936651480456</v>
      </c>
      <c r="E72" s="5">
        <f t="shared" si="12"/>
        <v>9.7274658551391722E-4</v>
      </c>
      <c r="F72" s="5">
        <f t="shared" si="13"/>
        <v>8.4721434186246119E-4</v>
      </c>
      <c r="G72" s="5">
        <f t="shared" si="14"/>
        <v>1.5946003932456917E-2</v>
      </c>
      <c r="H72" s="5">
        <f t="shared" si="15"/>
        <v>1.621868059970193E-2</v>
      </c>
    </row>
    <row r="73" spans="2:8" x14ac:dyDescent="0.25">
      <c r="B73" s="2">
        <v>0.64</v>
      </c>
      <c r="C73" s="10">
        <f t="shared" si="8"/>
        <v>0.93342483031496981</v>
      </c>
      <c r="D73" s="10">
        <f t="shared" si="9"/>
        <v>0.60364170878088397</v>
      </c>
      <c r="E73" s="5">
        <f t="shared" ref="E73:E109" si="16">h_1*((b_1*C73)-(b_1/b_2)*C73^2)</f>
        <v>8.5532222428502897E-4</v>
      </c>
      <c r="F73" s="5">
        <f t="shared" ref="F73:F104" si="17">h_1*(b_1*(C73+E73)-(b_1/b_2)*(C73+E73)^2)</f>
        <v>7.4474056863246926E-4</v>
      </c>
      <c r="G73" s="5">
        <f t="shared" ref="G73:G109" si="18">h_1*b_3*C73</f>
        <v>1.5961564598385984E-2</v>
      </c>
      <c r="H73" s="5">
        <f t="shared" ref="H73:H104" si="19">h_1*b_3*(C73+G73)</f>
        <v>1.6234507353018384E-2</v>
      </c>
    </row>
    <row r="74" spans="2:8" x14ac:dyDescent="0.25">
      <c r="B74" s="2">
        <v>0.65</v>
      </c>
      <c r="C74" s="10">
        <f t="shared" si="8"/>
        <v>0.9342248617114286</v>
      </c>
      <c r="D74" s="10">
        <f t="shared" si="9"/>
        <v>0.61973974475658611</v>
      </c>
      <c r="E74" s="5">
        <f t="shared" si="16"/>
        <v>7.5189509334006033E-4</v>
      </c>
      <c r="F74" s="5">
        <f t="shared" si="17"/>
        <v>6.5452834861998708E-4</v>
      </c>
      <c r="G74" s="5">
        <f t="shared" si="18"/>
        <v>1.597524513526543E-2</v>
      </c>
      <c r="H74" s="5">
        <f t="shared" si="19"/>
        <v>1.6248421827078467E-2</v>
      </c>
    </row>
    <row r="75" spans="2:8" x14ac:dyDescent="0.25">
      <c r="B75" s="2">
        <v>0.66</v>
      </c>
      <c r="C75" s="10">
        <f t="shared" ref="C75:C109" si="20">C74+(1/2)*(E74+F74)</f>
        <v>0.93492807343240858</v>
      </c>
      <c r="D75" s="10">
        <f t="shared" ref="D75:D109" si="21">D74+(1/2)*(G74+H74)</f>
        <v>0.63585157823775806</v>
      </c>
      <c r="E75" s="5">
        <f t="shared" si="16"/>
        <v>6.6083737873423587E-4</v>
      </c>
      <c r="F75" s="5">
        <f t="shared" si="17"/>
        <v>5.7514102445729517E-4</v>
      </c>
      <c r="G75" s="5">
        <f t="shared" si="18"/>
        <v>1.5987270055694187E-2</v>
      </c>
      <c r="H75" s="5">
        <f t="shared" si="19"/>
        <v>1.6260652373646559E-2</v>
      </c>
    </row>
    <row r="76" spans="2:8" x14ac:dyDescent="0.25">
      <c r="B76" s="2">
        <v>0.67</v>
      </c>
      <c r="C76" s="10">
        <f t="shared" si="20"/>
        <v>0.93554606263400431</v>
      </c>
      <c r="D76" s="10">
        <f t="shared" si="21"/>
        <v>0.65197553945242848</v>
      </c>
      <c r="E76" s="5">
        <f t="shared" si="16"/>
        <v>5.8070119908808953E-4</v>
      </c>
      <c r="F76" s="5">
        <f t="shared" si="17"/>
        <v>5.0530323940636281E-4</v>
      </c>
      <c r="G76" s="5">
        <f t="shared" si="18"/>
        <v>1.5997837671041473E-2</v>
      </c>
      <c r="H76" s="5">
        <f t="shared" si="19"/>
        <v>1.6271400695216282E-2</v>
      </c>
    </row>
    <row r="77" spans="2:8" x14ac:dyDescent="0.25">
      <c r="B77" s="2">
        <v>0.68</v>
      </c>
      <c r="C77" s="10">
        <f t="shared" si="20"/>
        <v>0.9360890648532515</v>
      </c>
      <c r="D77" s="10">
        <f t="shared" si="21"/>
        <v>0.66811015863555734</v>
      </c>
      <c r="E77" s="5">
        <f t="shared" si="16"/>
        <v>5.1020090933297626E-4</v>
      </c>
      <c r="F77" s="5">
        <f t="shared" si="17"/>
        <v>4.438844679425813E-4</v>
      </c>
      <c r="G77" s="5">
        <f t="shared" si="18"/>
        <v>1.6007123008990602E-2</v>
      </c>
      <c r="H77" s="5">
        <f t="shared" si="19"/>
        <v>1.628084481244434E-2</v>
      </c>
    </row>
    <row r="78" spans="2:8" x14ac:dyDescent="0.25">
      <c r="B78" s="2">
        <v>0.69</v>
      </c>
      <c r="C78" s="10">
        <f t="shared" si="20"/>
        <v>0.93656610754188929</v>
      </c>
      <c r="D78" s="10">
        <f t="shared" si="21"/>
        <v>0.68425414254627481</v>
      </c>
      <c r="E78" s="5">
        <f t="shared" si="16"/>
        <v>4.4819661213884031E-4</v>
      </c>
      <c r="F78" s="5">
        <f t="shared" si="17"/>
        <v>3.8988383269606075E-4</v>
      </c>
      <c r="G78" s="5">
        <f t="shared" si="18"/>
        <v>1.6015280438966308E-2</v>
      </c>
      <c r="H78" s="5">
        <f t="shared" si="19"/>
        <v>1.6289141734472632E-2</v>
      </c>
    </row>
    <row r="79" spans="2:8" x14ac:dyDescent="0.25">
      <c r="B79" s="2">
        <v>0.7</v>
      </c>
      <c r="C79" s="10">
        <f t="shared" si="20"/>
        <v>0.93698514776430675</v>
      </c>
      <c r="D79" s="10">
        <f t="shared" si="21"/>
        <v>0.70040635363299431</v>
      </c>
      <c r="E79" s="5">
        <f t="shared" si="16"/>
        <v>3.9367893781793839E-4</v>
      </c>
      <c r="F79" s="5">
        <f t="shared" si="17"/>
        <v>3.4241621055471685E-4</v>
      </c>
      <c r="G79" s="5">
        <f t="shared" si="18"/>
        <v>1.6022446026769645E-2</v>
      </c>
      <c r="H79" s="5">
        <f t="shared" si="19"/>
        <v>1.6296429853827406E-2</v>
      </c>
    </row>
    <row r="80" spans="2:8" x14ac:dyDescent="0.25">
      <c r="B80" s="2">
        <v>0.71</v>
      </c>
      <c r="C80" s="10">
        <f t="shared" si="20"/>
        <v>0.93735319533849304</v>
      </c>
      <c r="D80" s="10">
        <f t="shared" si="21"/>
        <v>0.71656579157329281</v>
      </c>
      <c r="E80" s="5">
        <f t="shared" si="16"/>
        <v>3.4575510181269922E-4</v>
      </c>
      <c r="F80" s="5">
        <f t="shared" si="17"/>
        <v>3.0069959592740505E-4</v>
      </c>
      <c r="G80" s="5">
        <f t="shared" si="18"/>
        <v>1.6028739640288232E-2</v>
      </c>
      <c r="H80" s="5">
        <f t="shared" si="19"/>
        <v>1.6302831088137161E-2</v>
      </c>
    </row>
    <row r="81" spans="2:8" x14ac:dyDescent="0.25">
      <c r="B81" s="2">
        <v>0.72</v>
      </c>
      <c r="C81" s="10">
        <f t="shared" si="20"/>
        <v>0.93767642268736306</v>
      </c>
      <c r="D81" s="10">
        <f t="shared" si="21"/>
        <v>0.73273157693750546</v>
      </c>
      <c r="E81" s="5">
        <f t="shared" si="16"/>
        <v>3.0363621251911611E-4</v>
      </c>
      <c r="F81" s="5">
        <f t="shared" si="17"/>
        <v>2.6404366578745451E-4</v>
      </c>
      <c r="G81" s="5">
        <f t="shared" si="18"/>
        <v>1.6034266827953909E-2</v>
      </c>
      <c r="H81" s="5">
        <f t="shared" si="19"/>
        <v>1.6308452790711921E-2</v>
      </c>
    </row>
    <row r="82" spans="2:8" x14ac:dyDescent="0.25">
      <c r="B82" s="2">
        <v>0.73</v>
      </c>
      <c r="C82" s="10">
        <f t="shared" si="20"/>
        <v>0.93796026262651633</v>
      </c>
      <c r="D82" s="10">
        <f t="shared" si="21"/>
        <v>0.74890293674683839</v>
      </c>
      <c r="E82" s="5">
        <f t="shared" si="16"/>
        <v>2.6662577758548525E-4</v>
      </c>
      <c r="F82" s="5">
        <f t="shared" si="17"/>
        <v>2.3183947636070456E-4</v>
      </c>
      <c r="G82" s="5">
        <f t="shared" si="18"/>
        <v>1.6039120490913428E-2</v>
      </c>
      <c r="H82" s="5">
        <f t="shared" si="19"/>
        <v>1.6313389451308048E-2</v>
      </c>
    </row>
    <row r="83" spans="2:8" x14ac:dyDescent="0.25">
      <c r="B83" s="2">
        <v>0.74</v>
      </c>
      <c r="C83" s="10">
        <f t="shared" si="20"/>
        <v>0.9382094952534894</v>
      </c>
      <c r="D83" s="10">
        <f t="shared" si="21"/>
        <v>0.76507919171794914</v>
      </c>
      <c r="E83" s="5">
        <f t="shared" si="16"/>
        <v>2.3410934110202676E-4</v>
      </c>
      <c r="F83" s="5">
        <f t="shared" si="17"/>
        <v>2.0355021296788678E-4</v>
      </c>
      <c r="G83" s="5">
        <f t="shared" si="18"/>
        <v>1.604338236883467E-2</v>
      </c>
      <c r="H83" s="5">
        <f t="shared" si="19"/>
        <v>1.631772420734174E-2</v>
      </c>
    </row>
    <row r="84" spans="2:8" x14ac:dyDescent="0.25">
      <c r="B84" s="2">
        <v>0.75</v>
      </c>
      <c r="C84" s="10">
        <f t="shared" si="20"/>
        <v>0.93842832503052431</v>
      </c>
      <c r="D84" s="10">
        <f t="shared" si="21"/>
        <v>0.78125974500603734</v>
      </c>
      <c r="E84" s="5">
        <f t="shared" si="16"/>
        <v>2.055451749912507E-4</v>
      </c>
      <c r="F84" s="5">
        <f t="shared" si="17"/>
        <v>1.7870291085337443E-4</v>
      </c>
      <c r="G84" s="5">
        <f t="shared" si="18"/>
        <v>1.6047124358021966E-2</v>
      </c>
      <c r="H84" s="5">
        <f t="shared" si="19"/>
        <v>1.6321530184544141E-2</v>
      </c>
    </row>
    <row r="85" spans="2:8" x14ac:dyDescent="0.25">
      <c r="B85" s="2">
        <v>0.76</v>
      </c>
      <c r="C85" s="10">
        <f t="shared" si="20"/>
        <v>0.93862044907344666</v>
      </c>
      <c r="D85" s="10">
        <f t="shared" si="21"/>
        <v>0.79744407227732039</v>
      </c>
      <c r="E85" s="5">
        <f t="shared" si="16"/>
        <v>1.8045594365567296E-4</v>
      </c>
      <c r="F85" s="5">
        <f t="shared" si="17"/>
        <v>1.568810644937102E-4</v>
      </c>
      <c r="G85" s="5">
        <f t="shared" si="18"/>
        <v>1.6050409679155938E-2</v>
      </c>
      <c r="H85" s="5">
        <f t="shared" si="19"/>
        <v>1.6324871684669506E-2</v>
      </c>
    </row>
    <row r="86" spans="2:8" x14ac:dyDescent="0.25">
      <c r="B86" s="2">
        <v>0.77</v>
      </c>
      <c r="C86" s="10">
        <f t="shared" si="20"/>
        <v>0.93878911757752137</v>
      </c>
      <c r="D86" s="10">
        <f t="shared" si="21"/>
        <v>0.81363171295923309</v>
      </c>
      <c r="E86" s="5">
        <f t="shared" si="16"/>
        <v>1.5842126016641701E-4</v>
      </c>
      <c r="F86" s="5">
        <f t="shared" si="17"/>
        <v>1.3771804485941176E-4</v>
      </c>
      <c r="G86" s="5">
        <f t="shared" si="18"/>
        <v>1.6053293910575615E-2</v>
      </c>
      <c r="H86" s="5">
        <f t="shared" si="19"/>
        <v>1.632780523644646E-2</v>
      </c>
    </row>
    <row r="87" spans="2:8" x14ac:dyDescent="0.25">
      <c r="B87" s="2">
        <v>0.78</v>
      </c>
      <c r="C87" s="10">
        <f t="shared" si="20"/>
        <v>0.93893718723003428</v>
      </c>
      <c r="D87" s="10">
        <f t="shared" si="21"/>
        <v>0.82982226253274416</v>
      </c>
      <c r="E87" s="5">
        <f t="shared" si="16"/>
        <v>1.3907105393048624E-4</v>
      </c>
      <c r="F87" s="5">
        <f t="shared" si="17"/>
        <v>1.2089124763326354E-4</v>
      </c>
      <c r="G87" s="5">
        <f t="shared" si="18"/>
        <v>1.6055825901633586E-2</v>
      </c>
      <c r="H87" s="5">
        <f t="shared" si="19"/>
        <v>1.6330380524551522E-2</v>
      </c>
    </row>
    <row r="88" spans="2:8" x14ac:dyDescent="0.25">
      <c r="B88" s="2">
        <v>0.79</v>
      </c>
      <c r="C88" s="10">
        <f t="shared" si="20"/>
        <v>0.93906716838081616</v>
      </c>
      <c r="D88" s="10">
        <f t="shared" si="21"/>
        <v>0.84601536574583669</v>
      </c>
      <c r="E88" s="5">
        <f t="shared" si="16"/>
        <v>1.2207967306764544E-4</v>
      </c>
      <c r="F88" s="5">
        <f t="shared" si="17"/>
        <v>1.0611689988580864E-4</v>
      </c>
      <c r="G88" s="5">
        <f t="shared" si="18"/>
        <v>1.6058048579311958E-2</v>
      </c>
      <c r="H88" s="5">
        <f t="shared" si="19"/>
        <v>1.6332641210018192E-2</v>
      </c>
    </row>
    <row r="89" spans="2:8" x14ac:dyDescent="0.25">
      <c r="B89" s="2">
        <v>0.8</v>
      </c>
      <c r="C89" s="10">
        <f t="shared" si="20"/>
        <v>0.93918126666729285</v>
      </c>
      <c r="D89" s="10">
        <f t="shared" si="21"/>
        <v>0.86221071064050181</v>
      </c>
      <c r="E89" s="5">
        <f t="shared" si="16"/>
        <v>1.0716064905338386E-4</v>
      </c>
      <c r="F89" s="5">
        <f t="shared" si="17"/>
        <v>9.3145457755863247E-5</v>
      </c>
      <c r="G89" s="5">
        <f t="shared" si="18"/>
        <v>1.6059999660010708E-2</v>
      </c>
      <c r="H89" s="5">
        <f t="shared" si="19"/>
        <v>1.6334625654196893E-2</v>
      </c>
    </row>
    <row r="90" spans="2:8" x14ac:dyDescent="0.25">
      <c r="B90" s="2">
        <v>0.81</v>
      </c>
      <c r="C90" s="10">
        <f t="shared" si="20"/>
        <v>0.93928141972069745</v>
      </c>
      <c r="D90" s="10">
        <f t="shared" si="21"/>
        <v>0.87840802329760559</v>
      </c>
      <c r="E90" s="5">
        <f t="shared" si="16"/>
        <v>9.4062056112118595E-5</v>
      </c>
      <c r="F90" s="5">
        <f t="shared" si="17"/>
        <v>8.1757532967241531E-5</v>
      </c>
      <c r="G90" s="5">
        <f t="shared" si="18"/>
        <v>1.6061712277223927E-2</v>
      </c>
      <c r="H90" s="5">
        <f t="shared" si="19"/>
        <v>1.6336367557164458E-2</v>
      </c>
    </row>
    <row r="91" spans="2:8" x14ac:dyDescent="0.25">
      <c r="B91" s="2">
        <v>0.82</v>
      </c>
      <c r="C91" s="10">
        <f t="shared" si="20"/>
        <v>0.93936932951523711</v>
      </c>
      <c r="D91" s="10">
        <f t="shared" si="21"/>
        <v>0.89460706321479977</v>
      </c>
      <c r="E91" s="5">
        <f t="shared" si="16"/>
        <v>8.2562403047443673E-5</v>
      </c>
      <c r="F91" s="5">
        <f t="shared" si="17"/>
        <v>7.1760291318039289E-5</v>
      </c>
      <c r="G91" s="5">
        <f t="shared" si="18"/>
        <v>1.6063215534710556E-2</v>
      </c>
      <c r="H91" s="5">
        <f t="shared" si="19"/>
        <v>1.6337896520354105E-2</v>
      </c>
    </row>
    <row r="92" spans="2:8" x14ac:dyDescent="0.25">
      <c r="B92" s="2">
        <v>0.83</v>
      </c>
      <c r="C92" s="10">
        <f t="shared" si="20"/>
        <v>0.93944649086241983</v>
      </c>
      <c r="D92" s="10">
        <f t="shared" si="21"/>
        <v>0.91080761924233211</v>
      </c>
      <c r="E92" s="5">
        <f t="shared" si="16"/>
        <v>7.2467000448668279E-5</v>
      </c>
      <c r="F92" s="5">
        <f t="shared" si="17"/>
        <v>6.2984271452037882E-5</v>
      </c>
      <c r="G92" s="5">
        <f t="shared" si="18"/>
        <v>1.6064534993747378E-2</v>
      </c>
      <c r="H92" s="5">
        <f t="shared" si="19"/>
        <v>1.633923854214046E-2</v>
      </c>
    </row>
    <row r="93" spans="2:8" x14ac:dyDescent="0.25">
      <c r="B93" s="2">
        <v>0.84</v>
      </c>
      <c r="C93" s="10">
        <f t="shared" si="20"/>
        <v>0.93951421649837019</v>
      </c>
      <c r="D93" s="10">
        <f t="shared" si="21"/>
        <v>0.92700950601027599</v>
      </c>
      <c r="E93" s="5">
        <f t="shared" si="16"/>
        <v>6.3604751357146933E-5</v>
      </c>
      <c r="F93" s="5">
        <f t="shared" si="17"/>
        <v>5.5280577167078351E-5</v>
      </c>
      <c r="G93" s="5">
        <f t="shared" si="18"/>
        <v>1.6065693102122129E-2</v>
      </c>
      <c r="H93" s="5">
        <f t="shared" si="19"/>
        <v>1.6340416454168418E-2</v>
      </c>
    </row>
    <row r="94" spans="2:8" x14ac:dyDescent="0.25">
      <c r="B94" s="2">
        <v>0.85</v>
      </c>
      <c r="C94" s="10">
        <f t="shared" si="20"/>
        <v>0.93957365916263236</v>
      </c>
      <c r="D94" s="10">
        <f t="shared" si="21"/>
        <v>0.94321256078842131</v>
      </c>
      <c r="E94" s="5">
        <f t="shared" si="16"/>
        <v>5.5825318404991719E-5</v>
      </c>
      <c r="F94" s="5">
        <f t="shared" si="17"/>
        <v>4.8518401165793535E-5</v>
      </c>
      <c r="G94" s="5">
        <f t="shared" si="18"/>
        <v>1.6066709571681013E-2</v>
      </c>
      <c r="H94" s="5">
        <f t="shared" si="19"/>
        <v>1.6341450305356758E-2</v>
      </c>
    </row>
    <row r="95" spans="2:8" x14ac:dyDescent="0.25">
      <c r="B95" s="2">
        <v>0.86</v>
      </c>
      <c r="C95" s="10">
        <f t="shared" si="20"/>
        <v>0.9396258310224177</v>
      </c>
      <c r="D95" s="10">
        <f t="shared" si="21"/>
        <v>0.95941664072694022</v>
      </c>
      <c r="E95" s="5">
        <f t="shared" si="16"/>
        <v>4.8996625087180947E-5</v>
      </c>
      <c r="F95" s="5">
        <f t="shared" si="17"/>
        <v>4.2582842480349826E-5</v>
      </c>
      <c r="G95" s="5">
        <f t="shared" si="18"/>
        <v>1.6067601710483343E-2</v>
      </c>
      <c r="H95" s="5">
        <f t="shared" si="19"/>
        <v>1.634235769973261E-2</v>
      </c>
    </row>
    <row r="96" spans="2:8" x14ac:dyDescent="0.25">
      <c r="B96" s="2">
        <v>0.87</v>
      </c>
      <c r="C96" s="10">
        <f t="shared" si="20"/>
        <v>0.93967162075620148</v>
      </c>
      <c r="D96" s="10">
        <f t="shared" si="21"/>
        <v>0.97562162043204814</v>
      </c>
      <c r="E96" s="5">
        <f t="shared" si="16"/>
        <v>4.3002653157238059E-5</v>
      </c>
      <c r="F96" s="5">
        <f t="shared" si="17"/>
        <v>3.7372983785051165E-5</v>
      </c>
      <c r="G96" s="5">
        <f t="shared" si="18"/>
        <v>1.6068384714931046E-2</v>
      </c>
      <c r="H96" s="5">
        <f t="shared" si="19"/>
        <v>1.6343154093556366E-2</v>
      </c>
    </row>
    <row r="97" spans="2:8" x14ac:dyDescent="0.25">
      <c r="B97" s="2">
        <v>0.88</v>
      </c>
      <c r="C97" s="10">
        <f t="shared" si="20"/>
        <v>0.93971180857467262</v>
      </c>
      <c r="D97" s="10">
        <f t="shared" si="21"/>
        <v>0.99182738983629182</v>
      </c>
      <c r="E97" s="5">
        <f t="shared" si="16"/>
        <v>3.7741502129584606E-5</v>
      </c>
      <c r="F97" s="5">
        <f t="shared" si="17"/>
        <v>3.280019845327331E-5</v>
      </c>
      <c r="G97" s="5">
        <f t="shared" si="18"/>
        <v>1.6069071926626901E-2</v>
      </c>
      <c r="H97" s="5">
        <f t="shared" si="19"/>
        <v>1.6343853056572221E-2</v>
      </c>
    </row>
    <row r="98" spans="2:8" x14ac:dyDescent="0.25">
      <c r="B98" s="2">
        <v>0.89</v>
      </c>
      <c r="C98" s="10">
        <f t="shared" si="20"/>
        <v>0.93974707942496405</v>
      </c>
      <c r="D98" s="10">
        <f t="shared" si="21"/>
        <v>1.0080338523278913</v>
      </c>
      <c r="E98" s="5">
        <f t="shared" si="16"/>
        <v>3.3123680526436772E-5</v>
      </c>
      <c r="F98" s="5">
        <f t="shared" si="17"/>
        <v>2.878666052287926E-5</v>
      </c>
      <c r="G98" s="5">
        <f t="shared" si="18"/>
        <v>1.6069675058166887E-2</v>
      </c>
      <c r="H98" s="5">
        <f t="shared" si="19"/>
        <v>1.6344466501661541E-2</v>
      </c>
    </row>
    <row r="99" spans="2:8" x14ac:dyDescent="0.25">
      <c r="B99" s="2">
        <v>0.9</v>
      </c>
      <c r="C99" s="10">
        <f t="shared" si="20"/>
        <v>0.9397780345954887</v>
      </c>
      <c r="D99" s="10">
        <f t="shared" si="21"/>
        <v>1.0242409231078056</v>
      </c>
      <c r="E99" s="5">
        <f t="shared" si="16"/>
        <v>2.9070601829346288E-5</v>
      </c>
      <c r="F99" s="5">
        <f t="shared" si="17"/>
        <v>2.5264033724692327E-5</v>
      </c>
      <c r="G99" s="5">
        <f t="shared" si="18"/>
        <v>1.6070204391582858E-2</v>
      </c>
      <c r="H99" s="5">
        <f t="shared" si="19"/>
        <v>1.6345004886678925E-2</v>
      </c>
    </row>
    <row r="100" spans="2:8" x14ac:dyDescent="0.25">
      <c r="B100" s="2">
        <v>0.91</v>
      </c>
      <c r="C100" s="10">
        <f t="shared" si="20"/>
        <v>0.93980520191326566</v>
      </c>
      <c r="D100" s="10">
        <f t="shared" si="21"/>
        <v>1.0404485277469364</v>
      </c>
      <c r="E100" s="5">
        <f t="shared" si="16"/>
        <v>2.5513261101988149E-5</v>
      </c>
      <c r="F100" s="5">
        <f t="shared" si="17"/>
        <v>2.2172318420441429E-5</v>
      </c>
      <c r="G100" s="5">
        <f t="shared" si="18"/>
        <v>1.6070668952716843E-2</v>
      </c>
      <c r="H100" s="5">
        <f t="shared" si="19"/>
        <v>1.6345477391808302E-2</v>
      </c>
    </row>
    <row r="101" spans="2:8" x14ac:dyDescent="0.25">
      <c r="B101" s="2">
        <v>0.92</v>
      </c>
      <c r="C101" s="10">
        <f t="shared" si="20"/>
        <v>0.93982904470302686</v>
      </c>
      <c r="D101" s="10">
        <f t="shared" si="21"/>
        <v>1.0566566009191989</v>
      </c>
      <c r="E101" s="5">
        <f t="shared" si="16"/>
        <v>2.2391070958285298E-5</v>
      </c>
      <c r="F101" s="5">
        <f t="shared" si="17"/>
        <v>1.9458837709915855E-5</v>
      </c>
      <c r="G101" s="5">
        <f t="shared" si="18"/>
        <v>1.6071076664421761E-2</v>
      </c>
      <c r="H101" s="5">
        <f t="shared" si="19"/>
        <v>1.634589207538337E-2</v>
      </c>
    </row>
    <row r="102" spans="2:8" x14ac:dyDescent="0.25">
      <c r="B102" s="2">
        <v>0.93</v>
      </c>
      <c r="C102" s="10">
        <f t="shared" si="20"/>
        <v>0.93984996965736101</v>
      </c>
      <c r="D102" s="10">
        <f t="shared" si="21"/>
        <v>1.0728650852891015</v>
      </c>
      <c r="E102" s="5">
        <f t="shared" si="16"/>
        <v>1.9650837978666403E-5</v>
      </c>
      <c r="F102" s="5">
        <f t="shared" si="17"/>
        <v>1.7077346126672665E-5</v>
      </c>
      <c r="G102" s="5">
        <f t="shared" si="18"/>
        <v>1.6071434481140873E-2</v>
      </c>
      <c r="H102" s="5">
        <f t="shared" si="19"/>
        <v>1.6346256010768383E-2</v>
      </c>
    </row>
    <row r="103" spans="2:8" x14ac:dyDescent="0.25">
      <c r="B103" s="2">
        <v>0.94</v>
      </c>
      <c r="C103" s="10">
        <f t="shared" si="20"/>
        <v>0.9398683337494137</v>
      </c>
      <c r="D103" s="10">
        <f t="shared" si="21"/>
        <v>1.0890739305350561</v>
      </c>
      <c r="E103" s="5">
        <f t="shared" si="16"/>
        <v>1.7245862852117709E-5</v>
      </c>
      <c r="F103" s="5">
        <f t="shared" si="17"/>
        <v>1.4987246266251475E-5</v>
      </c>
      <c r="G103" s="5">
        <f t="shared" si="18"/>
        <v>1.6071748507114975E-2</v>
      </c>
      <c r="H103" s="5">
        <f t="shared" si="19"/>
        <v>1.6346575406586641E-2</v>
      </c>
    </row>
    <row r="104" spans="2:8" x14ac:dyDescent="0.25">
      <c r="B104" s="2">
        <v>0.95</v>
      </c>
      <c r="C104" s="10">
        <f t="shared" si="20"/>
        <v>0.93988445030397283</v>
      </c>
      <c r="D104" s="10">
        <f t="shared" si="21"/>
        <v>1.1052830924919068</v>
      </c>
      <c r="E104" s="5">
        <f t="shared" si="16"/>
        <v>1.5135149459428732E-5</v>
      </c>
      <c r="F104" s="5">
        <f t="shared" si="17"/>
        <v>1.3152900405000168E-5</v>
      </c>
      <c r="G104" s="5">
        <f t="shared" si="18"/>
        <v>1.6072024100197937E-2</v>
      </c>
      <c r="H104" s="5">
        <f t="shared" si="19"/>
        <v>1.6346855712311321E-2</v>
      </c>
    </row>
    <row r="105" spans="2:8" x14ac:dyDescent="0.25">
      <c r="B105" s="2">
        <v>0.96</v>
      </c>
      <c r="C105" s="10">
        <f t="shared" si="20"/>
        <v>0.93989859432890499</v>
      </c>
      <c r="D105" s="10">
        <f t="shared" si="21"/>
        <v>1.1214925323981615</v>
      </c>
      <c r="E105" s="5">
        <f t="shared" si="16"/>
        <v>1.3282709841710982E-5</v>
      </c>
      <c r="F105" s="5">
        <f t="shared" ref="F105:F136" si="22">h_1*(b_1*(C105+E105)-(b_1/b_2)*(C105+E105)^2)</f>
        <v>1.1543025689100262E-5</v>
      </c>
      <c r="G105" s="5">
        <f t="shared" si="18"/>
        <v>1.6072265963024277E-2</v>
      </c>
      <c r="H105" s="5">
        <f t="shared" ref="H105:H136" si="23">h_1*b_3*(C105+G105)</f>
        <v>1.634710171099199E-2</v>
      </c>
    </row>
    <row r="106" spans="2:8" x14ac:dyDescent="0.25">
      <c r="B106" s="2">
        <v>0.97</v>
      </c>
      <c r="C106" s="10">
        <f t="shared" si="20"/>
        <v>0.93991100719667042</v>
      </c>
      <c r="D106" s="10">
        <f t="shared" si="21"/>
        <v>1.1377022162351695</v>
      </c>
      <c r="E106" s="5">
        <f t="shared" si="16"/>
        <v>1.1656953530643223E-5</v>
      </c>
      <c r="F106" s="5">
        <f t="shared" si="22"/>
        <v>1.0130162824477652E-5</v>
      </c>
      <c r="G106" s="5">
        <f t="shared" si="18"/>
        <v>1.6072478223063066E-2</v>
      </c>
      <c r="H106" s="5">
        <f t="shared" si="23"/>
        <v>1.6347317600677442E-2</v>
      </c>
    </row>
    <row r="107" spans="2:8" x14ac:dyDescent="0.25">
      <c r="B107" s="2">
        <v>0.98</v>
      </c>
      <c r="C107" s="10">
        <f t="shared" si="20"/>
        <v>0.93992190075484794</v>
      </c>
      <c r="D107" s="10">
        <f t="shared" si="21"/>
        <v>1.1539121141470399</v>
      </c>
      <c r="E107" s="5">
        <f t="shared" si="16"/>
        <v>1.0230151079309025E-5</v>
      </c>
      <c r="F107" s="5">
        <f t="shared" si="22"/>
        <v>8.8902093937193179E-6</v>
      </c>
      <c r="G107" s="5">
        <f t="shared" si="18"/>
        <v>1.60726645029079E-2</v>
      </c>
      <c r="H107" s="5">
        <f t="shared" si="23"/>
        <v>1.6347507065907624E-2</v>
      </c>
    </row>
    <row r="108" spans="2:8" x14ac:dyDescent="0.25">
      <c r="B108" s="2">
        <v>0.99</v>
      </c>
      <c r="C108" s="10">
        <f t="shared" si="20"/>
        <v>0.93993146093508451</v>
      </c>
      <c r="D108" s="10">
        <f t="shared" si="21"/>
        <v>1.1701221999314477</v>
      </c>
      <c r="E108" s="5">
        <f t="shared" si="16"/>
        <v>8.9779628379105249E-6</v>
      </c>
      <c r="F108" s="5">
        <f t="shared" si="22"/>
        <v>7.802009983048919E-6</v>
      </c>
      <c r="G108" s="5">
        <f t="shared" si="18"/>
        <v>1.6072827981989946E-2</v>
      </c>
      <c r="H108" s="5">
        <f t="shared" si="23"/>
        <v>1.6347673340481973E-2</v>
      </c>
    </row>
    <row r="109" spans="2:8" x14ac:dyDescent="0.25">
      <c r="B109" s="2">
        <v>1</v>
      </c>
      <c r="C109" s="10">
        <f t="shared" si="20"/>
        <v>0.93993985092149501</v>
      </c>
      <c r="D109" s="10">
        <f t="shared" si="21"/>
        <v>1.1863324505926838</v>
      </c>
      <c r="E109" s="5">
        <f t="shared" si="16"/>
        <v>7.8790250858062912E-6</v>
      </c>
      <c r="F109" s="5">
        <f t="shared" si="22"/>
        <v>6.8469962396378042E-6</v>
      </c>
      <c r="G109" s="5">
        <f t="shared" si="18"/>
        <v>1.6072971450757565E-2</v>
      </c>
      <c r="H109" s="5">
        <f t="shared" si="23"/>
        <v>1.6347819262565521E-2</v>
      </c>
    </row>
  </sheetData>
  <mergeCells count="6">
    <mergeCell ref="O7:P7"/>
    <mergeCell ref="B7:C7"/>
    <mergeCell ref="G7:H7"/>
    <mergeCell ref="E7:F7"/>
    <mergeCell ref="J7:K7"/>
    <mergeCell ref="M7:N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D22597-8AF1-42B0-A566-3703BD00F510}">
  <sheetPr codeName="Sheet3"/>
  <dimension ref="A1:F103"/>
  <sheetViews>
    <sheetView tabSelected="1" workbookViewId="0">
      <selection activeCell="N14" sqref="N14"/>
    </sheetView>
  </sheetViews>
  <sheetFormatPr defaultRowHeight="15" x14ac:dyDescent="0.25"/>
  <sheetData>
    <row r="1" spans="1:6" x14ac:dyDescent="0.25">
      <c r="A1" s="2">
        <v>2</v>
      </c>
      <c r="B1" s="6" t="s">
        <v>17</v>
      </c>
      <c r="C1" s="2">
        <v>0.01</v>
      </c>
      <c r="D1" s="6" t="s">
        <v>20</v>
      </c>
      <c r="E1" s="2">
        <v>1</v>
      </c>
      <c r="F1" s="6" t="s">
        <v>18</v>
      </c>
    </row>
    <row r="2" spans="1:6" x14ac:dyDescent="0.25">
      <c r="A2" s="16" t="s">
        <v>19</v>
      </c>
      <c r="B2" s="16" t="s">
        <v>8</v>
      </c>
      <c r="C2" s="16" t="s">
        <v>9</v>
      </c>
    </row>
    <row r="3" spans="1:6" x14ac:dyDescent="0.25">
      <c r="A3" s="2">
        <v>0</v>
      </c>
      <c r="B3" s="5">
        <v>0.03</v>
      </c>
      <c r="C3" s="5">
        <v>0</v>
      </c>
    </row>
    <row r="4" spans="1:6" x14ac:dyDescent="0.25">
      <c r="A4" s="2">
        <v>0.01</v>
      </c>
      <c r="B4" s="5">
        <v>3.3799999999999997E-2</v>
      </c>
      <c r="C4" s="5">
        <v>5.1000000000000004E-4</v>
      </c>
    </row>
    <row r="5" spans="1:6" x14ac:dyDescent="0.25">
      <c r="A5" s="2">
        <v>0.02</v>
      </c>
      <c r="B5" s="5">
        <v>3.807E-2</v>
      </c>
      <c r="C5" s="5">
        <v>1.09E-3</v>
      </c>
    </row>
    <row r="6" spans="1:6" x14ac:dyDescent="0.25">
      <c r="A6" s="2">
        <v>0.03</v>
      </c>
      <c r="B6" s="5">
        <v>4.2860000000000002E-2</v>
      </c>
      <c r="C6" s="5">
        <v>1.74E-3</v>
      </c>
    </row>
    <row r="7" spans="1:6" x14ac:dyDescent="0.25">
      <c r="A7" s="2">
        <v>0.04</v>
      </c>
      <c r="B7" s="5">
        <v>4.8219999999999999E-2</v>
      </c>
      <c r="C7" s="5">
        <v>2.48E-3</v>
      </c>
    </row>
    <row r="8" spans="1:6" x14ac:dyDescent="0.25">
      <c r="A8" s="2">
        <v>0.05</v>
      </c>
      <c r="B8" s="5">
        <v>5.4210000000000001E-2</v>
      </c>
      <c r="C8" s="5">
        <v>3.3E-3</v>
      </c>
    </row>
    <row r="9" spans="1:6" x14ac:dyDescent="0.25">
      <c r="A9" s="2">
        <v>6.0000000000000005E-2</v>
      </c>
      <c r="B9" s="5">
        <v>6.0900000000000003E-2</v>
      </c>
      <c r="C9" s="5">
        <v>4.2300000000000003E-3</v>
      </c>
    </row>
    <row r="10" spans="1:6" x14ac:dyDescent="0.25">
      <c r="A10" s="2">
        <v>7.0000000000000007E-2</v>
      </c>
      <c r="B10" s="5">
        <v>6.8360000000000004E-2</v>
      </c>
      <c r="C10" s="5">
        <v>5.2700000000000004E-3</v>
      </c>
    </row>
    <row r="11" spans="1:6" x14ac:dyDescent="0.25">
      <c r="A11" s="2">
        <v>0.08</v>
      </c>
      <c r="B11" s="5">
        <v>7.6670000000000002E-2</v>
      </c>
      <c r="C11" s="5">
        <v>6.4400000000000004E-3</v>
      </c>
    </row>
    <row r="12" spans="1:6" x14ac:dyDescent="0.25">
      <c r="A12" s="2">
        <v>0.09</v>
      </c>
      <c r="B12" s="5">
        <v>8.5889999999999994E-2</v>
      </c>
      <c r="C12" s="5">
        <v>7.7499999999999999E-3</v>
      </c>
    </row>
    <row r="13" spans="1:6" x14ac:dyDescent="0.25">
      <c r="A13" s="2">
        <v>9.9999999999999992E-2</v>
      </c>
      <c r="B13" s="5">
        <v>9.6119999999999997E-2</v>
      </c>
      <c r="C13" s="5">
        <v>9.2200000000000008E-3</v>
      </c>
    </row>
    <row r="14" spans="1:6" x14ac:dyDescent="0.25">
      <c r="A14" s="2">
        <v>0.10999999999999999</v>
      </c>
      <c r="B14" s="5">
        <v>0.10742</v>
      </c>
      <c r="C14" s="5">
        <v>1.086E-2</v>
      </c>
    </row>
    <row r="15" spans="1:6" x14ac:dyDescent="0.25">
      <c r="A15" s="2">
        <v>0.11999999999999998</v>
      </c>
      <c r="B15" s="5">
        <v>0.11988</v>
      </c>
      <c r="C15" s="5">
        <v>1.2699999999999999E-2</v>
      </c>
    </row>
    <row r="16" spans="1:6" x14ac:dyDescent="0.25">
      <c r="A16" s="2">
        <v>0.12999999999999998</v>
      </c>
      <c r="B16" s="5">
        <v>0.13358999999999999</v>
      </c>
      <c r="C16" s="5">
        <v>1.4749999999999999E-2</v>
      </c>
    </row>
    <row r="17" spans="1:3" x14ac:dyDescent="0.25">
      <c r="A17" s="2">
        <v>0.13999999999999999</v>
      </c>
      <c r="B17" s="5">
        <v>0.14860000000000001</v>
      </c>
      <c r="C17" s="5">
        <v>1.703E-2</v>
      </c>
    </row>
    <row r="18" spans="1:3" x14ac:dyDescent="0.25">
      <c r="A18" s="2">
        <v>0.15</v>
      </c>
      <c r="B18" s="5">
        <v>0.16499</v>
      </c>
      <c r="C18" s="5">
        <v>1.9570000000000001E-2</v>
      </c>
    </row>
    <row r="19" spans="1:3" x14ac:dyDescent="0.25">
      <c r="A19" s="2">
        <v>0.16</v>
      </c>
      <c r="B19" s="5">
        <v>0.18281</v>
      </c>
      <c r="C19" s="5">
        <v>2.239E-2</v>
      </c>
    </row>
    <row r="20" spans="1:3" x14ac:dyDescent="0.25">
      <c r="A20" s="2">
        <v>0.17</v>
      </c>
      <c r="B20" s="5">
        <v>0.2021</v>
      </c>
      <c r="C20" s="5">
        <v>2.5520000000000001E-2</v>
      </c>
    </row>
    <row r="21" spans="1:3" x14ac:dyDescent="0.25">
      <c r="A21" s="2">
        <v>0.18000000000000002</v>
      </c>
      <c r="B21" s="5">
        <v>0.22287999999999999</v>
      </c>
      <c r="C21" s="5">
        <v>2.8979999999999999E-2</v>
      </c>
    </row>
    <row r="22" spans="1:3" x14ac:dyDescent="0.25">
      <c r="A22" s="2">
        <v>0.19000000000000003</v>
      </c>
      <c r="B22" s="5">
        <v>0.24515999999999999</v>
      </c>
      <c r="C22" s="5">
        <v>3.279E-2</v>
      </c>
    </row>
    <row r="23" spans="1:3" x14ac:dyDescent="0.25">
      <c r="A23" s="2">
        <v>0.20000000000000004</v>
      </c>
      <c r="B23" s="5">
        <v>0.26889000000000002</v>
      </c>
      <c r="C23" s="5">
        <v>3.6979999999999999E-2</v>
      </c>
    </row>
    <row r="24" spans="1:3" x14ac:dyDescent="0.25">
      <c r="A24" s="2">
        <v>0.21000000000000005</v>
      </c>
      <c r="B24" s="5">
        <v>0.29404000000000002</v>
      </c>
      <c r="C24" s="5">
        <v>4.1579999999999999E-2</v>
      </c>
    </row>
    <row r="25" spans="1:3" x14ac:dyDescent="0.25">
      <c r="A25" s="2">
        <v>0.22000000000000006</v>
      </c>
      <c r="B25" s="5">
        <v>0.32051000000000002</v>
      </c>
      <c r="C25" s="5">
        <v>4.6609999999999999E-2</v>
      </c>
    </row>
    <row r="26" spans="1:3" x14ac:dyDescent="0.25">
      <c r="A26" s="2">
        <v>0.23000000000000007</v>
      </c>
      <c r="B26" s="5">
        <v>0.34817999999999999</v>
      </c>
      <c r="C26" s="5">
        <v>5.2089999999999997E-2</v>
      </c>
    </row>
    <row r="27" spans="1:3" x14ac:dyDescent="0.25">
      <c r="A27" s="2">
        <v>0.24000000000000007</v>
      </c>
      <c r="B27" s="5">
        <v>0.37690000000000001</v>
      </c>
      <c r="C27" s="5">
        <v>5.8040000000000001E-2</v>
      </c>
    </row>
    <row r="28" spans="1:3" x14ac:dyDescent="0.25">
      <c r="A28" s="2">
        <v>0.25000000000000006</v>
      </c>
      <c r="B28" s="5">
        <v>0.40648000000000001</v>
      </c>
      <c r="C28" s="5">
        <v>6.4490000000000006E-2</v>
      </c>
    </row>
    <row r="29" spans="1:3" x14ac:dyDescent="0.25">
      <c r="A29" s="2">
        <v>0.26000000000000006</v>
      </c>
      <c r="B29" s="5">
        <v>0.43669999999999998</v>
      </c>
      <c r="C29" s="5">
        <v>7.1440000000000003E-2</v>
      </c>
    </row>
    <row r="30" spans="1:3" x14ac:dyDescent="0.25">
      <c r="A30" s="2">
        <v>0.27000000000000007</v>
      </c>
      <c r="B30" s="5">
        <v>0.46733000000000002</v>
      </c>
      <c r="C30" s="5">
        <v>7.8899999999999998E-2</v>
      </c>
    </row>
    <row r="31" spans="1:3" x14ac:dyDescent="0.25">
      <c r="A31" s="2">
        <v>0.28000000000000008</v>
      </c>
      <c r="B31" s="5">
        <v>0.49812000000000001</v>
      </c>
      <c r="C31" s="5">
        <v>8.6900000000000005E-2</v>
      </c>
    </row>
    <row r="32" spans="1:3" x14ac:dyDescent="0.25">
      <c r="A32" s="2">
        <v>0.29000000000000009</v>
      </c>
      <c r="B32" s="5">
        <v>0.52878999999999998</v>
      </c>
      <c r="C32" s="5">
        <v>9.5409999999999995E-2</v>
      </c>
    </row>
    <row r="33" spans="1:3" x14ac:dyDescent="0.25">
      <c r="A33" s="2">
        <v>0.3000000000000001</v>
      </c>
      <c r="B33" s="5">
        <v>0.55908999999999998</v>
      </c>
      <c r="C33" s="5">
        <v>0.10446</v>
      </c>
    </row>
    <row r="34" spans="1:3" x14ac:dyDescent="0.25">
      <c r="A34" s="2">
        <v>0.31000000000000011</v>
      </c>
      <c r="B34" s="5">
        <v>0.58877000000000002</v>
      </c>
      <c r="C34" s="5">
        <v>0.11402</v>
      </c>
    </row>
    <row r="35" spans="1:3" x14ac:dyDescent="0.25">
      <c r="A35" s="2">
        <v>0.32000000000000012</v>
      </c>
      <c r="B35" s="5">
        <v>0.61758999999999997</v>
      </c>
      <c r="C35" s="5">
        <v>0.12408</v>
      </c>
    </row>
    <row r="36" spans="1:3" x14ac:dyDescent="0.25">
      <c r="A36" s="2">
        <v>0.33000000000000013</v>
      </c>
      <c r="B36" s="5">
        <v>0.64534000000000002</v>
      </c>
      <c r="C36" s="5">
        <v>0.13464000000000001</v>
      </c>
    </row>
    <row r="37" spans="1:3" x14ac:dyDescent="0.25">
      <c r="A37" s="2">
        <v>0.34000000000000014</v>
      </c>
      <c r="B37" s="5">
        <v>0.67183999999999999</v>
      </c>
      <c r="C37" s="5">
        <v>0.14568</v>
      </c>
    </row>
    <row r="38" spans="1:3" x14ac:dyDescent="0.25">
      <c r="A38" s="2">
        <v>0.35000000000000014</v>
      </c>
      <c r="B38" s="5">
        <v>0.69694999999999996</v>
      </c>
      <c r="C38" s="5">
        <v>0.15717</v>
      </c>
    </row>
    <row r="39" spans="1:3" x14ac:dyDescent="0.25">
      <c r="A39" s="2">
        <v>0.36000000000000015</v>
      </c>
      <c r="B39" s="5">
        <v>0.72055999999999998</v>
      </c>
      <c r="C39" s="5">
        <v>0.16908999999999999</v>
      </c>
    </row>
    <row r="40" spans="1:3" x14ac:dyDescent="0.25">
      <c r="A40" s="2">
        <v>0.37000000000000016</v>
      </c>
      <c r="B40" s="5">
        <v>0.74258999999999997</v>
      </c>
      <c r="C40" s="5">
        <v>0.18140999999999999</v>
      </c>
    </row>
    <row r="41" spans="1:3" x14ac:dyDescent="0.25">
      <c r="A41" s="2">
        <v>0.38000000000000017</v>
      </c>
      <c r="B41" s="5">
        <v>0.76302000000000003</v>
      </c>
      <c r="C41" s="5">
        <v>0.19411</v>
      </c>
    </row>
    <row r="42" spans="1:3" x14ac:dyDescent="0.25">
      <c r="A42" s="2">
        <v>0.39000000000000018</v>
      </c>
      <c r="B42" s="5">
        <v>0.78183999999999998</v>
      </c>
      <c r="C42" s="5">
        <v>0.20715</v>
      </c>
    </row>
    <row r="43" spans="1:3" x14ac:dyDescent="0.25">
      <c r="A43" s="2">
        <v>0.40000000000000019</v>
      </c>
      <c r="B43" s="5">
        <v>0.79906999999999995</v>
      </c>
      <c r="C43" s="5">
        <v>0.22051999999999999</v>
      </c>
    </row>
    <row r="44" spans="1:3" x14ac:dyDescent="0.25">
      <c r="A44" s="2">
        <v>0.4100000000000002</v>
      </c>
      <c r="B44" s="5">
        <v>0.81476999999999999</v>
      </c>
      <c r="C44" s="5">
        <v>0.23419000000000001</v>
      </c>
    </row>
    <row r="45" spans="1:3" x14ac:dyDescent="0.25">
      <c r="A45" s="2">
        <v>0.42000000000000021</v>
      </c>
      <c r="B45" s="5">
        <v>0.82899</v>
      </c>
      <c r="C45" s="5">
        <v>0.24812000000000001</v>
      </c>
    </row>
    <row r="46" spans="1:3" x14ac:dyDescent="0.25">
      <c r="A46" s="2">
        <v>0.43000000000000022</v>
      </c>
      <c r="B46" s="5">
        <v>0.84180999999999995</v>
      </c>
      <c r="C46" s="5">
        <v>0.26229999999999998</v>
      </c>
    </row>
    <row r="47" spans="1:3" x14ac:dyDescent="0.25">
      <c r="A47" s="2">
        <v>0.44000000000000022</v>
      </c>
      <c r="B47" s="5">
        <v>0.85333000000000003</v>
      </c>
      <c r="C47" s="5">
        <v>0.27668999999999999</v>
      </c>
    </row>
    <row r="48" spans="1:3" x14ac:dyDescent="0.25">
      <c r="A48" s="2">
        <v>0.45000000000000023</v>
      </c>
      <c r="B48" s="5">
        <v>0.86363999999999996</v>
      </c>
      <c r="C48" s="5">
        <v>0.29127999999999998</v>
      </c>
    </row>
    <row r="49" spans="1:3" x14ac:dyDescent="0.25">
      <c r="A49" s="2">
        <v>0.46000000000000024</v>
      </c>
      <c r="B49" s="5">
        <v>0.87282999999999999</v>
      </c>
      <c r="C49" s="5">
        <v>0.30604999999999999</v>
      </c>
    </row>
    <row r="50" spans="1:3" x14ac:dyDescent="0.25">
      <c r="A50" s="2">
        <v>0.47000000000000025</v>
      </c>
      <c r="B50" s="5">
        <v>0.88100000000000001</v>
      </c>
      <c r="C50" s="5">
        <v>0.32097999999999999</v>
      </c>
    </row>
    <row r="51" spans="1:3" x14ac:dyDescent="0.25">
      <c r="A51" s="2">
        <v>0.48000000000000026</v>
      </c>
      <c r="B51" s="5">
        <v>0.88824000000000003</v>
      </c>
      <c r="C51" s="5">
        <v>0.33604000000000001</v>
      </c>
    </row>
    <row r="52" spans="1:3" x14ac:dyDescent="0.25">
      <c r="A52" s="2">
        <v>0.49000000000000027</v>
      </c>
      <c r="B52" s="5">
        <v>0.89464999999999995</v>
      </c>
      <c r="C52" s="5">
        <v>0.35122999999999999</v>
      </c>
    </row>
    <row r="53" spans="1:3" x14ac:dyDescent="0.25">
      <c r="A53" s="2">
        <v>0.50000000000000022</v>
      </c>
      <c r="B53" s="5">
        <v>0.90029999999999999</v>
      </c>
      <c r="C53" s="5">
        <v>0.36653000000000002</v>
      </c>
    </row>
    <row r="54" spans="1:3" x14ac:dyDescent="0.25">
      <c r="A54" s="2">
        <v>0.51000000000000023</v>
      </c>
      <c r="B54" s="5">
        <v>0.90527999999999997</v>
      </c>
      <c r="C54" s="5">
        <v>0.38191999999999998</v>
      </c>
    </row>
    <row r="55" spans="1:3" x14ac:dyDescent="0.25">
      <c r="A55" s="2">
        <v>0.52000000000000024</v>
      </c>
      <c r="B55" s="5">
        <v>0.90966000000000002</v>
      </c>
      <c r="C55" s="5">
        <v>0.39739999999999998</v>
      </c>
    </row>
    <row r="56" spans="1:3" x14ac:dyDescent="0.25">
      <c r="A56" s="2">
        <v>0.53000000000000025</v>
      </c>
      <c r="B56" s="5">
        <v>0.91351000000000004</v>
      </c>
      <c r="C56" s="5">
        <v>0.41295999999999999</v>
      </c>
    </row>
    <row r="57" spans="1:3" x14ac:dyDescent="0.25">
      <c r="A57" s="2">
        <v>0.54000000000000026</v>
      </c>
      <c r="B57" s="5">
        <v>0.91688000000000003</v>
      </c>
      <c r="C57" s="5">
        <v>0.42858000000000002</v>
      </c>
    </row>
    <row r="58" spans="1:3" x14ac:dyDescent="0.25">
      <c r="A58" s="2">
        <v>0.55000000000000027</v>
      </c>
      <c r="B58" s="5">
        <v>0.91983999999999999</v>
      </c>
      <c r="C58" s="5">
        <v>0.44425999999999999</v>
      </c>
    </row>
    <row r="59" spans="1:3" x14ac:dyDescent="0.25">
      <c r="A59" s="2">
        <v>0.56000000000000028</v>
      </c>
      <c r="B59" s="5">
        <v>0.92242000000000002</v>
      </c>
      <c r="C59" s="5">
        <v>0.45999000000000001</v>
      </c>
    </row>
    <row r="60" spans="1:3" x14ac:dyDescent="0.25">
      <c r="A60" s="2">
        <v>0.57000000000000028</v>
      </c>
      <c r="B60" s="5">
        <v>0.92467999999999995</v>
      </c>
      <c r="C60" s="5">
        <v>0.47576000000000002</v>
      </c>
    </row>
    <row r="61" spans="1:3" x14ac:dyDescent="0.25">
      <c r="A61" s="2">
        <v>0.58000000000000029</v>
      </c>
      <c r="B61" s="5">
        <v>0.92666000000000004</v>
      </c>
      <c r="C61" s="5">
        <v>0.49157000000000001</v>
      </c>
    </row>
    <row r="62" spans="1:3" x14ac:dyDescent="0.25">
      <c r="A62" s="2">
        <v>0.5900000000000003</v>
      </c>
      <c r="B62" s="5">
        <v>0.92837999999999998</v>
      </c>
      <c r="C62" s="5">
        <v>0.50741999999999998</v>
      </c>
    </row>
    <row r="63" spans="1:3" x14ac:dyDescent="0.25">
      <c r="A63" s="2">
        <v>0.60000000000000031</v>
      </c>
      <c r="B63" s="5">
        <v>0.92988000000000004</v>
      </c>
      <c r="C63" s="5">
        <v>0.52329000000000003</v>
      </c>
    </row>
    <row r="64" spans="1:3" x14ac:dyDescent="0.25">
      <c r="A64" s="2">
        <v>0.61000000000000032</v>
      </c>
      <c r="B64" s="5">
        <v>0.93118999999999996</v>
      </c>
      <c r="C64" s="5">
        <v>0.53920000000000001</v>
      </c>
    </row>
    <row r="65" spans="1:3" x14ac:dyDescent="0.25">
      <c r="A65" s="2">
        <v>0.62000000000000033</v>
      </c>
      <c r="B65" s="5">
        <v>0.93233999999999995</v>
      </c>
      <c r="C65" s="5">
        <v>0.55511999999999995</v>
      </c>
    </row>
    <row r="66" spans="1:3" x14ac:dyDescent="0.25">
      <c r="A66" s="2">
        <v>0.63000000000000034</v>
      </c>
      <c r="B66" s="5">
        <v>0.93332999999999999</v>
      </c>
      <c r="C66" s="5">
        <v>0.57106000000000001</v>
      </c>
    </row>
    <row r="67" spans="1:3" x14ac:dyDescent="0.25">
      <c r="A67" s="2">
        <v>0.64000000000000035</v>
      </c>
      <c r="B67" s="5">
        <v>0.93420000000000003</v>
      </c>
      <c r="C67" s="5">
        <v>0.58701999999999999</v>
      </c>
    </row>
    <row r="68" spans="1:3" x14ac:dyDescent="0.25">
      <c r="A68" s="2">
        <v>0.65000000000000036</v>
      </c>
      <c r="B68" s="5">
        <v>0.93494999999999995</v>
      </c>
      <c r="C68" s="5">
        <v>0.60299999999999998</v>
      </c>
    </row>
    <row r="69" spans="1:3" x14ac:dyDescent="0.25">
      <c r="A69" s="2">
        <v>0.66000000000000036</v>
      </c>
      <c r="B69" s="5">
        <v>0.93561000000000005</v>
      </c>
      <c r="C69" s="5">
        <v>0.61897999999999997</v>
      </c>
    </row>
    <row r="70" spans="1:3" x14ac:dyDescent="0.25">
      <c r="A70" s="2">
        <v>0.67000000000000037</v>
      </c>
      <c r="B70" s="5">
        <v>0.93618000000000001</v>
      </c>
      <c r="C70" s="5">
        <v>0.63497999999999999</v>
      </c>
    </row>
    <row r="71" spans="1:3" x14ac:dyDescent="0.25">
      <c r="A71" s="2">
        <v>0.68000000000000038</v>
      </c>
      <c r="B71" s="5">
        <v>0.93667999999999996</v>
      </c>
      <c r="C71" s="5">
        <v>0.65098999999999996</v>
      </c>
    </row>
    <row r="72" spans="1:3" x14ac:dyDescent="0.25">
      <c r="A72" s="2">
        <v>0.69000000000000039</v>
      </c>
      <c r="B72" s="5">
        <v>0.93711999999999995</v>
      </c>
      <c r="C72" s="5">
        <v>0.66700999999999999</v>
      </c>
    </row>
    <row r="73" spans="1:3" x14ac:dyDescent="0.25">
      <c r="A73" s="2">
        <v>0.7000000000000004</v>
      </c>
      <c r="B73" s="5">
        <v>0.93749000000000005</v>
      </c>
      <c r="C73" s="5">
        <v>0.68303000000000003</v>
      </c>
    </row>
    <row r="74" spans="1:3" x14ac:dyDescent="0.25">
      <c r="A74" s="2">
        <v>0.71000000000000041</v>
      </c>
      <c r="B74" s="5">
        <v>0.93781999999999999</v>
      </c>
      <c r="C74" s="5">
        <v>0.69906999999999997</v>
      </c>
    </row>
    <row r="75" spans="1:3" x14ac:dyDescent="0.25">
      <c r="A75" s="2">
        <v>0.72000000000000042</v>
      </c>
      <c r="B75" s="5">
        <v>0.93810000000000004</v>
      </c>
      <c r="C75" s="5">
        <v>0.71509999999999996</v>
      </c>
    </row>
    <row r="76" spans="1:3" x14ac:dyDescent="0.25">
      <c r="A76" s="2">
        <v>0.73000000000000043</v>
      </c>
      <c r="B76" s="5">
        <v>0.93835000000000002</v>
      </c>
      <c r="C76" s="5">
        <v>0.73114000000000001</v>
      </c>
    </row>
    <row r="77" spans="1:3" x14ac:dyDescent="0.25">
      <c r="A77" s="2">
        <v>0.74000000000000044</v>
      </c>
      <c r="B77" s="5">
        <v>0.93857000000000002</v>
      </c>
      <c r="C77" s="5">
        <v>0.74719000000000002</v>
      </c>
    </row>
    <row r="78" spans="1:3" x14ac:dyDescent="0.25">
      <c r="A78" s="2">
        <v>0.75000000000000044</v>
      </c>
      <c r="B78" s="5">
        <v>0.93876000000000004</v>
      </c>
      <c r="C78" s="5">
        <v>0.76324000000000003</v>
      </c>
    </row>
    <row r="79" spans="1:3" x14ac:dyDescent="0.25">
      <c r="A79" s="2">
        <v>0.76000000000000045</v>
      </c>
      <c r="B79" s="5">
        <v>0.93891999999999998</v>
      </c>
      <c r="C79" s="5">
        <v>0.77929000000000004</v>
      </c>
    </row>
    <row r="80" spans="1:3" x14ac:dyDescent="0.25">
      <c r="A80" s="2">
        <v>0.77000000000000046</v>
      </c>
      <c r="B80" s="5">
        <v>0.93906000000000001</v>
      </c>
      <c r="C80" s="5">
        <v>0.79535</v>
      </c>
    </row>
    <row r="81" spans="1:3" x14ac:dyDescent="0.25">
      <c r="A81" s="2">
        <v>0.78000000000000047</v>
      </c>
      <c r="B81" s="5">
        <v>0.93918000000000001</v>
      </c>
      <c r="C81" s="5">
        <v>0.81140999999999996</v>
      </c>
    </row>
    <row r="82" spans="1:3" x14ac:dyDescent="0.25">
      <c r="A82" s="2">
        <v>0.79000000000000048</v>
      </c>
      <c r="B82" s="5">
        <v>0.93928999999999996</v>
      </c>
      <c r="C82" s="5">
        <v>0.82747000000000004</v>
      </c>
    </row>
    <row r="83" spans="1:3" x14ac:dyDescent="0.25">
      <c r="A83" s="2">
        <v>0.80000000000000049</v>
      </c>
      <c r="B83" s="5">
        <v>0.93937999999999999</v>
      </c>
      <c r="C83" s="5">
        <v>0.84353</v>
      </c>
    </row>
    <row r="84" spans="1:3" x14ac:dyDescent="0.25">
      <c r="A84" s="2">
        <v>0.8100000000000005</v>
      </c>
      <c r="B84" s="5">
        <v>0.93945999999999996</v>
      </c>
      <c r="C84" s="5">
        <v>0.85958999999999997</v>
      </c>
    </row>
    <row r="85" spans="1:3" x14ac:dyDescent="0.25">
      <c r="A85" s="2">
        <v>0.82000000000000051</v>
      </c>
      <c r="B85" s="5">
        <v>0.93952999999999998</v>
      </c>
      <c r="C85" s="5">
        <v>0.87565999999999999</v>
      </c>
    </row>
    <row r="86" spans="1:3" x14ac:dyDescent="0.25">
      <c r="A86" s="2">
        <v>0.83000000000000052</v>
      </c>
      <c r="B86" s="5">
        <v>0.93959000000000004</v>
      </c>
      <c r="C86" s="5">
        <v>0.89171999999999996</v>
      </c>
    </row>
    <row r="87" spans="1:3" x14ac:dyDescent="0.25">
      <c r="A87" s="2">
        <v>0.84000000000000052</v>
      </c>
      <c r="B87" s="5">
        <v>0.93964999999999999</v>
      </c>
      <c r="C87" s="5">
        <v>0.90778999999999999</v>
      </c>
    </row>
    <row r="88" spans="1:3" x14ac:dyDescent="0.25">
      <c r="A88" s="2">
        <v>0.85000000000000053</v>
      </c>
      <c r="B88" s="5">
        <v>0.93969000000000003</v>
      </c>
      <c r="C88" s="5">
        <v>0.92386000000000001</v>
      </c>
    </row>
    <row r="89" spans="1:3" x14ac:dyDescent="0.25">
      <c r="A89" s="2">
        <v>0.86000000000000054</v>
      </c>
      <c r="B89" s="5">
        <v>0.93972999999999995</v>
      </c>
      <c r="C89" s="5">
        <v>0.93993000000000004</v>
      </c>
    </row>
    <row r="90" spans="1:3" x14ac:dyDescent="0.25">
      <c r="A90" s="2">
        <v>0.87000000000000055</v>
      </c>
      <c r="B90" s="5">
        <v>0.93976999999999999</v>
      </c>
      <c r="C90" s="5">
        <v>0.95599000000000001</v>
      </c>
    </row>
    <row r="91" spans="1:3" x14ac:dyDescent="0.25">
      <c r="A91" s="2">
        <v>0.88000000000000056</v>
      </c>
      <c r="B91" s="5">
        <v>0.93979999999999997</v>
      </c>
      <c r="C91" s="5">
        <v>0.97206000000000004</v>
      </c>
    </row>
    <row r="92" spans="1:3" x14ac:dyDescent="0.25">
      <c r="A92" s="2">
        <v>0.89000000000000057</v>
      </c>
      <c r="B92" s="5">
        <v>0.93983000000000005</v>
      </c>
      <c r="C92" s="5">
        <v>0.98814000000000002</v>
      </c>
    </row>
    <row r="93" spans="1:3" x14ac:dyDescent="0.25">
      <c r="A93" s="2">
        <v>0.90000000000000058</v>
      </c>
      <c r="B93" s="5">
        <v>0.93984999999999996</v>
      </c>
      <c r="C93" s="5">
        <v>1.00421</v>
      </c>
    </row>
    <row r="94" spans="1:3" x14ac:dyDescent="0.25">
      <c r="A94" s="2">
        <v>0.91000000000000059</v>
      </c>
      <c r="B94" s="5">
        <v>0.93986999999999998</v>
      </c>
      <c r="C94" s="5">
        <v>1.0202800000000001</v>
      </c>
    </row>
    <row r="95" spans="1:3" x14ac:dyDescent="0.25">
      <c r="A95" s="2">
        <v>0.9200000000000006</v>
      </c>
      <c r="B95" s="5">
        <v>0.93989</v>
      </c>
      <c r="C95" s="5">
        <v>1.0363500000000001</v>
      </c>
    </row>
    <row r="96" spans="1:3" x14ac:dyDescent="0.25">
      <c r="A96" s="2">
        <v>0.9300000000000006</v>
      </c>
      <c r="B96" s="5">
        <v>0.93989999999999996</v>
      </c>
      <c r="C96" s="5">
        <v>1.0524199999999999</v>
      </c>
    </row>
    <row r="97" spans="1:3" x14ac:dyDescent="0.25">
      <c r="A97" s="2">
        <v>0.94000000000000061</v>
      </c>
      <c r="B97" s="5">
        <v>0.93991000000000002</v>
      </c>
      <c r="C97" s="5">
        <v>1.0684899999999999</v>
      </c>
    </row>
    <row r="98" spans="1:3" x14ac:dyDescent="0.25">
      <c r="A98" s="2">
        <v>0.95000000000000062</v>
      </c>
      <c r="B98" s="5">
        <v>0.93991999999999998</v>
      </c>
      <c r="C98" s="5">
        <v>1.08457</v>
      </c>
    </row>
    <row r="99" spans="1:3" x14ac:dyDescent="0.25">
      <c r="A99" s="2">
        <v>0.96000000000000063</v>
      </c>
      <c r="B99" s="5">
        <v>0.93993000000000004</v>
      </c>
      <c r="C99" s="5">
        <v>1.1006400000000001</v>
      </c>
    </row>
    <row r="100" spans="1:3" x14ac:dyDescent="0.25">
      <c r="A100" s="2">
        <v>0.97000000000000064</v>
      </c>
      <c r="B100" s="5">
        <v>0.93994</v>
      </c>
      <c r="C100" s="5">
        <v>1.1167100000000001</v>
      </c>
    </row>
    <row r="101" spans="1:3" x14ac:dyDescent="0.25">
      <c r="A101" s="2">
        <v>0.98000000000000065</v>
      </c>
      <c r="B101" s="5">
        <v>0.93994999999999995</v>
      </c>
      <c r="C101" s="5">
        <v>1.1327799999999999</v>
      </c>
    </row>
    <row r="102" spans="1:3" x14ac:dyDescent="0.25">
      <c r="A102" s="2">
        <v>0.99000000000000066</v>
      </c>
      <c r="B102" s="5">
        <v>0.93996000000000002</v>
      </c>
      <c r="C102" s="5">
        <v>1.14886</v>
      </c>
    </row>
    <row r="103" spans="1:3" x14ac:dyDescent="0.25">
      <c r="A103" s="2">
        <v>1.0000000000000007</v>
      </c>
      <c r="B103" s="5">
        <v>0.93996000000000002</v>
      </c>
      <c r="C103" s="5">
        <v>1.16493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CB70A-C702-4C98-AC15-05F0622411F5}">
  <sheetPr codeName="Sheet4"/>
  <dimension ref="A1:F103"/>
  <sheetViews>
    <sheetView workbookViewId="0">
      <selection activeCell="D17" sqref="D17"/>
    </sheetView>
  </sheetViews>
  <sheetFormatPr defaultRowHeight="15" x14ac:dyDescent="0.25"/>
  <sheetData>
    <row r="1" spans="1:6" x14ac:dyDescent="0.25">
      <c r="A1" s="2">
        <v>2</v>
      </c>
      <c r="B1" s="6" t="s">
        <v>17</v>
      </c>
      <c r="C1" s="2">
        <v>0.01</v>
      </c>
      <c r="D1" s="6" t="s">
        <v>20</v>
      </c>
      <c r="E1" s="2">
        <v>1</v>
      </c>
      <c r="F1" s="6" t="s">
        <v>18</v>
      </c>
    </row>
    <row r="2" spans="1:6" x14ac:dyDescent="0.25">
      <c r="A2" s="6" t="s">
        <v>19</v>
      </c>
      <c r="B2" s="6" t="s">
        <v>8</v>
      </c>
      <c r="C2" s="6" t="s">
        <v>9</v>
      </c>
    </row>
    <row r="3" spans="1:6" x14ac:dyDescent="0.25">
      <c r="A3" s="2">
        <v>0</v>
      </c>
      <c r="B3" s="5">
        <v>0.03</v>
      </c>
      <c r="C3" s="5">
        <v>0</v>
      </c>
    </row>
    <row r="4" spans="1:6" x14ac:dyDescent="0.25">
      <c r="A4" s="2">
        <v>0.01</v>
      </c>
      <c r="B4" s="5">
        <v>3.4040000000000001E-2</v>
      </c>
      <c r="C4" s="5">
        <v>5.1999999999999995E-4</v>
      </c>
    </row>
    <row r="5" spans="1:6" x14ac:dyDescent="0.25">
      <c r="A5" s="2">
        <v>0.02</v>
      </c>
      <c r="B5" s="5">
        <v>3.8589999999999999E-2</v>
      </c>
      <c r="C5" s="5">
        <v>1.1000000000000001E-3</v>
      </c>
    </row>
    <row r="6" spans="1:6" x14ac:dyDescent="0.25">
      <c r="A6" s="2">
        <v>0.03</v>
      </c>
      <c r="B6" s="5">
        <v>4.3729999999999998E-2</v>
      </c>
      <c r="C6" s="5">
        <v>1.7700000000000001E-3</v>
      </c>
    </row>
    <row r="7" spans="1:6" x14ac:dyDescent="0.25">
      <c r="A7" s="2">
        <v>0.04</v>
      </c>
      <c r="B7" s="5">
        <v>4.9520000000000002E-2</v>
      </c>
      <c r="C7" s="5">
        <v>2.5200000000000001E-3</v>
      </c>
    </row>
    <row r="8" spans="1:6" x14ac:dyDescent="0.25">
      <c r="A8" s="2">
        <v>0.05</v>
      </c>
      <c r="B8" s="5">
        <v>5.602E-2</v>
      </c>
      <c r="C8" s="5">
        <v>3.3800000000000002E-3</v>
      </c>
    </row>
    <row r="9" spans="1:6" x14ac:dyDescent="0.25">
      <c r="A9" s="2">
        <v>6.0000000000000005E-2</v>
      </c>
      <c r="B9" s="5">
        <v>6.3320000000000001E-2</v>
      </c>
      <c r="C9" s="5">
        <v>4.3400000000000001E-3</v>
      </c>
    </row>
    <row r="10" spans="1:6" x14ac:dyDescent="0.25">
      <c r="A10" s="2">
        <v>7.0000000000000007E-2</v>
      </c>
      <c r="B10" s="5">
        <v>7.1489999999999998E-2</v>
      </c>
      <c r="C10" s="5">
        <v>5.4400000000000004E-3</v>
      </c>
    </row>
    <row r="11" spans="1:6" x14ac:dyDescent="0.25">
      <c r="A11" s="2">
        <v>0.08</v>
      </c>
      <c r="B11" s="5">
        <v>8.0610000000000001E-2</v>
      </c>
      <c r="C11" s="5">
        <v>6.6699999999999997E-3</v>
      </c>
    </row>
    <row r="12" spans="1:6" x14ac:dyDescent="0.25">
      <c r="A12" s="2">
        <v>0.09</v>
      </c>
      <c r="B12" s="5">
        <v>9.0789999999999996E-2</v>
      </c>
      <c r="C12" s="5">
        <v>8.0599999999999995E-3</v>
      </c>
    </row>
    <row r="13" spans="1:6" x14ac:dyDescent="0.25">
      <c r="A13" s="2">
        <v>9.9999999999999992E-2</v>
      </c>
      <c r="B13" s="5">
        <v>0.10209</v>
      </c>
      <c r="C13" s="5">
        <v>9.6299999999999997E-3</v>
      </c>
    </row>
    <row r="14" spans="1:6" x14ac:dyDescent="0.25">
      <c r="A14" s="2">
        <v>0.10999999999999999</v>
      </c>
      <c r="B14" s="5">
        <v>0.11461</v>
      </c>
      <c r="C14" s="5">
        <v>1.1390000000000001E-2</v>
      </c>
    </row>
    <row r="15" spans="1:6" x14ac:dyDescent="0.25">
      <c r="A15" s="2">
        <v>0.11999999999999998</v>
      </c>
      <c r="B15" s="5">
        <v>0.12844</v>
      </c>
      <c r="C15" s="5">
        <v>1.336E-2</v>
      </c>
    </row>
    <row r="16" spans="1:6" x14ac:dyDescent="0.25">
      <c r="A16" s="2">
        <v>0.12999999999999998</v>
      </c>
      <c r="B16" s="5">
        <v>0.14363999999999999</v>
      </c>
      <c r="C16" s="5">
        <v>1.558E-2</v>
      </c>
    </row>
    <row r="17" spans="1:3" x14ac:dyDescent="0.25">
      <c r="A17" s="2">
        <v>0.13999999999999999</v>
      </c>
      <c r="B17" s="5">
        <v>0.16028999999999999</v>
      </c>
      <c r="C17" s="5">
        <v>1.805E-2</v>
      </c>
    </row>
    <row r="18" spans="1:3" x14ac:dyDescent="0.25">
      <c r="A18" s="2">
        <v>0.15</v>
      </c>
      <c r="B18" s="5">
        <v>0.17843999999999999</v>
      </c>
      <c r="C18" s="5">
        <v>2.0820000000000002E-2</v>
      </c>
    </row>
    <row r="19" spans="1:3" x14ac:dyDescent="0.25">
      <c r="A19" s="2">
        <v>0.16</v>
      </c>
      <c r="B19" s="5">
        <v>0.19811999999999999</v>
      </c>
      <c r="C19" s="5">
        <v>2.3900000000000001E-2</v>
      </c>
    </row>
    <row r="20" spans="1:3" x14ac:dyDescent="0.25">
      <c r="A20" s="2">
        <v>0.17</v>
      </c>
      <c r="B20" s="5">
        <v>0.21934999999999999</v>
      </c>
      <c r="C20" s="5">
        <v>2.7310000000000001E-2</v>
      </c>
    </row>
    <row r="21" spans="1:3" x14ac:dyDescent="0.25">
      <c r="A21" s="2">
        <v>0.18000000000000002</v>
      </c>
      <c r="B21" s="5">
        <v>0.24210999999999999</v>
      </c>
      <c r="C21" s="5">
        <v>3.1099999999999999E-2</v>
      </c>
    </row>
    <row r="22" spans="1:3" x14ac:dyDescent="0.25">
      <c r="A22" s="2">
        <v>0.19000000000000003</v>
      </c>
      <c r="B22" s="5">
        <v>0.26637</v>
      </c>
      <c r="C22" s="5">
        <v>3.5270000000000003E-2</v>
      </c>
    </row>
    <row r="23" spans="1:3" x14ac:dyDescent="0.25">
      <c r="A23" s="2">
        <v>0.20000000000000004</v>
      </c>
      <c r="B23" s="5">
        <v>0.29204000000000002</v>
      </c>
      <c r="C23" s="5">
        <v>3.9870000000000003E-2</v>
      </c>
    </row>
    <row r="24" spans="1:3" x14ac:dyDescent="0.25">
      <c r="A24" s="2">
        <v>0.21000000000000005</v>
      </c>
      <c r="B24" s="5">
        <v>0.31902000000000003</v>
      </c>
      <c r="C24" s="5">
        <v>4.4900000000000002E-2</v>
      </c>
    </row>
    <row r="25" spans="1:3" x14ac:dyDescent="0.25">
      <c r="A25" s="2">
        <v>0.22000000000000006</v>
      </c>
      <c r="B25" s="5">
        <v>0.34716000000000002</v>
      </c>
      <c r="C25" s="5">
        <v>5.04E-2</v>
      </c>
    </row>
    <row r="26" spans="1:3" x14ac:dyDescent="0.25">
      <c r="A26" s="2">
        <v>0.23000000000000007</v>
      </c>
      <c r="B26" s="5">
        <v>0.37626999999999999</v>
      </c>
      <c r="C26" s="5">
        <v>5.6390000000000003E-2</v>
      </c>
    </row>
    <row r="27" spans="1:3" x14ac:dyDescent="0.25">
      <c r="A27" s="2">
        <v>0.24000000000000007</v>
      </c>
      <c r="B27" s="5">
        <v>0.40616000000000002</v>
      </c>
      <c r="C27" s="5">
        <v>6.2880000000000005E-2</v>
      </c>
    </row>
    <row r="28" spans="1:3" x14ac:dyDescent="0.25">
      <c r="A28" s="2">
        <v>0.25000000000000006</v>
      </c>
      <c r="B28" s="5">
        <v>0.43658000000000002</v>
      </c>
      <c r="C28" s="5">
        <v>6.9879999999999998E-2</v>
      </c>
    </row>
    <row r="29" spans="1:3" x14ac:dyDescent="0.25">
      <c r="A29" s="2">
        <v>0.26000000000000006</v>
      </c>
      <c r="B29" s="5">
        <v>0.46728999999999998</v>
      </c>
      <c r="C29" s="5">
        <v>7.7410000000000007E-2</v>
      </c>
    </row>
    <row r="30" spans="1:3" x14ac:dyDescent="0.25">
      <c r="A30" s="2">
        <v>0.27000000000000007</v>
      </c>
      <c r="B30" s="5">
        <v>0.49802000000000002</v>
      </c>
      <c r="C30" s="5">
        <v>8.5470000000000004E-2</v>
      </c>
    </row>
    <row r="31" spans="1:3" x14ac:dyDescent="0.25">
      <c r="A31" s="2">
        <v>0.28000000000000008</v>
      </c>
      <c r="B31" s="5">
        <v>0.52851000000000004</v>
      </c>
      <c r="C31" s="5">
        <v>9.4060000000000005E-2</v>
      </c>
    </row>
    <row r="32" spans="1:3" x14ac:dyDescent="0.25">
      <c r="A32" s="2">
        <v>0.29000000000000009</v>
      </c>
      <c r="B32" s="5">
        <v>0.5585</v>
      </c>
      <c r="C32" s="5">
        <v>0.10317999999999999</v>
      </c>
    </row>
    <row r="33" spans="1:3" x14ac:dyDescent="0.25">
      <c r="A33" s="2">
        <v>0.3000000000000001</v>
      </c>
      <c r="B33" s="5">
        <v>0.58777000000000001</v>
      </c>
      <c r="C33" s="5">
        <v>0.11280999999999999</v>
      </c>
    </row>
    <row r="34" spans="1:3" x14ac:dyDescent="0.25">
      <c r="A34" s="2">
        <v>0.31000000000000011</v>
      </c>
      <c r="B34" s="5">
        <v>0.61609000000000003</v>
      </c>
      <c r="C34" s="5">
        <v>0.12295</v>
      </c>
    </row>
    <row r="35" spans="1:3" x14ac:dyDescent="0.25">
      <c r="A35" s="2">
        <v>0.32000000000000012</v>
      </c>
      <c r="B35" s="5">
        <v>0.64327999999999996</v>
      </c>
      <c r="C35" s="5">
        <v>0.13356999999999999</v>
      </c>
    </row>
    <row r="36" spans="1:3" x14ac:dyDescent="0.25">
      <c r="A36" s="2">
        <v>0.33000000000000013</v>
      </c>
      <c r="B36" s="5">
        <v>0.66918999999999995</v>
      </c>
      <c r="C36" s="5">
        <v>0.14466999999999999</v>
      </c>
    </row>
    <row r="37" spans="1:3" x14ac:dyDescent="0.25">
      <c r="A37" s="2">
        <v>0.34000000000000014</v>
      </c>
      <c r="B37" s="5">
        <v>0.69369999999999998</v>
      </c>
      <c r="C37" s="5">
        <v>0.15620999999999999</v>
      </c>
    </row>
    <row r="38" spans="1:3" x14ac:dyDescent="0.25">
      <c r="A38" s="2">
        <v>0.35000000000000014</v>
      </c>
      <c r="B38" s="5">
        <v>0.71672999999999998</v>
      </c>
      <c r="C38" s="5">
        <v>0.16816999999999999</v>
      </c>
    </row>
    <row r="39" spans="1:3" x14ac:dyDescent="0.25">
      <c r="A39" s="2">
        <v>0.36000000000000015</v>
      </c>
      <c r="B39" s="5">
        <v>0.73823000000000005</v>
      </c>
      <c r="C39" s="5">
        <v>0.18053</v>
      </c>
    </row>
    <row r="40" spans="1:3" x14ac:dyDescent="0.25">
      <c r="A40" s="2">
        <v>0.37000000000000016</v>
      </c>
      <c r="B40" s="5">
        <v>0.75817999999999997</v>
      </c>
      <c r="C40" s="5">
        <v>0.19325999999999999</v>
      </c>
    </row>
    <row r="41" spans="1:3" x14ac:dyDescent="0.25">
      <c r="A41" s="2">
        <v>0.38000000000000017</v>
      </c>
      <c r="B41" s="5">
        <v>0.77659</v>
      </c>
      <c r="C41" s="5">
        <v>0.20634</v>
      </c>
    </row>
    <row r="42" spans="1:3" x14ac:dyDescent="0.25">
      <c r="A42" s="2">
        <v>0.39000000000000018</v>
      </c>
      <c r="B42" s="5">
        <v>0.79349999999999998</v>
      </c>
      <c r="C42" s="5">
        <v>0.21973000000000001</v>
      </c>
    </row>
    <row r="43" spans="1:3" x14ac:dyDescent="0.25">
      <c r="A43" s="2">
        <v>0.40000000000000019</v>
      </c>
      <c r="B43" s="5">
        <v>0.80894999999999995</v>
      </c>
      <c r="C43" s="5">
        <v>0.23341999999999999</v>
      </c>
    </row>
    <row r="44" spans="1:3" x14ac:dyDescent="0.25">
      <c r="A44" s="2">
        <v>0.4100000000000002</v>
      </c>
      <c r="B44" s="5">
        <v>0.82301000000000002</v>
      </c>
      <c r="C44" s="5">
        <v>0.24737000000000001</v>
      </c>
    </row>
    <row r="45" spans="1:3" x14ac:dyDescent="0.25">
      <c r="A45" s="2">
        <v>0.42000000000000021</v>
      </c>
      <c r="B45" s="5">
        <v>0.83575999999999995</v>
      </c>
      <c r="C45" s="5">
        <v>0.26156000000000001</v>
      </c>
    </row>
    <row r="46" spans="1:3" x14ac:dyDescent="0.25">
      <c r="A46" s="2">
        <v>0.43000000000000022</v>
      </c>
      <c r="B46" s="5">
        <v>0.84726999999999997</v>
      </c>
      <c r="C46" s="5">
        <v>0.27598</v>
      </c>
    </row>
    <row r="47" spans="1:3" x14ac:dyDescent="0.25">
      <c r="A47" s="2">
        <v>0.44000000000000022</v>
      </c>
      <c r="B47" s="5">
        <v>0.85763999999999996</v>
      </c>
      <c r="C47" s="5">
        <v>0.29059000000000001</v>
      </c>
    </row>
    <row r="48" spans="1:3" x14ac:dyDescent="0.25">
      <c r="A48" s="2">
        <v>0.45000000000000023</v>
      </c>
      <c r="B48" s="5">
        <v>0.86694000000000004</v>
      </c>
      <c r="C48" s="5">
        <v>0.30537999999999998</v>
      </c>
    </row>
    <row r="49" spans="1:3" x14ac:dyDescent="0.25">
      <c r="A49" s="2">
        <v>0.46000000000000024</v>
      </c>
      <c r="B49" s="5">
        <v>0.87527999999999995</v>
      </c>
      <c r="C49" s="5">
        <v>0.32033</v>
      </c>
    </row>
    <row r="50" spans="1:3" x14ac:dyDescent="0.25">
      <c r="A50" s="2">
        <v>0.47000000000000025</v>
      </c>
      <c r="B50" s="5">
        <v>0.88271999999999995</v>
      </c>
      <c r="C50" s="5">
        <v>0.33542</v>
      </c>
    </row>
    <row r="51" spans="1:3" x14ac:dyDescent="0.25">
      <c r="A51" s="2">
        <v>0.48000000000000026</v>
      </c>
      <c r="B51" s="5">
        <v>0.88936000000000004</v>
      </c>
      <c r="C51" s="5">
        <v>0.35065000000000002</v>
      </c>
    </row>
    <row r="52" spans="1:3" x14ac:dyDescent="0.25">
      <c r="A52" s="2">
        <v>0.49000000000000027</v>
      </c>
      <c r="B52" s="5">
        <v>0.89527000000000001</v>
      </c>
      <c r="C52" s="5">
        <v>0.36598999999999998</v>
      </c>
    </row>
    <row r="53" spans="1:3" x14ac:dyDescent="0.25">
      <c r="A53" s="2">
        <v>0.50000000000000022</v>
      </c>
      <c r="B53" s="5">
        <v>0.90051000000000003</v>
      </c>
      <c r="C53" s="5">
        <v>0.38142999999999999</v>
      </c>
    </row>
    <row r="54" spans="1:3" x14ac:dyDescent="0.25">
      <c r="A54" s="2">
        <v>0.51000000000000023</v>
      </c>
      <c r="B54" s="5">
        <v>0.90517000000000003</v>
      </c>
      <c r="C54" s="5">
        <v>0.39695999999999998</v>
      </c>
    </row>
    <row r="55" spans="1:3" x14ac:dyDescent="0.25">
      <c r="A55" s="2">
        <v>0.52000000000000024</v>
      </c>
      <c r="B55" s="5">
        <v>0.9093</v>
      </c>
      <c r="C55" s="5">
        <v>0.41256999999999999</v>
      </c>
    </row>
    <row r="56" spans="1:3" x14ac:dyDescent="0.25">
      <c r="A56" s="2">
        <v>0.53000000000000025</v>
      </c>
      <c r="B56" s="5">
        <v>0.91295000000000004</v>
      </c>
      <c r="C56" s="5">
        <v>0.42825000000000002</v>
      </c>
    </row>
    <row r="57" spans="1:3" x14ac:dyDescent="0.25">
      <c r="A57" s="2">
        <v>0.54000000000000026</v>
      </c>
      <c r="B57" s="5">
        <v>0.91617999999999999</v>
      </c>
      <c r="C57" s="5">
        <v>0.44399</v>
      </c>
    </row>
    <row r="58" spans="1:3" x14ac:dyDescent="0.25">
      <c r="A58" s="2">
        <v>0.55000000000000027</v>
      </c>
      <c r="B58" s="5">
        <v>0.91903000000000001</v>
      </c>
      <c r="C58" s="5">
        <v>0.45978999999999998</v>
      </c>
    </row>
    <row r="59" spans="1:3" x14ac:dyDescent="0.25">
      <c r="A59" s="2">
        <v>0.56000000000000028</v>
      </c>
      <c r="B59" s="5">
        <v>0.92154999999999998</v>
      </c>
      <c r="C59" s="5">
        <v>0.47564000000000001</v>
      </c>
    </row>
    <row r="60" spans="1:3" x14ac:dyDescent="0.25">
      <c r="A60" s="2">
        <v>0.57000000000000028</v>
      </c>
      <c r="B60" s="5">
        <v>0.92376999999999998</v>
      </c>
      <c r="C60" s="5">
        <v>0.49153999999999998</v>
      </c>
    </row>
    <row r="61" spans="1:3" x14ac:dyDescent="0.25">
      <c r="A61" s="2">
        <v>0.58000000000000029</v>
      </c>
      <c r="B61" s="5">
        <v>0.92571999999999999</v>
      </c>
      <c r="C61" s="5">
        <v>0.50746999999999998</v>
      </c>
    </row>
    <row r="62" spans="1:3" x14ac:dyDescent="0.25">
      <c r="A62" s="2">
        <v>0.5900000000000003</v>
      </c>
      <c r="B62" s="5">
        <v>0.92745</v>
      </c>
      <c r="C62" s="5">
        <v>0.52342999999999995</v>
      </c>
    </row>
    <row r="63" spans="1:3" x14ac:dyDescent="0.25">
      <c r="A63" s="2">
        <v>0.60000000000000031</v>
      </c>
      <c r="B63" s="5">
        <v>0.92896999999999996</v>
      </c>
      <c r="C63" s="5">
        <v>0.53942999999999997</v>
      </c>
    </row>
    <row r="64" spans="1:3" x14ac:dyDescent="0.25">
      <c r="A64" s="2">
        <v>0.61000000000000032</v>
      </c>
      <c r="B64" s="5">
        <v>0.93030000000000002</v>
      </c>
      <c r="C64" s="5">
        <v>0.55545</v>
      </c>
    </row>
    <row r="65" spans="1:3" x14ac:dyDescent="0.25">
      <c r="A65" s="2">
        <v>0.62000000000000033</v>
      </c>
      <c r="B65" s="5">
        <v>0.93147999999999997</v>
      </c>
      <c r="C65" s="5">
        <v>0.57149000000000005</v>
      </c>
    </row>
    <row r="66" spans="1:3" x14ac:dyDescent="0.25">
      <c r="A66" s="2">
        <v>0.63000000000000034</v>
      </c>
      <c r="B66" s="5">
        <v>0.93250999999999995</v>
      </c>
      <c r="C66" s="5">
        <v>0.58755999999999997</v>
      </c>
    </row>
    <row r="67" spans="1:3" x14ac:dyDescent="0.25">
      <c r="A67" s="2">
        <v>0.64000000000000035</v>
      </c>
      <c r="B67" s="5">
        <v>0.93342000000000003</v>
      </c>
      <c r="C67" s="5">
        <v>0.60363999999999995</v>
      </c>
    </row>
    <row r="68" spans="1:3" x14ac:dyDescent="0.25">
      <c r="A68" s="2">
        <v>0.65000000000000036</v>
      </c>
      <c r="B68" s="5">
        <v>0.93422000000000005</v>
      </c>
      <c r="C68" s="5">
        <v>0.61973999999999996</v>
      </c>
    </row>
    <row r="69" spans="1:3" x14ac:dyDescent="0.25">
      <c r="A69" s="2">
        <v>0.66000000000000036</v>
      </c>
      <c r="B69" s="5">
        <v>0.93493000000000004</v>
      </c>
      <c r="C69" s="5">
        <v>0.63585000000000003</v>
      </c>
    </row>
    <row r="70" spans="1:3" x14ac:dyDescent="0.25">
      <c r="A70" s="2">
        <v>0.67000000000000037</v>
      </c>
      <c r="B70" s="5">
        <v>0.93554999999999999</v>
      </c>
      <c r="C70" s="5">
        <v>0.65198</v>
      </c>
    </row>
    <row r="71" spans="1:3" x14ac:dyDescent="0.25">
      <c r="A71" s="2">
        <v>0.68000000000000038</v>
      </c>
      <c r="B71" s="5">
        <v>0.93608999999999998</v>
      </c>
      <c r="C71" s="5">
        <v>0.66810999999999998</v>
      </c>
    </row>
    <row r="72" spans="1:3" x14ac:dyDescent="0.25">
      <c r="A72" s="2">
        <v>0.69000000000000039</v>
      </c>
      <c r="B72" s="5">
        <v>0.93657000000000001</v>
      </c>
      <c r="C72" s="5">
        <v>0.68425000000000002</v>
      </c>
    </row>
    <row r="73" spans="1:3" x14ac:dyDescent="0.25">
      <c r="A73" s="2">
        <v>0.7000000000000004</v>
      </c>
      <c r="B73" s="5">
        <v>0.93698999999999999</v>
      </c>
      <c r="C73" s="5">
        <v>0.70040999999999998</v>
      </c>
    </row>
    <row r="74" spans="1:3" x14ac:dyDescent="0.25">
      <c r="A74" s="2">
        <v>0.71000000000000041</v>
      </c>
      <c r="B74" s="5">
        <v>0.93735000000000002</v>
      </c>
      <c r="C74" s="5">
        <v>0.71657000000000004</v>
      </c>
    </row>
    <row r="75" spans="1:3" x14ac:dyDescent="0.25">
      <c r="A75" s="2">
        <v>0.72000000000000042</v>
      </c>
      <c r="B75" s="5">
        <v>0.93767999999999996</v>
      </c>
      <c r="C75" s="5">
        <v>0.73272999999999999</v>
      </c>
    </row>
    <row r="76" spans="1:3" x14ac:dyDescent="0.25">
      <c r="A76" s="2">
        <v>0.73000000000000043</v>
      </c>
      <c r="B76" s="5">
        <v>0.93796000000000002</v>
      </c>
      <c r="C76" s="5">
        <v>0.74890000000000001</v>
      </c>
    </row>
    <row r="77" spans="1:3" x14ac:dyDescent="0.25">
      <c r="A77" s="2">
        <v>0.74000000000000044</v>
      </c>
      <c r="B77" s="5">
        <v>0.93820999999999999</v>
      </c>
      <c r="C77" s="5">
        <v>0.76507999999999998</v>
      </c>
    </row>
    <row r="78" spans="1:3" x14ac:dyDescent="0.25">
      <c r="A78" s="2">
        <v>0.75000000000000044</v>
      </c>
      <c r="B78" s="5">
        <v>0.93842999999999999</v>
      </c>
      <c r="C78" s="5">
        <v>0.78125999999999995</v>
      </c>
    </row>
    <row r="79" spans="1:3" x14ac:dyDescent="0.25">
      <c r="A79" s="2">
        <v>0.76000000000000045</v>
      </c>
      <c r="B79" s="5">
        <v>0.93862000000000001</v>
      </c>
      <c r="C79" s="5">
        <v>0.79744000000000004</v>
      </c>
    </row>
    <row r="80" spans="1:3" x14ac:dyDescent="0.25">
      <c r="A80" s="2">
        <v>0.77000000000000046</v>
      </c>
      <c r="B80" s="5">
        <v>0.93879000000000001</v>
      </c>
      <c r="C80" s="5">
        <v>0.81362999999999996</v>
      </c>
    </row>
    <row r="81" spans="1:3" x14ac:dyDescent="0.25">
      <c r="A81" s="2">
        <v>0.78000000000000047</v>
      </c>
      <c r="B81" s="5">
        <v>0.93894</v>
      </c>
      <c r="C81" s="5">
        <v>0.82982</v>
      </c>
    </row>
    <row r="82" spans="1:3" x14ac:dyDescent="0.25">
      <c r="A82" s="2">
        <v>0.79000000000000048</v>
      </c>
      <c r="B82" s="5">
        <v>0.93906999999999996</v>
      </c>
      <c r="C82" s="5">
        <v>0.84601999999999999</v>
      </c>
    </row>
    <row r="83" spans="1:3" x14ac:dyDescent="0.25">
      <c r="A83" s="2">
        <v>0.80000000000000049</v>
      </c>
      <c r="B83" s="5">
        <v>0.93918000000000001</v>
      </c>
      <c r="C83" s="5">
        <v>0.86221000000000003</v>
      </c>
    </row>
    <row r="84" spans="1:3" x14ac:dyDescent="0.25">
      <c r="A84" s="2">
        <v>0.8100000000000005</v>
      </c>
      <c r="B84" s="5">
        <v>0.93928</v>
      </c>
      <c r="C84" s="5">
        <v>0.87841000000000002</v>
      </c>
    </row>
    <row r="85" spans="1:3" x14ac:dyDescent="0.25">
      <c r="A85" s="2">
        <v>0.82000000000000051</v>
      </c>
      <c r="B85" s="5">
        <v>0.93937000000000004</v>
      </c>
      <c r="C85" s="5">
        <v>0.89461000000000002</v>
      </c>
    </row>
    <row r="86" spans="1:3" x14ac:dyDescent="0.25">
      <c r="A86" s="2">
        <v>0.83000000000000052</v>
      </c>
      <c r="B86" s="5">
        <v>0.93945000000000001</v>
      </c>
      <c r="C86" s="5">
        <v>0.91081000000000001</v>
      </c>
    </row>
    <row r="87" spans="1:3" x14ac:dyDescent="0.25">
      <c r="A87" s="2">
        <v>0.84000000000000052</v>
      </c>
      <c r="B87" s="5">
        <v>0.93950999999999996</v>
      </c>
      <c r="C87" s="5">
        <v>0.92701</v>
      </c>
    </row>
    <row r="88" spans="1:3" x14ac:dyDescent="0.25">
      <c r="A88" s="2">
        <v>0.85000000000000053</v>
      </c>
      <c r="B88" s="5">
        <v>0.93957000000000002</v>
      </c>
      <c r="C88" s="5">
        <v>0.94320999999999999</v>
      </c>
    </row>
    <row r="89" spans="1:3" x14ac:dyDescent="0.25">
      <c r="A89" s="2">
        <v>0.86000000000000054</v>
      </c>
      <c r="B89" s="5">
        <v>0.93962999999999997</v>
      </c>
      <c r="C89" s="5">
        <v>0.95942000000000005</v>
      </c>
    </row>
    <row r="90" spans="1:3" x14ac:dyDescent="0.25">
      <c r="A90" s="2">
        <v>0.87000000000000055</v>
      </c>
      <c r="B90" s="5">
        <v>0.93967000000000001</v>
      </c>
      <c r="C90" s="5">
        <v>0.97562000000000004</v>
      </c>
    </row>
    <row r="91" spans="1:3" x14ac:dyDescent="0.25">
      <c r="A91" s="2">
        <v>0.88000000000000056</v>
      </c>
      <c r="B91" s="5">
        <v>0.93971000000000005</v>
      </c>
      <c r="C91" s="5">
        <v>0.99182999999999999</v>
      </c>
    </row>
    <row r="92" spans="1:3" x14ac:dyDescent="0.25">
      <c r="A92" s="2">
        <v>0.89000000000000057</v>
      </c>
      <c r="B92" s="5">
        <v>0.93974999999999997</v>
      </c>
      <c r="C92" s="5">
        <v>1.00803</v>
      </c>
    </row>
    <row r="93" spans="1:3" x14ac:dyDescent="0.25">
      <c r="A93" s="2">
        <v>0.90000000000000058</v>
      </c>
      <c r="B93" s="5">
        <v>0.93977999999999995</v>
      </c>
      <c r="C93" s="5">
        <v>1.02424</v>
      </c>
    </row>
    <row r="94" spans="1:3" x14ac:dyDescent="0.25">
      <c r="A94" s="2">
        <v>0.91000000000000059</v>
      </c>
      <c r="B94" s="5">
        <v>0.93981000000000003</v>
      </c>
      <c r="C94" s="5">
        <v>1.0404500000000001</v>
      </c>
    </row>
    <row r="95" spans="1:3" x14ac:dyDescent="0.25">
      <c r="A95" s="2">
        <v>0.9200000000000006</v>
      </c>
      <c r="B95" s="5">
        <v>0.93983000000000005</v>
      </c>
      <c r="C95" s="5">
        <v>1.0566599999999999</v>
      </c>
    </row>
    <row r="96" spans="1:3" x14ac:dyDescent="0.25">
      <c r="A96" s="2">
        <v>0.9300000000000006</v>
      </c>
      <c r="B96" s="5">
        <v>0.93984999999999996</v>
      </c>
      <c r="C96" s="5">
        <v>1.07287</v>
      </c>
    </row>
    <row r="97" spans="1:3" x14ac:dyDescent="0.25">
      <c r="A97" s="2">
        <v>0.94000000000000061</v>
      </c>
      <c r="B97" s="5">
        <v>0.93986999999999998</v>
      </c>
      <c r="C97" s="5">
        <v>1.08907</v>
      </c>
    </row>
    <row r="98" spans="1:3" x14ac:dyDescent="0.25">
      <c r="A98" s="2">
        <v>0.95000000000000062</v>
      </c>
      <c r="B98" s="5">
        <v>0.93988000000000005</v>
      </c>
      <c r="C98" s="5">
        <v>1.10528</v>
      </c>
    </row>
    <row r="99" spans="1:3" x14ac:dyDescent="0.25">
      <c r="A99" s="2">
        <v>0.96000000000000063</v>
      </c>
      <c r="B99" s="5">
        <v>0.93989999999999996</v>
      </c>
      <c r="C99" s="5">
        <v>1.1214900000000001</v>
      </c>
    </row>
    <row r="100" spans="1:3" x14ac:dyDescent="0.25">
      <c r="A100" s="2">
        <v>0.97000000000000064</v>
      </c>
      <c r="B100" s="5">
        <v>0.93991000000000002</v>
      </c>
      <c r="C100" s="5">
        <v>1.1376999999999999</v>
      </c>
    </row>
    <row r="101" spans="1:3" x14ac:dyDescent="0.25">
      <c r="A101" s="2">
        <v>0.98000000000000065</v>
      </c>
      <c r="B101" s="5">
        <v>0.93991999999999998</v>
      </c>
      <c r="C101" s="5">
        <v>1.15391</v>
      </c>
    </row>
    <row r="102" spans="1:3" x14ac:dyDescent="0.25">
      <c r="A102" s="2">
        <v>0.99000000000000066</v>
      </c>
      <c r="B102" s="5">
        <v>0.93993000000000004</v>
      </c>
      <c r="C102" s="5">
        <v>1.17012</v>
      </c>
    </row>
    <row r="103" spans="1:3" x14ac:dyDescent="0.25">
      <c r="A103" s="2">
        <v>1.0000000000000007</v>
      </c>
      <c r="B103" s="5">
        <v>0.93994</v>
      </c>
      <c r="C103" s="5">
        <v>1.1863300000000001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BB5A5-FA90-4A15-AC91-600CADB33A62}">
  <sheetPr codeName="Sheet5"/>
  <dimension ref="A2:W109"/>
  <sheetViews>
    <sheetView topLeftCell="A20" workbookViewId="0">
      <selection activeCell="M9" sqref="M9:O20"/>
    </sheetView>
  </sheetViews>
  <sheetFormatPr defaultRowHeight="15" x14ac:dyDescent="0.25"/>
  <sheetData>
    <row r="2" spans="1:23" ht="18.75" x14ac:dyDescent="0.3">
      <c r="E2" s="8" t="s">
        <v>5</v>
      </c>
      <c r="J2" s="8" t="s">
        <v>0</v>
      </c>
      <c r="L2" s="6" t="s">
        <v>2</v>
      </c>
      <c r="M2" s="7">
        <v>13.1</v>
      </c>
    </row>
    <row r="3" spans="1:23" ht="18.75" x14ac:dyDescent="0.3">
      <c r="E3" s="8" t="s">
        <v>6</v>
      </c>
      <c r="J3" s="8" t="s">
        <v>1</v>
      </c>
      <c r="L3" s="6" t="s">
        <v>3</v>
      </c>
      <c r="M3" s="7">
        <v>0.94</v>
      </c>
    </row>
    <row r="4" spans="1:23" x14ac:dyDescent="0.25">
      <c r="L4" s="6" t="s">
        <v>4</v>
      </c>
      <c r="M4" s="7">
        <v>1.71</v>
      </c>
    </row>
    <row r="6" spans="1:23" x14ac:dyDescent="0.25">
      <c r="A6" s="1" t="s">
        <v>11</v>
      </c>
    </row>
    <row r="7" spans="1:23" ht="18.75" x14ac:dyDescent="0.3">
      <c r="A7" s="15" t="s">
        <v>10</v>
      </c>
      <c r="B7" s="15"/>
      <c r="C7" s="3">
        <v>0.01</v>
      </c>
      <c r="D7" s="14" t="s">
        <v>8</v>
      </c>
      <c r="E7" s="14"/>
      <c r="F7" s="14"/>
      <c r="G7" s="14"/>
      <c r="H7" s="14" t="s">
        <v>9</v>
      </c>
      <c r="I7" s="14"/>
      <c r="J7" s="14"/>
      <c r="K7" s="14"/>
      <c r="M7" s="1" t="s">
        <v>12</v>
      </c>
    </row>
    <row r="8" spans="1:23" ht="18.75" x14ac:dyDescent="0.3">
      <c r="A8" s="6" t="s">
        <v>7</v>
      </c>
      <c r="B8" s="6" t="s">
        <v>8</v>
      </c>
      <c r="C8" s="6" t="s">
        <v>9</v>
      </c>
      <c r="D8" s="6" t="s">
        <v>13</v>
      </c>
      <c r="E8" s="6" t="s">
        <v>14</v>
      </c>
      <c r="F8" s="6" t="s">
        <v>15</v>
      </c>
      <c r="G8" s="6" t="s">
        <v>16</v>
      </c>
      <c r="H8" s="6" t="s">
        <v>13</v>
      </c>
      <c r="I8" s="6" t="s">
        <v>14</v>
      </c>
      <c r="J8" s="6" t="s">
        <v>15</v>
      </c>
      <c r="K8" s="6" t="s">
        <v>16</v>
      </c>
      <c r="M8" s="13" t="s">
        <v>10</v>
      </c>
      <c r="N8" s="13"/>
      <c r="O8" s="4">
        <v>0.1</v>
      </c>
      <c r="P8" s="14" t="s">
        <v>8</v>
      </c>
      <c r="Q8" s="14"/>
      <c r="R8" s="14"/>
      <c r="S8" s="14"/>
      <c r="T8" s="14" t="s">
        <v>9</v>
      </c>
      <c r="U8" s="14"/>
      <c r="V8" s="14"/>
      <c r="W8" s="14"/>
    </row>
    <row r="9" spans="1:23" x14ac:dyDescent="0.25">
      <c r="A9" s="2">
        <v>0</v>
      </c>
      <c r="B9" s="5">
        <v>0.03</v>
      </c>
      <c r="C9" s="5">
        <v>0</v>
      </c>
      <c r="D9" s="2">
        <f>h_1*(b_1*B9-(b_1/b_2)*B9^2)</f>
        <v>3.8045744680851065E-3</v>
      </c>
      <c r="E9" s="2">
        <f>h_1*((b_1*(B9+D9/2))-((b_1/b_2)*(B9+D9/2)^2))</f>
        <v>4.0373634287978726E-3</v>
      </c>
      <c r="F9" s="2">
        <f>h_1*((b_1*(B9+E9/2))-((b_1/b_2)*(B9+E9/2)^2))</f>
        <v>4.0515742479762971E-3</v>
      </c>
      <c r="G9" s="2">
        <f>h_1*(b_1*(B9+F9)-(b_1/b_2)*(B9+F9)^2)</f>
        <v>4.2991649798377954E-3</v>
      </c>
      <c r="H9" s="2">
        <f>h_1*(b_3*B9)</f>
        <v>5.13E-4</v>
      </c>
      <c r="I9" s="2">
        <f>h_1*b_3*(B9+H9/2)</f>
        <v>5.1738615000000005E-4</v>
      </c>
      <c r="J9" s="2">
        <f>h_1*(b_3*(B9+I9/2))</f>
        <v>5.1742365158249991E-4</v>
      </c>
      <c r="K9" s="2">
        <f>h_1*(b_3*(B9+J9))</f>
        <v>5.2184794444206067E-4</v>
      </c>
      <c r="M9" s="6" t="s">
        <v>7</v>
      </c>
      <c r="N9" s="6" t="s">
        <v>8</v>
      </c>
      <c r="O9" s="6" t="s">
        <v>9</v>
      </c>
      <c r="P9" s="9" t="s">
        <v>13</v>
      </c>
      <c r="Q9" s="9" t="s">
        <v>14</v>
      </c>
      <c r="R9" s="9" t="s">
        <v>15</v>
      </c>
      <c r="S9" s="9" t="s">
        <v>16</v>
      </c>
      <c r="T9" s="9" t="s">
        <v>13</v>
      </c>
      <c r="U9" s="9" t="s">
        <v>14</v>
      </c>
      <c r="V9" s="9" t="s">
        <v>15</v>
      </c>
      <c r="W9" s="9" t="s">
        <v>16</v>
      </c>
    </row>
    <row r="10" spans="1:23" x14ac:dyDescent="0.25">
      <c r="A10" s="2">
        <v>0.01</v>
      </c>
      <c r="B10" s="5">
        <f>B9+(1/6)*(D9+2*E9+2*F9+G9)</f>
        <v>3.4046935800245204E-2</v>
      </c>
      <c r="C10" s="5">
        <f>C9+(1/6)*(H9+2*I9+2*J9+K9)</f>
        <v>5.1741125793451008E-4</v>
      </c>
      <c r="D10" s="2">
        <f>h_1*(b_1*B10-(b_1/b_2)*B10^2)</f>
        <v>4.2986013635581124E-3</v>
      </c>
      <c r="E10" s="2">
        <f>h_1*((b_1*(B10+D10/2))-((b_1/b_2)*(B10+D10/2)^2))</f>
        <v>4.5591198013307061E-3</v>
      </c>
      <c r="F10" s="2">
        <f>h_1*((b_1*(B10+E10/2))-((b_1/b_2)*(B10+E10/2)^2))</f>
        <v>4.5748672432256833E-3</v>
      </c>
      <c r="G10" s="2">
        <f>h_1*(b_1*(B10+F10)-(b_1/b_2)*(B10+F10)^2)</f>
        <v>4.8515781978297349E-3</v>
      </c>
      <c r="H10" s="2">
        <f>h_1*(b_3*B10)</f>
        <v>5.8220260218419301E-4</v>
      </c>
      <c r="I10" s="2">
        <f>h_1*b_3*(B10+H10/2)</f>
        <v>5.8718043443286791E-4</v>
      </c>
      <c r="J10" s="2">
        <f>h_1*(b_3*(B10+I10/2))</f>
        <v>5.8722299489859405E-4</v>
      </c>
      <c r="K10" s="2">
        <f>h_1*(b_3*(B10+J10))</f>
        <v>5.9224411539695893E-4</v>
      </c>
      <c r="M10" s="2">
        <v>0</v>
      </c>
      <c r="N10" s="5">
        <v>0.03</v>
      </c>
      <c r="O10" s="5">
        <v>0</v>
      </c>
      <c r="P10" s="2">
        <f>h_2*(b_1*N10-(b_1/b_2)*N10^2)</f>
        <v>3.8045744680851062E-2</v>
      </c>
      <c r="Q10" s="2">
        <f>h_2*((b_1*(N10+P10/2))-((b_1/b_2)*(N10+P10/2)^2))</f>
        <v>6.0870763791082527E-2</v>
      </c>
      <c r="R10" s="2">
        <f>h_2*((b_1*(N10+Q10/2))-((b_1/b_2)*(N10+Q10/2)^2))</f>
        <v>7.4080254161705342E-2</v>
      </c>
      <c r="S10" s="2">
        <f>h_2*(b_1*(N10+R10)-(b_1/b_2)*(N10+R10)^2)</f>
        <v>0.1212484988121123</v>
      </c>
      <c r="T10" s="2">
        <f>h_2*(b_3*N10)</f>
        <v>5.13E-3</v>
      </c>
      <c r="U10" s="2">
        <f>h_2*b_3*(N10+T10/2)</f>
        <v>5.5686149999999998E-3</v>
      </c>
      <c r="V10" s="2">
        <f>h_2*(b_3*(N10+U10/2))</f>
        <v>5.6061165825E-3</v>
      </c>
      <c r="W10" s="2">
        <f>h_2*(b_3*(N10+V10))</f>
        <v>6.0886459356075005E-3</v>
      </c>
    </row>
    <row r="11" spans="1:23" x14ac:dyDescent="0.25">
      <c r="A11" s="2">
        <v>0.02</v>
      </c>
      <c r="B11" s="5">
        <f t="shared" ref="B11:B74" si="0">B10+(1/6)*(D10+2*E10+2*F10+G10)</f>
        <v>3.8616628075328639E-2</v>
      </c>
      <c r="C11" s="5">
        <f t="shared" ref="C11:C74" si="1">C10+(1/6)*(H10+2*I10+2*J10+K10)</f>
        <v>1.1046201873085226E-3</v>
      </c>
      <c r="D11" s="2">
        <f>h_1*(b_1*B11-(b_1/b_2)*B11^2)</f>
        <v>4.8509559807701982E-3</v>
      </c>
      <c r="E11" s="2">
        <f>h_1*((b_1*(B11+D11/2))-((b_1/b_2)*(B11+D11/2)^2))</f>
        <v>5.1417674524696496E-3</v>
      </c>
      <c r="F11" s="2">
        <f>h_1*((b_1*(B11+E11/2))-((b_1/b_2)*(B11+E11/2)^2))</f>
        <v>5.1591493036421392E-3</v>
      </c>
      <c r="G11" s="2">
        <f>h_1*(b_1*(B11+F11)-(b_1/b_2)*(B11+F11)^2)</f>
        <v>5.4675654028659704E-3</v>
      </c>
      <c r="H11" s="2">
        <f>h_1*(b_3*B11)</f>
        <v>6.6034434008811966E-4</v>
      </c>
      <c r="I11" s="2">
        <f>h_1*b_3*(B11+H11/2)</f>
        <v>6.659902841958732E-4</v>
      </c>
      <c r="J11" s="2">
        <f>h_1*(b_3*(B11+I11/2))</f>
        <v>6.6603855701799443E-4</v>
      </c>
      <c r="K11" s="2">
        <f>h_1*(b_3*(B11+J11))</f>
        <v>6.7173359941312741E-4</v>
      </c>
      <c r="M11" s="2">
        <v>0.1</v>
      </c>
      <c r="N11" s="5">
        <f>N10+(1/6)*(P10+2*Q10+2*R10+S10)</f>
        <v>0.10153271323308985</v>
      </c>
      <c r="O11" s="5">
        <f>O10+(1/6)*(T10+2*U10+2*V10+W10)</f>
        <v>5.5946848501012498E-3</v>
      </c>
      <c r="P11" s="2">
        <f>h_2*(b_1*N11-(b_1/b_2)*N11^2)</f>
        <v>0.11864120717366744</v>
      </c>
      <c r="Q11" s="2">
        <f>h_2*((b_1*(N11+P11/2))-((b_1/b_2)*(N11+P11/2)^2))</f>
        <v>0.17465969153741728</v>
      </c>
      <c r="R11" s="2">
        <f>h_2*((b_1*(N11+Q11/2))-((b_1/b_2)*(N11+Q11/2)^2))</f>
        <v>0.19770093451315685</v>
      </c>
      <c r="S11" s="2">
        <f>h_2*(b_1*(N11+R11)-(b_1/b_2)*(N11+R11)^2)</f>
        <v>0.26721052909437298</v>
      </c>
      <c r="T11" s="2">
        <f>h_2*(b_3*N11)</f>
        <v>1.7362093962858365E-2</v>
      </c>
      <c r="U11" s="2">
        <f>h_2*b_3*(N11+T11/2)</f>
        <v>1.8846552996682756E-2</v>
      </c>
      <c r="V11" s="2">
        <f>h_2*(b_3*(N11+U11/2))</f>
        <v>1.897347424407474E-2</v>
      </c>
      <c r="W11" s="2">
        <f>h_2*(b_3*(N11+V11))</f>
        <v>2.0606558058595147E-2</v>
      </c>
    </row>
    <row r="12" spans="1:23" x14ac:dyDescent="0.25">
      <c r="A12" s="2">
        <v>0.03</v>
      </c>
      <c r="B12" s="5">
        <f t="shared" si="0"/>
        <v>4.3770020557971932E-2</v>
      </c>
      <c r="C12" s="5">
        <f t="shared" si="1"/>
        <v>1.770642790963353E-3</v>
      </c>
      <c r="D12" s="2">
        <f>h_1*(b_1*B12-(b_1/b_2)*B12^2)</f>
        <v>5.4668814955905658E-3</v>
      </c>
      <c r="E12" s="2">
        <f>h_1*((b_1*(B12+D12/2))-((b_1/b_2)*(B12+D12/2)^2))</f>
        <v>5.7905737282282436E-3</v>
      </c>
      <c r="F12" s="2">
        <f>h_1*((b_1*(B12+E12/2))-((b_1/b_2)*(B12+E12/2)^2))</f>
        <v>5.809674133888474E-3</v>
      </c>
      <c r="G12" s="2">
        <f>h_1*(b_1*(B12+F12)-(b_1/b_2)*(B12+F12)^2)</f>
        <v>6.1523685764723413E-3</v>
      </c>
      <c r="H12" s="2">
        <f>h_1*(b_3*B12)</f>
        <v>7.4846735154131998E-4</v>
      </c>
      <c r="I12" s="2">
        <f>h_1*b_3*(B12+H12/2)</f>
        <v>7.5486674739699844E-4</v>
      </c>
      <c r="J12" s="2">
        <f>h_1*(b_3*(B12+I12/2))</f>
        <v>7.5492146223156431E-4</v>
      </c>
      <c r="K12" s="2">
        <f>h_1*(b_3*(B12+J12))</f>
        <v>7.6137650854547973E-4</v>
      </c>
      <c r="M12" s="2">
        <v>0.2</v>
      </c>
      <c r="N12" s="5">
        <f t="shared" ref="N12:N20" si="2">N11+(1/6)*(P11+2*Q11+2*R11+S11)</f>
        <v>0.28996154462795465</v>
      </c>
      <c r="O12" s="5">
        <f t="shared" ref="O12:O20" si="3">O11+(1/6)*(T11+2*U11+2*V11+W11)</f>
        <v>2.4529469267262665E-2</v>
      </c>
      <c r="P12" s="2">
        <f>h_2*(b_1*N12-(b_1/b_2)*N12^2)</f>
        <v>0.26267751330776051</v>
      </c>
      <c r="Q12" s="2">
        <f>h_2*((b_1*(N12+P12/2))-((b_1/b_2)*(N12+P12/2)^2))</f>
        <v>0.30454481334216543</v>
      </c>
      <c r="R12" s="2">
        <f>h_2*((b_1*(N12+Q12/2))-((b_1/b_2)*(N12+Q12/2)^2))</f>
        <v>0.30677558613488498</v>
      </c>
      <c r="S12" s="2">
        <f>h_2*(b_1*(N12+R12)-(b_1/b_2)*(N12+R12)^2)</f>
        <v>0.28546530488155719</v>
      </c>
      <c r="T12" s="2">
        <f>h_2*(b_3*N12)</f>
        <v>4.9583424131380248E-2</v>
      </c>
      <c r="U12" s="2">
        <f>h_2*b_3*(N12+T12/2)</f>
        <v>5.3822806894613266E-2</v>
      </c>
      <c r="V12" s="2">
        <f>h_2*(b_3*(N12+U12/2))</f>
        <v>5.4185274120869681E-2</v>
      </c>
      <c r="W12" s="2">
        <f>h_2*(b_3*(N12+V12))</f>
        <v>5.8849106006048972E-2</v>
      </c>
    </row>
    <row r="13" spans="1:23" x14ac:dyDescent="0.25">
      <c r="A13" s="2">
        <v>0.04</v>
      </c>
      <c r="B13" s="5">
        <f t="shared" si="0"/>
        <v>4.9573311524021321E-2</v>
      </c>
      <c r="C13" s="5">
        <f t="shared" si="1"/>
        <v>2.5255461708540072E-3</v>
      </c>
      <c r="D13" s="2">
        <f>h_1*(b_1*B13-(b_1/b_2)*B13^2)</f>
        <v>6.1516205849393947E-3</v>
      </c>
      <c r="E13" s="2">
        <f>h_1*((b_1*(B13+D13/2))-((b_1/b_2)*(B13+D13/2)^2))</f>
        <v>6.5107340710728236E-3</v>
      </c>
      <c r="F13" s="2">
        <f>h_1*((b_1*(B13+E13/2))-((b_1/b_2)*(B13+E13/2)^2))</f>
        <v>6.531616598255542E-3</v>
      </c>
      <c r="G13" s="2">
        <f>h_1*(b_1*(B13+F13)-(b_1/b_2)*(B13+F13)^2)</f>
        <v>6.9110679800731979E-3</v>
      </c>
      <c r="H13" s="2">
        <f>h_1*(b_3*B13)</f>
        <v>8.4770362706076464E-4</v>
      </c>
      <c r="I13" s="2">
        <f>h_1*b_3*(B13+H13/2)</f>
        <v>8.5495149307213418E-4</v>
      </c>
      <c r="J13" s="2">
        <f>h_1*(b_3*(B13+I13/2))</f>
        <v>8.5501346232653129E-4</v>
      </c>
      <c r="K13" s="2">
        <f>h_1*(b_3*(B13+J13))</f>
        <v>8.623243572665483E-4</v>
      </c>
      <c r="M13" s="2">
        <v>0.3</v>
      </c>
      <c r="N13" s="5">
        <f t="shared" si="2"/>
        <v>0.58509214748519112</v>
      </c>
      <c r="O13" s="5">
        <f t="shared" si="3"/>
        <v>7.8604251295328512E-2</v>
      </c>
      <c r="P13" s="2">
        <f>h_2*(b_1*N13-(b_1/b_2)*N13^2)</f>
        <v>0.28938986685031232</v>
      </c>
      <c r="Q13" s="2">
        <f>h_2*((b_1*(N13+P13/2))-((b_1/b_2)*(N13+P13/2)^2))</f>
        <v>0.21379572456981447</v>
      </c>
      <c r="R13" s="2">
        <f>h_2*((b_1*(N13+Q13/2))-((b_1/b_2)*(N13+Q13/2)^2))</f>
        <v>0.23917316019848478</v>
      </c>
      <c r="S13" s="2">
        <f>h_2*(b_1*(N13+R13)-(b_1/b_2)*(N13+R13)^2)</f>
        <v>0.13294561725643117</v>
      </c>
      <c r="T13" s="2">
        <f>h_2*(b_3*N13)</f>
        <v>0.10005075721996769</v>
      </c>
      <c r="U13" s="2">
        <f>h_2*b_3*(N13+T13/2)</f>
        <v>0.10860509696227492</v>
      </c>
      <c r="V13" s="2">
        <f>h_2*(b_3*(N13+U13/2))</f>
        <v>0.10933649301024218</v>
      </c>
      <c r="W13" s="2">
        <f>h_2*(b_3*(N13+V13))</f>
        <v>0.11874729752471909</v>
      </c>
    </row>
    <row r="14" spans="1:23" x14ac:dyDescent="0.25">
      <c r="A14" s="2">
        <v>0.05</v>
      </c>
      <c r="B14" s="5">
        <f t="shared" si="0"/>
        <v>5.6097876507966209E-2</v>
      </c>
      <c r="C14" s="5">
        <f t="shared" si="1"/>
        <v>3.3805391533747809E-3</v>
      </c>
      <c r="D14" s="2">
        <f>h_1*(b_1*B14-(b_1/b_2)*B14^2)</f>
        <v>6.9102544830966619E-3</v>
      </c>
      <c r="E14" s="2">
        <f>h_1*((b_1*(B14+D14/2))-((b_1/b_2)*(B14+D14/2)^2))</f>
        <v>7.3071888172691179E-3</v>
      </c>
      <c r="F14" s="2">
        <f>h_1*((b_1*(B14+E14/2))-((b_1/b_2)*(B14+E14/2)^2))</f>
        <v>7.3298882068328309E-3</v>
      </c>
      <c r="G14" s="2">
        <f>h_1*(b_1*(B14+F14)-(b_1/b_2)*(B14+F14)^2)</f>
        <v>7.7483737147559248E-3</v>
      </c>
      <c r="H14" s="2">
        <f>h_1*(b_3*B14)</f>
        <v>9.5927368828622214E-4</v>
      </c>
      <c r="I14" s="2">
        <f>h_1*b_3*(B14+H14/2)</f>
        <v>9.6747547832106936E-4</v>
      </c>
      <c r="J14" s="2">
        <f>h_1*(b_3*(B14+I14/2))</f>
        <v>9.6754560362586727E-4</v>
      </c>
      <c r="K14" s="2">
        <f>h_1*(b_3*(B14+J14))</f>
        <v>9.758187181082244E-4</v>
      </c>
      <c r="M14" s="2">
        <v>0.4</v>
      </c>
      <c r="N14" s="5">
        <f t="shared" si="2"/>
        <v>0.80647102309241481</v>
      </c>
      <c r="O14" s="5">
        <f t="shared" si="3"/>
        <v>0.187717790410282</v>
      </c>
      <c r="P14" s="2">
        <f>h_2*(b_1*N14-(b_1/b_2)*N14^2)</f>
        <v>0.1500747854373172</v>
      </c>
      <c r="Q14" s="2">
        <f>h_2*((b_1*(N14+P14/2))-((b_1/b_2)*(N14+P14/2)^2))</f>
        <v>7.1856041562580408E-2</v>
      </c>
      <c r="R14" s="2">
        <f>h_2*((b_1*(N14+Q14/2))-((b_1/b_2)*(N14+Q14/2)^2))</f>
        <v>0.11458173114867538</v>
      </c>
      <c r="S14" s="2">
        <f>h_2*(b_1*(N14+R14)-(b_1/b_2)*(N14+R14)^2)</f>
        <v>2.4320586050957084E-2</v>
      </c>
      <c r="T14" s="2">
        <f>h_2*(b_3*N14)</f>
        <v>0.13790654494880292</v>
      </c>
      <c r="U14" s="2">
        <f>h_2*b_3*(N14+T14/2)</f>
        <v>0.1496975545419256</v>
      </c>
      <c r="V14" s="2">
        <f>h_2*(b_3*(N14+U14/2))</f>
        <v>0.15070568586213759</v>
      </c>
      <c r="W14" s="2">
        <f>h_2*(b_3*(N14+V14))</f>
        <v>0.16367721723122847</v>
      </c>
    </row>
    <row r="15" spans="1:23" x14ac:dyDescent="0.25">
      <c r="A15" s="2">
        <v>0.06</v>
      </c>
      <c r="B15" s="5">
        <f t="shared" si="0"/>
        <v>6.3420006882308949E-2</v>
      </c>
      <c r="C15" s="5">
        <f t="shared" si="1"/>
        <v>4.3480615817561678E-3</v>
      </c>
      <c r="D15" s="2">
        <f>h_1*(b_1*B15-(b_1/b_2)*B15^2)</f>
        <v>7.7474945795008481E-3</v>
      </c>
      <c r="E15" s="2">
        <f>h_1*((b_1*(B15+D15/2))-((b_1/b_2)*(B15+D15/2)^2))</f>
        <v>8.1843893870455105E-3</v>
      </c>
      <c r="F15" s="2">
        <f>h_1*((b_1*(B15+E15/2))-((b_1/b_2)*(B15+E15/2)^2))</f>
        <v>8.2089020719960156E-3</v>
      </c>
      <c r="G15" s="2">
        <f>h_1*(b_1*(B15+F15)-(b_1/b_2)*(B15+F15)^2)</f>
        <v>8.6683639045714821E-3</v>
      </c>
      <c r="H15" s="2">
        <f>h_1*(b_3*B15)</f>
        <v>1.0844821176874831E-3</v>
      </c>
      <c r="I15" s="2">
        <f>h_1*b_3*(B15+H15/2)</f>
        <v>1.0937544397937112E-3</v>
      </c>
      <c r="J15" s="2">
        <f>h_1*(b_3*(B15+I15/2))</f>
        <v>1.0938337181477192E-3</v>
      </c>
      <c r="K15" s="2">
        <f>h_1*(b_3*(B15+J15))</f>
        <v>1.103186674267809E-3</v>
      </c>
      <c r="M15" s="2">
        <v>0.5</v>
      </c>
      <c r="N15" s="5">
        <f t="shared" si="2"/>
        <v>0.89768284257754583</v>
      </c>
      <c r="O15" s="5">
        <f t="shared" si="3"/>
        <v>0.33811616424164159</v>
      </c>
      <c r="P15" s="2">
        <f>h_2*(b_1*N15-(b_1/b_2)*N15^2)</f>
        <v>5.2939867953058523E-2</v>
      </c>
      <c r="Q15" s="2">
        <f>h_2*((b_1*(N15+P15/2))-((b_1/b_2)*(N15+P15/2)^2))</f>
        <v>2.0409877412950729E-2</v>
      </c>
      <c r="R15" s="2">
        <f>h_2*((b_1*(N15+Q15/2))-((b_1/b_2)*(N15+Q15/2)^2))</f>
        <v>4.0629916183857341E-2</v>
      </c>
      <c r="S15" s="2">
        <f>h_2*(b_1*(N15+R15)-(b_1/b_2)*(N15+R15)^2)</f>
        <v>2.2063186973209528E-3</v>
      </c>
      <c r="T15" s="2">
        <f>h_2*(b_3*N15)</f>
        <v>0.15350376608076033</v>
      </c>
      <c r="U15" s="2">
        <f>h_2*b_3*(N15+T15/2)</f>
        <v>0.16662833808066535</v>
      </c>
      <c r="V15" s="2">
        <f>h_2*(b_3*(N15+U15/2))</f>
        <v>0.16775048898665723</v>
      </c>
      <c r="W15" s="2">
        <f>h_2*(b_3*(N15+V15))</f>
        <v>0.18218909969747873</v>
      </c>
    </row>
    <row r="16" spans="1:23" x14ac:dyDescent="0.25">
      <c r="A16" s="2">
        <v>7.0000000000000007E-2</v>
      </c>
      <c r="B16" s="5">
        <f t="shared" si="0"/>
        <v>7.1620413782668174E-2</v>
      </c>
      <c r="C16" s="5">
        <f t="shared" si="1"/>
        <v>5.441869099729193E-3</v>
      </c>
      <c r="D16" s="2">
        <f>h_1*(b_1*B16-(b_1/b_2)*B16^2)</f>
        <v>8.6674206301864676E-3</v>
      </c>
      <c r="E16" s="2">
        <f>h_1*((b_1*(B16+D16/2))-((b_1/b_2)*(B16+D16/2)^2))</f>
        <v>9.1460085602780034E-3</v>
      </c>
      <c r="F16" s="2">
        <f>h_1*((b_1*(B16+E16/2))-((b_1/b_2)*(B16+E16/2)^2))</f>
        <v>9.1722821904317003E-3</v>
      </c>
      <c r="G16" s="2">
        <f>h_1*(b_1*(B16+F16)-(b_1/b_2)*(B16+F16)^2)</f>
        <v>9.6741652749645635E-3</v>
      </c>
      <c r="H16" s="2">
        <f>h_1*(b_3*B16)</f>
        <v>1.2247090756836256E-3</v>
      </c>
      <c r="I16" s="2">
        <f>h_1*b_3*(B16+H16/2)</f>
        <v>1.2351803382807207E-3</v>
      </c>
      <c r="J16" s="2">
        <f>h_1*(b_3*(B16+I16/2))</f>
        <v>1.2352698675759258E-3</v>
      </c>
      <c r="K16" s="2">
        <f>h_1*(b_3*(B16+J16))</f>
        <v>1.245832190419174E-3</v>
      </c>
      <c r="M16" s="2">
        <v>0.6</v>
      </c>
      <c r="N16" s="5">
        <f t="shared" si="2"/>
        <v>0.92722047155154508</v>
      </c>
      <c r="O16" s="5">
        <f t="shared" si="3"/>
        <v>0.50552458422712232</v>
      </c>
      <c r="P16" s="2">
        <f>h_2*(b_1*N16-(b_1/b_2)*N16^2)</f>
        <v>1.6513581825935476E-2</v>
      </c>
      <c r="Q16" s="2">
        <f>h_2*((b_1*(N16+P16/2))-((b_1/b_2)*(N16+P16/2)^2))</f>
        <v>5.8962795195650845E-3</v>
      </c>
      <c r="R16" s="2">
        <f>h_2*((b_1*(N16+Q16/2))-((b_1/b_2)*(N16+Q16/2)^2))</f>
        <v>1.2744417451684599E-2</v>
      </c>
      <c r="S16" s="2">
        <f>h_2*(b_1*(N16+R16)-(b_1/b_2)*(N16+R16)^2)</f>
        <v>4.5993687742829081E-5</v>
      </c>
      <c r="T16" s="2">
        <f>h_2*(b_3*N16)</f>
        <v>0.15855470063531421</v>
      </c>
      <c r="U16" s="2">
        <f>h_2*b_3*(N16+T16/2)</f>
        <v>0.17211112753963359</v>
      </c>
      <c r="V16" s="2">
        <f>h_2*(b_3*(N16+U16/2))</f>
        <v>0.17327020203995291</v>
      </c>
      <c r="W16" s="2">
        <f>h_2*(b_3*(N16+V16))</f>
        <v>0.18818390518414616</v>
      </c>
    </row>
    <row r="17" spans="1:23" x14ac:dyDescent="0.25">
      <c r="A17" s="2">
        <v>0.08</v>
      </c>
      <c r="B17" s="5">
        <f t="shared" si="0"/>
        <v>8.0783441683763252E-2</v>
      </c>
      <c r="C17" s="5">
        <f t="shared" si="1"/>
        <v>6.6771093793652082E-3</v>
      </c>
      <c r="D17" s="2">
        <f>h_1*(b_1*B17-(b_1/b_2)*B17^2)</f>
        <v>9.6731613467582085E-3</v>
      </c>
      <c r="E17" s="2">
        <f>h_1*((b_1*(B17+D17/2))-((b_1/b_2)*(B17+D17/2)^2))</f>
        <v>1.0194591803333179E-2</v>
      </c>
      <c r="F17" s="2">
        <f>h_1*((b_1*(B17+E17/2))-((b_1/b_2)*(B17+E17/2)^2))</f>
        <v>1.0222514237992919E-2</v>
      </c>
      <c r="G17" s="2">
        <f>h_1*(b_1*(B17+F17)-(b_1/b_2)*(B17+F17)^2)</f>
        <v>1.0767574900501682E-2</v>
      </c>
      <c r="H17" s="2">
        <f>h_1*(b_3*B17)</f>
        <v>1.3813968527923515E-3</v>
      </c>
      <c r="I17" s="2">
        <f>h_1*b_3*(B17+H17/2)</f>
        <v>1.3932077958837262E-3</v>
      </c>
      <c r="J17" s="2">
        <f>h_1*(b_3*(B17+I17/2))</f>
        <v>1.3933087794471574E-3</v>
      </c>
      <c r="K17" s="2">
        <f>h_1*(b_3*(B17+J17))</f>
        <v>1.4052224329208979E-3</v>
      </c>
      <c r="M17" s="2">
        <v>0.7</v>
      </c>
      <c r="N17" s="5">
        <f t="shared" si="2"/>
        <v>0.93619396646090802</v>
      </c>
      <c r="O17" s="5">
        <f t="shared" si="3"/>
        <v>0.67844146172356123</v>
      </c>
      <c r="P17" s="2">
        <f>h_2*(b_1*N17-(b_1/b_2)*N17^2)</f>
        <v>4.965716151525257E-3</v>
      </c>
      <c r="Q17" s="2">
        <f>h_2*((b_1*(N17+P17/2))-((b_1/b_2)*(N17+P17/2)^2))</f>
        <v>1.7309199216084536E-3</v>
      </c>
      <c r="R17" s="2">
        <f>h_2*((b_1*(N17+Q17/2))-((b_1/b_2)*(N17+Q17/2)^2))</f>
        <v>3.8401008188442276E-3</v>
      </c>
      <c r="S17" s="2">
        <f>h_2*(b_1*(N17+R17)-(b_1/b_2)*(N17+R17)^2)</f>
        <v>-4.4629753879021908E-5</v>
      </c>
      <c r="T17" s="2">
        <f>h_2*(b_3*N17)</f>
        <v>0.16008916826481528</v>
      </c>
      <c r="U17" s="2">
        <f>h_2*b_3*(N17+T17/2)</f>
        <v>0.17377679215145697</v>
      </c>
      <c r="V17" s="2">
        <f>h_2*(b_3*(N17+U17/2))</f>
        <v>0.17494708399376485</v>
      </c>
      <c r="W17" s="2">
        <f>h_2*(b_3*(N17+V17))</f>
        <v>0.19000511962774905</v>
      </c>
    </row>
    <row r="18" spans="1:23" x14ac:dyDescent="0.25">
      <c r="A18" s="2">
        <v>0.09</v>
      </c>
      <c r="B18" s="5">
        <f t="shared" si="0"/>
        <v>9.0995933072081925E-2</v>
      </c>
      <c r="C18" s="5">
        <f t="shared" si="1"/>
        <v>8.0703847854277106E-3</v>
      </c>
      <c r="D18" s="2">
        <f>h_1*(b_1*B18-(b_1/b_2)*B18^2)</f>
        <v>1.0766516127686023E-2</v>
      </c>
      <c r="E18" s="2">
        <f>h_1*((b_1*(B18+D18/2))-((b_1/b_2)*(B18+D18/2)^2))</f>
        <v>1.1331150367097673E-2</v>
      </c>
      <c r="F18" s="2">
        <f>h_1*((b_1*(B18+E18/2))-((b_1/b_2)*(B18+E18/2)^2))</f>
        <v>1.1360538878986359E-2</v>
      </c>
      <c r="G18" s="2">
        <f>h_1*(b_1*(B18+F18)-(b_1/b_2)*(B18+F18)^2)</f>
        <v>1.1948626545924684E-2</v>
      </c>
      <c r="H18" s="2">
        <f>h_1*(b_3*B18)</f>
        <v>1.5560304555326011E-3</v>
      </c>
      <c r="I18" s="2">
        <f>h_1*b_3*(B18+H18/2)</f>
        <v>1.5693345159274047E-3</v>
      </c>
      <c r="J18" s="2">
        <f>h_1*(b_3*(B18+I18/2))</f>
        <v>1.5694482656437804E-3</v>
      </c>
      <c r="K18" s="2">
        <f>h_1*(b_3*(B18+J18))</f>
        <v>1.5828680208751099E-3</v>
      </c>
      <c r="M18" s="2">
        <v>0.8</v>
      </c>
      <c r="N18" s="5">
        <f t="shared" si="2"/>
        <v>0.9388711544406666</v>
      </c>
      <c r="O18" s="5">
        <f t="shared" si="3"/>
        <v>0.85303180175406257</v>
      </c>
      <c r="P18" s="2">
        <f>h_2*(b_1*N18-(b_1/b_2)*N18^2)</f>
        <v>1.4770118072917173E-3</v>
      </c>
      <c r="Q18" s="2">
        <f>h_2*((b_1*(N18+P18/2))-((b_1/b_2)*(N18+P18/2)^2))</f>
        <v>5.1113261042790015E-4</v>
      </c>
      <c r="R18" s="2">
        <f>h_2*((b_1*(N18+Q18/2))-((b_1/b_2)*(N18+Q18/2)^2))</f>
        <v>1.142933027344384E-3</v>
      </c>
      <c r="S18" s="2">
        <f>h_2*(b_1*(N18+R18)-(b_1/b_2)*(N18+R18)^2)</f>
        <v>-1.8454859667116352E-5</v>
      </c>
      <c r="T18" s="2">
        <f>h_2*(b_3*N18)</f>
        <v>0.16054696740935401</v>
      </c>
      <c r="U18" s="2">
        <f>h_2*b_3*(N18+T18/2)</f>
        <v>0.17427373312285374</v>
      </c>
      <c r="V18" s="2">
        <f>h_2*(b_3*(N18+U18/2))</f>
        <v>0.17544737159135798</v>
      </c>
      <c r="W18" s="2">
        <f>h_2*(b_3*(N18+V18))</f>
        <v>0.1905484679514762</v>
      </c>
    </row>
    <row r="19" spans="1:23" x14ac:dyDescent="0.25">
      <c r="A19" s="2">
        <v>0.1</v>
      </c>
      <c r="B19" s="5">
        <f t="shared" si="0"/>
        <v>0.10234568659971172</v>
      </c>
      <c r="C19" s="5">
        <f t="shared" si="1"/>
        <v>9.6397954586860575E-3</v>
      </c>
      <c r="D19" s="2">
        <f>h_1*(b_1*B19-(b_1/b_2)*B19^2)</f>
        <v>1.1947521345531172E-2</v>
      </c>
      <c r="E19" s="2">
        <f>h_1*((b_1*(B19+D19/2))-((b_1/b_2)*(B19+D19/2)^2))</f>
        <v>1.2554702435118609E-2</v>
      </c>
      <c r="F19" s="2">
        <f>h_1*((b_1*(B19+E19/2))-((b_1/b_2)*(B19+E19/2)^2))</f>
        <v>1.2585294199648196E-2</v>
      </c>
      <c r="G19" s="2">
        <f>h_1*(b_1*(B19+F19)-(b_1/b_2)*(B19+F19)^2)</f>
        <v>1.3215111595862028E-2</v>
      </c>
      <c r="H19" s="2">
        <f>h_1*(b_3*B19)</f>
        <v>1.7501112408550704E-3</v>
      </c>
      <c r="I19" s="2">
        <f>h_1*b_3*(B19+H19/2)</f>
        <v>1.7650746919643811E-3</v>
      </c>
      <c r="J19" s="2">
        <f>h_1*(b_3*(B19+I19/2))</f>
        <v>1.7652026294713659E-3</v>
      </c>
      <c r="K19" s="2">
        <f>h_1*(b_3*(B19+J19))</f>
        <v>1.7802962058190309E-3</v>
      </c>
      <c r="M19" s="2">
        <v>0.9</v>
      </c>
      <c r="N19" s="5">
        <f t="shared" si="2"/>
        <v>0.93966560247786146</v>
      </c>
      <c r="O19" s="5">
        <f t="shared" si="3"/>
        <v>1.0281214092189381</v>
      </c>
      <c r="P19" s="2">
        <f>h_2*(b_1*N19-(b_1/b_2)*N19^2)</f>
        <v>4.3790491737301097E-4</v>
      </c>
      <c r="Q19" s="2">
        <f>h_2*((b_1*(N19+P19/2))-((b_1/b_2)*(N19+P19/2)^2))</f>
        <v>1.5121445960382119E-4</v>
      </c>
      <c r="R19" s="2">
        <f>h_2*((b_1*(N19+Q19/2))-((b_1/b_2)*(N19+Q19/2)^2))</f>
        <v>3.3892194906268717E-4</v>
      </c>
      <c r="S19" s="2">
        <f>h_2*(b_1*(N19+R19)-(b_1/b_2)*(N19+R19)^2)</f>
        <v>-5.9270277988687784E-6</v>
      </c>
      <c r="T19" s="2">
        <f>h_2*(b_3*N19)</f>
        <v>0.16068281802371431</v>
      </c>
      <c r="U19" s="2">
        <f>h_2*b_3*(N19+T19/2)</f>
        <v>0.1744211989647419</v>
      </c>
      <c r="V19" s="2">
        <f>h_2*(b_3*(N19+U19/2))</f>
        <v>0.17559583053519975</v>
      </c>
      <c r="W19" s="2">
        <f>h_2*(b_3*(N19+V19))</f>
        <v>0.19070970504523349</v>
      </c>
    </row>
    <row r="20" spans="1:23" x14ac:dyDescent="0.25">
      <c r="A20" s="2">
        <v>0.11</v>
      </c>
      <c r="B20" s="5">
        <f t="shared" si="0"/>
        <v>0.11491945763486619</v>
      </c>
      <c r="C20" s="5">
        <f t="shared" si="1"/>
        <v>1.1404955806943657E-2</v>
      </c>
      <c r="D20" s="2">
        <f>h_1*(b_1*B20-(b_1/b_2)*B20^2)</f>
        <v>1.3213971175332335E-2</v>
      </c>
      <c r="E20" s="2">
        <f>h_1*((b_1*(B20+D20/2))-((b_1/b_2)*(B20+D20/2)^2))</f>
        <v>1.3861776180551908E-2</v>
      </c>
      <c r="F20" s="2">
        <f>h_1*((b_1*(B20+E20/2))-((b_1/b_2)*(B20+E20/2)^2))</f>
        <v>1.3893221476496702E-2</v>
      </c>
      <c r="G20" s="2">
        <f>h_1*(b_1*(B20+F20)-(b_1/b_2)*(B20+F20)^2)</f>
        <v>1.4562073170737528E-2</v>
      </c>
      <c r="H20" s="2">
        <f>h_1*(b_3*B20)</f>
        <v>1.9651227255562116E-3</v>
      </c>
      <c r="I20" s="2">
        <f>h_1*b_3*(B20+H20/2)</f>
        <v>1.9819245248597177E-3</v>
      </c>
      <c r="J20" s="2">
        <f>h_1*(b_3*(B20+I20/2))</f>
        <v>1.9820681802437622E-3</v>
      </c>
      <c r="K20" s="2">
        <f>h_1*(b_3*(B20+J20))</f>
        <v>1.9990160914383805E-3</v>
      </c>
      <c r="M20" s="2">
        <v>1</v>
      </c>
      <c r="N20" s="5">
        <f t="shared" si="2"/>
        <v>0.93990097759567937</v>
      </c>
      <c r="O20" s="5">
        <f t="shared" si="3"/>
        <v>1.2033591728970767</v>
      </c>
      <c r="P20" s="2">
        <f>h_2*(b_1*N20-(b_1/b_2)*N20^2)</f>
        <v>1.2970568463668286E-4</v>
      </c>
      <c r="Q20" s="2">
        <f>h_2*((b_1*(N20+P20/2))-((b_1/b_2)*(N20+P20/2)^2))</f>
        <v>4.4760499092788566E-5</v>
      </c>
      <c r="R20" s="2">
        <f>h_2*((b_1*(N20+Q20/2))-((b_1/b_2)*(N20+Q20/2)^2))</f>
        <v>1.0039303662008338E-4</v>
      </c>
      <c r="S20" s="2">
        <f>h_2*(b_1*(N20+R20)-(b_1/b_2)*(N20+R20)^2)</f>
        <v>-1.7955309305150991E-6</v>
      </c>
      <c r="T20" s="2">
        <f>h_2*(b_3*N20)</f>
        <v>0.1607230671688612</v>
      </c>
      <c r="U20" s="2">
        <f>h_2*b_3*(N20+T20/2)</f>
        <v>0.17446488941179883</v>
      </c>
      <c r="V20" s="2">
        <f>h_2*(b_3*(N20+U20/2))</f>
        <v>0.17563981521356997</v>
      </c>
      <c r="W20" s="2">
        <f>h_2*(b_3*(N20+V20))</f>
        <v>0.19075747557038164</v>
      </c>
    </row>
    <row r="21" spans="1:23" x14ac:dyDescent="0.25">
      <c r="A21" s="2">
        <v>0.12</v>
      </c>
      <c r="B21" s="5">
        <f t="shared" si="0"/>
        <v>0.12880046424489403</v>
      </c>
      <c r="C21" s="5">
        <f t="shared" si="1"/>
        <v>1.338697651147725E-2</v>
      </c>
      <c r="D21" s="2">
        <f>h_1*(b_1*B21-(b_1/b_2)*B21^2)</f>
        <v>1.4560911554112255E-2</v>
      </c>
      <c r="E21" s="2">
        <f>h_1*((b_1*(B21+D21/2))-((b_1/b_2)*(B21+D21/2)^2))</f>
        <v>1.5245898182432204E-2</v>
      </c>
      <c r="F21" s="2">
        <f>h_1*((b_1*(B21+E21/2))-((b_1/b_2)*(B21+E21/2)^2))</f>
        <v>1.5277758051794208E-2</v>
      </c>
      <c r="G21" s="2">
        <f>h_1*(b_1*(B21+F21)-(b_1/b_2)*(B21+F21)^2)</f>
        <v>1.598130246941639E-2</v>
      </c>
      <c r="H21" s="2">
        <f>h_1*(b_3*B21)</f>
        <v>2.202487938587688E-3</v>
      </c>
      <c r="I21" s="2">
        <f>h_1*b_3*(B21+H21/2)</f>
        <v>2.2213192104626124E-3</v>
      </c>
      <c r="J21" s="2">
        <f>h_1*(b_3*(B21+I21/2))</f>
        <v>2.2214802178371429E-3</v>
      </c>
      <c r="K21" s="2">
        <f>h_1*(b_3*(B21+J21))</f>
        <v>2.2404752503127029E-3</v>
      </c>
    </row>
    <row r="22" spans="1:23" x14ac:dyDescent="0.25">
      <c r="A22" s="2">
        <v>0.13</v>
      </c>
      <c r="B22" s="5">
        <f t="shared" si="0"/>
        <v>0.14406538532689095</v>
      </c>
      <c r="C22" s="5">
        <f t="shared" si="1"/>
        <v>1.5608403519060565E-2</v>
      </c>
      <c r="D22" s="2">
        <f>h_1*(b_1*B22-(b_1/b_2)*B22^2)</f>
        <v>1.5980136310089193E-2</v>
      </c>
      <c r="E22" s="2">
        <f>h_1*((b_1*(B22+D22/2))-((b_1/b_2)*(B22+D22/2)^2))</f>
        <v>1.6697101871770561E-2</v>
      </c>
      <c r="F22" s="2">
        <f>h_1*((b_1*(B22+E22/2))-((b_1/b_2)*(B22+E22/2)^2))</f>
        <v>1.6728852199687637E-2</v>
      </c>
      <c r="G22" s="2">
        <f>h_1*(b_1*(B22+F22)-(b_1/b_2)*(B22+F22)^2)</f>
        <v>1.7460878016354403E-2</v>
      </c>
      <c r="H22" s="2">
        <f>h_1*(b_3*B22)</f>
        <v>2.4635180890898349E-3</v>
      </c>
      <c r="I22" s="2">
        <f>h_1*b_3*(B22+H22/2)</f>
        <v>2.4845811687515536E-3</v>
      </c>
      <c r="J22" s="2">
        <f>h_1*(b_3*(B22+I22/2))</f>
        <v>2.484761258082661E-3</v>
      </c>
      <c r="K22" s="2">
        <f>h_1*(b_3*(B22+J22))</f>
        <v>2.5060075066030492E-3</v>
      </c>
    </row>
    <row r="23" spans="1:23" x14ac:dyDescent="0.25">
      <c r="A23" s="2">
        <v>0.14000000000000001</v>
      </c>
      <c r="B23" s="5">
        <f t="shared" si="0"/>
        <v>0.16078087240511763</v>
      </c>
      <c r="C23" s="5">
        <f t="shared" si="1"/>
        <v>1.8093105260620784E-2</v>
      </c>
      <c r="D23" s="2">
        <f>h_1*(b_1*B23-(b_1/b_2)*B23^2)</f>
        <v>1.745972614676515E-2</v>
      </c>
      <c r="E23" s="2">
        <f>h_1*((b_1*(B23+D23/2))-((b_1/b_2)*(B23+D23/2)^2))</f>
        <v>1.8201502606234023E-2</v>
      </c>
      <c r="F23" s="2">
        <f>h_1*((b_1*(B23+E23/2))-((b_1/b_2)*(B23+E23/2)^2))</f>
        <v>1.823254658273538E-2</v>
      </c>
      <c r="G23" s="2">
        <f>h_1*(b_1*(B23+F23)-(b_1/b_2)*(B23+F23)^2)</f>
        <v>1.8984800071151935E-2</v>
      </c>
      <c r="H23" s="2">
        <f>h_1*(b_3*B23)</f>
        <v>2.7493529181275111E-3</v>
      </c>
      <c r="I23" s="2">
        <f>h_1*b_3*(B23+H23/2)</f>
        <v>2.7728598855775014E-3</v>
      </c>
      <c r="J23" s="2">
        <f>h_1*(b_3*(B23+I23/2))</f>
        <v>2.7730608701491996E-3</v>
      </c>
      <c r="K23" s="2">
        <f>h_1*(b_3*(B23+J23))</f>
        <v>2.7967722590070626E-3</v>
      </c>
    </row>
    <row r="24" spans="1:23" x14ac:dyDescent="0.25">
      <c r="A24" s="2">
        <v>0.15</v>
      </c>
      <c r="B24" s="5">
        <f t="shared" si="0"/>
        <v>0.1789996431710936</v>
      </c>
      <c r="C24" s="5">
        <f t="shared" si="1"/>
        <v>2.0866099708718781E-2</v>
      </c>
      <c r="D24" s="2">
        <f>h_1*(b_1*B24-(b_1/b_2)*B24^2)</f>
        <v>1.8983682760248765E-2</v>
      </c>
      <c r="E24" s="2">
        <f>h_1*((b_1*(B24+D24/2))-((b_1/b_2)*(B24+D24/2)^2))</f>
        <v>1.9740997021922117E-2</v>
      </c>
      <c r="F24" s="2">
        <f>h_1*((b_1*(B24+E24/2))-((b_1/b_2)*(B24+E24/2)^2))</f>
        <v>1.9770687618977965E-2</v>
      </c>
      <c r="G24" s="2">
        <f>h_1*(b_1*(B24+F24)-(b_1/b_2)*(B24+F24)^2)</f>
        <v>2.0532782039123124E-2</v>
      </c>
      <c r="H24" s="2">
        <f>h_1*(b_3*B24)</f>
        <v>3.0608938982257007E-3</v>
      </c>
      <c r="I24" s="2">
        <f>h_1*b_3*(B24+H24/2)</f>
        <v>3.0870645410555307E-3</v>
      </c>
      <c r="J24" s="2">
        <f>h_1*(b_3*(B24+I24/2))</f>
        <v>3.0872883000517249E-3</v>
      </c>
      <c r="K24" s="2">
        <f>h_1*(b_3*(B24+J24))</f>
        <v>3.1136865281565854E-3</v>
      </c>
    </row>
    <row r="25" spans="1:23" x14ac:dyDescent="0.25">
      <c r="A25" s="2">
        <v>0.16</v>
      </c>
      <c r="B25" s="5">
        <f t="shared" si="0"/>
        <v>0.19875628218462227</v>
      </c>
      <c r="C25" s="5">
        <f t="shared" si="1"/>
        <v>2.3953314060151581E-2</v>
      </c>
      <c r="D25" s="2">
        <f>h_1*(b_1*B25-(b_1/b_2)*B25^2)</f>
        <v>2.0531719964346402E-2</v>
      </c>
      <c r="E25" s="2">
        <f>h_1*((b_1*(B25+D25/2))-((b_1/b_2)*(B25+D25/2)^2))</f>
        <v>2.1293152193003949E-2</v>
      </c>
      <c r="F25" s="2">
        <f>h_1*((b_1*(B25+E25/2))-((b_1/b_2)*(B25+E25/2)^2))</f>
        <v>2.1320825525916739E-2</v>
      </c>
      <c r="G25" s="2">
        <f>h_1*(b_1*(B25+F25)-(b_1/b_2)*(B25+F25)^2)</f>
        <v>2.208026571932642E-2</v>
      </c>
      <c r="H25" s="2">
        <f>h_1*(b_3*B25)</f>
        <v>3.3987324253570406E-3</v>
      </c>
      <c r="I25" s="2">
        <f>h_1*b_3*(B25+H25/2)</f>
        <v>3.4277915875938437E-3</v>
      </c>
      <c r="J25" s="2">
        <f>h_1*(b_3*(B25+I25/2))</f>
        <v>3.4280400434309678E-3</v>
      </c>
      <c r="K25" s="2">
        <f>h_1*(b_3*(B25+J25))</f>
        <v>3.4573519100997104E-3</v>
      </c>
    </row>
    <row r="26" spans="1:23" x14ac:dyDescent="0.25">
      <c r="A26" s="2">
        <v>0.17</v>
      </c>
      <c r="B26" s="5">
        <f t="shared" si="0"/>
        <v>0.22006293903820798</v>
      </c>
      <c r="C26" s="5">
        <f t="shared" si="1"/>
        <v>2.738127199306931E-2</v>
      </c>
      <c r="D26" s="2">
        <f>h_1*(b_1*B26-(b_1/b_2)*B26^2)</f>
        <v>2.2079278710712098E-2</v>
      </c>
      <c r="E26" s="2">
        <f>h_1*((b_1*(B26+D26/2))-((b_1/b_2)*(B26+D26/2)^2))</f>
        <v>2.2831351995131248E-2</v>
      </c>
      <c r="F26" s="2">
        <f>h_1*((b_1*(B26+E26/2))-((b_1/b_2)*(B26+E26/2)^2))</f>
        <v>2.2856371178544568E-2</v>
      </c>
      <c r="G26" s="2">
        <f>h_1*(b_1*(B26+F26)-(b_1/b_2)*(B26+F26)^2)</f>
        <v>2.3598724683947823E-2</v>
      </c>
      <c r="H26" s="2">
        <f>h_1*(b_3*B26)</f>
        <v>3.763076257553356E-3</v>
      </c>
      <c r="I26" s="2">
        <f>h_1*b_3*(B26+H26/2)</f>
        <v>3.7952505595554376E-3</v>
      </c>
      <c r="J26" s="2">
        <f>h_1*(b_3*(B26+I26/2))</f>
        <v>3.795525649837555E-3</v>
      </c>
      <c r="K26" s="2">
        <f>h_1*(b_3*(B26+J26))</f>
        <v>3.8279797461655786E-3</v>
      </c>
    </row>
    <row r="27" spans="1:23" x14ac:dyDescent="0.25">
      <c r="A27" s="2">
        <v>0.18</v>
      </c>
      <c r="B27" s="5">
        <f t="shared" si="0"/>
        <v>0.24290518066187658</v>
      </c>
      <c r="C27" s="5">
        <f t="shared" si="1"/>
        <v>3.1176706730153464E-2</v>
      </c>
      <c r="D27" s="2">
        <f>h_1*(b_1*B27-(b_1/b_2)*B27^2)</f>
        <v>2.3597830358406218E-2</v>
      </c>
      <c r="E27" s="2">
        <f>h_1*((b_1*(B27+D27/2))-((b_1/b_2)*(B27+D27/2)^2))</f>
        <v>2.4325260902620726E-2</v>
      </c>
      <c r="F27" s="2">
        <f>h_1*((b_1*(B27+E27/2))-((b_1/b_2)*(B27+E27/2)^2))</f>
        <v>2.434706829534293E-2</v>
      </c>
      <c r="G27" s="2">
        <f>h_1*(b_1*(B27+F27)-(b_1/b_2)*(B27+F27)^2)</f>
        <v>2.5056307210180217E-2</v>
      </c>
      <c r="H27" s="2">
        <f>h_1*(b_3*B27)</f>
        <v>4.1536785893180892E-3</v>
      </c>
      <c r="I27" s="2">
        <f>h_1*b_3*(B27+H27/2)</f>
        <v>4.1891925412567595E-3</v>
      </c>
      <c r="J27" s="2">
        <f>h_1*(b_3*(B27+I27/2))</f>
        <v>4.1894961855458348E-3</v>
      </c>
      <c r="K27" s="2">
        <f>h_1*(b_3*(B27+J27))</f>
        <v>4.2253189740909239E-3</v>
      </c>
    </row>
    <row r="28" spans="1:23" x14ac:dyDescent="0.25">
      <c r="A28" s="2">
        <v>0.19</v>
      </c>
      <c r="B28" s="5">
        <f t="shared" si="0"/>
        <v>0.26723831332262887</v>
      </c>
      <c r="C28" s="5">
        <f t="shared" si="1"/>
        <v>3.5366102566322499E-2</v>
      </c>
      <c r="D28" s="2">
        <f>h_1*(b_1*B28-(b_1/b_2)*B28^2)</f>
        <v>2.5055519672832906E-2</v>
      </c>
      <c r="E28" s="2">
        <f>h_1*((b_1*(B28+D28/2))-((b_1/b_2)*(B28+D28/2)^2))</f>
        <v>2.574164675883597E-2</v>
      </c>
      <c r="F28" s="2">
        <f>h_1*((b_1*(B28+E28/2))-((b_1/b_2)*(B28+E28/2)^2))</f>
        <v>2.5759820494372879E-2</v>
      </c>
      <c r="G28" s="2">
        <f>h_1*(b_1*(B28+F28)-(b_1/b_2)*(B28+F28)^2)</f>
        <v>2.6418845167205759E-2</v>
      </c>
      <c r="H28" s="2">
        <f>h_1*(b_3*B28)</f>
        <v>4.5697751578169538E-3</v>
      </c>
      <c r="I28" s="2">
        <f>h_1*b_3*(B28+H28/2)</f>
        <v>4.6088467354162893E-3</v>
      </c>
      <c r="J28" s="2">
        <f>h_1*(b_3*(B28+I28/2))</f>
        <v>4.6091807974047629E-3</v>
      </c>
      <c r="K28" s="2">
        <f>h_1*(b_3*(B28+J28))</f>
        <v>4.6485921494525744E-3</v>
      </c>
    </row>
    <row r="29" spans="1:23" x14ac:dyDescent="0.25">
      <c r="A29" s="2">
        <v>0.2</v>
      </c>
      <c r="B29" s="5">
        <f t="shared" si="0"/>
        <v>0.2929845298803716</v>
      </c>
      <c r="C29" s="5">
        <f t="shared" si="1"/>
        <v>3.9975172961807769E-2</v>
      </c>
      <c r="D29" s="2">
        <f>h_1*(b_1*B29-(b_1/b_2)*B29^2)</f>
        <v>2.6418173997149817E-2</v>
      </c>
      <c r="E29" s="2">
        <f>h_1*((b_1*(B29+D29/2))-((b_1/b_2)*(B29+D29/2)^2))</f>
        <v>2.7045572786375125E-2</v>
      </c>
      <c r="F29" s="2">
        <f>h_1*((b_1*(B29+E29/2))-((b_1/b_2)*(B29+E29/2)^2))</f>
        <v>2.7059881542764147E-2</v>
      </c>
      <c r="G29" s="2">
        <f>h_1*(b_1*(B29+F29)-(b_1/b_2)*(B29+F29)^2)</f>
        <v>2.7651218202710826E-2</v>
      </c>
      <c r="H29" s="2">
        <f>h_1*(b_3*B29)</f>
        <v>5.010035460954354E-3</v>
      </c>
      <c r="I29" s="2">
        <f>h_1*b_3*(B29+H29/2)</f>
        <v>5.0528712641455141E-3</v>
      </c>
      <c r="J29" s="2">
        <f>h_1*(b_3*(B29+I29/2))</f>
        <v>5.0532375102627994E-3</v>
      </c>
      <c r="K29" s="2">
        <f>h_1*(b_3*(B29+J29))</f>
        <v>5.096445822379848E-3</v>
      </c>
    </row>
    <row r="30" spans="1:23" x14ac:dyDescent="0.25">
      <c r="A30" s="2">
        <v>0.21</v>
      </c>
      <c r="B30" s="5">
        <f t="shared" si="0"/>
        <v>0.32003124669006144</v>
      </c>
      <c r="C30" s="5">
        <f t="shared" si="1"/>
        <v>4.5028289433832906E-2</v>
      </c>
      <c r="D30" s="2">
        <f>h_1*(b_1*B30-(b_1/b_2)*B30^2)</f>
        <v>2.7650667943634924E-2</v>
      </c>
      <c r="E30" s="2">
        <f>h_1*((b_1*(B30+D30/2))-((b_1/b_2)*(B30+D30/2)^2))</f>
        <v>2.8201926582543734E-2</v>
      </c>
      <c r="F30" s="2">
        <f>h_1*((b_1*(B30+E30/2))-((b_1/b_2)*(B30+E30/2)^2))</f>
        <v>2.8212375123662863E-2</v>
      </c>
      <c r="G30" s="2">
        <f>h_1*(b_1*(B30+F30)-(b_1/b_2)*(B30+F30)^2)</f>
        <v>2.8719016332548763E-2</v>
      </c>
      <c r="H30" s="2">
        <f>h_1*(b_3*B30)</f>
        <v>5.4725343184000505E-3</v>
      </c>
      <c r="I30" s="2">
        <f>h_1*b_3*(B30+H30/2)</f>
        <v>5.5193244868223705E-3</v>
      </c>
      <c r="J30" s="2">
        <f>h_1*(b_3*(B30+I30/2))</f>
        <v>5.5197245427623821E-3</v>
      </c>
      <c r="K30" s="2">
        <f>h_1*(b_3*(B30+J30))</f>
        <v>5.5669216080812883E-3</v>
      </c>
    </row>
    <row r="31" spans="1:23" x14ac:dyDescent="0.25">
      <c r="A31" s="2">
        <v>0.22</v>
      </c>
      <c r="B31" s="5">
        <f t="shared" si="0"/>
        <v>0.34823096130482756</v>
      </c>
      <c r="C31" s="5">
        <f t="shared" si="1"/>
        <v>5.0547881764774712E-2</v>
      </c>
      <c r="D31" s="2">
        <f>h_1*(b_1*B31-(b_1/b_2)*B31^2)</f>
        <v>2.8718586658721512E-2</v>
      </c>
      <c r="E31" s="2">
        <f>h_1*((b_1*(B31+D31/2))-((b_1/b_2)*(B31+D31/2)^2))</f>
        <v>2.9177204473041646E-2</v>
      </c>
      <c r="F31" s="2">
        <f>h_1*((b_1*(B31+E31/2))-((b_1/b_2)*(B31+E31/2)^2))</f>
        <v>2.918406210564874E-2</v>
      </c>
      <c r="G31" s="2">
        <f>h_1*(b_1*(B31+F31)-(b_1/b_2)*(B31+F31)^2)</f>
        <v>2.9590394570637415E-2</v>
      </c>
      <c r="H31" s="2">
        <f>h_1*(b_3*B31)</f>
        <v>5.9547494383125508E-3</v>
      </c>
      <c r="I31" s="2">
        <f>h_1*b_3*(B31+H31/2)</f>
        <v>6.0056625460101236E-3</v>
      </c>
      <c r="J31" s="2">
        <f>h_1*(b_3*(B31+I31/2))</f>
        <v>6.0060978530809377E-3</v>
      </c>
      <c r="K31" s="2">
        <f>h_1*(b_3*(B31+J31))</f>
        <v>6.0574537116002344E-3</v>
      </c>
    </row>
    <row r="32" spans="1:23" x14ac:dyDescent="0.25">
      <c r="A32" s="2">
        <v>0.23</v>
      </c>
      <c r="B32" s="5">
        <f t="shared" si="0"/>
        <v>0.37740288036928415</v>
      </c>
      <c r="C32" s="5">
        <f t="shared" si="1"/>
        <v>5.6553835756123862E-2</v>
      </c>
      <c r="D32" s="2">
        <f>h_1*(b_1*B32-(b_1/b_2)*B32^2)</f>
        <v>2.9590081191625987E-2</v>
      </c>
      <c r="E32" s="2">
        <f>h_1*((b_1*(B32+D32/2))-((b_1/b_2)*(B32+D32/2)^2))</f>
        <v>2.9941420831082893E-2</v>
      </c>
      <c r="F32" s="2">
        <f>h_1*((b_1*(B32+E32/2))-((b_1/b_2)*(B32+E32/2)^2))</f>
        <v>2.9945225976169075E-2</v>
      </c>
      <c r="G32" s="2">
        <f>h_1*(b_1*(B32+F32)-(b_1/b_2)*(B32+F32)^2)</f>
        <v>3.0237969115974903E-2</v>
      </c>
      <c r="H32" s="2">
        <f>h_1*(b_3*B32)</f>
        <v>6.4535892543147594E-3</v>
      </c>
      <c r="I32" s="2">
        <f>h_1*b_3*(B32+H32/2)</f>
        <v>6.5087674424391499E-3</v>
      </c>
      <c r="J32" s="2">
        <f>h_1*(b_3*(B32+I32/2))</f>
        <v>6.5092392159476131E-3</v>
      </c>
      <c r="K32" s="2">
        <f>h_1*(b_3*(B32+J32))</f>
        <v>6.5648972449074625E-3</v>
      </c>
    </row>
    <row r="33" spans="1:11" x14ac:dyDescent="0.25">
      <c r="A33" s="2">
        <v>0.24</v>
      </c>
      <c r="B33" s="5">
        <f t="shared" si="0"/>
        <v>0.40733643768963496</v>
      </c>
      <c r="C33" s="5">
        <f t="shared" si="1"/>
        <v>6.3062919058789815E-2</v>
      </c>
      <c r="D33" s="2">
        <f>h_1*(b_1*B33-(b_1/b_2)*B33^2)</f>
        <v>3.0237765332524816E-2</v>
      </c>
      <c r="E33" s="2">
        <f>h_1*((b_1*(B33+D33/2))-((b_1/b_2)*(B33+D33/2)^2))</f>
        <v>3.0469973351401797E-2</v>
      </c>
      <c r="F33" s="2">
        <f>h_1*((b_1*(B33+E33/2))-((b_1/b_2)*(B33+E33/2)^2))</f>
        <v>3.0471510061636137E-2</v>
      </c>
      <c r="G33" s="2">
        <f>h_1*(b_1*(B33+F33)-(b_1/b_2)*(B33+F33)^2)</f>
        <v>3.0640575534185081E-2</v>
      </c>
      <c r="H33" s="2">
        <f>h_1*(b_3*B33)</f>
        <v>6.9654530844927573E-3</v>
      </c>
      <c r="I33" s="2">
        <f>h_1*b_3*(B33+H33/2)</f>
        <v>7.0250077083651719E-3</v>
      </c>
      <c r="J33" s="2">
        <f>h_1*(b_3*(B33+I33/2))</f>
        <v>7.0255169003992802E-3</v>
      </c>
      <c r="K33" s="2">
        <f>h_1*(b_3*(B33+J33))</f>
        <v>7.0855894234895861E-3</v>
      </c>
    </row>
    <row r="34" spans="1:11" x14ac:dyDescent="0.25">
      <c r="A34" s="2">
        <v>0.25</v>
      </c>
      <c r="B34" s="5">
        <f t="shared" si="0"/>
        <v>0.43779665563843256</v>
      </c>
      <c r="C34" s="5">
        <f t="shared" si="1"/>
        <v>7.0088267679708355E-2</v>
      </c>
      <c r="D34" s="2">
        <f>h_1*(b_1*B34-(b_1/b_2)*B34^2)</f>
        <v>3.0640474195917942E-2</v>
      </c>
      <c r="E34" s="2">
        <f>h_1*((b_1*(B34+D34/2))-((b_1/b_2)*(B34+D34/2)^2))</f>
        <v>3.0745276436463236E-2</v>
      </c>
      <c r="F34" s="2">
        <f>h_1*((b_1*(B34+E34/2))-((b_1/b_2)*(B34+E34/2)^2))</f>
        <v>3.0745522638642431E-2</v>
      </c>
      <c r="G34" s="2">
        <f>h_1*(b_1*(B34+F34)-(b_1/b_2)*(B34+F34)^2)</f>
        <v>3.078470382235422E-2</v>
      </c>
      <c r="H34" s="2">
        <f>h_1*(b_3*B34)</f>
        <v>7.4863228114171966E-3</v>
      </c>
      <c r="I34" s="2">
        <f>h_1*b_3*(B34+H34/2)</f>
        <v>7.5503308714548138E-3</v>
      </c>
      <c r="J34" s="2">
        <f>h_1*(b_3*(B34+I34/2))</f>
        <v>7.550878140368136E-3</v>
      </c>
      <c r="K34" s="2">
        <f>h_1*(b_3*(B34+J34))</f>
        <v>7.6154428276174928E-3</v>
      </c>
    </row>
    <row r="35" spans="1:11" x14ac:dyDescent="0.25">
      <c r="A35" s="2">
        <v>0.26</v>
      </c>
      <c r="B35" s="5">
        <f t="shared" si="0"/>
        <v>0.46853111833317979</v>
      </c>
      <c r="C35" s="5">
        <f t="shared" si="1"/>
        <v>7.7638964956821793E-2</v>
      </c>
      <c r="D35" s="2">
        <f>h_1*(b_1*B35-(b_1/b_2)*B35^2)</f>
        <v>3.0784699311330856E-2</v>
      </c>
      <c r="E35" s="2">
        <f>h_1*((b_1*(B35+D35/2))-((b_1/b_2)*(B35+D35/2)^2))</f>
        <v>3.0757982927798331E-2</v>
      </c>
      <c r="F35" s="2">
        <f>h_1*((b_1*(B35+E35/2))-((b_1/b_2)*(B35+E35/2)^2))</f>
        <v>3.0758034743352924E-2</v>
      </c>
      <c r="G35" s="2">
        <f>h_1*(b_1*(B35+F35)-(b_1/b_2)*(B35+F35)^2)</f>
        <v>3.0665447938382741E-2</v>
      </c>
      <c r="H35" s="2">
        <f>h_1*(b_3*B35)</f>
        <v>8.0118821234973752E-3</v>
      </c>
      <c r="I35" s="2">
        <f>h_1*b_3*(B35+H35/2)</f>
        <v>8.0803837156532762E-3</v>
      </c>
      <c r="J35" s="2">
        <f>h_1*(b_3*(B35+I35/2))</f>
        <v>8.0809694042662094E-3</v>
      </c>
      <c r="K35" s="2">
        <f>h_1*(b_3*(B35+J35))</f>
        <v>8.1500667003103263E-3</v>
      </c>
    </row>
    <row r="36" spans="1:11" x14ac:dyDescent="0.25">
      <c r="A36" s="2">
        <v>0.27</v>
      </c>
      <c r="B36" s="5">
        <f t="shared" si="0"/>
        <v>0.49927814876518245</v>
      </c>
      <c r="C36" s="5">
        <f t="shared" si="1"/>
        <v>8.5719740800762903E-2</v>
      </c>
      <c r="D36" s="2">
        <f>h_1*(b_1*B36-(b_1/b_2)*B36^2)</f>
        <v>3.0665537755999766E-2</v>
      </c>
      <c r="E36" s="2">
        <f>h_1*((b_1*(B36+D36/2))-((b_1/b_2)*(B36+D36/2)^2))</f>
        <v>3.0507651542065268E-2</v>
      </c>
      <c r="F36" s="2">
        <f>h_1*((b_1*(B36+E36/2))-((b_1/b_2)*(B36+E36/2)^2))</f>
        <v>3.0508632260586879E-2</v>
      </c>
      <c r="G36" s="2">
        <f>h_1*(b_1*(B36+F36)-(b_1/b_2)*(B36+F36)^2)</f>
        <v>3.0286857283733554E-2</v>
      </c>
      <c r="H36" s="2">
        <f>h_1*(b_3*B36)</f>
        <v>8.5376563438846198E-3</v>
      </c>
      <c r="I36" s="2">
        <f>h_1*b_3*(B36+H36/2)</f>
        <v>8.6106533056248338E-3</v>
      </c>
      <c r="J36" s="2">
        <f>h_1*(b_3*(B36+I36/2))</f>
        <v>8.611277429647712E-3</v>
      </c>
      <c r="K36" s="2">
        <f>h_1*(b_3*(B36+J36))</f>
        <v>8.684909187931595E-3</v>
      </c>
    </row>
    <row r="37" spans="1:11" x14ac:dyDescent="0.25">
      <c r="A37" s="2">
        <v>0.28000000000000003</v>
      </c>
      <c r="B37" s="5">
        <f t="shared" si="0"/>
        <v>0.52977564253935538</v>
      </c>
      <c r="C37" s="5">
        <f t="shared" si="1"/>
        <v>9.4330811967823114E-2</v>
      </c>
      <c r="D37" s="2">
        <f>h_1*(b_1*B37-(b_1/b_2)*B37^2)</f>
        <v>3.028704287790419E-2</v>
      </c>
      <c r="E37" s="2">
        <f>h_1*((b_1*(B37+D37/2))-((b_1/b_2)*(B37+D37/2)^2))</f>
        <v>3.0002779331714545E-2</v>
      </c>
      <c r="F37" s="2">
        <f>h_1*((b_1*(B37+E37/2))-((b_1/b_2)*(B37+E37/2)^2))</f>
        <v>3.0005744472925582E-2</v>
      </c>
      <c r="G37" s="2">
        <f>h_1*(b_1*(B37+F37)-(b_1/b_2)*(B37+F37)^2)</f>
        <v>2.9661647482495512E-2</v>
      </c>
      <c r="H37" s="2">
        <f>h_1*(b_3*B37)</f>
        <v>9.0591634874229773E-3</v>
      </c>
      <c r="I37" s="2">
        <f>h_1*b_3*(B37+H37/2)</f>
        <v>9.1366193352404451E-3</v>
      </c>
      <c r="J37" s="2">
        <f>h_1*(b_3*(B37+I37/2))</f>
        <v>9.1372815827392827E-3</v>
      </c>
      <c r="K37" s="2">
        <f>h_1*(b_3*(B37+J37))</f>
        <v>9.2154110024878187E-3</v>
      </c>
    </row>
    <row r="38" spans="1:11" x14ac:dyDescent="0.25">
      <c r="A38" s="2">
        <v>0.28999999999999998</v>
      </c>
      <c r="B38" s="5">
        <f t="shared" si="0"/>
        <v>0.55976993220096871</v>
      </c>
      <c r="C38" s="5">
        <f t="shared" si="1"/>
        <v>0.10346787468880149</v>
      </c>
      <c r="D38" s="2">
        <f>h_1*(b_1*B38-(b_1/b_2)*B38^2)</f>
        <v>2.9661934111398915E-2</v>
      </c>
      <c r="E38" s="2">
        <f>h_1*((b_1*(B38+D38/2))-((b_1/b_2)*(B38+D38/2)^2))</f>
        <v>2.9260195101686409E-2</v>
      </c>
      <c r="F38" s="2">
        <f>h_1*((b_1*(B38+E38/2))-((b_1/b_2)*(B38+E38/2)^2))</f>
        <v>2.9266045772558008E-2</v>
      </c>
      <c r="G38" s="2">
        <f>h_1*(b_1*(B38+F38)-(b_1/b_2)*(B38+F38)^2)</f>
        <v>2.8810305435290503E-2</v>
      </c>
      <c r="H38" s="2">
        <f>h_1*(b_3*B38)</f>
        <v>9.572065840636565E-3</v>
      </c>
      <c r="I38" s="2">
        <f>h_1*b_3*(B38+H38/2)</f>
        <v>9.6539070035740089E-3</v>
      </c>
      <c r="J38" s="2">
        <f>h_1*(b_3*(B38+I38/2))</f>
        <v>9.6546067455171216E-3</v>
      </c>
      <c r="K38" s="2">
        <f>h_1*(b_3*(B38+J38))</f>
        <v>9.7371596159849076E-3</v>
      </c>
    </row>
    <row r="39" spans="1:11" x14ac:dyDescent="0.25">
      <c r="A39" s="2">
        <v>0.3</v>
      </c>
      <c r="B39" s="5">
        <f t="shared" si="0"/>
        <v>0.58902405241683176</v>
      </c>
      <c r="C39" s="5">
        <f t="shared" si="1"/>
        <v>0.11312225018126879</v>
      </c>
      <c r="D39" s="2">
        <f>h_1*(b_1*B39-(b_1/b_2)*B39^2)</f>
        <v>2.8810701082938355E-2</v>
      </c>
      <c r="E39" s="2">
        <f>h_1*((b_1*(B39+D39/2))-((b_1/b_2)*(B39+D39/2)^2))</f>
        <v>2.8303887095564965E-2</v>
      </c>
      <c r="F39" s="2">
        <f>h_1*((b_1*(B39+E39/2))-((b_1/b_2)*(B39+E39/2)^2))</f>
        <v>2.8313302326539499E-2</v>
      </c>
      <c r="G39" s="2">
        <f>h_1*(b_1*(B39+F39)-(b_1/b_2)*(B39+F39)^2)</f>
        <v>2.775969490482617E-2</v>
      </c>
      <c r="H39" s="2">
        <f>h_1*(b_3*B39)</f>
        <v>1.0072311296327822E-2</v>
      </c>
      <c r="I39" s="2">
        <f>h_1*b_3*(B39+H39/2)</f>
        <v>1.0158429557911427E-2</v>
      </c>
      <c r="J39" s="2">
        <f>h_1*(b_3*(B39+I39/2))</f>
        <v>1.0159165869047967E-2</v>
      </c>
      <c r="K39" s="2">
        <f>h_1*(b_3*(B39+J39))</f>
        <v>1.0246033032688544E-2</v>
      </c>
    </row>
    <row r="40" spans="1:11" x14ac:dyDescent="0.25">
      <c r="A40" s="2">
        <v>0.31</v>
      </c>
      <c r="B40" s="5">
        <f t="shared" si="0"/>
        <v>0.61732484822216072</v>
      </c>
      <c r="C40" s="5">
        <f t="shared" si="1"/>
        <v>0.12328117271175798</v>
      </c>
      <c r="D40" s="2">
        <f>h_1*(b_1*B40-(b_1/b_2)*B40^2)</f>
        <v>2.7760208480444221E-2</v>
      </c>
      <c r="E40" s="2">
        <f>h_1*((b_1*(B40+D40/2))-((b_1/b_2)*(B40+D40/2)^2))</f>
        <v>2.7163402332457131E-2</v>
      </c>
      <c r="F40" s="2">
        <f>h_1*((b_1*(B40+E40/2))-((b_1/b_2)*(B40+E40/2)^2))</f>
        <v>2.7176797648589102E-2</v>
      </c>
      <c r="G40" s="2">
        <f>h_1*(b_1*(B40+F40)-(b_1/b_2)*(B40+F40)^2)</f>
        <v>2.6541321278808851E-2</v>
      </c>
      <c r="H40" s="2">
        <f>h_1*(b_3*B40)</f>
        <v>1.0556254904598947E-2</v>
      </c>
      <c r="I40" s="2">
        <f>h_1*b_3*(B40+H40/2)</f>
        <v>1.064651088403327E-2</v>
      </c>
      <c r="J40" s="2">
        <f>h_1*(b_3*(B40+I40/2))</f>
        <v>1.0647282572657433E-2</v>
      </c>
      <c r="K40" s="2">
        <f>h_1*(b_3*(B40+J40))</f>
        <v>1.0738323436591391E-2</v>
      </c>
    </row>
    <row r="41" spans="1:11" x14ac:dyDescent="0.25">
      <c r="A41" s="2">
        <v>0.32</v>
      </c>
      <c r="B41" s="5">
        <f t="shared" si="0"/>
        <v>0.64448850317571826</v>
      </c>
      <c r="C41" s="5">
        <f t="shared" si="1"/>
        <v>0.13392820025418661</v>
      </c>
      <c r="D41" s="2">
        <f>h_1*(b_1*B41-(b_1/b_2)*B41^2)</f>
        <v>2.6541960485100154E-2</v>
      </c>
      <c r="E41" s="2">
        <f>h_1*((b_1*(B41+D41/2))-((b_1/b_2)*(B41+D41/2)^2))</f>
        <v>2.5871995007055483E-2</v>
      </c>
      <c r="F41" s="2">
        <f>h_1*((b_1*(B41+E41/2))-((b_1/b_2)*(B41+E41/2)^2))</f>
        <v>2.5889510007885887E-2</v>
      </c>
      <c r="G41" s="2">
        <f>h_1*(b_1*(B41+F41)-(b_1/b_2)*(B41+F41)^2)</f>
        <v>2.5189439776669646E-2</v>
      </c>
      <c r="H41" s="2">
        <f>h_1*(b_3*B41)</f>
        <v>1.1020753404304782E-2</v>
      </c>
      <c r="I41" s="2">
        <f>h_1*b_3*(B41+H41/2)</f>
        <v>1.1114980845911589E-2</v>
      </c>
      <c r="J41" s="2">
        <f>h_1*(b_3*(B41+I41/2))</f>
        <v>1.1115786490537327E-2</v>
      </c>
      <c r="K41" s="2">
        <f>h_1*(b_3*(B41+J41))</f>
        <v>1.1210833353292971E-2</v>
      </c>
    </row>
    <row r="42" spans="1:11" x14ac:dyDescent="0.25">
      <c r="A42" s="2">
        <v>0.33</v>
      </c>
      <c r="B42" s="5">
        <f t="shared" si="0"/>
        <v>0.670364238224327</v>
      </c>
      <c r="C42" s="5">
        <f t="shared" si="1"/>
        <v>0.14504372049260256</v>
      </c>
      <c r="D42" s="2">
        <f>h_1*(b_1*B42-(b_1/b_2)*B42^2)</f>
        <v>2.5190209082279615E-2</v>
      </c>
      <c r="E42" s="2">
        <f>h_1*((b_1*(B42+D42/2))-((b_1/b_2)*(B42+D42/2)^2))</f>
        <v>2.4464712447963787E-2</v>
      </c>
      <c r="F42" s="2">
        <f>h_1*((b_1*(B42+E42/2))-((b_1/b_2)*(B42+E42/2)^2))</f>
        <v>2.4486225672123982E-2</v>
      </c>
      <c r="G42" s="2">
        <f>h_1*(b_1*(B42+F42)-(b_1/b_2)*(B42+F42)^2)</f>
        <v>2.3739188536177815E-2</v>
      </c>
      <c r="H42" s="2">
        <f>h_1*(b_3*B42)</f>
        <v>1.1463228473635992E-2</v>
      </c>
      <c r="I42" s="2">
        <f>h_1*b_3*(B42+H42/2)</f>
        <v>1.156123907708558E-2</v>
      </c>
      <c r="J42" s="2">
        <f>h_1*(b_3*(B42+I42/2))</f>
        <v>1.1562077067745074E-2</v>
      </c>
      <c r="K42" s="2">
        <f>h_1*(b_3*(B42+J42))</f>
        <v>1.1660939991494432E-2</v>
      </c>
    </row>
    <row r="43" spans="1:11" x14ac:dyDescent="0.25">
      <c r="A43" s="2">
        <v>0.34</v>
      </c>
      <c r="B43" s="5">
        <f t="shared" si="0"/>
        <v>0.69483611720076588</v>
      </c>
      <c r="C43" s="5">
        <f t="shared" si="1"/>
        <v>0.15660552061840119</v>
      </c>
      <c r="D43" s="2">
        <f>h_1*(b_1*B43-(b_1/b_2)*B43^2)</f>
        <v>2.3740087630503108E-2</v>
      </c>
      <c r="E43" s="2">
        <f>h_1*((b_1*(B43+D43/2))-((b_1/b_2)*(B43+D43/2)^2))</f>
        <v>2.2976590773568884E-2</v>
      </c>
      <c r="F43" s="2">
        <f>h_1*((b_1*(B43+E43/2))-((b_1/b_2)*(B43+E43/2)^2))</f>
        <v>2.300175652551549E-2</v>
      </c>
      <c r="G43" s="2">
        <f>h_1*(b_1*(B43+F43)-(b_1/b_2)*(B43+F43)^2)</f>
        <v>2.2224900929186688E-2</v>
      </c>
      <c r="H43" s="2">
        <f>h_1*(b_3*B43)</f>
        <v>1.1881697604133098E-2</v>
      </c>
      <c r="I43" s="2">
        <f>h_1*b_3*(B43+H43/2)</f>
        <v>1.1983286118648436E-2</v>
      </c>
      <c r="J43" s="2">
        <f>h_1*(b_3*(B43+I43/2))</f>
        <v>1.1984154700447541E-2</v>
      </c>
      <c r="K43" s="2">
        <f>h_1*(b_3*(B43+J43))</f>
        <v>1.208662664951075E-2</v>
      </c>
    </row>
    <row r="44" spans="1:11" x14ac:dyDescent="0.25">
      <c r="A44" s="2">
        <v>0.35</v>
      </c>
      <c r="B44" s="5">
        <f t="shared" si="0"/>
        <v>0.71782306439374233</v>
      </c>
      <c r="C44" s="5">
        <f t="shared" si="1"/>
        <v>0.16858938826704048</v>
      </c>
      <c r="D44" s="2">
        <f>h_1*(b_1*B44-(b_1/b_2)*B44^2)</f>
        <v>2.222592390089239E-2</v>
      </c>
      <c r="E44" s="2">
        <f>h_1*((b_1*(B44+D44/2))-((b_1/b_2)*(B44+D44/2)^2))</f>
        <v>2.1441095306597546E-2</v>
      </c>
      <c r="F44" s="2">
        <f>h_1*((b_1*(B44+E44/2))-((b_1/b_2)*(B44+E44/2)^2))</f>
        <v>2.1469394986943249E-2</v>
      </c>
      <c r="G44" s="2">
        <f>h_1*(b_1*(B44+F44)-(b_1/b_2)*(B44+F44)^2)</f>
        <v>2.0678708343629726E-2</v>
      </c>
      <c r="H44" s="2">
        <f>h_1*(b_3*B44)</f>
        <v>1.2274774401132994E-2</v>
      </c>
      <c r="I44" s="2">
        <f>h_1*b_3*(B44+H44/2)</f>
        <v>1.2379723722262681E-2</v>
      </c>
      <c r="J44" s="2">
        <f>h_1*(b_3*(B44+I44/2))</f>
        <v>1.238062103895834E-2</v>
      </c>
      <c r="K44" s="2">
        <f>h_1*(b_3*(B44+J44))</f>
        <v>1.2486483020899181E-2</v>
      </c>
    </row>
    <row r="45" spans="1:11" x14ac:dyDescent="0.25">
      <c r="A45" s="2">
        <v>0.36</v>
      </c>
      <c r="B45" s="5">
        <f t="shared" si="0"/>
        <v>0.73927733319900957</v>
      </c>
      <c r="C45" s="5">
        <f t="shared" si="1"/>
        <v>0.18096971275778617</v>
      </c>
      <c r="D45" s="2">
        <f>h_1*(b_1*B45-(b_1/b_2)*B45^2)</f>
        <v>2.0679843654367102E-2</v>
      </c>
      <c r="E45" s="2">
        <f>h_1*((b_1*(B45+D45/2))-((b_1/b_2)*(B45+D45/2)^2))</f>
        <v>1.9888892532555102E-2</v>
      </c>
      <c r="F45" s="2">
        <f>h_1*((b_1*(B45+E45/2))-((b_1/b_2)*(B45+E45/2)^2))</f>
        <v>1.9919692469428991E-2</v>
      </c>
      <c r="G45" s="2">
        <f>h_1*(b_1*(B45+F45)-(b_1/b_2)*(B45+F45)^2)</f>
        <v>1.912949523950342E-2</v>
      </c>
      <c r="H45" s="2">
        <f>h_1*(b_3*B45)</f>
        <v>1.2641642397703063E-2</v>
      </c>
      <c r="I45" s="2">
        <f>h_1*b_3*(B45+H45/2)</f>
        <v>1.2749728440203426E-2</v>
      </c>
      <c r="J45" s="2">
        <f>h_1*(b_3*(B45+I45/2))</f>
        <v>1.2750652575866803E-2</v>
      </c>
      <c r="K45" s="2">
        <f>h_1*(b_3*(B45+J45))</f>
        <v>1.2859678556750386E-2</v>
      </c>
    </row>
    <row r="46" spans="1:11" x14ac:dyDescent="0.25">
      <c r="A46" s="2">
        <v>0.37</v>
      </c>
      <c r="B46" s="5">
        <f t="shared" si="0"/>
        <v>0.7591817513486494</v>
      </c>
      <c r="C46" s="5">
        <f t="shared" si="1"/>
        <v>0.1937200599222185</v>
      </c>
      <c r="D46" s="2">
        <f>h_1*(b_1*B46-(b_1/b_2)*B46^2)</f>
        <v>1.9130726408497393E-2</v>
      </c>
      <c r="E46" s="2">
        <f>h_1*((b_1*(B46+D46/2))-((b_1/b_2)*(B46+D46/2)^2))</f>
        <v>1.8346990598476172E-2</v>
      </c>
      <c r="F46" s="2">
        <f>h_1*((b_1*(B46+E46/2))-((b_1/b_2)*(B46+E46/2)^2))</f>
        <v>1.8379599181378551E-2</v>
      </c>
      <c r="G46" s="2">
        <f>h_1*(b_1*(B46+F46)-(b_1/b_2)*(B46+F46)^2)</f>
        <v>1.7602221331360662E-2</v>
      </c>
      <c r="H46" s="2">
        <f>h_1*(b_3*B46)</f>
        <v>1.2982007948061905E-2</v>
      </c>
      <c r="I46" s="2">
        <f>h_1*b_3*(B46+H46/2)</f>
        <v>1.3093004116017834E-2</v>
      </c>
      <c r="J46" s="2">
        <f>h_1*(b_3*(B46+I46/2))</f>
        <v>1.3093953133253858E-2</v>
      </c>
      <c r="K46" s="2">
        <f>h_1*(b_3*(B46+J46))</f>
        <v>1.3205914546640548E-2</v>
      </c>
    </row>
    <row r="47" spans="1:11" x14ac:dyDescent="0.25">
      <c r="A47" s="2">
        <v>0.38</v>
      </c>
      <c r="B47" s="5">
        <f t="shared" si="0"/>
        <v>0.77754610589857731</v>
      </c>
      <c r="C47" s="5">
        <f t="shared" si="1"/>
        <v>0.20681369942109279</v>
      </c>
      <c r="D47" s="2">
        <f>h_1*(b_1*B47-(b_1/b_2)*B47^2)</f>
        <v>1.7603528138092947E-2</v>
      </c>
      <c r="E47" s="2">
        <f>h_1*((b_1*(B47+D47/2))-((b_1/b_2)*(B47+D47/2)^2))</f>
        <v>1.6838241805180978E-2</v>
      </c>
      <c r="F47" s="2">
        <f>h_1*((b_1*(B47+E47/2))-((b_1/b_2)*(B47+E47/2)^2))</f>
        <v>1.6871960408803979E-2</v>
      </c>
      <c r="G47" s="2">
        <f>h_1*(b_1*(B47+F47)-(b_1/b_2)*(B47+F47)^2)</f>
        <v>1.6117587543822049E-2</v>
      </c>
      <c r="H47" s="2">
        <f>h_1*(b_3*B47)</f>
        <v>1.3296038410865671E-2</v>
      </c>
      <c r="I47" s="2">
        <f>h_1*b_3*(B47+H47/2)</f>
        <v>1.3409719539278574E-2</v>
      </c>
      <c r="J47" s="2">
        <f>h_1*(b_3*(B47+I47/2))</f>
        <v>1.3410691512926506E-2</v>
      </c>
      <c r="K47" s="2">
        <f>h_1*(b_3*(B47+J47))</f>
        <v>1.3525361235736715E-2</v>
      </c>
    </row>
    <row r="48" spans="1:11" x14ac:dyDescent="0.25">
      <c r="A48" s="2">
        <v>0.39</v>
      </c>
      <c r="B48" s="5">
        <f t="shared" si="0"/>
        <v>0.79440302591689149</v>
      </c>
      <c r="C48" s="5">
        <f t="shared" si="1"/>
        <v>0.22022406971292821</v>
      </c>
      <c r="D48" s="2">
        <f>h_1*(b_1*B48-(b_1/b_2)*B48^2)</f>
        <v>1.611894750813974E-2</v>
      </c>
      <c r="E48" s="2">
        <f>h_1*((b_1*(B48+D48/2))-((b_1/b_2)*(B48+D48/2)^2))</f>
        <v>1.5381167986108739E-2</v>
      </c>
      <c r="F48" s="2">
        <f>h_1*((b_1*(B48+E48/2))-((b_1/b_2)*(B48+E48/2)^2))</f>
        <v>1.5415332220919637E-2</v>
      </c>
      <c r="G48" s="2">
        <f>h_1*(b_1*(B48+F48)-(b_1/b_2)*(B48+F48)^2)</f>
        <v>1.4691996100957906E-2</v>
      </c>
      <c r="H48" s="2">
        <f>h_1*(b_3*B48)</f>
        <v>1.3584291743178845E-2</v>
      </c>
      <c r="I48" s="2">
        <f>h_1*b_3*(B48+H48/2)</f>
        <v>1.3700437437583023E-2</v>
      </c>
      <c r="J48" s="2">
        <f>h_1*(b_3*(B48+I48/2))</f>
        <v>1.3701430483270181E-2</v>
      </c>
      <c r="K48" s="2">
        <f>h_1*(b_3*(B48+J48))</f>
        <v>1.3818586204442764E-2</v>
      </c>
    </row>
    <row r="49" spans="1:11" x14ac:dyDescent="0.25">
      <c r="A49" s="2">
        <v>0.4</v>
      </c>
      <c r="B49" s="5">
        <f t="shared" si="0"/>
        <v>0.80980368325408392</v>
      </c>
      <c r="C49" s="5">
        <f t="shared" si="1"/>
        <v>0.23392517201114954</v>
      </c>
      <c r="D49" s="2">
        <f>h_1*(b_1*B49-(b_1/b_2)*B49^2)</f>
        <v>1.4693386007395226E-2</v>
      </c>
      <c r="E49" s="2">
        <f>h_1*((b_1*(B49+D49/2))-((b_1/b_2)*(B49+D49/2)^2))</f>
        <v>1.3990049713398456E-2</v>
      </c>
      <c r="F49" s="2">
        <f>h_1*((b_1*(B49+E49/2))-((b_1/b_2)*(B49+E49/2)^2))</f>
        <v>1.4024059513726197E-2</v>
      </c>
      <c r="G49" s="2">
        <f>h_1*(b_1*(B49+F49)-(b_1/b_2)*(B49+F49)^2)</f>
        <v>1.3337741092198457E-2</v>
      </c>
      <c r="H49" s="2">
        <f>h_1*(b_3*B49)</f>
        <v>1.3847642983644834E-2</v>
      </c>
      <c r="I49" s="2">
        <f>h_1*b_3*(B49+H49/2)</f>
        <v>1.3966040331155E-2</v>
      </c>
      <c r="J49" s="2">
        <f>h_1*(b_3*(B49+I49/2))</f>
        <v>1.3967052628476211E-2</v>
      </c>
      <c r="K49" s="2">
        <f>h_1*(b_3*(B49+J49))</f>
        <v>1.4086479583591778E-2</v>
      </c>
    </row>
    <row r="50" spans="1:11" x14ac:dyDescent="0.25">
      <c r="A50" s="2">
        <v>0.41</v>
      </c>
      <c r="B50" s="5">
        <f t="shared" si="0"/>
        <v>0.82381357417972445</v>
      </c>
      <c r="C50" s="5">
        <f t="shared" si="1"/>
        <v>0.24789189009223273</v>
      </c>
      <c r="D50" s="2">
        <f>h_1*(b_1*B50-(b_1/b_2)*B50^2)</f>
        <v>1.3339138371412851E-2</v>
      </c>
      <c r="E50" s="2">
        <f>h_1*((b_1*(B50+D50/2))-((b_1/b_2)*(B50+D50/2)^2))</f>
        <v>1.2675212062519724E-2</v>
      </c>
      <c r="F50" s="2">
        <f>h_1*((b_1*(B50+E50/2))-((b_1/b_2)*(B50+E50/2)^2))</f>
        <v>1.2708550732377866E-2</v>
      </c>
      <c r="G50" s="2">
        <f>h_1*(b_1*(B50+F50)-(b_1/b_2)*(B50+F50)^2)</f>
        <v>1.2063362431318262E-2</v>
      </c>
      <c r="H50" s="2">
        <f>h_1*(b_3*B50)</f>
        <v>1.4087212118473287E-2</v>
      </c>
      <c r="I50" s="2">
        <f>h_1*b_3*(B50+H50/2)</f>
        <v>1.4207657782086235E-2</v>
      </c>
      <c r="J50" s="2">
        <f>h_1*(b_3*(B50+I50/2))</f>
        <v>1.4208687592510125E-2</v>
      </c>
      <c r="K50" s="2">
        <f>h_1*(b_3*(B50+J50))</f>
        <v>1.4330180676305211E-2</v>
      </c>
    </row>
    <row r="51" spans="1:11" x14ac:dyDescent="0.25">
      <c r="A51" s="2">
        <v>0.42</v>
      </c>
      <c r="B51" s="5">
        <f t="shared" si="0"/>
        <v>0.83650857857847882</v>
      </c>
      <c r="C51" s="5">
        <f t="shared" si="1"/>
        <v>0.26210023734956128</v>
      </c>
      <c r="D51" s="2">
        <f>h_1*(b_1*B51-(b_1/b_2)*B51^2)</f>
        <v>1.2064746276083156E-2</v>
      </c>
      <c r="E51" s="2">
        <f>h_1*((b_1*(B51+D51/2))-((b_1/b_2)*(B51+D51/2)^2))</f>
        <v>1.1443440795248439E-2</v>
      </c>
      <c r="F51" s="2">
        <f>h_1*((b_1*(B51+E51/2))-((b_1/b_2)*(B51+E51/2)^2))</f>
        <v>1.1475684247516042E-2</v>
      </c>
      <c r="G51" s="2">
        <f>h_1*(b_1*(B51+F51)-(b_1/b_2)*(B51+F51)^2)</f>
        <v>1.0874100547150522E-2</v>
      </c>
      <c r="H51" s="2">
        <f>h_1*(b_3*B51)</f>
        <v>1.4304296693691987E-2</v>
      </c>
      <c r="I51" s="2">
        <f>h_1*b_3*(B51+H51/2)</f>
        <v>1.4426598430423054E-2</v>
      </c>
      <c r="J51" s="2">
        <f>h_1*(b_3*(B51+I51/2))</f>
        <v>1.4427644110272104E-2</v>
      </c>
      <c r="K51" s="2">
        <f>h_1*(b_3*(B51+J51))</f>
        <v>1.455100940797764E-2</v>
      </c>
    </row>
    <row r="52" spans="1:11" x14ac:dyDescent="0.25">
      <c r="A52" s="2">
        <v>0.43</v>
      </c>
      <c r="B52" s="5">
        <f t="shared" si="0"/>
        <v>0.84797142806327264</v>
      </c>
      <c r="C52" s="5">
        <f t="shared" si="1"/>
        <v>0.27652753588007128</v>
      </c>
      <c r="D52" s="2">
        <f>h_1*(b_1*B52-(b_1/b_2)*B52^2)</f>
        <v>1.0875452705726759E-2</v>
      </c>
      <c r="E52" s="2">
        <f>h_1*((b_1*(B52+D52/2))-((b_1/b_2)*(B52+D52/2)^2))</f>
        <v>1.0298470277231235E-2</v>
      </c>
      <c r="F52" s="2">
        <f>h_1*((b_1*(B52+E52/2))-((b_1/b_2)*(B52+E52/2)^2))</f>
        <v>1.0329288322377259E-2</v>
      </c>
      <c r="G52" s="2">
        <f>h_1*(b_1*(B52+F52)-(b_1/b_2)*(B52+F52)^2)</f>
        <v>9.7723984348140648E-3</v>
      </c>
      <c r="H52" s="2">
        <f>h_1*(b_3*B52)</f>
        <v>1.4500311419881963E-2</v>
      </c>
      <c r="I52" s="2">
        <f>h_1*b_3*(B52+H52/2)</f>
        <v>1.4624289082521955E-2</v>
      </c>
      <c r="J52" s="2">
        <f>h_1*(b_3*(B52+I52/2))</f>
        <v>1.4625349091537525E-2</v>
      </c>
      <c r="K52" s="2">
        <f>h_1*(b_3*(B52+J52))</f>
        <v>1.4750404889347256E-2</v>
      </c>
    </row>
    <row r="53" spans="1:11" x14ac:dyDescent="0.25">
      <c r="A53" s="2">
        <v>0.44</v>
      </c>
      <c r="B53" s="5">
        <f t="shared" si="0"/>
        <v>0.85828865611989891</v>
      </c>
      <c r="C53" s="5">
        <f t="shared" si="1"/>
        <v>0.29115253465629598</v>
      </c>
      <c r="D53" s="2">
        <f>h_1*(b_1*B53-(b_1/b_2)*B53^2)</f>
        <v>9.7737036789861346E-3</v>
      </c>
      <c r="E53" s="2">
        <f>h_1*((b_1*(B53+D53/2))-((b_1/b_2)*(B53+D53/2)^2))</f>
        <v>9.2414953321856251E-3</v>
      </c>
      <c r="F53" s="2">
        <f>h_1*((b_1*(B53+E53/2))-((b_1/b_2)*(B53+E53/2)^2))</f>
        <v>9.270647079325834E-3</v>
      </c>
      <c r="G53" s="2">
        <f>h_1*(b_1*(B53+F53)-(b_1/b_2)*(B53+F53)^2)</f>
        <v>8.7584092102200375E-3</v>
      </c>
      <c r="H53" s="2">
        <f>h_1*(b_3*B53)</f>
        <v>1.4676736019650272E-2</v>
      </c>
      <c r="I53" s="2">
        <f>h_1*b_3*(B53+H53/2)</f>
        <v>1.4802222112618281E-2</v>
      </c>
      <c r="J53" s="2">
        <f>h_1*(b_3*(B53+I53/2))</f>
        <v>1.4803295018713157E-2</v>
      </c>
      <c r="K53" s="2">
        <f>h_1*(b_3*(B53+J53))</f>
        <v>1.4929872364470265E-2</v>
      </c>
    </row>
    <row r="54" spans="1:11" x14ac:dyDescent="0.25">
      <c r="A54" s="2">
        <v>0.45</v>
      </c>
      <c r="B54" s="5">
        <f t="shared" si="0"/>
        <v>0.86754805573860372</v>
      </c>
      <c r="C54" s="5">
        <f t="shared" si="1"/>
        <v>0.30595547509742654</v>
      </c>
      <c r="D54" s="2">
        <f>h_1*(b_1*B54-(b_1/b_2)*B54^2)</f>
        <v>8.7596555133805515E-3</v>
      </c>
      <c r="E54" s="2">
        <f>h_1*((b_1*(B54+D54/2))-((b_1/b_2)*(B54+D54/2)^2))</f>
        <v>8.2716711887639432E-3</v>
      </c>
      <c r="F54" s="2">
        <f>h_1*((b_1*(B54+E54/2))-((b_1/b_2)*(B54+E54/2)^2))</f>
        <v>8.2989965309683989E-3</v>
      </c>
      <c r="G54" s="2">
        <f>h_1*(b_1*(B54+F54)-(b_1/b_2)*(B54+F54)^2)</f>
        <v>7.8304790335074342E-3</v>
      </c>
      <c r="H54" s="2">
        <f>h_1*(b_3*B54)</f>
        <v>1.4835071753130123E-2</v>
      </c>
      <c r="I54" s="2">
        <f>h_1*b_3*(B54+H54/2)</f>
        <v>1.4961911616619385E-2</v>
      </c>
      <c r="J54" s="2">
        <f>h_1*(b_3*(B54+I54/2))</f>
        <v>1.4962996097452219E-2</v>
      </c>
      <c r="K54" s="2">
        <f>h_1*(b_3*(B54+J54))</f>
        <v>1.5090938986396556E-2</v>
      </c>
    </row>
    <row r="55" spans="1:11" x14ac:dyDescent="0.25">
      <c r="A55" s="2">
        <v>0.46</v>
      </c>
      <c r="B55" s="5">
        <f t="shared" si="0"/>
        <v>0.8758366340696625</v>
      </c>
      <c r="C55" s="5">
        <f t="shared" si="1"/>
        <v>0.32091811279203819</v>
      </c>
      <c r="D55" s="2">
        <f>h_1*(b_1*B55-(b_1/b_2)*B55^2)</f>
        <v>7.8316575154871153E-3</v>
      </c>
      <c r="E55" s="2">
        <f>h_1*((b_1*(B55+D55/2))-((b_1/b_2)*(B55+D55/2)^2))</f>
        <v>7.3865770384049338E-3</v>
      </c>
      <c r="F55" s="2">
        <f>h_1*((b_1*(B55+E55/2))-((b_1/b_2)*(B55+E55/2)^2))</f>
        <v>7.4119859234797053E-3</v>
      </c>
      <c r="G55" s="2">
        <f>h_1*(b_1*(B55+F55)-(b_1/b_2)*(B55+F55)^2)</f>
        <v>6.9855858804925754E-3</v>
      </c>
      <c r="H55" s="2">
        <f>h_1*(b_3*B55)</f>
        <v>1.4976806442591228E-2</v>
      </c>
      <c r="I55" s="2">
        <f>h_1*b_3*(B55+H55/2)</f>
        <v>1.5104858137675384E-2</v>
      </c>
      <c r="J55" s="2">
        <f>h_1*(b_3*(B55+I55/2))</f>
        <v>1.5105952979668354E-2</v>
      </c>
      <c r="K55" s="2">
        <f>h_1*(b_3*(B55+J55))</f>
        <v>1.5235118238543557E-2</v>
      </c>
    </row>
    <row r="56" spans="1:11" x14ac:dyDescent="0.25">
      <c r="A56" s="2">
        <v>0.47</v>
      </c>
      <c r="B56" s="5">
        <f t="shared" si="0"/>
        <v>0.88323902895628736</v>
      </c>
      <c r="C56" s="5">
        <f t="shared" si="1"/>
        <v>0.33602370394467523</v>
      </c>
      <c r="D56" s="2">
        <f>h_1*(b_1*B56-(b_1/b_2)*B56^2)</f>
        <v>6.9866905830762429E-3</v>
      </c>
      <c r="E56" s="2">
        <f>h_1*((b_1*(B56+D56/2))-((b_1/b_2)*(B56+D56/2)^2))</f>
        <v>6.5826285119615947E-3</v>
      </c>
      <c r="F56" s="2">
        <f>h_1*((b_1*(B56+E56/2))-((b_1/b_2)*(B56+E56/2)^2))</f>
        <v>6.606089347909112E-3</v>
      </c>
      <c r="G56" s="2">
        <f>h_1*(b_1*(B56+F56)-(b_1/b_2)*(B56+F56)^2)</f>
        <v>6.2197234460996858E-3</v>
      </c>
      <c r="H56" s="2">
        <f>h_1*(b_3*B56)</f>
        <v>1.5103387395152514E-2</v>
      </c>
      <c r="I56" s="2">
        <f>h_1*b_3*(B56+H56/2)</f>
        <v>1.5232521357381068E-2</v>
      </c>
      <c r="J56" s="2">
        <f>h_1*(b_3*(B56+I56/2))</f>
        <v>1.5233625452758122E-2</v>
      </c>
      <c r="K56" s="2">
        <f>h_1*(b_3*(B56+J56))</f>
        <v>1.5363882390394677E-2</v>
      </c>
    </row>
    <row r="57" spans="1:11" x14ac:dyDescent="0.25">
      <c r="A57" s="2">
        <v>0.48</v>
      </c>
      <c r="B57" s="5">
        <f t="shared" si="0"/>
        <v>0.88983633724777356</v>
      </c>
      <c r="C57" s="5">
        <f t="shared" si="1"/>
        <v>0.35125696451231281</v>
      </c>
      <c r="D57" s="2">
        <f>h_1*(b_1*B57-(b_1/b_2)*B57^2)</f>
        <v>6.2207510003775999E-3</v>
      </c>
      <c r="E57" s="2">
        <f>h_1*((b_1*(B57+D57/2))-((b_1/b_2)*(B57+D57/2)^2))</f>
        <v>5.8554321712933266E-3</v>
      </c>
      <c r="F57" s="2">
        <f>h_1*((b_1*(B57+E57/2))-((b_1/b_2)*(B57+E57/2)^2))</f>
        <v>5.8769603536081936E-3</v>
      </c>
      <c r="G57" s="2">
        <f>h_1*(b_1*(B57+F57)-(b_1/b_2)*(B57+F57)^2)</f>
        <v>5.5282262341934188E-3</v>
      </c>
      <c r="H57" s="2">
        <f>h_1*(b_3*B57)</f>
        <v>1.5216201366936927E-2</v>
      </c>
      <c r="I57" s="2">
        <f>h_1*b_3*(B57+H57/2)</f>
        <v>1.5346299888624239E-2</v>
      </c>
      <c r="J57" s="2">
        <f>h_1*(b_3*(B57+I57/2))</f>
        <v>1.5347412230984665E-2</v>
      </c>
      <c r="K57" s="2">
        <f>h_1*(b_3*(B57+J57))</f>
        <v>1.5478642116086766E-2</v>
      </c>
    </row>
    <row r="58" spans="1:11" x14ac:dyDescent="0.25">
      <c r="A58" s="2">
        <v>0.49</v>
      </c>
      <c r="B58" s="5">
        <f t="shared" si="0"/>
        <v>0.89570529762850259</v>
      </c>
      <c r="C58" s="5">
        <f t="shared" si="1"/>
        <v>0.36660400913268637</v>
      </c>
      <c r="D58" s="2">
        <f>h_1*(b_1*B58-(b_1/b_2)*B58^2)</f>
        <v>5.5291754721326211E-3</v>
      </c>
      <c r="E58" s="2">
        <f>h_1*((b_1*(B58+D58/2))-((b_1/b_2)*(B58+D58/2)^2))</f>
        <v>5.2000808627374259E-3</v>
      </c>
      <c r="F58" s="2">
        <f>h_1*((b_1*(B58+E58/2))-((b_1/b_2)*(B58+E58/2)^2))</f>
        <v>5.2197280829935268E-3</v>
      </c>
      <c r="G58" s="2">
        <f>h_1*(b_1*(B58+F58)-(b_1/b_2)*(B58+F58)^2)</f>
        <v>4.9060367130176275E-3</v>
      </c>
      <c r="H58" s="2">
        <f>h_1*(b_3*B58)</f>
        <v>1.5316560589447395E-2</v>
      </c>
      <c r="I58" s="2">
        <f>h_1*b_3*(B58+H58/2)</f>
        <v>1.544751718248717E-2</v>
      </c>
      <c r="J58" s="2">
        <f>h_1*(b_3*(B58+I58/2))</f>
        <v>1.5448636861357661E-2</v>
      </c>
      <c r="K58" s="2">
        <f>h_1*(b_3*(B58+J58))</f>
        <v>1.558073227977661E-2</v>
      </c>
    </row>
    <row r="59" spans="1:11" x14ac:dyDescent="0.25">
      <c r="A59" s="2">
        <v>0.5</v>
      </c>
      <c r="B59" s="5">
        <f t="shared" si="0"/>
        <v>0.90091776930793799</v>
      </c>
      <c r="C59" s="5">
        <f t="shared" si="1"/>
        <v>0.38205227595883867</v>
      </c>
      <c r="D59" s="2">
        <f>h_1*(b_1*B59-(b_1/b_2)*B59^2)</f>
        <v>4.9069082642572859E-3</v>
      </c>
      <c r="E59" s="2">
        <f>h_1*((b_1*(B59+D59/2))-((b_1/b_2)*(B59+D59/2)^2))</f>
        <v>4.6113926945976933E-3</v>
      </c>
      <c r="F59" s="2">
        <f>h_1*((b_1*(B59+E59/2))-((b_1/b_2)*(B59+E59/2)^2))</f>
        <v>4.6292374186619337E-3</v>
      </c>
      <c r="G59" s="2">
        <f>h_1*(b_1*(B59+F59)-(b_1/b_2)*(B59+F59)^2)</f>
        <v>4.3479185596025259E-3</v>
      </c>
      <c r="H59" s="2">
        <f>h_1*(b_3*B59)</f>
        <v>1.5405693855165738E-2</v>
      </c>
      <c r="I59" s="2">
        <f>h_1*b_3*(B59+H59/2)</f>
        <v>1.5537412537627407E-2</v>
      </c>
      <c r="J59" s="2">
        <f>h_1*(b_3*(B59+I59/2))</f>
        <v>1.5538538732362453E-2</v>
      </c>
      <c r="K59" s="2">
        <f>h_1*(b_3*(B59+J59))</f>
        <v>1.5671402867489137E-2</v>
      </c>
    </row>
    <row r="60" spans="1:11" x14ac:dyDescent="0.25">
      <c r="A60" s="2">
        <v>0.51</v>
      </c>
      <c r="B60" s="5">
        <f t="shared" si="0"/>
        <v>0.90554045048300114</v>
      </c>
      <c r="C60" s="5">
        <f t="shared" si="1"/>
        <v>0.39759044250261111</v>
      </c>
      <c r="D60" s="2">
        <f>h_1*(b_1*B60-(b_1/b_2)*B60^2)</f>
        <v>4.3487144628632278E-3</v>
      </c>
      <c r="E60" s="2">
        <f>h_1*((b_1*(B60+D60/2))-((b_1/b_2)*(B60+D60/2)^2))</f>
        <v>4.0840987990263143E-3</v>
      </c>
      <c r="F60" s="2">
        <f>h_1*((b_1*(B60+E60/2))-((b_1/b_2)*(B60+E60/2)^2))</f>
        <v>4.1002380950538077E-3</v>
      </c>
      <c r="G60" s="2">
        <f>h_1*(b_1*(B60+F60)-(b_1/b_2)*(B60+F60)^2)</f>
        <v>3.848621817028075E-3</v>
      </c>
      <c r="H60" s="2">
        <f>h_1*(b_3*B60)</f>
        <v>1.548474170325932E-2</v>
      </c>
      <c r="I60" s="2">
        <f>h_1*b_3*(B60+H60/2)</f>
        <v>1.5617136244822187E-2</v>
      </c>
      <c r="J60" s="2">
        <f>h_1*(b_3*(B60+I60/2))</f>
        <v>1.5618268218152549E-2</v>
      </c>
      <c r="K60" s="2">
        <f>h_1*(b_3*(B60+J60))</f>
        <v>1.5751814089789727E-2</v>
      </c>
    </row>
    <row r="61" spans="1:11" x14ac:dyDescent="0.25">
      <c r="A61" s="2">
        <v>0.52</v>
      </c>
      <c r="B61" s="5">
        <f t="shared" si="0"/>
        <v>0.90963478549434307</v>
      </c>
      <c r="C61" s="5">
        <f t="shared" si="1"/>
        <v>0.41320833662244422</v>
      </c>
      <c r="D61" s="2">
        <f>h_1*(b_1*B61-(b_1/b_2)*B61^2)</f>
        <v>3.8493451651254421E-3</v>
      </c>
      <c r="E61" s="2">
        <f>h_1*((b_1*(B61+D61/2))-((b_1/b_2)*(B61+D61/2)^2))</f>
        <v>3.6129862688836314E-3</v>
      </c>
      <c r="F61" s="2">
        <f>h_1*((b_1*(B61+E61/2))-((b_1/b_2)*(B61+E61/2)^2))</f>
        <v>3.6275290164451413E-3</v>
      </c>
      <c r="G61" s="2">
        <f>h_1*(b_1*(B61+F61)-(b_1/b_2)*(B61+F61)^2)</f>
        <v>3.4030065851325553E-3</v>
      </c>
      <c r="H61" s="2">
        <f>h_1*(b_3*B61)</f>
        <v>1.5554754831953265E-2</v>
      </c>
      <c r="I61" s="2">
        <f>h_1*b_3*(B61+H61/2)</f>
        <v>1.5687747985766467E-2</v>
      </c>
      <c r="J61" s="2">
        <f>h_1*(b_3*(B61+I61/2))</f>
        <v>1.5688885077231568E-2</v>
      </c>
      <c r="K61" s="2">
        <f>h_1*(b_3*(B61+J61))</f>
        <v>1.5823034766773925E-2</v>
      </c>
    </row>
    <row r="62" spans="1:11" x14ac:dyDescent="0.25">
      <c r="A62" s="2">
        <v>0.53</v>
      </c>
      <c r="B62" s="5">
        <f t="shared" si="0"/>
        <v>0.91325701588116237</v>
      </c>
      <c r="C62" s="5">
        <f t="shared" si="1"/>
        <v>0.42889684590989807</v>
      </c>
      <c r="D62" s="2">
        <f>h_1*(b_1*B62-(b_1/b_2)*B62^2)</f>
        <v>3.403661214094278E-3</v>
      </c>
      <c r="E62" s="2">
        <f>h_1*((b_1*(B62+D62/2))-((b_1/b_2)*(B62+D62/2)^2))</f>
        <v>3.1930030490176088E-3</v>
      </c>
      <c r="F62" s="2">
        <f>h_1*((b_1*(B62+E62/2))-((b_1/b_2)*(B62+E62/2)^2))</f>
        <v>3.2060644625383715E-3</v>
      </c>
      <c r="G62" s="2">
        <f>h_1*(b_1*(B62+F62)-(b_1/b_2)*(B62+F62)^2)</f>
        <v>3.0061319612679151E-3</v>
      </c>
      <c r="H62" s="2">
        <f>h_1*(b_3*B62)</f>
        <v>1.5616694971567877E-2</v>
      </c>
      <c r="I62" s="2">
        <f>h_1*b_3*(B62+H62/2)</f>
        <v>1.5750217713574783E-2</v>
      </c>
      <c r="J62" s="2">
        <f>h_1*(b_3*(B62+I62/2))</f>
        <v>1.5751359333018942E-2</v>
      </c>
      <c r="K62" s="2">
        <f>h_1*(b_3*(B62+J62))</f>
        <v>1.58860432161625E-2</v>
      </c>
    </row>
    <row r="63" spans="1:11" x14ac:dyDescent="0.25">
      <c r="A63" s="2">
        <v>0.54</v>
      </c>
      <c r="B63" s="5">
        <f t="shared" si="0"/>
        <v>0.91645833724757475</v>
      </c>
      <c r="C63" s="5">
        <f t="shared" si="1"/>
        <v>0.4446478279567177</v>
      </c>
      <c r="D63" s="2">
        <f>h_1*(b_1*B63-(b_1/b_2)*B63^2)</f>
        <v>3.0067221876373829E-3</v>
      </c>
      <c r="E63" s="2">
        <f>h_1*((b_1*(B63+D63/2))-((b_1/b_2)*(B63+D63/2)^2))</f>
        <v>2.8193313864908198E-3</v>
      </c>
      <c r="F63" s="2">
        <f>h_1*((b_1*(B63+E63/2))-((b_1/b_2)*(B63+E63/2)^2))</f>
        <v>2.8310287280595503E-3</v>
      </c>
      <c r="G63" s="2">
        <f>h_1*(b_1*(B63+F63)-(b_1/b_2)*(B63+F63)^2)</f>
        <v>2.6533165918923808E-3</v>
      </c>
      <c r="H63" s="2">
        <f>h_1*(b_3*B63)</f>
        <v>1.5671437566933528E-2</v>
      </c>
      <c r="I63" s="2">
        <f>h_1*b_3*(B63+H63/2)</f>
        <v>1.580542835813081E-2</v>
      </c>
      <c r="J63" s="2">
        <f>h_1*(b_3*(B63+I63/2))</f>
        <v>1.5806573979395548E-2</v>
      </c>
      <c r="K63" s="2">
        <f>h_1*(b_3*(B63+J63))</f>
        <v>1.5941729981981193E-2</v>
      </c>
    </row>
    <row r="64" spans="1:11" x14ac:dyDescent="0.25">
      <c r="A64" s="2">
        <v>0.55000000000000004</v>
      </c>
      <c r="B64" s="5">
        <f t="shared" si="0"/>
        <v>0.91928513041567983</v>
      </c>
      <c r="C64" s="5">
        <f t="shared" si="1"/>
        <v>0.46045402332737895</v>
      </c>
      <c r="D64" s="2">
        <f>h_1*(b_1*B64-(b_1/b_2)*B64^2)</f>
        <v>2.6538469978136981E-3</v>
      </c>
      <c r="E64" s="2">
        <f>h_1*((b_1*(B64+D64/2))-((b_1/b_2)*(B64+D64/2)^2))</f>
        <v>2.4874359250648403E-3</v>
      </c>
      <c r="F64" s="2">
        <f>h_1*((b_1*(B64+E64/2))-((b_1/b_2)*(B64+E64/2)^2))</f>
        <v>2.4978852532438543E-3</v>
      </c>
      <c r="G64" s="2">
        <f>h_1*(b_1*(B64+F64)-(b_1/b_2)*(B64+F64)^2)</f>
        <v>2.3401765794204012E-3</v>
      </c>
      <c r="H64" s="2">
        <f>h_1*(b_3*B64)</f>
        <v>1.5719775730108125E-2</v>
      </c>
      <c r="I64" s="2">
        <f>h_1*b_3*(B64+H64/2)</f>
        <v>1.5854179812600552E-2</v>
      </c>
      <c r="J64" s="2">
        <f>h_1*(b_3*(B64+I64/2))</f>
        <v>1.5855328967505859E-2</v>
      </c>
      <c r="K64" s="2">
        <f>h_1*(b_3*(B64+J64))</f>
        <v>1.5990901855452475E-2</v>
      </c>
    </row>
    <row r="65" spans="1:11" x14ac:dyDescent="0.25">
      <c r="A65" s="2">
        <v>0.56000000000000005</v>
      </c>
      <c r="B65" s="5">
        <f t="shared" si="0"/>
        <v>0.92177924140465506</v>
      </c>
      <c r="C65" s="5">
        <f t="shared" si="1"/>
        <v>0.4763089725183412</v>
      </c>
      <c r="D65" s="2">
        <f>h_1*(b_1*B65-(b_1/b_2)*B65^2)</f>
        <v>2.3406518422279632E-3</v>
      </c>
      <c r="E65" s="2">
        <f>h_1*((b_1*(B65+D65/2))-((b_1/b_2)*(B65+D65/2)^2))</f>
        <v>2.1930918289161916E-3</v>
      </c>
      <c r="F65" s="2">
        <f>h_1*((b_1*(B65+E65/2))-((b_1/b_2)*(B65+E65/2)^2))</f>
        <v>2.2024056224172564E-3</v>
      </c>
      <c r="G65" s="2">
        <f>h_1*(b_1*(B65+F65)-(b_1/b_2)*(B65+F65)^2)</f>
        <v>2.0626457503179199E-3</v>
      </c>
      <c r="H65" s="2">
        <f>h_1*(b_3*B65)</f>
        <v>1.5762425028019604E-2</v>
      </c>
      <c r="I65" s="2">
        <f>h_1*b_3*(B65+H65/2)</f>
        <v>1.5897193762009168E-2</v>
      </c>
      <c r="J65" s="2">
        <f>h_1*(b_3*(B65+I65/2))</f>
        <v>1.589834603468478E-2</v>
      </c>
      <c r="K65" s="2">
        <f>h_1*(b_3*(B65+J65))</f>
        <v>1.6034286745212713E-2</v>
      </c>
    </row>
    <row r="66" spans="1:11" x14ac:dyDescent="0.25">
      <c r="A66" s="2">
        <v>0.56999999999999995</v>
      </c>
      <c r="B66" s="5">
        <f t="shared" si="0"/>
        <v>0.92397829015385724</v>
      </c>
      <c r="C66" s="5">
        <f t="shared" si="1"/>
        <v>0.49220693774611124</v>
      </c>
      <c r="D66" s="2">
        <f>h_1*(b_1*B66-(b_1/b_2)*B66^2)</f>
        <v>2.0630705117408435E-3</v>
      </c>
      <c r="E66" s="2">
        <f>h_1*((b_1*(B66+D66/2))-((b_1/b_2)*(B66+D66/2)^2))</f>
        <v>1.9323975534678618E-3</v>
      </c>
      <c r="F66" s="2">
        <f>h_1*((b_1*(B66+E66/2))-((b_1/b_2)*(B66+E66/2)^2))</f>
        <v>1.940683054160104E-3</v>
      </c>
      <c r="G66" s="2">
        <f>h_1*(b_1*(B66+F66)-(b_1/b_2)*(B66+F66)^2)</f>
        <v>1.8169825242894434E-3</v>
      </c>
      <c r="H66" s="2">
        <f>h_1*(b_3*B66)</f>
        <v>1.5800028761630957E-2</v>
      </c>
      <c r="I66" s="2">
        <f>h_1*b_3*(B66+H66/2)</f>
        <v>1.5935119007542905E-2</v>
      </c>
      <c r="J66" s="2">
        <f>h_1*(b_3*(B66+I66/2))</f>
        <v>1.5936274029145454E-2</v>
      </c>
      <c r="K66" s="2">
        <f>h_1*(b_3*(B66+J66))</f>
        <v>1.6072539047529345E-2</v>
      </c>
    </row>
    <row r="67" spans="1:11" x14ac:dyDescent="0.25">
      <c r="A67" s="2">
        <v>0.57999999999999996</v>
      </c>
      <c r="B67" s="5">
        <f t="shared" si="0"/>
        <v>0.92591599252907164</v>
      </c>
      <c r="C67" s="5">
        <f t="shared" si="1"/>
        <v>0.50814283005986738</v>
      </c>
      <c r="D67" s="2">
        <f>h_1*(b_1*B67-(b_1/b_2)*B67^2)</f>
        <v>1.8173612936875649E-3</v>
      </c>
      <c r="E67" s="2">
        <f>h_1*((b_1*(B67+D67/2))-((b_1/b_2)*(B67+D67/2)^2))</f>
        <v>1.7017761224266438E-3</v>
      </c>
      <c r="F67" s="2">
        <f>h_1*((b_1*(B67+E67/2))-((b_1/b_2)*(B67+E67/2)^2))</f>
        <v>1.7091342555877276E-3</v>
      </c>
      <c r="G67" s="2">
        <f>h_1*(b_1*(B67+F67)-(b_1/b_2)*(B67+F67)^2)</f>
        <v>1.5997668903483843E-3</v>
      </c>
      <c r="H67" s="2">
        <f>h_1*(b_3*B67)</f>
        <v>1.5833163472247124E-2</v>
      </c>
      <c r="I67" s="2">
        <f>h_1*b_3*(B67+H67/2)</f>
        <v>1.5968537019934836E-2</v>
      </c>
      <c r="J67" s="2">
        <f>h_1*(b_3*(B67+I67/2))</f>
        <v>1.5969694463767569E-2</v>
      </c>
      <c r="K67" s="2">
        <f>h_1*(b_3*(B67+J67))</f>
        <v>1.610624524757755E-2</v>
      </c>
    </row>
    <row r="68" spans="1:11" x14ac:dyDescent="0.25">
      <c r="A68" s="2">
        <v>0.59</v>
      </c>
      <c r="B68" s="5">
        <f t="shared" si="0"/>
        <v>0.92762248401908243</v>
      </c>
      <c r="C68" s="5">
        <f t="shared" si="1"/>
        <v>0.52411214200773892</v>
      </c>
      <c r="D68" s="2">
        <f>h_1*(b_1*B68-(b_1/b_2)*B68^2)</f>
        <v>1.600103976326377E-3</v>
      </c>
      <c r="E68" s="2">
        <f>h_1*((b_1*(B68+D68/2))-((b_1/b_2)*(B68+D68/2)^2))</f>
        <v>1.4979680648614746E-3</v>
      </c>
      <c r="F68" s="2">
        <f>h_1*((b_1*(B68+E68/2))-((b_1/b_2)*(B68+E68/2)^2))</f>
        <v>1.5044928119099766E-3</v>
      </c>
      <c r="G68" s="2">
        <f>h_1*(b_1*(B68+F68)-(b_1/b_2)*(B68+F68)^2)</f>
        <v>1.407890327798249E-3</v>
      </c>
      <c r="H68" s="2">
        <f>h_1*(b_3*B68)</f>
        <v>1.5862344476726308E-2</v>
      </c>
      <c r="I68" s="2">
        <f>h_1*b_3*(B68+H68/2)</f>
        <v>1.5997967522002318E-2</v>
      </c>
      <c r="J68" s="2">
        <f>h_1*(b_3*(B68+I68/2))</f>
        <v>1.5999127099039431E-2</v>
      </c>
      <c r="K68" s="2">
        <f>h_1*(b_3*(B68+J68))</f>
        <v>1.6135929550119884E-2</v>
      </c>
    </row>
    <row r="69" spans="1:11" x14ac:dyDescent="0.25">
      <c r="A69" s="2">
        <v>0.6</v>
      </c>
      <c r="B69" s="5">
        <f t="shared" si="0"/>
        <v>0.92912463669536038</v>
      </c>
      <c r="C69" s="5">
        <f t="shared" si="1"/>
        <v>0.54011088588589384</v>
      </c>
      <c r="D69" s="2">
        <f>h_1*(b_1*B69-(b_1/b_2)*B69^2)</f>
        <v>1.4081897928673293E-3</v>
      </c>
      <c r="E69" s="2">
        <f>h_1*((b_1*(B69+D69/2))-((b_1/b_2)*(B69+D69/2)^2))</f>
        <v>1.3180185382460686E-3</v>
      </c>
      <c r="F69" s="2">
        <f>h_1*((b_1*(B69+E69/2))-((b_1/b_2)*(B69+E69/2)^2))</f>
        <v>1.3237966557153591E-3</v>
      </c>
      <c r="G69" s="2">
        <f>h_1*(b_1*(B69+F69)-(b_1/b_2)*(B69+F69)^2)</f>
        <v>1.2385409249092661E-3</v>
      </c>
      <c r="H69" s="2">
        <f>h_1*(b_3*B69)</f>
        <v>1.5888031287490664E-2</v>
      </c>
      <c r="I69" s="2">
        <f>h_1*b_3*(B69+H69/2)</f>
        <v>1.602387395499871E-2</v>
      </c>
      <c r="J69" s="2">
        <f>h_1*(b_3*(B69+I69/2))</f>
        <v>1.6025035409805901E-2</v>
      </c>
      <c r="K69" s="2">
        <f>h_1*(b_3*(B69+J69))</f>
        <v>1.6162059392998345E-2</v>
      </c>
    </row>
    <row r="70" spans="1:11" x14ac:dyDescent="0.25">
      <c r="A70" s="2">
        <v>0.61</v>
      </c>
      <c r="B70" s="5">
        <f t="shared" si="0"/>
        <v>0.93044636354631027</v>
      </c>
      <c r="C70" s="5">
        <f t="shared" si="1"/>
        <v>0.5561355374542436</v>
      </c>
      <c r="D70" s="2">
        <f>h_1*(b_1*B70-(b_1/b_2)*B70^2)</f>
        <v>1.2388065584087826E-3</v>
      </c>
      <c r="E70" s="2">
        <f>h_1*((b_1*(B70+D70/2))-((b_1/b_2)*(B70+D70/2)^2))</f>
        <v>1.1592606219889489E-3</v>
      </c>
      <c r="F70" s="2">
        <f>h_1*((b_1*(B70+E70/2))-((b_1/b_2)*(B70+E70/2)^2))</f>
        <v>1.1643716185243136E-3</v>
      </c>
      <c r="G70" s="2">
        <f>h_1*(b_1*(B70+F70)-(b_1/b_2)*(B70+F70)^2)</f>
        <v>1.0891854496341401E-3</v>
      </c>
      <c r="H70" s="2">
        <f>h_1*(b_3*B70)</f>
        <v>1.5910632816641904E-2</v>
      </c>
      <c r="I70" s="2">
        <f>h_1*b_3*(B70+H70/2)</f>
        <v>1.6046668727224194E-2</v>
      </c>
      <c r="J70" s="2">
        <f>h_1*(b_3*(B70+I70/2))</f>
        <v>1.6047831834259674E-2</v>
      </c>
      <c r="K70" s="2">
        <f>h_1*(b_3*(B70+J70))</f>
        <v>1.6185050741007744E-2</v>
      </c>
    </row>
    <row r="71" spans="1:11" x14ac:dyDescent="0.25">
      <c r="A71" s="2">
        <v>0.62</v>
      </c>
      <c r="B71" s="5">
        <f t="shared" si="0"/>
        <v>0.93160890629448856</v>
      </c>
      <c r="C71" s="5">
        <f t="shared" si="1"/>
        <v>0.57218298490101316</v>
      </c>
      <c r="D71" s="2">
        <f>h_1*(b_1*B71-(b_1/b_2)*B71^2)</f>
        <v>1.0894207547642409E-3</v>
      </c>
      <c r="E71" s="2">
        <f>h_1*((b_1*(B71+D71/2))-((b_1/b_2)*(B71+D71/2)^2))</f>
        <v>1.019296310873763E-3</v>
      </c>
      <c r="F71" s="2">
        <f>h_1*((b_1*(B71+E71/2))-((b_1/b_2)*(B71+E71/2)^2))</f>
        <v>1.0238126105718947E-3</v>
      </c>
      <c r="G71" s="2">
        <f>h_1*(b_1*(B71+F71)-(b_1/b_2)*(B71+F71)^2)</f>
        <v>9.5754971192016922E-4</v>
      </c>
      <c r="H71" s="2">
        <f>h_1*(b_3*B71)</f>
        <v>1.5930512297635754E-2</v>
      </c>
      <c r="I71" s="2">
        <f>h_1*b_3*(B71+H71/2)</f>
        <v>1.6066718177780541E-2</v>
      </c>
      <c r="J71" s="2">
        <f>h_1*(b_3*(B71+I71/2))</f>
        <v>1.6067882738055778E-2</v>
      </c>
      <c r="K71" s="2">
        <f>h_1*(b_3*(B71+J71))</f>
        <v>1.620527309245651E-2</v>
      </c>
    </row>
    <row r="72" spans="1:11" x14ac:dyDescent="0.25">
      <c r="A72" s="2">
        <v>0.63</v>
      </c>
      <c r="B72" s="5">
        <f t="shared" si="0"/>
        <v>0.93263110434608454</v>
      </c>
      <c r="C72" s="5">
        <f t="shared" si="1"/>
        <v>0.58825048277130731</v>
      </c>
      <c r="D72" s="2">
        <f>h_1*(b_1*B72-(b_1/b_2)*B72^2)</f>
        <v>9.5775790339297734E-4</v>
      </c>
      <c r="E72" s="2">
        <f>h_1*((b_1*(B72+D72/2))-((b_1/b_2)*(B72+D72/2)^2))</f>
        <v>8.959763632560325E-4</v>
      </c>
      <c r="F72" s="2">
        <f>h_1*((b_1*(B72+E72/2))-((b_1/b_2)*(B72+E72/2)^2))</f>
        <v>8.9996359824045418E-4</v>
      </c>
      <c r="G72" s="2">
        <f>h_1*(b_1*(B72+F72)-(b_1/b_2)*(B72+F72)^2)</f>
        <v>8.4159821872503932E-4</v>
      </c>
      <c r="H72" s="2">
        <f>h_1*(b_3*B72)</f>
        <v>1.5947991884318044E-2</v>
      </c>
      <c r="I72" s="2">
        <f>h_1*b_3*(B72+H72/2)</f>
        <v>1.6084347214928966E-2</v>
      </c>
      <c r="J72" s="2">
        <f>h_1*(b_3*(B72+I72/2))</f>
        <v>1.6085513053005689E-2</v>
      </c>
      <c r="K72" s="2">
        <f>h_1*(b_3*(B72+J72))</f>
        <v>1.6223054157524442E-2</v>
      </c>
    </row>
    <row r="73" spans="1:11" x14ac:dyDescent="0.25">
      <c r="A73" s="2">
        <v>0.64</v>
      </c>
      <c r="B73" s="5">
        <f t="shared" si="0"/>
        <v>0.93352964368693636</v>
      </c>
      <c r="C73" s="5">
        <f t="shared" si="1"/>
        <v>0.60433561053425933</v>
      </c>
      <c r="D73" s="2">
        <f>h_1*(b_1*B73-(b_1/b_2)*B73^2)</f>
        <v>8.4178222816328591E-4</v>
      </c>
      <c r="E73" s="2">
        <f>h_1*((b_1*(B73+D73/2))-((b_1/b_2)*(B73+D73/2)^2))</f>
        <v>7.8737985614708351E-4</v>
      </c>
      <c r="F73" s="2">
        <f>h_1*((b_1*(B73+E73/2))-((b_1/b_2)*(B73+E73/2)^2))</f>
        <v>7.9089724373110576E-4</v>
      </c>
      <c r="G73" s="2">
        <f>h_1*(b_1*(B73+F73)-(b_1/b_2)*(B73+F73)^2)</f>
        <v>7.3951385143685051E-4</v>
      </c>
      <c r="H73" s="2">
        <f>h_1*(b_3*B73)</f>
        <v>1.5963356907046609E-2</v>
      </c>
      <c r="I73" s="2">
        <f>h_1*b_3*(B73+H73/2)</f>
        <v>1.6099843608601859E-2</v>
      </c>
      <c r="J73" s="2">
        <f>h_1*(b_3*(B73+I73/2))</f>
        <v>1.6101010569900157E-2</v>
      </c>
      <c r="K73" s="2">
        <f>h_1*(b_3*(B73+J73))</f>
        <v>1.6238684187791907E-2</v>
      </c>
    </row>
    <row r="74" spans="1:11" x14ac:dyDescent="0.25">
      <c r="A74" s="2">
        <v>0.65</v>
      </c>
      <c r="B74" s="5">
        <f t="shared" si="0"/>
        <v>0.9343192854001624</v>
      </c>
      <c r="C74" s="5">
        <f t="shared" si="1"/>
        <v>0.62043623544289972</v>
      </c>
      <c r="D74" s="2">
        <f>h_1*(b_1*B74-(b_1/b_2)*B74^2)</f>
        <v>7.396763382108418E-4</v>
      </c>
      <c r="E74" s="2">
        <f>h_1*((b_1*(B74+D74/2))-((b_1/b_2)*(B74+D74/2)^2))</f>
        <v>6.9179405869338243E-4</v>
      </c>
      <c r="F74" s="2">
        <f>h_1*((b_1*(B74+E74/2))-((b_1/b_2)*(B74+E74/2)^2))</f>
        <v>6.948948288780344E-4</v>
      </c>
      <c r="G74" s="2">
        <f>h_1*(b_1*(B74+F74)-(b_1/b_2)*(B74+F74)^2)</f>
        <v>6.4967808122837309E-4</v>
      </c>
      <c r="H74" s="2">
        <f>h_1*(b_3*B74)</f>
        <v>1.5976859780342776E-2</v>
      </c>
      <c r="I74" s="2">
        <f>h_1*b_3*(B74+H74/2)</f>
        <v>1.6113461931464707E-2</v>
      </c>
      <c r="J74" s="2">
        <f>h_1*(b_3*(B74+I74/2))</f>
        <v>1.61146298798568E-2</v>
      </c>
      <c r="K74" s="2">
        <f>h_1*(b_3*(B74+J74))</f>
        <v>1.625241995128833E-2</v>
      </c>
    </row>
    <row r="75" spans="1:11" x14ac:dyDescent="0.25">
      <c r="A75" s="2">
        <v>0.66</v>
      </c>
      <c r="B75" s="5">
        <f t="shared" ref="B75:B109" si="4">B74+(1/6)*(D74+2*E74+2*F74+G74)</f>
        <v>0.93501307409925938</v>
      </c>
      <c r="C75" s="5">
        <f t="shared" ref="C75:C109" si="5">C74+(1/6)*(H74+2*I74+2*J74+K74)</f>
        <v>0.63655047933527875</v>
      </c>
      <c r="D75" s="2">
        <f>h_1*(b_1*B75-(b_1/b_2)*B75^2)</f>
        <v>6.4982144690970854E-4</v>
      </c>
      <c r="E75" s="2">
        <f>h_1*((b_1*(B75+D75/2))-((b_1/b_2)*(B75+D75/2)^2))</f>
        <v>6.0769504726460261E-4</v>
      </c>
      <c r="F75" s="2">
        <f>h_1*((b_1*(B75+E75/2))-((b_1/b_2)*(B75+E75/2)^2))</f>
        <v>6.1042689482215806E-4</v>
      </c>
      <c r="G75" s="2">
        <f>h_1*(b_1*(B75+F75)-(b_1/b_2)*(B75+F75)^2)</f>
        <v>5.7065207147223519E-4</v>
      </c>
      <c r="H75" s="2">
        <f>h_1*(b_3*B75)</f>
        <v>1.5988723567097338E-2</v>
      </c>
      <c r="I75" s="2">
        <f>h_1*b_3*(B75+H75/2)</f>
        <v>1.6125427153596019E-2</v>
      </c>
      <c r="J75" s="2">
        <f>h_1*(b_3*(B75+I75/2))</f>
        <v>1.6126595969260579E-2</v>
      </c>
      <c r="K75" s="2">
        <f>h_1*(b_3*(B75+J75))</f>
        <v>1.6264488358171691E-2</v>
      </c>
    </row>
    <row r="76" spans="1:11" x14ac:dyDescent="0.25">
      <c r="A76" s="2">
        <v>0.67</v>
      </c>
      <c r="B76" s="5">
        <f t="shared" si="4"/>
        <v>0.93562252699968529</v>
      </c>
      <c r="C76" s="5">
        <f t="shared" si="5"/>
        <v>0.6526766890304424</v>
      </c>
      <c r="D76" s="2">
        <f>h_1*(b_1*B76-(b_1/b_2)*B76^2)</f>
        <v>5.7077847649571471E-4</v>
      </c>
      <c r="E76" s="2">
        <f>h_1*((b_1*(B76+D76/2))-((b_1/b_2)*(B76+D76/2)^2))</f>
        <v>5.3372934029184194E-4</v>
      </c>
      <c r="F76" s="2">
        <f>h_1*((b_1*(B76+E76/2))-((b_1/b_2)*(B76+E76/2)^2))</f>
        <v>5.3613488251743387E-4</v>
      </c>
      <c r="G76" s="2">
        <f>h_1*(b_1*(B76+F76)-(b_1/b_2)*(B76+F76)^2)</f>
        <v>5.0115888908237589E-4</v>
      </c>
      <c r="H76" s="2">
        <f>h_1*(b_3*B76)</f>
        <v>1.599914521169462E-2</v>
      </c>
      <c r="I76" s="2">
        <f>h_1*b_3*(B76+H76/2)</f>
        <v>1.6135937903254606E-2</v>
      </c>
      <c r="J76" s="2">
        <f>h_1*(b_3*(B76+I76/2))</f>
        <v>1.6137107480767444E-2</v>
      </c>
      <c r="K76" s="2">
        <f>h_1*(b_3*(B76+J76))</f>
        <v>1.6275089749615741E-2</v>
      </c>
    </row>
    <row r="77" spans="1:11" x14ac:dyDescent="0.25">
      <c r="A77" s="2">
        <v>0.68</v>
      </c>
      <c r="B77" s="5">
        <f t="shared" si="4"/>
        <v>0.93615780463488474</v>
      </c>
      <c r="C77" s="5">
        <f t="shared" si="5"/>
        <v>0.66881340998533478</v>
      </c>
      <c r="D77" s="2">
        <f>h_1*(b_1*B77-(b_1/b_2)*B77^2)</f>
        <v>5.0127027054891471E-4</v>
      </c>
      <c r="E77" s="2">
        <f>h_1*((b_1*(B77+D77/2))-((b_1/b_2)*(B77+D77/2)^2))</f>
        <v>4.6869672102417326E-4</v>
      </c>
      <c r="F77" s="2">
        <f>h_1*((b_1*(B77+E77/2))-((b_1/b_2)*(B77+E77/2)^2))</f>
        <v>4.7081394764436624E-4</v>
      </c>
      <c r="G77" s="2">
        <f>h_1*(b_1*(B77+F77)-(b_1/b_2)*(B77+F77)^2)</f>
        <v>4.4006695094532587E-4</v>
      </c>
      <c r="H77" s="2">
        <f>h_1*(b_3*B77)</f>
        <v>1.6008298459256529E-2</v>
      </c>
      <c r="I77" s="2">
        <f>h_1*b_3*(B77+H77/2)</f>
        <v>1.6145169411083172E-2</v>
      </c>
      <c r="J77" s="2">
        <f>h_1*(b_3*(B77+I77/2))</f>
        <v>1.6146339657721293E-2</v>
      </c>
      <c r="K77" s="2">
        <f>h_1*(b_3*(B77+J77))</f>
        <v>1.6284400867403563E-2</v>
      </c>
    </row>
    <row r="78" spans="1:11" x14ac:dyDescent="0.25">
      <c r="A78" s="2">
        <v>0.69</v>
      </c>
      <c r="B78" s="5">
        <f t="shared" si="4"/>
        <v>0.93662786439468992</v>
      </c>
      <c r="C78" s="5">
        <f t="shared" si="5"/>
        <v>0.68495936289604631</v>
      </c>
      <c r="D78" s="2">
        <f>h_1*(b_1*B78-(b_1/b_2)*B78^2)</f>
        <v>4.4016504077557531E-4</v>
      </c>
      <c r="E78" s="2">
        <f>h_1*((b_1*(B78+D78/2))-((b_1/b_2)*(B78+D78/2)^2))</f>
        <v>4.115343344831324E-4</v>
      </c>
      <c r="F78" s="2">
        <f>h_1*((b_1*(B78+E78/2))-((b_1/b_2)*(B78+E78/2)^2))</f>
        <v>4.1339704041865489E-4</v>
      </c>
      <c r="G78" s="2">
        <f>h_1*(b_1*(B78+F78)-(b_1/b_2)*(B78+F78)^2)</f>
        <v>3.8637476100046087E-4</v>
      </c>
      <c r="H78" s="2">
        <f>h_1*(b_3*B78)</f>
        <v>1.6016336481149199E-2</v>
      </c>
      <c r="I78" s="2">
        <f>h_1*b_3*(B78+H78/2)</f>
        <v>1.6153276158063026E-2</v>
      </c>
      <c r="J78" s="2">
        <f>h_1*(b_3*(B78+I78/2))</f>
        <v>1.6154446992300637E-2</v>
      </c>
      <c r="K78" s="2">
        <f>h_1*(b_3*(B78+J78))</f>
        <v>1.6292577524717539E-2</v>
      </c>
    </row>
    <row r="79" spans="1:11" x14ac:dyDescent="0.25">
      <c r="A79" s="2">
        <v>0.7</v>
      </c>
      <c r="B79" s="5">
        <f t="shared" si="4"/>
        <v>0.93704059815328655</v>
      </c>
      <c r="C79" s="5">
        <f t="shared" si="5"/>
        <v>0.70111342294714529</v>
      </c>
      <c r="D79" s="2">
        <f>h_1*(b_1*B79-(b_1/b_2)*B79^2)</f>
        <v>3.8646110386942212E-4</v>
      </c>
      <c r="E79" s="2">
        <f>h_1*((b_1*(B79+D79/2))-((b_1/b_2)*(B79+D79/2)^2))</f>
        <v>3.6130208517365147E-4</v>
      </c>
      <c r="F79" s="2">
        <f>h_1*((b_1*(B79+E79/2))-((b_1/b_2)*(B79+E79/2)^2))</f>
        <v>3.6294028008514444E-4</v>
      </c>
      <c r="G79" s="2">
        <f>h_1*(b_1*(B79+F79)-(b_1/b_2)*(B79+F79)^2)</f>
        <v>3.3919694261195236E-4</v>
      </c>
      <c r="H79" s="2">
        <f>h_1*(b_3*B79)</f>
        <v>1.6023394228421198E-2</v>
      </c>
      <c r="I79" s="2">
        <f>h_1*b_3*(B79+H79/2)</f>
        <v>1.61603942490742E-2</v>
      </c>
      <c r="J79" s="2">
        <f>h_1*(b_3*(B79+I79/2))</f>
        <v>1.6161565599250784E-2</v>
      </c>
      <c r="K79" s="2">
        <f>h_1*(b_3*(B79+J79))</f>
        <v>1.6299757000168388E-2</v>
      </c>
    </row>
    <row r="80" spans="1:11" x14ac:dyDescent="0.25">
      <c r="A80" s="2">
        <v>0.71</v>
      </c>
      <c r="B80" s="5">
        <f t="shared" si="4"/>
        <v>0.93740295528278639</v>
      </c>
      <c r="C80" s="5">
        <f t="shared" si="5"/>
        <v>0.71727460143468524</v>
      </c>
      <c r="D80" s="2">
        <f>h_1*(b_1*B80-(b_1/b_2)*B80^2)</f>
        <v>3.3927291326829589E-4</v>
      </c>
      <c r="E80" s="2">
        <f>h_1*((b_1*(B80+D80/2))-((b_1/b_2)*(B80+D80/2)^2))</f>
        <v>3.1716931966450094E-4</v>
      </c>
      <c r="F80" s="2">
        <f>h_1*((b_1*(B80+E80/2))-((b_1/b_2)*(B80+E80/2)^2))</f>
        <v>3.1860961064872128E-4</v>
      </c>
      <c r="G80" s="2">
        <f>h_1*(b_1*(B80+F80)-(b_1/b_2)*(B80+F80)^2)</f>
        <v>2.9775153521949705E-4</v>
      </c>
      <c r="H80" s="2">
        <f>h_1*(b_3*B80)</f>
        <v>1.6029590535335647E-2</v>
      </c>
      <c r="I80" s="2">
        <f>h_1*b_3*(B80+H80/2)</f>
        <v>1.6166643534412765E-2</v>
      </c>
      <c r="J80" s="2">
        <f>h_1*(b_3*(B80+I80/2))</f>
        <v>1.6167815337554875E-2</v>
      </c>
      <c r="K80" s="2">
        <f>h_1*(b_3*(B80+J80))</f>
        <v>1.6306060177607835E-2</v>
      </c>
    </row>
    <row r="81" spans="1:11" x14ac:dyDescent="0.25">
      <c r="A81" s="2">
        <v>0.72</v>
      </c>
      <c r="B81" s="5">
        <f t="shared" si="4"/>
        <v>0.93772105233430547</v>
      </c>
      <c r="C81" s="5">
        <f t="shared" si="5"/>
        <v>0.73344202951083171</v>
      </c>
      <c r="D81" s="2">
        <f>h_1*(b_1*B81-(b_1/b_2)*B81^2)</f>
        <v>2.978183549265623E-4</v>
      </c>
      <c r="E81" s="2">
        <f>h_1*((b_1*(B81+D81/2))-((b_1/b_2)*(B81+D81/2)^2))</f>
        <v>2.7840274900196247E-4</v>
      </c>
      <c r="F81" s="2">
        <f>h_1*((b_1*(B81+E81/2))-((b_1/b_2)*(B81+E81/2)^2))</f>
        <v>2.7966869461552689E-4</v>
      </c>
      <c r="G81" s="2">
        <f>h_1*(b_1*(B81+F81)-(b_1/b_2)*(B81+F81)^2)</f>
        <v>2.6134850026565459E-4</v>
      </c>
      <c r="H81" s="2">
        <f>h_1*(b_3*B81)</f>
        <v>1.6035029994916624E-2</v>
      </c>
      <c r="I81" s="2">
        <f>h_1*b_3*(B81+H81/2)</f>
        <v>1.6172129501373162E-2</v>
      </c>
      <c r="J81" s="2">
        <f>h_1*(b_3*(B81+I81/2))</f>
        <v>1.6173301702153364E-2</v>
      </c>
      <c r="K81" s="2">
        <f>h_1*(b_3*(B81+J81))</f>
        <v>1.6311593454023447E-2</v>
      </c>
    </row>
    <row r="82" spans="1:11" x14ac:dyDescent="0.25">
      <c r="A82" s="2">
        <v>0.73</v>
      </c>
      <c r="B82" s="5">
        <f t="shared" si="4"/>
        <v>0.93800027062471003</v>
      </c>
      <c r="C82" s="5">
        <f t="shared" si="5"/>
        <v>0.74961494382016391</v>
      </c>
      <c r="D82" s="2">
        <f>h_1*(b_1*B82-(b_1/b_2)*B82^2)</f>
        <v>2.6140725220313854E-4</v>
      </c>
      <c r="E82" s="2">
        <f>h_1*((b_1*(B82+D82/2))-((b_1/b_2)*(B82+D82/2)^2))</f>
        <v>2.4435554686718318E-4</v>
      </c>
      <c r="F82" s="2">
        <f>h_1*((b_1*(B82+E82/2))-((b_1/b_2)*(B82+E82/2)^2))</f>
        <v>2.454679819683747E-4</v>
      </c>
      <c r="G82" s="2">
        <f>h_1*(b_1*(B82+F82)-(b_1/b_2)*(B82+F82)^2)</f>
        <v>2.2937936621902466E-4</v>
      </c>
      <c r="H82" s="2">
        <f>h_1*(b_3*B82)</f>
        <v>1.6039804627682543E-2</v>
      </c>
      <c r="I82" s="2">
        <f>h_1*b_3*(B82+H82/2)</f>
        <v>1.617694495724923E-2</v>
      </c>
      <c r="J82" s="2">
        <f>h_1*(b_3*(B82+I82/2))</f>
        <v>1.6178117507067023E-2</v>
      </c>
      <c r="K82" s="2">
        <f>h_1*(b_3*(B82+J82))</f>
        <v>1.6316450437053386E-2</v>
      </c>
    </row>
    <row r="83" spans="1:11" x14ac:dyDescent="0.25">
      <c r="A83" s="2">
        <v>0.74</v>
      </c>
      <c r="B83" s="5">
        <f t="shared" si="4"/>
        <v>0.93824534290405892</v>
      </c>
      <c r="C83" s="5">
        <f t="shared" si="5"/>
        <v>0.76579267381905869</v>
      </c>
      <c r="D83" s="2">
        <f>h_1*(b_1*B83-(b_1/b_2)*B83^2)</f>
        <v>2.2943100976009491E-4</v>
      </c>
      <c r="E83" s="2">
        <f>h_1*((b_1*(B83+D83/2))-((b_1/b_2)*(B83+D83/2)^2))</f>
        <v>2.1445754789356286E-4</v>
      </c>
      <c r="F83" s="2">
        <f>h_1*((b_1*(B83+E83/2))-((b_1/b_2)*(B83+E83/2)^2))</f>
        <v>2.1543487972383701E-4</v>
      </c>
      <c r="G83" s="2">
        <f>h_1*(b_1*(B83+F83)-(b_1/b_2)*(B83+F83)^2)</f>
        <v>2.0130793387863834E-4</v>
      </c>
      <c r="H83" s="2">
        <f>h_1*(b_3*B83)</f>
        <v>1.6043995363659407E-2</v>
      </c>
      <c r="I83" s="2">
        <f>h_1*b_3*(B83+H83/2)</f>
        <v>1.6181171524018694E-2</v>
      </c>
      <c r="J83" s="2">
        <f>h_1*(b_3*(B83+I83/2))</f>
        <v>1.618234438018977E-2</v>
      </c>
      <c r="K83" s="2">
        <f>h_1*(b_3*(B83+J83))</f>
        <v>1.6320713452560653E-2</v>
      </c>
    </row>
    <row r="84" spans="1:11" x14ac:dyDescent="0.25">
      <c r="A84" s="2">
        <v>0.75</v>
      </c>
      <c r="B84" s="5">
        <f t="shared" si="4"/>
        <v>0.93846043020387115</v>
      </c>
      <c r="C84" s="5">
        <f t="shared" si="5"/>
        <v>0.78197463058983152</v>
      </c>
      <c r="D84" s="2">
        <f>h_1*(b_1*B84-(b_1/b_2)*B84^2)</f>
        <v>2.0135331771244935E-4</v>
      </c>
      <c r="E84" s="2">
        <f>h_1*((b_1*(B84+D84/2))-((b_1/b_2)*(B84+D84/2)^2))</f>
        <v>1.8820646463872494E-4</v>
      </c>
      <c r="F84" s="2">
        <f>h_1*((b_1*(B84+E84/2))-((b_1/b_2)*(B84+E84/2)^2))</f>
        <v>1.8906494119955042E-4</v>
      </c>
      <c r="G84" s="2">
        <f>h_1*(b_1*(B84+F84)-(b_1/b_2)*(B84+F84)^2)</f>
        <v>1.7666195929299632E-4</v>
      </c>
      <c r="H84" s="2">
        <f>h_1*(b_3*B84)</f>
        <v>1.6047673356486197E-2</v>
      </c>
      <c r="I84" s="2">
        <f>h_1*b_3*(B84+H84/2)</f>
        <v>1.6184880963684155E-2</v>
      </c>
      <c r="J84" s="2">
        <f>h_1*(b_3*(B84+I84/2))</f>
        <v>1.6186054088725695E-2</v>
      </c>
      <c r="K84" s="2">
        <f>h_1*(b_3*(B84+J84))</f>
        <v>1.6324454881403404E-2</v>
      </c>
    </row>
    <row r="85" spans="1:11" x14ac:dyDescent="0.25">
      <c r="A85" s="2">
        <v>0.76</v>
      </c>
      <c r="B85" s="5">
        <f t="shared" si="4"/>
        <v>0.9386491898853182</v>
      </c>
      <c r="C85" s="5">
        <f t="shared" si="5"/>
        <v>0.79816029698028312</v>
      </c>
      <c r="D85" s="2">
        <f>h_1*(b_1*B85-(b_1/b_2)*B85^2)</f>
        <v>1.7670183340253942E-4</v>
      </c>
      <c r="E85" s="2">
        <f>h_1*((b_1*(B85+D85/2))-((b_1/b_2)*(B85+D85/2)^2))</f>
        <v>1.6516003980493466E-4</v>
      </c>
      <c r="F85" s="2">
        <f>h_1*((b_1*(B85+E85/2))-((b_1/b_2)*(B85+E85/2)^2))</f>
        <v>1.6591399199894497E-4</v>
      </c>
      <c r="G85" s="2">
        <f>h_1*(b_1*(B85+F85)-(b_1/b_2)*(B85+F85)^2)</f>
        <v>1.5502573119311692E-4</v>
      </c>
      <c r="H85" s="2">
        <f>h_1*(b_3*B85)</f>
        <v>1.6050901147038939E-2</v>
      </c>
      <c r="I85" s="2">
        <f>h_1*b_3*(B85+H85/2)</f>
        <v>1.6188136351846124E-2</v>
      </c>
      <c r="J85" s="2">
        <f>h_1*(b_3*(B85+I85/2))</f>
        <v>1.6189309712847228E-2</v>
      </c>
      <c r="K85" s="2">
        <f>h_1*(b_3*(B85+J85))</f>
        <v>1.6327738343128628E-2</v>
      </c>
    </row>
    <row r="86" spans="1:11" x14ac:dyDescent="0.25">
      <c r="A86" s="2">
        <v>0.77</v>
      </c>
      <c r="B86" s="5">
        <f t="shared" si="4"/>
        <v>0.93881483582335212</v>
      </c>
      <c r="C86" s="5">
        <f t="shared" si="5"/>
        <v>0.81434921891687551</v>
      </c>
      <c r="D86" s="2">
        <f>h_1*(b_1*B86-(b_1/b_2)*B86^2)</f>
        <v>1.5506075772547589E-4</v>
      </c>
      <c r="E86" s="2">
        <f>h_1*((b_1*(B86+D86/2))-((b_1/b_2)*(B86+D86/2)^2))</f>
        <v>1.449290512390533E-4</v>
      </c>
      <c r="F86" s="2">
        <f>h_1*((b_1*(B86+E86/2))-((b_1/b_2)*(B86+E86/2)^2))</f>
        <v>1.455911104897467E-4</v>
      </c>
      <c r="G86" s="2">
        <f>h_1*(b_1*(B86+F86)-(b_1/b_2)*(B86+F86)^2)</f>
        <v>1.360334617806025E-4</v>
      </c>
      <c r="H86" s="2">
        <f>h_1*(b_3*B86)</f>
        <v>1.6053733692579321E-2</v>
      </c>
      <c r="I86" s="2">
        <f>h_1*b_3*(B86+H86/2)</f>
        <v>1.6190993115650875E-2</v>
      </c>
      <c r="J86" s="2">
        <f>h_1*(b_3*(B86+I86/2))</f>
        <v>1.6192166683718139E-2</v>
      </c>
      <c r="K86" s="2">
        <f>h_1*(b_3*(B86+J86))</f>
        <v>1.6330619742870901E-2</v>
      </c>
    </row>
    <row r="87" spans="1:11" x14ac:dyDescent="0.25">
      <c r="A87" s="2">
        <v>0.78</v>
      </c>
      <c r="B87" s="5">
        <f t="shared" si="4"/>
        <v>0.93896019158051269</v>
      </c>
      <c r="C87" s="5">
        <f t="shared" si="5"/>
        <v>0.83054099775590684</v>
      </c>
      <c r="D87" s="2">
        <f>h_1*(b_1*B87-(b_1/b_2)*B87^2)</f>
        <v>1.3606422486457605E-4</v>
      </c>
      <c r="E87" s="2">
        <f>h_1*((b_1*(B87+D87/2))-((b_1/b_2)*(B87+D87/2)^2))</f>
        <v>1.2717109011354922E-4</v>
      </c>
      <c r="F87" s="2">
        <f>h_1*((b_1*(B87+E87/2))-((b_1/b_2)*(B87+E87/2)^2))</f>
        <v>1.2775238330126726E-4</v>
      </c>
      <c r="G87" s="2">
        <f>h_1*(b_1*(B87+F87)-(b_1/b_2)*(B87+F87)^2)</f>
        <v>1.1936341323616873E-4</v>
      </c>
      <c r="H87" s="2">
        <f>h_1*(b_3*B87)</f>
        <v>1.6056219276026767E-2</v>
      </c>
      <c r="I87" s="2">
        <f>h_1*b_3*(B87+H87/2)</f>
        <v>1.6193499950836795E-2</v>
      </c>
      <c r="J87" s="2">
        <f>h_1*(b_3*(B87+I87/2))</f>
        <v>1.619467370060642E-2</v>
      </c>
      <c r="K87" s="2">
        <f>h_1*(b_3*(B87+J87))</f>
        <v>1.6333148196307136E-2</v>
      </c>
    </row>
    <row r="88" spans="1:11" x14ac:dyDescent="0.25">
      <c r="A88" s="2">
        <v>0.79</v>
      </c>
      <c r="B88" s="5">
        <f t="shared" si="4"/>
        <v>0.93908773734466777</v>
      </c>
      <c r="C88" s="5">
        <f t="shared" si="5"/>
        <v>0.84673528355177685</v>
      </c>
      <c r="D88" s="2">
        <f>h_1*(b_1*B88-(b_1/b_2)*B88^2)</f>
        <v>1.1939042781344611E-4</v>
      </c>
      <c r="E88" s="2">
        <f>h_1*((b_1*(B88+D88/2))-((b_1/b_2)*(B88+D88/2)^2))</f>
        <v>1.1158503681318876E-4</v>
      </c>
      <c r="F88" s="2">
        <f>h_1*((b_1*(B88+E88/2))-((b_1/b_2)*(B88+E88/2)^2))</f>
        <v>1.1209536040158952E-4</v>
      </c>
      <c r="G88" s="2">
        <f>h_1*(b_1*(B88+F88)-(b_1/b_2)*(B88+F88)^2)</f>
        <v>1.0473268683943716E-4</v>
      </c>
      <c r="H88" s="2">
        <f>h_1*(b_3*B88)</f>
        <v>1.6058400308593818E-2</v>
      </c>
      <c r="I88" s="2">
        <f>h_1*b_3*(B88+H88/2)</f>
        <v>1.6195699631232297E-2</v>
      </c>
      <c r="J88" s="2">
        <f>h_1*(b_3*(B88+I88/2))</f>
        <v>1.6196873540440856E-2</v>
      </c>
      <c r="K88" s="2">
        <f>h_1*(b_3*(B88+J88))</f>
        <v>1.6335366846135357E-2</v>
      </c>
    </row>
    <row r="89" spans="1:11" x14ac:dyDescent="0.25">
      <c r="A89" s="2">
        <v>0.8</v>
      </c>
      <c r="B89" s="5">
        <f t="shared" si="4"/>
        <v>0.93919965132951488</v>
      </c>
      <c r="C89" s="5">
        <f t="shared" si="5"/>
        <v>0.86293176913478942</v>
      </c>
      <c r="D89" s="2">
        <f>h_1*(b_1*B89-(b_1/b_2)*B89^2)</f>
        <v>1.0475640658112795E-4</v>
      </c>
      <c r="E89" s="2">
        <f>h_1*((b_1*(B89+D89/2))-((b_1/b_2)*(B89+D89/2)^2))</f>
        <v>9.790616392972851E-5</v>
      </c>
      <c r="F89" s="2">
        <f>h_1*((b_1*(B89+E89/2))-((b_1/b_2)*(B89+E89/2)^2))</f>
        <v>9.8354139129881444E-5</v>
      </c>
      <c r="G89" s="2">
        <f>h_1*(b_1*(B89+F89)-(b_1/b_2)*(B89+F89)^2)</f>
        <v>9.1892606673287243E-5</v>
      </c>
      <c r="H89" s="2">
        <f>h_1*(b_3*B89)</f>
        <v>1.6060314037734703E-2</v>
      </c>
      <c r="I89" s="2">
        <f>h_1*b_3*(B89+H89/2)</f>
        <v>1.6197629722757338E-2</v>
      </c>
      <c r="J89" s="2">
        <f>h_1*(b_3*(B89+I89/2))</f>
        <v>1.6198803771864279E-2</v>
      </c>
      <c r="K89" s="2">
        <f>h_1*(b_3*(B89+J89))</f>
        <v>1.6337313582233583E-2</v>
      </c>
    </row>
    <row r="90" spans="1:11" x14ac:dyDescent="0.25">
      <c r="A90" s="2">
        <v>0.81</v>
      </c>
      <c r="B90" s="5">
        <f t="shared" si="4"/>
        <v>0.93929784626607715</v>
      </c>
      <c r="C90" s="5">
        <f t="shared" si="5"/>
        <v>0.87913018490299133</v>
      </c>
      <c r="D90" s="2">
        <f>h_1*(b_1*B90-(b_1/b_2)*B90^2)</f>
        <v>9.1913431056163121E-5</v>
      </c>
      <c r="E90" s="2">
        <f>h_1*((b_1*(B90+D90/2))-((b_1/b_2)*(B90+D90/2)^2))</f>
        <v>8.5901801023489105E-5</v>
      </c>
      <c r="F90" s="2">
        <f>h_1*((b_1*(B90+E90/2))-((b_1/b_2)*(B90+E90/2)^2))</f>
        <v>8.6295011775572311E-5</v>
      </c>
      <c r="G90" s="2">
        <f>h_1*(b_1*(B90+F90)-(b_1/b_2)*(B90+F90)^2)</f>
        <v>8.0624635220960528E-5</v>
      </c>
      <c r="H90" s="2">
        <f>h_1*(b_3*B90)</f>
        <v>1.6061993171149921E-2</v>
      </c>
      <c r="I90" s="2">
        <f>h_1*b_3*(B90+H90/2)</f>
        <v>1.619932321276325E-2</v>
      </c>
      <c r="J90" s="2">
        <f>h_1*(b_3*(B90+I90/2))</f>
        <v>1.6200497384619046E-2</v>
      </c>
      <c r="K90" s="2">
        <f>h_1*(b_3*(B90+J90))</f>
        <v>1.6339021676426903E-2</v>
      </c>
    </row>
    <row r="91" spans="1:11" x14ac:dyDescent="0.25">
      <c r="A91" s="2">
        <v>0.82</v>
      </c>
      <c r="B91" s="5">
        <f t="shared" si="4"/>
        <v>0.93938400154805635</v>
      </c>
      <c r="C91" s="5">
        <f t="shared" si="5"/>
        <v>0.89533029424338162</v>
      </c>
      <c r="D91" s="2">
        <f>h_1*(b_1*B91-(b_1/b_2)*B91^2)</f>
        <v>8.0642915836346421E-5</v>
      </c>
      <c r="E91" s="2">
        <f>h_1*((b_1*(B91+D91/2))-((b_1/b_2)*(B91+D91/2)^2))</f>
        <v>7.5367501191596632E-5</v>
      </c>
      <c r="F91" s="2">
        <f>h_1*((b_1*(B91+E91/2))-((b_1/b_2)*(B91+E91/2)^2))</f>
        <v>7.571261664880424E-5</v>
      </c>
      <c r="G91" s="2">
        <f>h_1*(b_1*(B91+F91)-(b_1/b_2)*(B91+F91)^2)</f>
        <v>7.0736763518635111E-5</v>
      </c>
      <c r="H91" s="2">
        <f>h_1*(b_3*B91)</f>
        <v>1.6063466426471766E-2</v>
      </c>
      <c r="I91" s="2">
        <f>h_1*b_3*(B91+H91/2)</f>
        <v>1.6200809064418099E-2</v>
      </c>
      <c r="J91" s="2">
        <f>h_1*(b_3*(B91+I91/2))</f>
        <v>1.6201983343972541E-2</v>
      </c>
      <c r="K91" s="2">
        <f>h_1*(b_3*(B91+J91))</f>
        <v>1.6340520341653692E-2</v>
      </c>
    </row>
    <row r="92" spans="1:11" x14ac:dyDescent="0.25">
      <c r="A92" s="2">
        <v>0.83</v>
      </c>
      <c r="B92" s="5">
        <f t="shared" si="4"/>
        <v>0.93945959153389569</v>
      </c>
      <c r="C92" s="5">
        <f t="shared" si="5"/>
        <v>0.91153188950753272</v>
      </c>
      <c r="D92" s="2">
        <f>h_1*(b_1*B92-(b_1/b_2)*B92^2)</f>
        <v>7.0752809685554758E-5</v>
      </c>
      <c r="E92" s="2">
        <f>h_1*((b_1*(B92+D92/2))-((b_1/b_2)*(B92+D92/2)^2))</f>
        <v>6.6123654794214567E-5</v>
      </c>
      <c r="F92" s="2">
        <f>h_1*((b_1*(B92+E92/2))-((b_1/b_2)*(B92+E92/2)^2))</f>
        <v>6.6426537883241816E-5</v>
      </c>
      <c r="G92" s="2">
        <f>h_1*(b_1*(B92+F92)-(b_1/b_2)*(B92+F92)^2)</f>
        <v>6.2060323754664637E-5</v>
      </c>
      <c r="H92" s="2">
        <f>h_1*(b_3*B92)</f>
        <v>1.6064759015229614E-2</v>
      </c>
      <c r="I92" s="2">
        <f>h_1*b_3*(B92+H92/2)</f>
        <v>1.620211270480983E-2</v>
      </c>
      <c r="J92" s="2">
        <f>h_1*(b_3*(B92+I92/2))</f>
        <v>1.6203287078855738E-2</v>
      </c>
      <c r="K92" s="2">
        <f>h_1*(b_3*(B92+J92))</f>
        <v>1.634183522427805E-2</v>
      </c>
    </row>
    <row r="93" spans="1:11" x14ac:dyDescent="0.25">
      <c r="A93" s="2">
        <v>0.84</v>
      </c>
      <c r="B93" s="5">
        <f t="shared" si="4"/>
        <v>0.93952591045369482</v>
      </c>
      <c r="C93" s="5">
        <f t="shared" si="5"/>
        <v>0.92773478847533919</v>
      </c>
      <c r="D93" s="2">
        <f>h_1*(b_1*B93-(b_1/b_2)*B93^2)</f>
        <v>6.2074407504653098E-5</v>
      </c>
      <c r="E93" s="2">
        <f>h_1*((b_1*(B93+D93/2))-((b_1/b_2)*(B93+D93/2)^2))</f>
        <v>5.8012500816371216E-5</v>
      </c>
      <c r="F93" s="2">
        <f>h_1*((b_1*(B93+E93/2))-((b_1/b_2)*(B93+E93/2)^2))</f>
        <v>5.8278304329100196E-5</v>
      </c>
      <c r="G93" s="2">
        <f>h_1*(b_1*(B93+F93)-(b_1/b_2)*(B93+F93)^2)</f>
        <v>5.4447177201435439E-5</v>
      </c>
      <c r="H93" s="2">
        <f>h_1*(b_3*B93)</f>
        <v>1.6065893068758181E-2</v>
      </c>
      <c r="I93" s="2">
        <f>h_1*b_3*(B93+H93/2)</f>
        <v>1.6203256454496065E-2</v>
      </c>
      <c r="J93" s="2">
        <f>h_1*(b_3*(B93+I93/2))</f>
        <v>1.6204430911444124E-2</v>
      </c>
      <c r="K93" s="2">
        <f>h_1*(b_3*(B93+J93))</f>
        <v>1.6342988837343874E-2</v>
      </c>
    </row>
    <row r="94" spans="1:11" x14ac:dyDescent="0.25">
      <c r="A94" s="2">
        <v>0.85</v>
      </c>
      <c r="B94" s="5">
        <f t="shared" si="4"/>
        <v>0.93958409431952761</v>
      </c>
      <c r="C94" s="5">
        <f t="shared" si="5"/>
        <v>0.94393883124833622</v>
      </c>
      <c r="D94" s="2">
        <f>h_1*(b_1*B94-(b_1/b_2)*B94^2)</f>
        <v>5.4459537698150485E-5</v>
      </c>
      <c r="E94" s="2">
        <f>h_1*((b_1*(B94+D94/2))-((b_1/b_2)*(B94+D94/2)^2))</f>
        <v>5.0895491194644651E-5</v>
      </c>
      <c r="F94" s="2">
        <f>h_1*((b_1*(B94+E94/2))-((b_1/b_2)*(B94+E94/2)^2))</f>
        <v>5.1128742746016088E-5</v>
      </c>
      <c r="G94" s="2">
        <f>h_1*(b_1*(B94+F94)-(b_1/b_2)*(B94+F94)^2)</f>
        <v>4.7767235065467876E-5</v>
      </c>
      <c r="H94" s="2">
        <f>h_1*(b_3*B94)</f>
        <v>1.6066888012863923E-2</v>
      </c>
      <c r="I94" s="2">
        <f>h_1*b_3*(B94+H94/2)</f>
        <v>1.620425990537391E-2</v>
      </c>
      <c r="J94" s="2">
        <f>h_1*(b_3*(B94+I94/2))</f>
        <v>1.6205434435054868E-2</v>
      </c>
      <c r="K94" s="2">
        <f>h_1*(b_3*(B94+J94))</f>
        <v>1.6344000941703362E-2</v>
      </c>
    </row>
    <row r="95" spans="1:11" x14ac:dyDescent="0.25">
      <c r="A95" s="2">
        <v>0.86</v>
      </c>
      <c r="B95" s="5">
        <f t="shared" si="4"/>
        <v>0.93963514019296845</v>
      </c>
      <c r="C95" s="5">
        <f t="shared" si="5"/>
        <v>0.96014387752090702</v>
      </c>
      <c r="D95" s="2">
        <f>h_1*(b_1*B95-(b_1/b_2)*B95^2)</f>
        <v>4.777808251802185E-5</v>
      </c>
      <c r="E95" s="2">
        <f>h_1*((b_1*(B95+D95/2))-((b_1/b_2)*(B95+D95/2)^2))</f>
        <v>4.4650967976540558E-5</v>
      </c>
      <c r="F95" s="2">
        <f>h_1*((b_1*(B95+E95/2))-((b_1/b_2)*(B95+E95/2)^2))</f>
        <v>4.4855645043249124E-5</v>
      </c>
      <c r="G95" s="2">
        <f>h_1*(b_1*(B95+F95)-(b_1/b_2)*(B95+F95)^2)</f>
        <v>4.1906274210958825E-5</v>
      </c>
      <c r="H95" s="2">
        <f>h_1*(b_3*B95)</f>
        <v>1.6067760897299763E-2</v>
      </c>
      <c r="I95" s="2">
        <f>h_1*b_3*(B95+H95/2)</f>
        <v>1.6205140252971675E-2</v>
      </c>
      <c r="J95" s="2">
        <f>h_1*(b_3*(B95+I95/2))</f>
        <v>1.620631484646267E-2</v>
      </c>
      <c r="K95" s="2">
        <f>h_1*(b_3*(B95+J95))</f>
        <v>1.6344888881174271E-2</v>
      </c>
    </row>
    <row r="96" spans="1:11" x14ac:dyDescent="0.25">
      <c r="A96" s="2">
        <v>0.87</v>
      </c>
      <c r="B96" s="5">
        <f t="shared" si="4"/>
        <v>0.93967992312342985</v>
      </c>
      <c r="C96" s="5">
        <f t="shared" si="5"/>
        <v>0.97634980418379747</v>
      </c>
      <c r="D96" s="2">
        <f>h_1*(b_1*B96-(b_1/b_2)*B96^2)</f>
        <v>4.1915793334830196E-5</v>
      </c>
      <c r="E96" s="2">
        <f>h_1*((b_1*(B96+D96/2))-((b_1/b_2)*(B96+D96/2)^2))</f>
        <v>3.9172117374146606E-5</v>
      </c>
      <c r="F96" s="2">
        <f>h_1*((b_1*(B96+E96/2))-((b_1/b_2)*(B96+E96/2)^2))</f>
        <v>3.9351713515181078E-5</v>
      </c>
      <c r="G96" s="2">
        <f>h_1*(b_1*(B96+F96)-(b_1/b_2)*(B96+F96)^2)</f>
        <v>3.6764013735872678E-5</v>
      </c>
      <c r="H96" s="2">
        <f>h_1*(b_3*B96)</f>
        <v>1.6068526685410648E-2</v>
      </c>
      <c r="I96" s="2">
        <f>h_1*b_3*(B96+H96/2)</f>
        <v>1.620591258857091E-2</v>
      </c>
      <c r="J96" s="2">
        <f>h_1*(b_3*(B96+I96/2))</f>
        <v>1.6207087238042931E-2</v>
      </c>
      <c r="K96" s="2">
        <f>h_1*(b_3*(B96+J96))</f>
        <v>1.6345667877181187E-2</v>
      </c>
    </row>
    <row r="97" spans="1:11" x14ac:dyDescent="0.25">
      <c r="A97" s="2">
        <v>0.88</v>
      </c>
      <c r="B97" s="5">
        <f t="shared" si="4"/>
        <v>0.93971921103490474</v>
      </c>
      <c r="C97" s="5">
        <f t="shared" si="5"/>
        <v>0.99255650321976741</v>
      </c>
      <c r="D97" s="2">
        <f>h_1*(b_1*B97-(b_1/b_2)*B97^2)</f>
        <v>3.6772366810424726E-5</v>
      </c>
      <c r="E97" s="2">
        <f>h_1*((b_1*(B97+D97/2))-((b_1/b_2)*(B97+D97/2)^2))</f>
        <v>3.4365168620738019E-5</v>
      </c>
      <c r="F97" s="2">
        <f>h_1*((b_1*(B97+E97/2))-((b_1/b_2)*(B97+E97/2)^2))</f>
        <v>3.4522751871683964E-5</v>
      </c>
      <c r="G97" s="2">
        <f>h_1*(b_1*(B97+F97)-(b_1/b_2)*(B97+F97)^2)</f>
        <v>3.2252422056462393E-5</v>
      </c>
      <c r="H97" s="2">
        <f>h_1*(b_3*B97)</f>
        <v>1.6069198508696873E-2</v>
      </c>
      <c r="I97" s="2">
        <f>h_1*b_3*(B97+H97/2)</f>
        <v>1.6206590155946232E-2</v>
      </c>
      <c r="J97" s="2">
        <f>h_1*(b_3*(B97+I97/2))</f>
        <v>1.620776485453021E-2</v>
      </c>
      <c r="K97" s="2">
        <f>h_1*(b_3*(B97+J97))</f>
        <v>1.6346351287709338E-2</v>
      </c>
    </row>
    <row r="98" spans="1:11" x14ac:dyDescent="0.25">
      <c r="A98" s="2">
        <v>0.89</v>
      </c>
      <c r="B98" s="5">
        <f t="shared" si="4"/>
        <v>0.93975367780654673</v>
      </c>
      <c r="C98" s="5">
        <f t="shared" si="5"/>
        <v>1.0087638798559939</v>
      </c>
      <c r="D98" s="2">
        <f>h_1*(b_1*B98-(b_1/b_2)*B98^2)</f>
        <v>3.2259751623637811E-5</v>
      </c>
      <c r="E98" s="2">
        <f>h_1*((b_1*(B98+D98/2))-((b_1/b_2)*(B98+D98/2)^2))</f>
        <v>3.0147809043050701E-5</v>
      </c>
      <c r="F98" s="2">
        <f>h_1*((b_1*(B98+E98/2))-((b_1/b_2)*(B98+E98/2)^2))</f>
        <v>3.0286073375567213E-5</v>
      </c>
      <c r="G98" s="2">
        <f>h_1*(b_1*(B98+F98)-(b_1/b_2)*(B98+F98)^2)</f>
        <v>2.8294227495830883E-5</v>
      </c>
      <c r="H98" s="2">
        <f>h_1*(b_3*B98)</f>
        <v>1.606978789049195E-2</v>
      </c>
      <c r="I98" s="2">
        <f>h_1*b_3*(B98+H98/2)</f>
        <v>1.6207184576955656E-2</v>
      </c>
      <c r="J98" s="2">
        <f>h_1*(b_3*(B98+I98/2))</f>
        <v>1.620835931862492E-2</v>
      </c>
      <c r="K98" s="2">
        <f>h_1*(b_3*(B98+J98))</f>
        <v>1.6346950834840435E-2</v>
      </c>
    </row>
    <row r="99" spans="1:11" x14ac:dyDescent="0.25">
      <c r="A99" s="2">
        <v>0.9</v>
      </c>
      <c r="B99" s="5">
        <f t="shared" si="4"/>
        <v>0.9397839147638728</v>
      </c>
      <c r="C99" s="5">
        <f t="shared" si="5"/>
        <v>1.0249718509420762</v>
      </c>
      <c r="D99" s="2">
        <f>h_1*(b_1*B99-(b_1/b_2)*B99^2)</f>
        <v>2.8300658740505469E-5</v>
      </c>
      <c r="E99" s="2">
        <f>h_1*((b_1*(B99+D99/2))-((b_1/b_2)*(B99+D99/2)^2))</f>
        <v>2.6447789934564981E-5</v>
      </c>
      <c r="F99" s="2">
        <f>h_1*((b_1*(B99+E99/2))-((b_1/b_2)*(B99+E99/2)^2))</f>
        <v>2.6569100578317518E-5</v>
      </c>
      <c r="G99" s="2">
        <f>h_1*(b_1*(B99+F99)-(b_1/b_2)*(B99+F99)^2)</f>
        <v>2.4821608391043526E-5</v>
      </c>
      <c r="H99" s="2">
        <f>h_1*(b_3*B99)</f>
        <v>1.6070304942462223E-2</v>
      </c>
      <c r="I99" s="2">
        <f>h_1*b_3*(B99+H99/2)</f>
        <v>1.6207706049720279E-2</v>
      </c>
      <c r="J99" s="2">
        <f>h_1*(b_3*(B99+I99/2))</f>
        <v>1.6208880829187332E-2</v>
      </c>
      <c r="K99" s="2">
        <f>h_1*(b_3*(B99+J99))</f>
        <v>1.6347476804641329E-2</v>
      </c>
    </row>
    <row r="100" spans="1:11" x14ac:dyDescent="0.25">
      <c r="A100" s="2">
        <v>0.91</v>
      </c>
      <c r="B100" s="5">
        <f t="shared" si="4"/>
        <v>0.93981044077189901</v>
      </c>
      <c r="C100" s="5">
        <f t="shared" si="5"/>
        <v>1.0411803435262292</v>
      </c>
      <c r="D100" s="2">
        <f>h_1*(b_1*B100-(b_1/b_2)*B100^2)</f>
        <v>2.4827251238832559E-5</v>
      </c>
      <c r="E100" s="2">
        <f>h_1*((b_1*(B100+D100/2))-((b_1/b_2)*(B100+D100/2)^2))</f>
        <v>2.3201700676196426E-5</v>
      </c>
      <c r="F100" s="2">
        <f>h_1*((b_1*(B100+E100/2))-((b_1/b_2)*(B100+E100/2)^2))</f>
        <v>2.3308134015511685E-5</v>
      </c>
      <c r="G100" s="2">
        <f>h_1*(b_1*(B100+F100)-(b_1/b_2)*(B100+F100)^2)</f>
        <v>2.1775041447682496E-5</v>
      </c>
      <c r="H100" s="2">
        <f>h_1*(b_3*B100)</f>
        <v>1.6070758537199473E-2</v>
      </c>
      <c r="I100" s="2">
        <f>h_1*b_3*(B100+H100/2)</f>
        <v>1.6208163522692529E-2</v>
      </c>
      <c r="J100" s="2">
        <f>h_1*(b_3*(B100+I100/2))</f>
        <v>1.6209338335318492E-2</v>
      </c>
      <c r="K100" s="2">
        <f>h_1*(b_3*(B100+J100))</f>
        <v>1.6347938222733418E-2</v>
      </c>
    </row>
    <row r="101" spans="1:11" x14ac:dyDescent="0.25">
      <c r="A101" s="2">
        <v>0.92</v>
      </c>
      <c r="B101" s="5">
        <f t="shared" si="4"/>
        <v>0.93983371109891067</v>
      </c>
      <c r="C101" s="5">
        <f t="shared" si="5"/>
        <v>1.0573892936055551</v>
      </c>
      <c r="D101" s="2">
        <f>h_1*(b_1*B101-(b_1/b_2)*B101^2)</f>
        <v>2.1779992413080153E-5</v>
      </c>
      <c r="E101" s="2">
        <f>h_1*((b_1*(B101+D101/2))-((b_1/b_2)*(B101+D101/2)^2))</f>
        <v>2.0353891119011535E-5</v>
      </c>
      <c r="F101" s="2">
        <f>h_1*((b_1*(B101+E101/2))-((b_1/b_2)*(B101+E101/2)^2))</f>
        <v>2.0447269798342659E-5</v>
      </c>
      <c r="G101" s="2">
        <f>h_1*(b_1*(B101+F101)-(b_1/b_2)*(B101+F101)^2)</f>
        <v>1.9102289506172098E-5</v>
      </c>
      <c r="H101" s="2">
        <f>h_1*(b_3*B101)</f>
        <v>1.6071156459791371E-2</v>
      </c>
      <c r="I101" s="2">
        <f>h_1*b_3*(B101+H101/2)</f>
        <v>1.6208564847522589E-2</v>
      </c>
      <c r="J101" s="2">
        <f>h_1*(b_3*(B101+I101/2))</f>
        <v>1.6209739689237689E-2</v>
      </c>
      <c r="K101" s="2">
        <f>h_1*(b_3*(B101+J101))</f>
        <v>1.6348343008477338E-2</v>
      </c>
    </row>
    <row r="102" spans="1:11" x14ac:dyDescent="0.25">
      <c r="A102" s="2">
        <v>0.93</v>
      </c>
      <c r="B102" s="5">
        <f t="shared" si="4"/>
        <v>0.93985412519953637</v>
      </c>
      <c r="C102" s="5">
        <f t="shared" si="5"/>
        <v>1.0735986450291866</v>
      </c>
      <c r="D102" s="2">
        <f>h_1*(b_1*B102-(b_1/b_2)*B102^2)</f>
        <v>1.9106633319321275E-5</v>
      </c>
      <c r="E102" s="2">
        <f>h_1*((b_1*(B102+D102/2))-((b_1/b_2)*(B102+D102/2)^2))</f>
        <v>1.7855524543577418E-5</v>
      </c>
      <c r="F102" s="2">
        <f>h_1*((b_1*(B102+E102/2))-((b_1/b_2)*(B102+E102/2)^2))</f>
        <v>1.7937448345293205E-5</v>
      </c>
      <c r="G102" s="2">
        <f>h_1*(b_1*(B102+F102)-(b_1/b_2)*(B102+F102)^2)</f>
        <v>1.6757512059868417E-5</v>
      </c>
      <c r="H102" s="2">
        <f>h_1*(b_3*B102)</f>
        <v>1.6071505540912072E-2</v>
      </c>
      <c r="I102" s="2">
        <f>h_1*b_3*(B102+H102/2)</f>
        <v>1.620891691328687E-2</v>
      </c>
      <c r="J102" s="2">
        <f>h_1*(b_3*(B102+I102/2))</f>
        <v>1.6210091780520675E-2</v>
      </c>
      <c r="K102" s="2">
        <f>h_1*(b_3*(B102+J102))</f>
        <v>1.6348698110358974E-2</v>
      </c>
    </row>
    <row r="103" spans="1:11" x14ac:dyDescent="0.25">
      <c r="A103" s="2">
        <v>0.94</v>
      </c>
      <c r="B103" s="5">
        <f t="shared" si="4"/>
        <v>0.93987203354806248</v>
      </c>
      <c r="C103" s="5">
        <f t="shared" si="5"/>
        <v>1.0898083485356675</v>
      </c>
      <c r="D103" s="2">
        <f>h_1*(b_1*B103-(b_1/b_2)*B103^2)</f>
        <v>1.6761323098393178E-5</v>
      </c>
      <c r="E103" s="2">
        <f>h_1*((b_1*(B103+D103/2))-((b_1/b_2)*(B103+D103/2)^2))</f>
        <v>1.5663745562424226E-5</v>
      </c>
      <c r="F103" s="2">
        <f>h_1*((b_1*(B103+E103/2))-((b_1/b_2)*(B103+E103/2)^2))</f>
        <v>1.5735618557179975E-5</v>
      </c>
      <c r="G103" s="2">
        <f>h_1*(b_1*(B103+F103)-(b_1/b_2)*(B103+F103)^2)</f>
        <v>1.4700483806269205E-5</v>
      </c>
      <c r="H103" s="2">
        <f>h_1*(b_3*B103)</f>
        <v>1.6071811773671868E-2</v>
      </c>
      <c r="I103" s="2">
        <f>h_1*b_3*(B103+H103/2)</f>
        <v>1.6209225764336761E-2</v>
      </c>
      <c r="J103" s="2">
        <f>h_1*(b_3*(B103+I103/2))</f>
        <v>1.6210400653956947E-2</v>
      </c>
      <c r="K103" s="2">
        <f>h_1*(b_3*(B103+J103))</f>
        <v>1.634900962485453E-2</v>
      </c>
    </row>
    <row r="104" spans="1:11" x14ac:dyDescent="0.25">
      <c r="A104" s="2">
        <v>0.95</v>
      </c>
      <c r="B104" s="5">
        <f t="shared" si="4"/>
        <v>0.93988774363725314</v>
      </c>
      <c r="C104" s="5">
        <f t="shared" si="5"/>
        <v>1.1060183609081866</v>
      </c>
      <c r="D104" s="2">
        <f>h_1*(b_1*B104-(b_1/b_2)*B104^2)</f>
        <v>1.4703827354587418E-5</v>
      </c>
      <c r="E104" s="2">
        <f>h_1*((b_1*(B104+D104/2))-((b_1/b_2)*(B104+D104/2)^2))</f>
        <v>1.3740949160467864E-5</v>
      </c>
      <c r="F104" s="2">
        <f>h_1*((b_1*(B104+E104/2))-((b_1/b_2)*(B104+E104/2)^2))</f>
        <v>1.3804003572914781E-5</v>
      </c>
      <c r="G104" s="2">
        <f>h_1*(b_1*(B104+F104)-(b_1/b_2)*(B104+F104)^2)</f>
        <v>1.2895908237329223E-5</v>
      </c>
      <c r="H104" s="2">
        <f>h_1*(b_3*B104)</f>
        <v>1.6072080416197027E-2</v>
      </c>
      <c r="I104" s="2">
        <f>h_1*b_3*(B104+H104/2)</f>
        <v>1.6209496703755516E-2</v>
      </c>
      <c r="J104" s="2">
        <f>h_1*(b_3*(B104+I104/2))</f>
        <v>1.6210671613014139E-2</v>
      </c>
      <c r="K104" s="2">
        <f>h_1*(b_3*(B104+J104))</f>
        <v>1.6349282900779569E-2</v>
      </c>
    </row>
    <row r="105" spans="1:11" x14ac:dyDescent="0.25">
      <c r="A105" s="2">
        <v>0.96</v>
      </c>
      <c r="B105" s="5">
        <f t="shared" si="4"/>
        <v>0.9399015252440962</v>
      </c>
      <c r="C105" s="5">
        <f t="shared" si="5"/>
        <v>1.1222286442332725</v>
      </c>
      <c r="D105" s="2">
        <f>h_1*(b_1*B105-(b_1/b_2)*B105^2)</f>
        <v>1.2898841594282119E-5</v>
      </c>
      <c r="E105" s="2">
        <f>h_1*((b_1*(B105+D105/2))-((b_1/b_2)*(B105+D105/2)^2))</f>
        <v>1.205413869175942E-5</v>
      </c>
      <c r="F105" s="2">
        <f>h_1*((b_1*(B105+E105/2))-((b_1/b_2)*(B105+E105/2)^2))</f>
        <v>1.2109455873883234E-5</v>
      </c>
      <c r="G105" s="2">
        <f>h_1*(b_1*(B105+F105)-(b_1/b_2)*(B105+F105)^2)</f>
        <v>1.1312814809816274E-5</v>
      </c>
      <c r="H105" s="2">
        <f>h_1*(b_3*B105)</f>
        <v>1.6072316081674046E-2</v>
      </c>
      <c r="I105" s="2">
        <f>h_1*b_3*(B105+H105/2)</f>
        <v>1.6209734384172357E-2</v>
      </c>
      <c r="J105" s="2">
        <f>h_1*(b_3*(B105+I105/2))</f>
        <v>1.621090931065872E-2</v>
      </c>
      <c r="K105" s="2">
        <f>h_1*(b_3*(B105+J105))</f>
        <v>1.634952263088631E-2</v>
      </c>
    </row>
    <row r="106" spans="1:11" x14ac:dyDescent="0.25">
      <c r="A106" s="2">
        <v>0.97</v>
      </c>
      <c r="B106" s="5">
        <f t="shared" si="4"/>
        <v>0.93991361505168547</v>
      </c>
      <c r="C106" s="5">
        <f t="shared" si="5"/>
        <v>1.1384391652503096</v>
      </c>
      <c r="D106" s="2">
        <f>h_1*(b_1*B106-(b_1/b_2)*B106^2)</f>
        <v>1.1315388262094217E-5</v>
      </c>
      <c r="E106" s="2">
        <f>h_1*((b_1*(B106+D106/2))-((b_1/b_2)*(B106+D106/2)^2))</f>
        <v>1.0574362093187517E-5</v>
      </c>
      <c r="F106" s="2">
        <f>h_1*((b_1*(B106+E106/2))-((b_1/b_2)*(B106+E106/2)^2))</f>
        <v>1.0622890951381691E-5</v>
      </c>
      <c r="G106" s="2">
        <f>h_1*(b_1*(B106+F106)-(b_1/b_2)*(B106+F106)^2)</f>
        <v>9.9240295938152204E-6</v>
      </c>
      <c r="H106" s="2">
        <f>h_1*(b_3*B106)</f>
        <v>1.6072522817383823E-2</v>
      </c>
      <c r="I106" s="2">
        <f>h_1*b_3*(B106+H106/2)</f>
        <v>1.6209942887472455E-2</v>
      </c>
      <c r="J106" s="2">
        <f>h_1*(b_3*(B106+I106/2))</f>
        <v>1.6211117829071711E-2</v>
      </c>
      <c r="K106" s="2">
        <f>h_1*(b_3*(B106+J106))</f>
        <v>1.6349732932260948E-2</v>
      </c>
    </row>
    <row r="107" spans="1:11" x14ac:dyDescent="0.25">
      <c r="A107" s="2">
        <v>0.98</v>
      </c>
      <c r="B107" s="5">
        <f t="shared" si="4"/>
        <v>0.93992422070567627</v>
      </c>
      <c r="C107" s="5">
        <f t="shared" si="5"/>
        <v>1.1546498947807651</v>
      </c>
      <c r="D107" s="2">
        <f>h_1*(b_1*B107-(b_1/b_2)*B107^2)</f>
        <v>9.9262872716288087E-6</v>
      </c>
      <c r="E107" s="2">
        <f>h_1*((b_1*(B107+D107/2))-((b_1/b_2)*(B107+D107/2)^2))</f>
        <v>9.2762168513083052E-6</v>
      </c>
      <c r="F107" s="2">
        <f>h_1*((b_1*(B107+E107/2))-((b_1/b_2)*(B107+E107/2)^2))</f>
        <v>9.3187900335323087E-6</v>
      </c>
      <c r="G107" s="2">
        <f>h_1*(b_1*(B107+F107)-(b_1/b_2)*(B107+F107)^2)</f>
        <v>8.7057105015553311E-6</v>
      </c>
      <c r="H107" s="2">
        <f>h_1*(b_3*B107)</f>
        <v>1.6072704174067063E-2</v>
      </c>
      <c r="I107" s="2">
        <f>h_1*b_3*(B107+H107/2)</f>
        <v>1.621012579475534E-2</v>
      </c>
      <c r="J107" s="2">
        <f>h_1*(b_3*(B107+I107/2))</f>
        <v>1.6211300749612224E-2</v>
      </c>
      <c r="K107" s="2">
        <f>h_1*(b_3*(B107+J107))</f>
        <v>1.6349917416885434E-2</v>
      </c>
    </row>
    <row r="108" spans="1:11" x14ac:dyDescent="0.25">
      <c r="A108" s="2">
        <v>0.99</v>
      </c>
      <c r="B108" s="5">
        <f t="shared" si="4"/>
        <v>0.9399335243742668</v>
      </c>
      <c r="C108" s="5">
        <f t="shared" si="5"/>
        <v>1.1708608072273796</v>
      </c>
      <c r="D108" s="2">
        <f>h_1*(b_1*B108-(b_1/b_2)*B108^2)</f>
        <v>8.707691130442896E-6</v>
      </c>
      <c r="E108" s="2">
        <f>h_1*((b_1*(B108+D108/2))-((b_1/b_2)*(B108+D108/2)^2))</f>
        <v>8.1374153890934057E-6</v>
      </c>
      <c r="F108" s="2">
        <f>h_1*((b_1*(B108+E108/2))-((b_1/b_2)*(B108+E108/2)^2))</f>
        <v>8.1747635016959923E-6</v>
      </c>
      <c r="G108" s="2">
        <f>h_1*(b_1*(B108+F108)-(b_1/b_2)*(B108+F108)^2)</f>
        <v>7.6369392632003041E-6</v>
      </c>
      <c r="H108" s="2">
        <f>h_1*(b_3*B108)</f>
        <v>1.607286326679996E-2</v>
      </c>
      <c r="I108" s="2">
        <f>h_1*b_3*(B108+H108/2)</f>
        <v>1.6210286247731104E-2</v>
      </c>
      <c r="J108" s="2">
        <f>h_1*(b_3*(B108+I108/2))</f>
        <v>1.6211461214218063E-2</v>
      </c>
      <c r="K108" s="2">
        <f>h_1*(b_3*(B108+J108))</f>
        <v>1.6350079253563091E-2</v>
      </c>
    </row>
    <row r="109" spans="1:11" x14ac:dyDescent="0.25">
      <c r="A109" s="2">
        <v>1</v>
      </c>
      <c r="B109" s="5">
        <f t="shared" si="4"/>
        <v>0.93994168587229598</v>
      </c>
      <c r="C109" s="5">
        <f t="shared" si="5"/>
        <v>1.1870718801347566</v>
      </c>
      <c r="D109" s="2">
        <f>h_1*(b_1*B109-(b_1/b_2)*B109^2)</f>
        <v>7.638676824512914E-6</v>
      </c>
      <c r="E109" s="2">
        <f>h_1*((b_1*(B109+D109/2))-((b_1/b_2)*(B109+D109/2)^2))</f>
        <v>7.138403537272353E-6</v>
      </c>
      <c r="F109" s="2">
        <f>h_1*((b_1*(B109+E109/2))-((b_1/b_2)*(B109+E109/2)^2))</f>
        <v>7.1711676295471708E-6</v>
      </c>
      <c r="G109" s="2">
        <f>h_1*(b_1*(B109+F109)-(b_1/b_2)*(B109+F109)^2)</f>
        <v>6.6993632549561254E-6</v>
      </c>
      <c r="H109" s="2">
        <f>h_1*(b_3*B109)</f>
        <v>1.6073002828416262E-2</v>
      </c>
      <c r="I109" s="2">
        <f>h_1*b_3*(B109+H109/2)</f>
        <v>1.6210427002599219E-2</v>
      </c>
      <c r="J109" s="2">
        <f>h_1*(b_3*(B109+I109/2))</f>
        <v>1.6211601979288483E-2</v>
      </c>
      <c r="K109" s="2">
        <f>h_1*(b_3*(B109+J109))</f>
        <v>1.6350221222262092E-2</v>
      </c>
    </row>
  </sheetData>
  <mergeCells count="6">
    <mergeCell ref="P8:S8"/>
    <mergeCell ref="T8:W8"/>
    <mergeCell ref="A7:B7"/>
    <mergeCell ref="D7:G7"/>
    <mergeCell ref="H7:K7"/>
    <mergeCell ref="M8:N8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a)</vt:lpstr>
      <vt:lpstr>b)</vt:lpstr>
      <vt:lpstr>c) M1</vt:lpstr>
      <vt:lpstr>d) M2</vt:lpstr>
      <vt:lpstr>e)</vt:lpstr>
      <vt:lpstr>b_1</vt:lpstr>
      <vt:lpstr>b_2</vt:lpstr>
      <vt:lpstr>b_3</vt:lpstr>
      <vt:lpstr>h_1</vt:lpstr>
      <vt:lpstr>h_2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Renata</dc:creator>
  <cp:lastModifiedBy>Renata</cp:lastModifiedBy>
  <dcterms:created xsi:type="dcterms:W3CDTF">2020-04-05T14:26:55Z</dcterms:created>
  <dcterms:modified xsi:type="dcterms:W3CDTF">2020-04-06T04:46:12Z</dcterms:modified>
</cp:coreProperties>
</file>