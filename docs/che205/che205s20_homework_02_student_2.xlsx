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a\Desktop\Che205\"/>
    </mc:Choice>
  </mc:AlternateContent>
  <xr:revisionPtr revIDLastSave="0" documentId="13_ncr:1_{D2EC07E4-53D7-46F7-B16D-E40E321C2074}" xr6:coauthVersionLast="45" xr6:coauthVersionMax="45" xr10:uidLastSave="{00000000-0000-0000-0000-000000000000}"/>
  <bookViews>
    <workbookView xWindow="-120" yWindow="-120" windowWidth="20730" windowHeight="11160" xr2:uid="{EFAB87BA-29C8-4C0E-94D7-A9C03029A584}"/>
  </bookViews>
  <sheets>
    <sheet name="Exercise 1.2" sheetId="1" r:id="rId1"/>
    <sheet name="Exercise 1.3" sheetId="2" r:id="rId2"/>
    <sheet name="Exercise 1.4" sheetId="3" r:id="rId3"/>
    <sheet name="Exercise 1.6" sheetId="4" r:id="rId4"/>
  </sheets>
  <definedNames>
    <definedName name="a">'Exercise 1.4'!$J$27</definedName>
    <definedName name="b">'Exercise 1.4'!$J$28</definedName>
    <definedName name="constant">'Exercise 1.4'!$J$22</definedName>
    <definedName name="ed">'Exercise 1.4'!$C$42</definedName>
    <definedName name="nre">'Exercise 1.4'!$C$41</definedName>
    <definedName name="P">'Exercise 1.4'!$J$25</definedName>
    <definedName name="Pc">'Exercise 1.4'!$J$26</definedName>
    <definedName name="T">'Exercise 1.4'!$J$23</definedName>
    <definedName name="Tc">'Exercise 1.4'!$J$24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6" i="3" l="1"/>
  <c r="K47" i="3"/>
  <c r="K48" i="3"/>
  <c r="K49" i="3"/>
  <c r="K50" i="3"/>
  <c r="K51" i="3"/>
  <c r="K52" i="3"/>
  <c r="K53" i="3"/>
  <c r="K54" i="3"/>
  <c r="K55" i="3"/>
  <c r="K56" i="3"/>
  <c r="K57" i="3"/>
  <c r="K58" i="3"/>
  <c r="K45" i="3"/>
  <c r="C45" i="3"/>
  <c r="K41" i="3"/>
  <c r="K42" i="3"/>
  <c r="F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46" i="3"/>
  <c r="C42" i="3" l="1"/>
  <c r="C41" i="3"/>
  <c r="J32" i="3"/>
  <c r="M23" i="3"/>
  <c r="N23" i="3"/>
  <c r="M24" i="3"/>
  <c r="M25" i="3"/>
  <c r="M26" i="3"/>
  <c r="M27" i="3"/>
  <c r="E22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E6" i="3" l="1"/>
  <c r="B5" i="3"/>
  <c r="B6" i="3" l="1"/>
  <c r="B7" i="3"/>
  <c r="B8" i="3"/>
  <c r="B9" i="3"/>
  <c r="B10" i="3"/>
  <c r="B11" i="3"/>
  <c r="B12" i="3"/>
  <c r="B13" i="3"/>
  <c r="B14" i="3"/>
  <c r="B15" i="3"/>
  <c r="D21" i="4" l="1"/>
  <c r="D20" i="4"/>
  <c r="I22" i="4"/>
  <c r="I21" i="4"/>
  <c r="J21" i="4" s="1"/>
  <c r="K21" i="4" s="1"/>
  <c r="J22" i="4"/>
  <c r="K22" i="4" s="1"/>
  <c r="K20" i="4"/>
  <c r="J20" i="4"/>
  <c r="O25" i="2"/>
  <c r="N25" i="2"/>
  <c r="N26" i="2"/>
  <c r="O24" i="2"/>
  <c r="N24" i="2"/>
  <c r="Q24" i="2"/>
  <c r="Q25" i="2"/>
  <c r="P24" i="2"/>
  <c r="R24" i="2" s="1"/>
  <c r="P25" i="2"/>
  <c r="R25" i="2" s="1"/>
  <c r="O26" i="2" s="1"/>
  <c r="R23" i="2"/>
  <c r="Q23" i="2"/>
  <c r="P23" i="2"/>
  <c r="E25" i="2"/>
  <c r="D25" i="2"/>
  <c r="D26" i="2"/>
  <c r="E24" i="2"/>
  <c r="D24" i="2"/>
  <c r="F24" i="2"/>
  <c r="G24" i="2"/>
  <c r="F25" i="2"/>
  <c r="G25" i="2"/>
  <c r="H25" i="2" s="1"/>
  <c r="E26" i="2" s="1"/>
  <c r="F26" i="2"/>
  <c r="H23" i="2"/>
  <c r="G23" i="2"/>
  <c r="F23" i="2"/>
  <c r="O7" i="2"/>
  <c r="N7" i="2"/>
  <c r="N8" i="2"/>
  <c r="P8" i="2" s="1"/>
  <c r="O6" i="2"/>
  <c r="P6" i="2"/>
  <c r="Q6" i="2"/>
  <c r="R6" i="2" s="1"/>
  <c r="P7" i="2"/>
  <c r="Q7" i="2"/>
  <c r="R7" i="2"/>
  <c r="O8" i="2" s="1"/>
  <c r="N6" i="2"/>
  <c r="R5" i="2"/>
  <c r="Q5" i="2"/>
  <c r="P5" i="2"/>
  <c r="D8" i="2"/>
  <c r="D9" i="2"/>
  <c r="E7" i="2"/>
  <c r="F6" i="2"/>
  <c r="F7" i="2"/>
  <c r="H7" i="2" s="1"/>
  <c r="E8" i="2" s="1"/>
  <c r="F8" i="2"/>
  <c r="F9" i="2"/>
  <c r="H6" i="2"/>
  <c r="G6" i="2"/>
  <c r="G7" i="2"/>
  <c r="E6" i="2"/>
  <c r="B6" i="2"/>
  <c r="D6" i="2"/>
  <c r="D7" i="2"/>
  <c r="H5" i="2"/>
  <c r="G5" i="2"/>
  <c r="F5" i="2"/>
  <c r="L34" i="2"/>
  <c r="L33" i="2"/>
  <c r="L32" i="2"/>
  <c r="L31" i="2"/>
  <c r="L30" i="2"/>
  <c r="L29" i="2"/>
  <c r="L28" i="2"/>
  <c r="L27" i="2"/>
  <c r="L26" i="2"/>
  <c r="L25" i="2"/>
  <c r="L24" i="2"/>
  <c r="L23" i="2"/>
  <c r="B34" i="2"/>
  <c r="B33" i="2"/>
  <c r="B32" i="2"/>
  <c r="B31" i="2"/>
  <c r="B30" i="2"/>
  <c r="B29" i="2"/>
  <c r="B28" i="2"/>
  <c r="B27" i="2"/>
  <c r="B26" i="2"/>
  <c r="B25" i="2"/>
  <c r="B24" i="2"/>
  <c r="B23" i="2"/>
  <c r="L16" i="2"/>
  <c r="L15" i="2"/>
  <c r="L14" i="2"/>
  <c r="L13" i="2"/>
  <c r="L12" i="2"/>
  <c r="L11" i="2"/>
  <c r="L10" i="2"/>
  <c r="L9" i="2"/>
  <c r="L8" i="2"/>
  <c r="L7" i="2"/>
  <c r="L6" i="2"/>
  <c r="L5" i="2"/>
  <c r="B16" i="2"/>
  <c r="B15" i="2"/>
  <c r="B14" i="2"/>
  <c r="B13" i="2"/>
  <c r="B12" i="2"/>
  <c r="B11" i="2"/>
  <c r="B10" i="2"/>
  <c r="B9" i="2"/>
  <c r="B8" i="2"/>
  <c r="B7" i="2"/>
  <c r="B5" i="2"/>
  <c r="C21" i="4"/>
  <c r="I6" i="4"/>
  <c r="E20" i="4"/>
  <c r="D5" i="4"/>
  <c r="K5" i="4"/>
  <c r="J5" i="4"/>
  <c r="E5" i="4"/>
  <c r="C6" i="4" s="1"/>
  <c r="E21" i="4" l="1"/>
  <c r="C22" i="4" s="1"/>
  <c r="D22" i="4" s="1"/>
  <c r="I23" i="4"/>
  <c r="Q26" i="2"/>
  <c r="N27" i="2"/>
  <c r="P27" i="2" s="1"/>
  <c r="P26" i="2"/>
  <c r="R26" i="2" s="1"/>
  <c r="O27" i="2" s="1"/>
  <c r="D27" i="2"/>
  <c r="F27" i="2" s="1"/>
  <c r="G26" i="2"/>
  <c r="H26" i="2"/>
  <c r="E27" i="2" s="1"/>
  <c r="H24" i="2"/>
  <c r="N9" i="2"/>
  <c r="P9" i="2" s="1"/>
  <c r="Q8" i="2"/>
  <c r="R8" i="2"/>
  <c r="O9" i="2" s="1"/>
  <c r="G8" i="2"/>
  <c r="H8" i="2" s="1"/>
  <c r="E9" i="2" s="1"/>
  <c r="D10" i="2" s="1"/>
  <c r="F10" i="2" s="1"/>
  <c r="D6" i="4"/>
  <c r="K6" i="4"/>
  <c r="J6" i="4"/>
  <c r="E6" i="4"/>
  <c r="C7" i="4" s="1"/>
  <c r="G6" i="1"/>
  <c r="F6" i="1"/>
  <c r="B6" i="1"/>
  <c r="B7" i="1"/>
  <c r="B8" i="1"/>
  <c r="B9" i="1"/>
  <c r="B10" i="1"/>
  <c r="B11" i="1"/>
  <c r="B12" i="1"/>
  <c r="B13" i="1"/>
  <c r="B14" i="1"/>
  <c r="B15" i="1"/>
  <c r="B16" i="1"/>
  <c r="B17" i="1"/>
  <c r="S34" i="1"/>
  <c r="T34" i="1" s="1"/>
  <c r="R34" i="1"/>
  <c r="Q34" i="1"/>
  <c r="M34" i="1"/>
  <c r="G34" i="1"/>
  <c r="H34" i="1"/>
  <c r="I34" i="1" s="1"/>
  <c r="H6" i="1"/>
  <c r="I6" i="1" s="1"/>
  <c r="F34" i="1"/>
  <c r="B34" i="1"/>
  <c r="M35" i="1"/>
  <c r="M36" i="1"/>
  <c r="M37" i="1"/>
  <c r="M38" i="1"/>
  <c r="M39" i="1"/>
  <c r="M40" i="1"/>
  <c r="M41" i="1"/>
  <c r="M42" i="1"/>
  <c r="M43" i="1"/>
  <c r="M44" i="1"/>
  <c r="M45" i="1"/>
  <c r="B35" i="1"/>
  <c r="B36" i="1"/>
  <c r="B37" i="1"/>
  <c r="B38" i="1"/>
  <c r="B39" i="1"/>
  <c r="B40" i="1"/>
  <c r="B41" i="1"/>
  <c r="B42" i="1"/>
  <c r="B43" i="1"/>
  <c r="B44" i="1"/>
  <c r="B45" i="1"/>
  <c r="M7" i="1"/>
  <c r="M8" i="1"/>
  <c r="M9" i="1"/>
  <c r="M10" i="1"/>
  <c r="M11" i="1"/>
  <c r="M12" i="1"/>
  <c r="M13" i="1"/>
  <c r="M14" i="1"/>
  <c r="M15" i="1"/>
  <c r="M16" i="1"/>
  <c r="M17" i="1"/>
  <c r="M6" i="1"/>
  <c r="S6" i="1"/>
  <c r="T6" i="1" s="1"/>
  <c r="P7" i="1" s="1"/>
  <c r="R7" i="1" s="1"/>
  <c r="R6" i="1"/>
  <c r="Q6" i="1"/>
  <c r="E22" i="4" l="1"/>
  <c r="I24" i="4"/>
  <c r="J23" i="4"/>
  <c r="K23" i="4" s="1"/>
  <c r="N28" i="2"/>
  <c r="P28" i="2" s="1"/>
  <c r="Q27" i="2"/>
  <c r="R27" i="2" s="1"/>
  <c r="O28" i="2" s="1"/>
  <c r="G27" i="2"/>
  <c r="D28" i="2"/>
  <c r="F28" i="2" s="1"/>
  <c r="H27" i="2"/>
  <c r="E28" i="2" s="1"/>
  <c r="Q9" i="2"/>
  <c r="N10" i="2"/>
  <c r="P10" i="2" s="1"/>
  <c r="R9" i="2"/>
  <c r="O10" i="2" s="1"/>
  <c r="G9" i="2"/>
  <c r="H9" i="2" s="1"/>
  <c r="E10" i="2" s="1"/>
  <c r="D7" i="4"/>
  <c r="C8" i="4" s="1"/>
  <c r="I7" i="4"/>
  <c r="K7" i="4" s="1"/>
  <c r="E7" i="4"/>
  <c r="E35" i="1"/>
  <c r="G35" i="1" s="1"/>
  <c r="D35" i="1"/>
  <c r="D7" i="1"/>
  <c r="F7" i="1" s="1"/>
  <c r="E7" i="1"/>
  <c r="G7" i="1" s="1"/>
  <c r="O35" i="1"/>
  <c r="P35" i="1"/>
  <c r="R35" i="1" s="1"/>
  <c r="O7" i="1"/>
  <c r="C23" i="4" l="1"/>
  <c r="D23" i="4" s="1"/>
  <c r="J24" i="4"/>
  <c r="K24" i="4" s="1"/>
  <c r="Q28" i="2"/>
  <c r="N29" i="2"/>
  <c r="P29" i="2" s="1"/>
  <c r="R28" i="2"/>
  <c r="O29" i="2" s="1"/>
  <c r="D29" i="2"/>
  <c r="F29" i="2" s="1"/>
  <c r="G28" i="2"/>
  <c r="H28" i="2" s="1"/>
  <c r="E29" i="2" s="1"/>
  <c r="N11" i="2"/>
  <c r="P11" i="2" s="1"/>
  <c r="Q10" i="2"/>
  <c r="R10" i="2"/>
  <c r="O11" i="2" s="1"/>
  <c r="H10" i="2"/>
  <c r="G10" i="2"/>
  <c r="D8" i="4"/>
  <c r="C9" i="4" s="1"/>
  <c r="J7" i="4"/>
  <c r="I8" i="4" s="1"/>
  <c r="E8" i="4"/>
  <c r="F35" i="1"/>
  <c r="H35" i="1"/>
  <c r="I35" i="1" s="1"/>
  <c r="H7" i="1"/>
  <c r="Q7" i="1"/>
  <c r="S7" i="1"/>
  <c r="T7" i="1" s="1"/>
  <c r="S35" i="1"/>
  <c r="T35" i="1" s="1"/>
  <c r="Q35" i="1"/>
  <c r="E23" i="4" l="1"/>
  <c r="I25" i="4"/>
  <c r="N30" i="2"/>
  <c r="P30" i="2" s="1"/>
  <c r="Q29" i="2"/>
  <c r="R29" i="2" s="1"/>
  <c r="O30" i="2" s="1"/>
  <c r="G29" i="2"/>
  <c r="D30" i="2"/>
  <c r="F30" i="2" s="1"/>
  <c r="H29" i="2"/>
  <c r="E30" i="2" s="1"/>
  <c r="N12" i="2"/>
  <c r="P12" i="2" s="1"/>
  <c r="Q11" i="2"/>
  <c r="R11" i="2" s="1"/>
  <c r="O12" i="2" s="1"/>
  <c r="D9" i="4"/>
  <c r="K8" i="4"/>
  <c r="J8" i="4"/>
  <c r="P36" i="1"/>
  <c r="R36" i="1" s="1"/>
  <c r="O36" i="1"/>
  <c r="E36" i="1"/>
  <c r="G36" i="1" s="1"/>
  <c r="D36" i="1"/>
  <c r="P8" i="1"/>
  <c r="R8" i="1" s="1"/>
  <c r="O8" i="1"/>
  <c r="I7" i="1"/>
  <c r="E8" i="1" s="1"/>
  <c r="G8" i="1" s="1"/>
  <c r="C24" i="4" l="1"/>
  <c r="D24" i="4" s="1"/>
  <c r="J25" i="4"/>
  <c r="K25" i="4" s="1"/>
  <c r="Q30" i="2"/>
  <c r="N31" i="2"/>
  <c r="P31" i="2" s="1"/>
  <c r="R30" i="2"/>
  <c r="O31" i="2" s="1"/>
  <c r="D31" i="2"/>
  <c r="F31" i="2" s="1"/>
  <c r="G30" i="2"/>
  <c r="H30" i="2" s="1"/>
  <c r="E31" i="2" s="1"/>
  <c r="Q12" i="2"/>
  <c r="R12" i="2" s="1"/>
  <c r="I9" i="4"/>
  <c r="K9" i="4"/>
  <c r="J9" i="4"/>
  <c r="E9" i="4"/>
  <c r="C10" i="4" s="1"/>
  <c r="Q8" i="1"/>
  <c r="S8" i="1"/>
  <c r="T8" i="1" s="1"/>
  <c r="F36" i="1"/>
  <c r="H36" i="1"/>
  <c r="I36" i="1" s="1"/>
  <c r="S36" i="1"/>
  <c r="T36" i="1" s="1"/>
  <c r="Q36" i="1"/>
  <c r="D8" i="1"/>
  <c r="E24" i="4" l="1"/>
  <c r="C25" i="4" s="1"/>
  <c r="D25" i="4" s="1"/>
  <c r="I26" i="4"/>
  <c r="N32" i="2"/>
  <c r="P32" i="2" s="1"/>
  <c r="Q31" i="2"/>
  <c r="R31" i="2" s="1"/>
  <c r="O32" i="2" s="1"/>
  <c r="D32" i="2"/>
  <c r="F32" i="2" s="1"/>
  <c r="G31" i="2"/>
  <c r="H31" i="2" s="1"/>
  <c r="E32" i="2" s="1"/>
  <c r="D10" i="4"/>
  <c r="C11" i="4" s="1"/>
  <c r="I10" i="4"/>
  <c r="E10" i="4"/>
  <c r="E37" i="1"/>
  <c r="G37" i="1" s="1"/>
  <c r="D37" i="1"/>
  <c r="P9" i="1"/>
  <c r="R9" i="1" s="1"/>
  <c r="O9" i="1"/>
  <c r="F8" i="1"/>
  <c r="H8" i="1"/>
  <c r="I8" i="1" s="1"/>
  <c r="E9" i="1" s="1"/>
  <c r="G9" i="1" s="1"/>
  <c r="P37" i="1"/>
  <c r="R37" i="1" s="1"/>
  <c r="O37" i="1"/>
  <c r="C26" i="4" l="1"/>
  <c r="D26" i="4" s="1"/>
  <c r="E25" i="4"/>
  <c r="J26" i="4"/>
  <c r="K26" i="4" s="1"/>
  <c r="Q32" i="2"/>
  <c r="N33" i="2"/>
  <c r="P33" i="2" s="1"/>
  <c r="R33" i="2" s="1"/>
  <c r="R32" i="2"/>
  <c r="O33" i="2" s="1"/>
  <c r="Q33" i="2" s="1"/>
  <c r="G32" i="2"/>
  <c r="H32" i="2"/>
  <c r="D11" i="4"/>
  <c r="C12" i="4" s="1"/>
  <c r="J10" i="4"/>
  <c r="K10" i="4"/>
  <c r="E11" i="4"/>
  <c r="Q37" i="1"/>
  <c r="S37" i="1"/>
  <c r="T37" i="1" s="1"/>
  <c r="Q9" i="1"/>
  <c r="S9" i="1"/>
  <c r="T9" i="1" s="1"/>
  <c r="H37" i="1"/>
  <c r="I37" i="1" s="1"/>
  <c r="F37" i="1"/>
  <c r="D9" i="1"/>
  <c r="F9" i="1"/>
  <c r="H9" i="1"/>
  <c r="E26" i="4" l="1"/>
  <c r="C27" i="4" s="1"/>
  <c r="D27" i="4" s="1"/>
  <c r="I27" i="4"/>
  <c r="D12" i="4"/>
  <c r="C13" i="4" s="1"/>
  <c r="I11" i="4"/>
  <c r="J11" i="4" s="1"/>
  <c r="E12" i="4"/>
  <c r="O10" i="1"/>
  <c r="P10" i="1"/>
  <c r="R10" i="1" s="1"/>
  <c r="O38" i="1"/>
  <c r="P38" i="1"/>
  <c r="R38" i="1" s="1"/>
  <c r="D38" i="1"/>
  <c r="E38" i="1"/>
  <c r="G38" i="1" s="1"/>
  <c r="I9" i="1"/>
  <c r="E10" i="1" s="1"/>
  <c r="G10" i="1" s="1"/>
  <c r="E27" i="4" l="1"/>
  <c r="C28" i="4" s="1"/>
  <c r="D28" i="4" s="1"/>
  <c r="J27" i="4"/>
  <c r="K27" i="4" s="1"/>
  <c r="D13" i="4"/>
  <c r="C14" i="4" s="1"/>
  <c r="D14" i="4" s="1"/>
  <c r="K11" i="4"/>
  <c r="I12" i="4" s="1"/>
  <c r="J12" i="4" s="1"/>
  <c r="E13" i="4"/>
  <c r="H38" i="1"/>
  <c r="I38" i="1" s="1"/>
  <c r="F38" i="1"/>
  <c r="S38" i="1"/>
  <c r="T38" i="1" s="1"/>
  <c r="Q38" i="1"/>
  <c r="S10" i="1"/>
  <c r="T10" i="1" s="1"/>
  <c r="Q10" i="1"/>
  <c r="D10" i="1"/>
  <c r="E28" i="4" l="1"/>
  <c r="I28" i="4"/>
  <c r="K12" i="4"/>
  <c r="I13" i="4" s="1"/>
  <c r="E14" i="4"/>
  <c r="P11" i="1"/>
  <c r="R11" i="1" s="1"/>
  <c r="O11" i="1"/>
  <c r="O39" i="1"/>
  <c r="P39" i="1"/>
  <c r="R39" i="1" s="1"/>
  <c r="D39" i="1"/>
  <c r="E39" i="1"/>
  <c r="G39" i="1" s="1"/>
  <c r="F10" i="1"/>
  <c r="H10" i="1"/>
  <c r="C29" i="4" l="1"/>
  <c r="D29" i="4" s="1"/>
  <c r="J28" i="4"/>
  <c r="K28" i="4" s="1"/>
  <c r="J13" i="4"/>
  <c r="K13" i="4"/>
  <c r="S11" i="1"/>
  <c r="T11" i="1" s="1"/>
  <c r="Q11" i="1"/>
  <c r="H39" i="1"/>
  <c r="I39" i="1" s="1"/>
  <c r="F39" i="1"/>
  <c r="Q39" i="1"/>
  <c r="S39" i="1"/>
  <c r="T39" i="1" s="1"/>
  <c r="I10" i="1"/>
  <c r="E11" i="1" s="1"/>
  <c r="G11" i="1" s="1"/>
  <c r="E29" i="4" l="1"/>
  <c r="I29" i="4"/>
  <c r="I14" i="4"/>
  <c r="P40" i="1"/>
  <c r="R40" i="1" s="1"/>
  <c r="O40" i="1"/>
  <c r="E40" i="1"/>
  <c r="G40" i="1" s="1"/>
  <c r="D40" i="1"/>
  <c r="P12" i="1"/>
  <c r="R12" i="1" s="1"/>
  <c r="O12" i="1"/>
  <c r="D11" i="1"/>
  <c r="C30" i="4" l="1"/>
  <c r="D30" i="4" s="1"/>
  <c r="J29" i="4"/>
  <c r="K29" i="4" s="1"/>
  <c r="J14" i="4"/>
  <c r="K14" i="4"/>
  <c r="S12" i="1"/>
  <c r="T12" i="1" s="1"/>
  <c r="Q12" i="1"/>
  <c r="H40" i="1"/>
  <c r="I40" i="1" s="1"/>
  <c r="F40" i="1"/>
  <c r="Q40" i="1"/>
  <c r="S40" i="1"/>
  <c r="T40" i="1" s="1"/>
  <c r="F11" i="1"/>
  <c r="H11" i="1"/>
  <c r="E30" i="4" l="1"/>
  <c r="I30" i="4"/>
  <c r="J30" i="4" s="1"/>
  <c r="K30" i="4" s="1"/>
  <c r="P41" i="1"/>
  <c r="R41" i="1" s="1"/>
  <c r="O41" i="1"/>
  <c r="D41" i="1"/>
  <c r="E41" i="1"/>
  <c r="G41" i="1" s="1"/>
  <c r="O13" i="1"/>
  <c r="P13" i="1"/>
  <c r="R13" i="1" s="1"/>
  <c r="I11" i="1"/>
  <c r="E12" i="1" s="1"/>
  <c r="G12" i="1" s="1"/>
  <c r="Q41" i="1" l="1"/>
  <c r="S41" i="1"/>
  <c r="T41" i="1" s="1"/>
  <c r="S13" i="1"/>
  <c r="T13" i="1" s="1"/>
  <c r="Q13" i="1"/>
  <c r="F41" i="1"/>
  <c r="H41" i="1"/>
  <c r="I41" i="1" s="1"/>
  <c r="D12" i="1"/>
  <c r="D42" i="1" l="1"/>
  <c r="E42" i="1"/>
  <c r="G42" i="1" s="1"/>
  <c r="P42" i="1"/>
  <c r="R42" i="1" s="1"/>
  <c r="O42" i="1"/>
  <c r="P14" i="1"/>
  <c r="R14" i="1" s="1"/>
  <c r="O14" i="1"/>
  <c r="F12" i="1"/>
  <c r="H12" i="1"/>
  <c r="Q14" i="1" l="1"/>
  <c r="S14" i="1"/>
  <c r="T14" i="1" s="1"/>
  <c r="Q42" i="1"/>
  <c r="S42" i="1"/>
  <c r="T42" i="1" s="1"/>
  <c r="H42" i="1"/>
  <c r="I42" i="1" s="1"/>
  <c r="F42" i="1"/>
  <c r="I12" i="1"/>
  <c r="E13" i="1" s="1"/>
  <c r="G13" i="1" s="1"/>
  <c r="O43" i="1" l="1"/>
  <c r="P43" i="1"/>
  <c r="R43" i="1" s="1"/>
  <c r="P15" i="1"/>
  <c r="R15" i="1" s="1"/>
  <c r="O15" i="1"/>
  <c r="E43" i="1"/>
  <c r="G43" i="1" s="1"/>
  <c r="D43" i="1"/>
  <c r="D13" i="1"/>
  <c r="H43" i="1" l="1"/>
  <c r="I43" i="1" s="1"/>
  <c r="F43" i="1"/>
  <c r="S15" i="1"/>
  <c r="T15" i="1" s="1"/>
  <c r="Q15" i="1"/>
  <c r="S43" i="1"/>
  <c r="T43" i="1" s="1"/>
  <c r="Q43" i="1"/>
  <c r="F13" i="1"/>
  <c r="H13" i="1"/>
  <c r="P44" i="1" l="1"/>
  <c r="R44" i="1" s="1"/>
  <c r="O44" i="1"/>
  <c r="O16" i="1"/>
  <c r="P16" i="1"/>
  <c r="R16" i="1" s="1"/>
  <c r="D44" i="1"/>
  <c r="E44" i="1"/>
  <c r="G44" i="1" s="1"/>
  <c r="I13" i="1"/>
  <c r="E14" i="1" s="1"/>
  <c r="G14" i="1" s="1"/>
  <c r="S44" i="1" l="1"/>
  <c r="T44" i="1" s="1"/>
  <c r="Q44" i="1"/>
  <c r="F44" i="1"/>
  <c r="H44" i="1"/>
  <c r="I44" i="1" s="1"/>
  <c r="S16" i="1"/>
  <c r="T16" i="1" s="1"/>
  <c r="Q16" i="1"/>
  <c r="D14" i="1"/>
  <c r="D45" i="1" l="1"/>
  <c r="E45" i="1"/>
  <c r="G45" i="1" s="1"/>
  <c r="P17" i="1"/>
  <c r="R17" i="1" s="1"/>
  <c r="O17" i="1"/>
  <c r="P45" i="1"/>
  <c r="R45" i="1" s="1"/>
  <c r="O45" i="1"/>
  <c r="F14" i="1"/>
  <c r="H14" i="1"/>
  <c r="S45" i="1" l="1"/>
  <c r="T45" i="1" s="1"/>
  <c r="Q45" i="1"/>
  <c r="Q17" i="1"/>
  <c r="S17" i="1"/>
  <c r="T17" i="1" s="1"/>
  <c r="H45" i="1"/>
  <c r="I45" i="1" s="1"/>
  <c r="F45" i="1"/>
  <c r="I14" i="1"/>
  <c r="E15" i="1" s="1"/>
  <c r="G15" i="1" s="1"/>
  <c r="D15" i="1" l="1"/>
  <c r="F15" i="1"/>
  <c r="H15" i="1"/>
  <c r="I15" i="1" l="1"/>
  <c r="E16" i="1" s="1"/>
  <c r="G16" i="1" s="1"/>
  <c r="D16" i="1" l="1"/>
  <c r="F16" i="1"/>
  <c r="H16" i="1"/>
  <c r="I16" i="1" l="1"/>
  <c r="E17" i="1" s="1"/>
  <c r="G17" i="1" s="1"/>
  <c r="D17" i="1" l="1"/>
  <c r="F17" i="1"/>
  <c r="H17" i="1"/>
  <c r="I17" i="1" s="1"/>
</calcChain>
</file>

<file path=xl/sharedStrings.xml><?xml version="1.0" encoding="utf-8"?>
<sst xmlns="http://schemas.openxmlformats.org/spreadsheetml/2006/main" count="159" uniqueCount="53">
  <si>
    <t>Che 205 HW 2</t>
  </si>
  <si>
    <t>a.</t>
  </si>
  <si>
    <t>b.</t>
  </si>
  <si>
    <t>f(x)= xtanx-1</t>
  </si>
  <si>
    <t>c.</t>
  </si>
  <si>
    <t>d.</t>
  </si>
  <si>
    <t>x</t>
  </si>
  <si>
    <t>f(x)</t>
  </si>
  <si>
    <t>f'(x)</t>
  </si>
  <si>
    <t>x2</t>
  </si>
  <si>
    <t>x1</t>
  </si>
  <si>
    <t>f(new)</t>
  </si>
  <si>
    <t>Middlepoint</t>
  </si>
  <si>
    <t>f(x)new</t>
  </si>
  <si>
    <t>f(x1)</t>
  </si>
  <si>
    <t>f(x2)</t>
  </si>
  <si>
    <t>f(x)=x-x^1/3-2</t>
  </si>
  <si>
    <t>initial guess</t>
  </si>
  <si>
    <t>f(x)=x^4-e^x+1</t>
  </si>
  <si>
    <t>f(x)=x^2*e^x-1</t>
  </si>
  <si>
    <t>next guess initial guess-(f(x)/f'(x))</t>
  </si>
  <si>
    <t>x^k-1</t>
  </si>
  <si>
    <t>x^k</t>
  </si>
  <si>
    <t>f(x^k-1)</t>
  </si>
  <si>
    <t>f(x^k)</t>
  </si>
  <si>
    <t>x^k+1</t>
  </si>
  <si>
    <t>f(x)=x^3-17x+12</t>
  </si>
  <si>
    <t>Goal seek</t>
  </si>
  <si>
    <t>Bessel J()</t>
  </si>
  <si>
    <t>J1(x)</t>
  </si>
  <si>
    <t>Molar Volume</t>
  </si>
  <si>
    <t>R</t>
  </si>
  <si>
    <t>a</t>
  </si>
  <si>
    <t>b</t>
  </si>
  <si>
    <t>T (K)</t>
  </si>
  <si>
    <t>Tc (K)</t>
  </si>
  <si>
    <t>P (atm)</t>
  </si>
  <si>
    <t>Pc (atm)</t>
  </si>
  <si>
    <t>f(v)=(P+a/v^2)(v-b)-constant*T</t>
  </si>
  <si>
    <t>v</t>
  </si>
  <si>
    <t>f(v)</t>
  </si>
  <si>
    <t xml:space="preserve">v </t>
  </si>
  <si>
    <t>Initial guess</t>
  </si>
  <si>
    <t>Darcy Friction Factor</t>
  </si>
  <si>
    <t>Reynolds number</t>
  </si>
  <si>
    <t>Roughness factor</t>
  </si>
  <si>
    <t>N(Re)</t>
  </si>
  <si>
    <t>E/D</t>
  </si>
  <si>
    <t>f</t>
  </si>
  <si>
    <t>g(f)</t>
  </si>
  <si>
    <t xml:space="preserve">Goal seek </t>
  </si>
  <si>
    <t>e.</t>
  </si>
  <si>
    <t xml:space="preserve">Higher Increments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</si>
</sst>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16">
    <xf numFmtId="0" fontId="0" fillId="0" borderId="0" xfId="0"/>
    <xf numFmtId="0" fontId="2" fillId="0" borderId="1" xfId="2"/>
    <xf numFmtId="0" fontId="2" fillId="0" borderId="1" xfId="2" applyAlignment="1">
      <alignment horizontal="center"/>
    </xf>
    <xf numFmtId="0" fontId="4" fillId="0" borderId="0" xfId="0" applyFont="1"/>
    <xf numFmtId="0" fontId="0" fillId="0" borderId="0" xfId="0" quotePrefix="1"/>
    <xf numFmtId="0" fontId="0" fillId="0" borderId="0" xfId="0" applyAlignment="1">
      <alignment wrapText="1"/>
    </xf>
    <xf numFmtId="0" fontId="3" fillId="2" borderId="0" xfId="3"/>
    <xf numFmtId="164" fontId="0" fillId="0" borderId="0" xfId="0" applyNumberFormat="1"/>
    <xf numFmtId="164" fontId="3" fillId="2" borderId="0" xfId="3" applyNumberFormat="1"/>
    <xf numFmtId="0" fontId="2" fillId="0" borderId="1" xfId="2" applyAlignment="1"/>
    <xf numFmtId="0" fontId="0" fillId="0" borderId="2" xfId="0" applyBorder="1"/>
    <xf numFmtId="165" fontId="0" fillId="0" borderId="0" xfId="0" applyNumberFormat="1"/>
    <xf numFmtId="165" fontId="3" fillId="2" borderId="0" xfId="3" applyNumberFormat="1"/>
    <xf numFmtId="0" fontId="0" fillId="0" borderId="2" xfId="0" applyBorder="1" applyAlignment="1">
      <alignment wrapText="1"/>
    </xf>
    <xf numFmtId="0" fontId="2" fillId="0" borderId="1" xfId="2" applyAlignment="1">
      <alignment horizontal="center"/>
    </xf>
    <xf numFmtId="0" fontId="1" fillId="0" borderId="0" xfId="1" applyAlignment="1">
      <alignment horizontal="center" vertical="center"/>
    </xf>
  </cellXfs>
  <cellStyles count="4">
    <cellStyle name="Heading 3" xfId="2" builtinId="18"/>
    <cellStyle name="Neutral" xfId="3" builtinId="2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'Exercise 1.2'!$B$5</c:f>
              <c:strCache>
                <c:ptCount val="1"/>
                <c:pt idx="0">
                  <c:v>f(x)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'Exercise 1.2'!$A$6:$A$17</c:f>
              <c:numCache>
                <c:formatCode>General</c:formatCode>
                <c:ptCount val="12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xVal>
          <c:yVal>
            <c:numRef>
              <c:f>'Exercise 1.2'!$B$6:$B$17</c:f>
              <c:numCache>
                <c:formatCode>General</c:formatCode>
                <c:ptCount val="12"/>
                <c:pt idx="0">
                  <c:v>-5.2900240533233029</c:v>
                </c:pt>
                <c:pt idx="1">
                  <c:v>-4.4125989480318006</c:v>
                </c:pt>
                <c:pt idx="2">
                  <c:v>-3.5577504296925917</c:v>
                </c:pt>
                <c:pt idx="3">
                  <c:v>-2.7400789501051266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-1.2599210498948732</c:v>
                </c:pt>
                <c:pt idx="8">
                  <c:v>-0.4422495703074083</c:v>
                </c:pt>
                <c:pt idx="9">
                  <c:v>0.41259894803180064</c:v>
                </c:pt>
                <c:pt idx="10">
                  <c:v>1.2900240533233029</c:v>
                </c:pt>
                <c:pt idx="11">
                  <c:v>2.1828794071678601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A2-409C-A38C-5AFF6F89C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121440"/>
        <c:axId val="438124720"/>
      </c:scatterChart>
      <c:valAx>
        <c:axId val="43812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24720"/>
        <c:crosses val="autoZero"/>
        <c:crossBetween val="midCat"/>
      </c:valAx>
      <c:valAx>
        <c:axId val="43812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2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'Exercise 1.2'!$M$5</c:f>
              <c:strCache>
                <c:ptCount val="1"/>
                <c:pt idx="0">
                  <c:v>f(x)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'Exercise 1.2'!$L$6:$L$17</c:f>
              <c:numCache>
                <c:formatCode>General</c:formatCode>
                <c:ptCount val="12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xVal>
          <c:yVal>
            <c:numRef>
              <c:f>'Exercise 1.2'!$M$6:$M$17</c:f>
              <c:numCache>
                <c:formatCode>General</c:formatCode>
                <c:ptCount val="12"/>
                <c:pt idx="0">
                  <c:v>-17.902575031232928</c:v>
                </c:pt>
                <c:pt idx="1">
                  <c:v>3.6312851293983099</c:v>
                </c:pt>
                <c:pt idx="2">
                  <c:v>-1.4276396292228335</c:v>
                </c:pt>
                <c:pt idx="3">
                  <c:v>-5.3700797265230378</c:v>
                </c:pt>
                <c:pt idx="4">
                  <c:v>0.55740772465490229</c:v>
                </c:pt>
                <c:pt idx="5">
                  <c:v>-1</c:v>
                </c:pt>
                <c:pt idx="6">
                  <c:v>0.55740772465490229</c:v>
                </c:pt>
                <c:pt idx="7">
                  <c:v>-5.3700797265230378</c:v>
                </c:pt>
                <c:pt idx="8">
                  <c:v>-1.4276396292228335</c:v>
                </c:pt>
                <c:pt idx="9">
                  <c:v>3.6312851293983099</c:v>
                </c:pt>
                <c:pt idx="10">
                  <c:v>-17.902575031232928</c:v>
                </c:pt>
                <c:pt idx="11">
                  <c:v>-2.7460371483084947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16-4C94-9993-E682FD32E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145936"/>
        <c:axId val="531639400"/>
      </c:scatterChart>
      <c:valAx>
        <c:axId val="43014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639400"/>
        <c:crosses val="autoZero"/>
        <c:crossBetween val="midCat"/>
      </c:valAx>
      <c:valAx>
        <c:axId val="53163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14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921360148452795E-2"/>
          <c:y val="8.8173286957051206E-2"/>
          <c:w val="0.86200645301502921"/>
          <c:h val="0.874911186494706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'Exercise 1.2'!$M$33</c:f>
              <c:strCache>
                <c:ptCount val="1"/>
                <c:pt idx="0">
                  <c:v>f(x)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'Exercise 1.2'!$L$34:$L$45</c:f>
              <c:numCache>
                <c:formatCode>General</c:formatCode>
                <c:ptCount val="12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xVal>
          <c:yVal>
            <c:numRef>
              <c:f>'Exercise 1.2'!$M$34:$M$45</c:f>
              <c:numCache>
                <c:formatCode>General</c:formatCode>
                <c:ptCount val="12"/>
                <c:pt idx="0">
                  <c:v>-0.83155132502286333</c:v>
                </c:pt>
                <c:pt idx="1">
                  <c:v>-0.70694977778025314</c:v>
                </c:pt>
                <c:pt idx="2">
                  <c:v>-0.55191638468922455</c:v>
                </c:pt>
                <c:pt idx="3">
                  <c:v>-0.45865886705354919</c:v>
                </c:pt>
                <c:pt idx="4">
                  <c:v>-0.63212055882855767</c:v>
                </c:pt>
                <c:pt idx="5">
                  <c:v>-1</c:v>
                </c:pt>
                <c:pt idx="6">
                  <c:v>1.7182818284590451</c:v>
                </c:pt>
                <c:pt idx="7">
                  <c:v>28.556224395722602</c:v>
                </c:pt>
                <c:pt idx="8">
                  <c:v>179.76983230868902</c:v>
                </c:pt>
                <c:pt idx="9">
                  <c:v>872.57040053030778</c:v>
                </c:pt>
                <c:pt idx="10">
                  <c:v>3709.3289775644148</c:v>
                </c:pt>
                <c:pt idx="11">
                  <c:v>14522.436565738464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E2-4D4F-AB50-7BE3BCA81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039208"/>
        <c:axId val="323039864"/>
      </c:scatterChart>
      <c:valAx>
        <c:axId val="323039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039864"/>
        <c:crosses val="autoZero"/>
        <c:crossBetween val="midCat"/>
      </c:valAx>
      <c:valAx>
        <c:axId val="32303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039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'Exercise 1.2'!$B$33</c:f>
              <c:strCache>
                <c:ptCount val="1"/>
                <c:pt idx="0">
                  <c:v>f(x)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'Exercise 1.2'!$A$34:$A$45</c:f>
              <c:numCache>
                <c:formatCode>General</c:formatCode>
                <c:ptCount val="12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xVal>
          <c:yVal>
            <c:numRef>
              <c:f>'Exercise 1.2'!$B$34:$B$45</c:f>
              <c:numCache>
                <c:formatCode>General</c:formatCode>
                <c:ptCount val="12"/>
                <c:pt idx="0">
                  <c:v>625.99326205300088</c:v>
                </c:pt>
                <c:pt idx="1">
                  <c:v>256.98168436111126</c:v>
                </c:pt>
                <c:pt idx="2">
                  <c:v>81.950212931632137</c:v>
                </c:pt>
                <c:pt idx="3">
                  <c:v>16.864664716763386</c:v>
                </c:pt>
                <c:pt idx="4">
                  <c:v>1.6321205588285577</c:v>
                </c:pt>
                <c:pt idx="5">
                  <c:v>0</c:v>
                </c:pt>
                <c:pt idx="6">
                  <c:v>-0.71828182845904509</c:v>
                </c:pt>
                <c:pt idx="7">
                  <c:v>9.6109439010693496</c:v>
                </c:pt>
                <c:pt idx="8">
                  <c:v>61.914463076812332</c:v>
                </c:pt>
                <c:pt idx="9">
                  <c:v>202.40184996685576</c:v>
                </c:pt>
                <c:pt idx="10">
                  <c:v>477.58684089742337</c:v>
                </c:pt>
                <c:pt idx="11">
                  <c:v>893.57120650726483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F-492B-879C-E9E22BFD9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485696"/>
        <c:axId val="275483072"/>
      </c:scatterChart>
      <c:valAx>
        <c:axId val="27548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83072"/>
        <c:crosses val="autoZero"/>
        <c:crossBetween val="midCat"/>
      </c:valAx>
      <c:valAx>
        <c:axId val="27548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8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'Exercise 1.4'!$B$4</c:f>
              <c:strCache>
                <c:ptCount val="1"/>
                <c:pt idx="0">
                  <c:v>f(x)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'Exercise 1.4'!$A$5:$A$15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'Exercise 1.4'!$B$5:$B$15</c:f>
              <c:numCache>
                <c:formatCode>General</c:formatCode>
                <c:ptCount val="11"/>
                <c:pt idx="0">
                  <c:v>-28</c:v>
                </c:pt>
                <c:pt idx="1">
                  <c:v>16</c:v>
                </c:pt>
                <c:pt idx="2">
                  <c:v>36</c:v>
                </c:pt>
                <c:pt idx="3">
                  <c:v>38</c:v>
                </c:pt>
                <c:pt idx="4">
                  <c:v>28</c:v>
                </c:pt>
                <c:pt idx="5">
                  <c:v>12</c:v>
                </c:pt>
                <c:pt idx="6">
                  <c:v>-4</c:v>
                </c:pt>
                <c:pt idx="7">
                  <c:v>-14</c:v>
                </c:pt>
                <c:pt idx="8">
                  <c:v>-12</c:v>
                </c:pt>
                <c:pt idx="9">
                  <c:v>8</c:v>
                </c:pt>
                <c:pt idx="10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33-43E7-B67D-1FB60E307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634480"/>
        <c:axId val="531634808"/>
      </c:scatterChart>
      <c:valAx>
        <c:axId val="53163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634808"/>
        <c:crosses val="autoZero"/>
        <c:crossBetween val="midCat"/>
      </c:valAx>
      <c:valAx>
        <c:axId val="53163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63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'Exercise 1.4'!$K$44</c:f>
              <c:strCache>
                <c:ptCount val="1"/>
                <c:pt idx="0">
                  <c:v>g(f)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'Exercise 1.4'!$J$45:$J$58</c:f>
              <c:numCache>
                <c:formatCode>General</c:formatCode>
                <c:ptCount val="14"/>
                <c:pt idx="0">
                  <c:v>5000</c:v>
                </c:pt>
                <c:pt idx="1">
                  <c:v>7000</c:v>
                </c:pt>
                <c:pt idx="2">
                  <c:v>9000</c:v>
                </c:pt>
                <c:pt idx="3">
                  <c:v>11000</c:v>
                </c:pt>
                <c:pt idx="4">
                  <c:v>13000</c:v>
                </c:pt>
                <c:pt idx="5">
                  <c:v>15000</c:v>
                </c:pt>
                <c:pt idx="6">
                  <c:v>17000</c:v>
                </c:pt>
                <c:pt idx="7">
                  <c:v>19000</c:v>
                </c:pt>
                <c:pt idx="8">
                  <c:v>21000</c:v>
                </c:pt>
                <c:pt idx="9">
                  <c:v>23000</c:v>
                </c:pt>
                <c:pt idx="10">
                  <c:v>25000</c:v>
                </c:pt>
                <c:pt idx="11">
                  <c:v>27000</c:v>
                </c:pt>
                <c:pt idx="12">
                  <c:v>29000</c:v>
                </c:pt>
                <c:pt idx="13">
                  <c:v>31000</c:v>
                </c:pt>
              </c:numCache>
            </c:numRef>
          </c:xVal>
          <c:yVal>
            <c:numRef>
              <c:f>'Exercise 1.4'!$K$45:$K$58</c:f>
              <c:numCache>
                <c:formatCode>General</c:formatCode>
                <c:ptCount val="14"/>
                <c:pt idx="0">
                  <c:v>-2.0043698718552605E-4</c:v>
                </c:pt>
                <c:pt idx="1">
                  <c:v>-0.28599412708623362</c:v>
                </c:pt>
                <c:pt idx="2">
                  <c:v>-0.49856688050492526</c:v>
                </c:pt>
                <c:pt idx="3">
                  <c:v>-0.66760068042360832</c:v>
                </c:pt>
                <c:pt idx="4">
                  <c:v>-0.80773873150989761</c:v>
                </c:pt>
                <c:pt idx="5">
                  <c:v>-0.92729141297649509</c:v>
                </c:pt>
                <c:pt idx="6">
                  <c:v>-1.0314319721674314</c:v>
                </c:pt>
                <c:pt idx="7">
                  <c:v>-1.1236004590096043</c:v>
                </c:pt>
                <c:pt idx="8">
                  <c:v>-1.2062007438986484</c:v>
                </c:pt>
                <c:pt idx="9">
                  <c:v>-1.2809789404352205</c:v>
                </c:pt>
                <c:pt idx="10">
                  <c:v>-1.3492434363780674</c:v>
                </c:pt>
                <c:pt idx="11">
                  <c:v>-1.4119999785494004</c:v>
                </c:pt>
                <c:pt idx="12">
                  <c:v>-1.4700383597868152</c:v>
                </c:pt>
                <c:pt idx="13">
                  <c:v>-1.5239901316617539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B6-40B2-BEB7-7379010A4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75712"/>
        <c:axId val="543476040"/>
      </c:scatterChart>
      <c:valAx>
        <c:axId val="54347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Reynolds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476040"/>
        <c:crosses val="autoZero"/>
        <c:crossBetween val="midCat"/>
      </c:valAx>
      <c:valAx>
        <c:axId val="54347604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Friction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47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17</xdr:row>
      <xdr:rowOff>147637</xdr:rowOff>
    </xdr:from>
    <xdr:to>
      <xdr:col>6</xdr:col>
      <xdr:colOff>542925</xdr:colOff>
      <xdr:row>29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C52A47-38A6-468A-A70C-08EC1F62F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581025</xdr:colOff>
      <xdr:row>18</xdr:row>
      <xdr:rowOff>71437</xdr:rowOff>
    </xdr:from>
    <xdr:to>
      <xdr:col>18</xdr:col>
      <xdr:colOff>342900</xdr:colOff>
      <xdr:row>28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5CE0C2-DB5B-44F7-BEB9-69EAA9C80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523874</xdr:colOff>
      <xdr:row>46</xdr:row>
      <xdr:rowOff>133350</xdr:rowOff>
    </xdr:from>
    <xdr:to>
      <xdr:col>18</xdr:col>
      <xdr:colOff>209549</xdr:colOff>
      <xdr:row>57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825C02-A1CC-46BF-8136-B14B1801F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133349</xdr:colOff>
      <xdr:row>46</xdr:row>
      <xdr:rowOff>71437</xdr:rowOff>
    </xdr:from>
    <xdr:to>
      <xdr:col>6</xdr:col>
      <xdr:colOff>247649</xdr:colOff>
      <xdr:row>57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A7097C-0639-4BF3-8FA2-E21F989A4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466724</xdr:colOff>
      <xdr:row>2</xdr:row>
      <xdr:rowOff>185737</xdr:rowOff>
    </xdr:from>
    <xdr:to>
      <xdr:col>10</xdr:col>
      <xdr:colOff>476249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9A2D1-D574-4353-BFF1-D4ABD3208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552450</xdr:colOff>
      <xdr:row>37</xdr:row>
      <xdr:rowOff>9525</xdr:rowOff>
    </xdr:from>
    <xdr:ext cx="2341880" cy="3758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E415913-5D70-4B65-AB7C-6EA5E6066A18}"/>
                </a:ext>
              </a:extLst>
            </xdr:cNvPr>
            <xdr:cNvSpPr txBox="1"/>
          </xdr:nvSpPr>
          <xdr:spPr>
            <a:xfrm>
              <a:off x="1162050" y="7086600"/>
              <a:ext cx="2341880" cy="3758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/>
                <a:t>g(f)</a:t>
              </a:r>
              <a:r>
                <a:rPr lang="en-US" sz="1200" baseline="0"/>
                <a:t> =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n-US" sz="12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n-US" sz="12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num>
                        <m:den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𝑓</m:t>
                          </m:r>
                        </m:den>
                      </m:f>
                    </m:e>
                  </m:rad>
                  <m:r>
                    <a:rPr lang="en-US" sz="1200" b="0" i="0">
                      <a:latin typeface="Cambria Math" panose="02040503050406030204" pitchFamily="18" charset="0"/>
                    </a:rPr>
                    <m:t>+0.86</m:t>
                  </m:r>
                  <m:r>
                    <m:rPr>
                      <m:sty m:val="p"/>
                    </m:rPr>
                    <a:rPr lang="en-US" sz="1200" b="0" i="0">
                      <a:latin typeface="Cambria Math" panose="02040503050406030204" pitchFamily="18" charset="0"/>
                    </a:rPr>
                    <m:t>ln</m:t>
                  </m:r>
                  <m:r>
                    <a:rPr lang="en-US" sz="1200" b="0" i="0">
                      <a:latin typeface="Cambria Math" panose="02040503050406030204" pitchFamily="18" charset="0"/>
                    </a:rPr>
                    <m:t>(</m:t>
                  </m:r>
                  <m:f>
                    <m:fPr>
                      <m:ctrlPr>
                        <a:rPr lang="en-US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𝜀</m:t>
                      </m:r>
                      <m:r>
                        <a:rPr lang="en-US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𝐼𝐷</m:t>
                      </m:r>
                    </m:num>
                    <m:den>
                      <m:r>
                        <a:rPr lang="en-US" sz="1200" b="0" i="1">
                          <a:latin typeface="Cambria Math" panose="02040503050406030204" pitchFamily="18" charset="0"/>
                        </a:rPr>
                        <m:t>3.7</m:t>
                      </m:r>
                    </m:den>
                  </m:f>
                  <m:r>
                    <a:rPr lang="en-US" sz="1200" b="0" i="1">
                      <a:latin typeface="Cambria Math" panose="02040503050406030204" pitchFamily="18" charset="0"/>
                    </a:rPr>
                    <m:t>+ </m:t>
                  </m:r>
                  <m:f>
                    <m:fPr>
                      <m:ctrlPr>
                        <a:rPr lang="en-US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200" b="0" i="1">
                          <a:latin typeface="Cambria Math" panose="02040503050406030204" pitchFamily="18" charset="0"/>
                        </a:rPr>
                        <m:t>2.51</m:t>
                      </m:r>
                    </m:num>
                    <m:den>
                      <m:sSub>
                        <m:sSubPr>
                          <m:ctrlPr>
                            <a:rPr lang="en-US" sz="12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𝑅𝑒</m:t>
                          </m:r>
                        </m:sub>
                      </m:sSub>
                      <m:rad>
                        <m:radPr>
                          <m:degHide m:val="on"/>
                          <m:ctrlPr>
                            <a:rPr lang="en-US" sz="1200" b="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200" b="0" i="1">
                              <a:latin typeface="Cambria Math" panose="02040503050406030204" pitchFamily="18" charset="0"/>
                            </a:rPr>
                            <m:t>𝑓</m:t>
                          </m:r>
                        </m:e>
                      </m:rad>
                    </m:den>
                  </m:f>
                </m:oMath>
              </a14:m>
              <a:r>
                <a:rPr lang="en-US" sz="1200"/>
                <a:t>)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E415913-5D70-4B65-AB7C-6EA5E6066A18}"/>
                </a:ext>
              </a:extLst>
            </xdr:cNvPr>
            <xdr:cNvSpPr txBox="1"/>
          </xdr:nvSpPr>
          <xdr:spPr>
            <a:xfrm>
              <a:off x="1162050" y="7086600"/>
              <a:ext cx="2341880" cy="3758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/>
                <a:t>g(f)</a:t>
              </a:r>
              <a:r>
                <a:rPr lang="en-US" sz="1200" baseline="0"/>
                <a:t> =</a:t>
              </a:r>
              <a:r>
                <a:rPr lang="en-US" sz="1200" i="0">
                  <a:latin typeface="Cambria Math" panose="02040503050406030204" pitchFamily="18" charset="0"/>
                </a:rPr>
                <a:t>√(</a:t>
              </a:r>
              <a:r>
                <a:rPr lang="en-US" sz="1200" b="0" i="0">
                  <a:latin typeface="Cambria Math" panose="02040503050406030204" pitchFamily="18" charset="0"/>
                </a:rPr>
                <a:t>1/𝑓)+0.86ln(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𝜀𝐼𝐷/</a:t>
              </a:r>
              <a:r>
                <a:rPr lang="en-US" sz="1200" b="0" i="0">
                  <a:latin typeface="Cambria Math" panose="02040503050406030204" pitchFamily="18" charset="0"/>
                </a:rPr>
                <a:t>3.7+  2.51/(𝑁_𝑅𝑒 √𝑓)</a:t>
              </a:r>
              <a:r>
                <a:rPr lang="en-US" sz="1200"/>
                <a:t>)</a:t>
              </a:r>
            </a:p>
          </xdr:txBody>
        </xdr:sp>
      </mc:Fallback>
    </mc:AlternateContent>
    <xdr:clientData/>
  </xdr:oneCellAnchor>
  <xdr:twoCellAnchor>
    <xdr:from>
      <xdr:col>12</xdr:col>
      <xdr:colOff>352424</xdr:colOff>
      <xdr:row>44</xdr:row>
      <xdr:rowOff>14288</xdr:rowOff>
    </xdr:from>
    <xdr:to>
      <xdr:col>17</xdr:col>
      <xdr:colOff>276224</xdr:colOff>
      <xdr:row>55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86AEE6-C89A-4ACB-A0EA-EBB432542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6358-E713-4753-B497-95A70B0DC70D}">
  <dimension ref="A1:T45"/>
  <sheetViews>
    <sheetView tabSelected="1" topLeftCell="B1" workbookViewId="0">
      <selection activeCell="K18" sqref="K18"/>
    </sheetView>
  </sheetViews>
  <sheetFormatPr defaultRowHeight="15" x14ac:dyDescent="0.25"/>
  <cols>
    <col min="5" max="5" width="11" customWidth="1"/>
    <col min="12" max="12" width="9.5703125" customWidth="1"/>
    <col min="17" max="17" width="10.85546875" customWidth="1"/>
    <col min="22" max="22" width="11" customWidth="1"/>
  </cols>
  <sheetData>
    <row r="1" spans="1:20" ht="23.25" x14ac:dyDescent="0.25">
      <c r="G1" s="15" t="s">
        <v>0</v>
      </c>
      <c r="H1" s="15"/>
      <c r="I1" s="15"/>
      <c r="J1" s="15"/>
      <c r="K1" s="15"/>
    </row>
    <row r="3" spans="1:20" ht="15.75" thickBot="1" x14ac:dyDescent="0.3">
      <c r="B3" s="1" t="s">
        <v>1</v>
      </c>
      <c r="C3" s="1"/>
      <c r="D3" s="1"/>
      <c r="E3" s="2" t="s">
        <v>16</v>
      </c>
      <c r="F3" s="2"/>
      <c r="G3" s="1"/>
      <c r="H3" s="1"/>
      <c r="I3" s="1"/>
      <c r="J3" s="1"/>
      <c r="L3" s="1" t="s">
        <v>2</v>
      </c>
      <c r="M3" s="1"/>
      <c r="N3" s="1"/>
      <c r="O3" s="1"/>
      <c r="P3" s="14" t="s">
        <v>3</v>
      </c>
      <c r="Q3" s="14"/>
      <c r="R3" s="1"/>
      <c r="S3" s="1"/>
      <c r="T3" s="1"/>
    </row>
    <row r="4" spans="1:20" x14ac:dyDescent="0.25">
      <c r="H4" t="s">
        <v>12</v>
      </c>
      <c r="S4" t="s">
        <v>12</v>
      </c>
    </row>
    <row r="5" spans="1:20" x14ac:dyDescent="0.25">
      <c r="A5" t="s">
        <v>6</v>
      </c>
      <c r="B5" t="s">
        <v>7</v>
      </c>
      <c r="D5" t="s">
        <v>10</v>
      </c>
      <c r="E5" t="s">
        <v>9</v>
      </c>
      <c r="F5" t="s">
        <v>14</v>
      </c>
      <c r="G5" t="s">
        <v>15</v>
      </c>
      <c r="H5" t="s">
        <v>11</v>
      </c>
      <c r="I5" t="s">
        <v>13</v>
      </c>
      <c r="L5" t="s">
        <v>6</v>
      </c>
      <c r="M5" t="s">
        <v>7</v>
      </c>
      <c r="O5" t="s">
        <v>10</v>
      </c>
      <c r="P5" t="s">
        <v>9</v>
      </c>
      <c r="Q5" t="s">
        <v>14</v>
      </c>
      <c r="R5" t="s">
        <v>15</v>
      </c>
      <c r="S5" t="s">
        <v>11</v>
      </c>
      <c r="T5" t="s">
        <v>13</v>
      </c>
    </row>
    <row r="6" spans="1:20" x14ac:dyDescent="0.25">
      <c r="A6">
        <v>-5</v>
      </c>
      <c r="B6">
        <f>A6-(A6^(1/3))-2</f>
        <v>-5.2900240533233029</v>
      </c>
      <c r="D6">
        <v>3</v>
      </c>
      <c r="E6">
        <v>5</v>
      </c>
      <c r="F6">
        <f>D6-(D6^(1/3))-2</f>
        <v>-0.4422495703074083</v>
      </c>
      <c r="G6">
        <f>E6-(E6^(1/3))-2</f>
        <v>1.2900240533233029</v>
      </c>
      <c r="H6">
        <f>(D6+E6)/2</f>
        <v>4</v>
      </c>
      <c r="I6">
        <f>H6-(H6^(1/3))-2</f>
        <v>0.41259894803180064</v>
      </c>
      <c r="L6">
        <v>-5</v>
      </c>
      <c r="M6">
        <f>L6*TAN(L6)-1</f>
        <v>-17.902575031232928</v>
      </c>
      <c r="O6">
        <v>3</v>
      </c>
      <c r="P6">
        <v>5</v>
      </c>
      <c r="Q6">
        <f>O6*TAN(O6)-1</f>
        <v>-1.4276396292228335</v>
      </c>
      <c r="R6">
        <f>P6*TAN(P6)-1</f>
        <v>-17.902575031232928</v>
      </c>
      <c r="S6">
        <f>(O6+P6)/2</f>
        <v>4</v>
      </c>
      <c r="T6">
        <f>S6*TAN(S6)-1</f>
        <v>3.6312851293983099</v>
      </c>
    </row>
    <row r="7" spans="1:20" x14ac:dyDescent="0.25">
      <c r="A7">
        <v>-4</v>
      </c>
      <c r="B7">
        <f t="shared" ref="B7:B17" si="0">A7-(A7^(1/3))-2</f>
        <v>-4.4125989480318006</v>
      </c>
      <c r="D7">
        <f>IF(I6&lt;0,H6,D6)</f>
        <v>3</v>
      </c>
      <c r="E7">
        <f t="shared" ref="E7:E17" si="1">IF(I6&gt;0,H6,E6)</f>
        <v>4</v>
      </c>
      <c r="F7">
        <f t="shared" ref="F7:F17" si="2">D7-(D7^(1/3))-2</f>
        <v>-0.4422495703074083</v>
      </c>
      <c r="G7">
        <f t="shared" ref="G7:G17" si="3">E7-(E7^(1/3))-2</f>
        <v>0.41259894803180064</v>
      </c>
      <c r="H7">
        <f>(D7+E7)/2</f>
        <v>3.5</v>
      </c>
      <c r="I7">
        <f t="shared" ref="I7:I17" si="4">H7-(H7^(1/3))-2</f>
        <v>-1.829448593783134E-2</v>
      </c>
      <c r="L7">
        <v>-4</v>
      </c>
      <c r="M7">
        <f t="shared" ref="M7:M17" si="5">L7*TAN(L7)-1</f>
        <v>3.6312851293983099</v>
      </c>
      <c r="O7">
        <f>IF(T6&lt;0,S6,O6)</f>
        <v>3</v>
      </c>
      <c r="P7">
        <f>IF(T6&gt;0,S6,P6)</f>
        <v>4</v>
      </c>
      <c r="Q7">
        <f>O7*TAN(O7)-1</f>
        <v>-1.4276396292228335</v>
      </c>
      <c r="R7">
        <f>P7*TAN(P7)-1</f>
        <v>3.6312851293983099</v>
      </c>
      <c r="S7">
        <f>(O7+P7)/2</f>
        <v>3.5</v>
      </c>
      <c r="T7">
        <f>S7*TAN(S7)-1</f>
        <v>0.31104974055508139</v>
      </c>
    </row>
    <row r="8" spans="1:20" x14ac:dyDescent="0.25">
      <c r="A8">
        <v>-3</v>
      </c>
      <c r="B8">
        <f t="shared" si="0"/>
        <v>-3.5577504296925917</v>
      </c>
      <c r="D8">
        <f t="shared" ref="D8:D17" si="6">IF(I7&lt;0,H7,D7)</f>
        <v>3.5</v>
      </c>
      <c r="E8">
        <f t="shared" si="1"/>
        <v>4</v>
      </c>
      <c r="F8">
        <f t="shared" si="2"/>
        <v>-1.829448593783134E-2</v>
      </c>
      <c r="G8">
        <f t="shared" si="3"/>
        <v>0.41259894803180064</v>
      </c>
      <c r="H8">
        <f t="shared" ref="H8:H17" si="7">(D8+E8)/2</f>
        <v>3.75</v>
      </c>
      <c r="I8">
        <f t="shared" si="4"/>
        <v>0.19638374702307093</v>
      </c>
      <c r="L8">
        <v>-3</v>
      </c>
      <c r="M8">
        <f t="shared" si="5"/>
        <v>-1.4276396292228335</v>
      </c>
      <c r="O8">
        <f t="shared" ref="O8:O17" si="8">IF(T7&lt;0,S7,O7)</f>
        <v>3</v>
      </c>
      <c r="P8">
        <f t="shared" ref="P8:P17" si="9">IF(T7&gt;0,S7,P7)</f>
        <v>3.5</v>
      </c>
      <c r="Q8">
        <f t="shared" ref="Q8:Q17" si="10">O8*TAN(O8)-1</f>
        <v>-1.4276396292228335</v>
      </c>
      <c r="R8">
        <f t="shared" ref="R8:R17" si="11">P8*TAN(P8)-1</f>
        <v>0.31104974055508139</v>
      </c>
      <c r="S8">
        <f t="shared" ref="S8:S17" si="12">(O8+P8)/2</f>
        <v>3.25</v>
      </c>
      <c r="T8">
        <f t="shared" ref="T8:T17" si="13">S8*TAN(S8)-1</f>
        <v>-0.64628941708167842</v>
      </c>
    </row>
    <row r="9" spans="1:20" x14ac:dyDescent="0.25">
      <c r="A9">
        <v>-2</v>
      </c>
      <c r="B9">
        <f t="shared" si="0"/>
        <v>-2.7400789501051266</v>
      </c>
      <c r="D9">
        <f t="shared" si="6"/>
        <v>3.5</v>
      </c>
      <c r="E9">
        <f t="shared" si="1"/>
        <v>3.75</v>
      </c>
      <c r="F9">
        <f t="shared" si="2"/>
        <v>-1.829448593783134E-2</v>
      </c>
      <c r="G9">
        <f t="shared" si="3"/>
        <v>0.19638374702307093</v>
      </c>
      <c r="H9">
        <f t="shared" si="7"/>
        <v>3.625</v>
      </c>
      <c r="I9">
        <f t="shared" si="4"/>
        <v>8.8841587157076241E-2</v>
      </c>
      <c r="L9">
        <v>-2</v>
      </c>
      <c r="M9">
        <f t="shared" si="5"/>
        <v>-5.3700797265230378</v>
      </c>
      <c r="O9">
        <f t="shared" si="8"/>
        <v>3.25</v>
      </c>
      <c r="P9">
        <f t="shared" si="9"/>
        <v>3.5</v>
      </c>
      <c r="Q9">
        <f t="shared" si="10"/>
        <v>-0.64628941708167842</v>
      </c>
      <c r="R9">
        <f t="shared" si="11"/>
        <v>0.31104974055508139</v>
      </c>
      <c r="S9">
        <f t="shared" si="12"/>
        <v>3.375</v>
      </c>
      <c r="T9">
        <f t="shared" si="13"/>
        <v>-0.19762617105276459</v>
      </c>
    </row>
    <row r="10" spans="1:20" x14ac:dyDescent="0.25">
      <c r="A10">
        <v>-1</v>
      </c>
      <c r="B10">
        <f t="shared" si="0"/>
        <v>-2</v>
      </c>
      <c r="D10">
        <f t="shared" si="6"/>
        <v>3.5</v>
      </c>
      <c r="E10">
        <f t="shared" si="1"/>
        <v>3.625</v>
      </c>
      <c r="F10">
        <f t="shared" si="2"/>
        <v>-1.829448593783134E-2</v>
      </c>
      <c r="G10">
        <f t="shared" si="3"/>
        <v>8.8841587157076241E-2</v>
      </c>
      <c r="H10">
        <f t="shared" si="7"/>
        <v>3.5625</v>
      </c>
      <c r="I10">
        <f t="shared" si="4"/>
        <v>3.522131392759853E-2</v>
      </c>
      <c r="L10">
        <v>-1</v>
      </c>
      <c r="M10">
        <f t="shared" si="5"/>
        <v>0.55740772465490229</v>
      </c>
      <c r="O10">
        <f t="shared" si="8"/>
        <v>3.375</v>
      </c>
      <c r="P10">
        <f t="shared" si="9"/>
        <v>3.5</v>
      </c>
      <c r="Q10">
        <f t="shared" si="10"/>
        <v>-0.19762617105276459</v>
      </c>
      <c r="R10">
        <f t="shared" si="11"/>
        <v>0.31104974055508139</v>
      </c>
      <c r="S10">
        <f t="shared" si="12"/>
        <v>3.4375</v>
      </c>
      <c r="T10">
        <f t="shared" si="13"/>
        <v>4.7948066704039949E-2</v>
      </c>
    </row>
    <row r="11" spans="1:20" x14ac:dyDescent="0.25">
      <c r="A11">
        <v>0</v>
      </c>
      <c r="B11">
        <f t="shared" si="0"/>
        <v>-2</v>
      </c>
      <c r="D11">
        <f t="shared" si="6"/>
        <v>3.5</v>
      </c>
      <c r="E11">
        <f t="shared" si="1"/>
        <v>3.5625</v>
      </c>
      <c r="F11">
        <f t="shared" si="2"/>
        <v>-1.829448593783134E-2</v>
      </c>
      <c r="G11">
        <f t="shared" si="3"/>
        <v>3.522131392759853E-2</v>
      </c>
      <c r="H11">
        <f t="shared" si="7"/>
        <v>3.53125</v>
      </c>
      <c r="I11">
        <f t="shared" si="4"/>
        <v>8.4501627700537263E-3</v>
      </c>
      <c r="L11">
        <v>0</v>
      </c>
      <c r="M11">
        <f t="shared" si="5"/>
        <v>-1</v>
      </c>
      <c r="O11">
        <f t="shared" si="8"/>
        <v>3.375</v>
      </c>
      <c r="P11">
        <f t="shared" si="9"/>
        <v>3.4375</v>
      </c>
      <c r="Q11">
        <f t="shared" si="10"/>
        <v>-0.19762617105276459</v>
      </c>
      <c r="R11">
        <f t="shared" si="11"/>
        <v>4.7948066704039949E-2</v>
      </c>
      <c r="S11">
        <f t="shared" si="12"/>
        <v>3.40625</v>
      </c>
      <c r="T11">
        <f t="shared" si="13"/>
        <v>-7.6856181149546954E-2</v>
      </c>
    </row>
    <row r="12" spans="1:20" x14ac:dyDescent="0.25">
      <c r="A12">
        <v>1</v>
      </c>
      <c r="B12">
        <f t="shared" si="0"/>
        <v>-2</v>
      </c>
      <c r="D12">
        <f t="shared" si="6"/>
        <v>3.5</v>
      </c>
      <c r="E12">
        <f t="shared" si="1"/>
        <v>3.53125</v>
      </c>
      <c r="F12">
        <f t="shared" si="2"/>
        <v>-1.829448593783134E-2</v>
      </c>
      <c r="G12">
        <f t="shared" si="3"/>
        <v>8.4501627700537263E-3</v>
      </c>
      <c r="H12">
        <f t="shared" si="7"/>
        <v>3.515625</v>
      </c>
      <c r="I12">
        <f t="shared" si="4"/>
        <v>-4.9254988933500332E-3</v>
      </c>
      <c r="L12">
        <v>1</v>
      </c>
      <c r="M12">
        <f t="shared" si="5"/>
        <v>0.55740772465490229</v>
      </c>
      <c r="O12">
        <f t="shared" si="8"/>
        <v>3.40625</v>
      </c>
      <c r="P12">
        <f t="shared" si="9"/>
        <v>3.4375</v>
      </c>
      <c r="Q12">
        <f t="shared" si="10"/>
        <v>-7.6856181149546954E-2</v>
      </c>
      <c r="R12">
        <f t="shared" si="11"/>
        <v>4.7948066704039949E-2</v>
      </c>
      <c r="S12">
        <f t="shared" si="12"/>
        <v>3.421875</v>
      </c>
      <c r="T12">
        <f t="shared" si="13"/>
        <v>-1.4978913656810589E-2</v>
      </c>
    </row>
    <row r="13" spans="1:20" x14ac:dyDescent="0.25">
      <c r="A13">
        <v>2</v>
      </c>
      <c r="B13">
        <f t="shared" si="0"/>
        <v>-1.2599210498948732</v>
      </c>
      <c r="D13">
        <f t="shared" si="6"/>
        <v>3.515625</v>
      </c>
      <c r="E13">
        <f t="shared" si="1"/>
        <v>3.53125</v>
      </c>
      <c r="F13">
        <f t="shared" si="2"/>
        <v>-4.9254988933500332E-3</v>
      </c>
      <c r="G13">
        <f t="shared" si="3"/>
        <v>8.4501627700537263E-3</v>
      </c>
      <c r="H13">
        <f t="shared" si="7"/>
        <v>3.5234375</v>
      </c>
      <c r="I13">
        <f t="shared" si="4"/>
        <v>1.7615006965243651E-3</v>
      </c>
      <c r="L13">
        <v>2</v>
      </c>
      <c r="M13">
        <f t="shared" si="5"/>
        <v>-5.3700797265230378</v>
      </c>
      <c r="O13">
        <f t="shared" si="8"/>
        <v>3.421875</v>
      </c>
      <c r="P13">
        <f t="shared" si="9"/>
        <v>3.4375</v>
      </c>
      <c r="Q13">
        <f t="shared" si="10"/>
        <v>-1.4978913656810589E-2</v>
      </c>
      <c r="R13">
        <f t="shared" si="11"/>
        <v>4.7948066704039949E-2</v>
      </c>
      <c r="S13">
        <f t="shared" si="12"/>
        <v>3.4296875</v>
      </c>
      <c r="T13">
        <f t="shared" si="13"/>
        <v>1.6350695955295702E-2</v>
      </c>
    </row>
    <row r="14" spans="1:20" x14ac:dyDescent="0.25">
      <c r="A14">
        <v>3</v>
      </c>
      <c r="B14">
        <f t="shared" si="0"/>
        <v>-0.4422495703074083</v>
      </c>
      <c r="D14">
        <f t="shared" si="6"/>
        <v>3.515625</v>
      </c>
      <c r="E14">
        <f t="shared" si="1"/>
        <v>3.5234375</v>
      </c>
      <c r="F14">
        <f t="shared" si="2"/>
        <v>-4.9254988933500332E-3</v>
      </c>
      <c r="G14">
        <f t="shared" si="3"/>
        <v>1.7615006965243651E-3</v>
      </c>
      <c r="H14">
        <f t="shared" si="7"/>
        <v>3.51953125</v>
      </c>
      <c r="I14">
        <f t="shared" si="4"/>
        <v>-1.5822072931346298E-3</v>
      </c>
      <c r="L14">
        <v>3</v>
      </c>
      <c r="M14">
        <f t="shared" si="5"/>
        <v>-1.4276396292228335</v>
      </c>
      <c r="O14">
        <f t="shared" si="8"/>
        <v>3.421875</v>
      </c>
      <c r="P14">
        <f t="shared" si="9"/>
        <v>3.4296875</v>
      </c>
      <c r="Q14">
        <f t="shared" si="10"/>
        <v>-1.4978913656810589E-2</v>
      </c>
      <c r="R14">
        <f t="shared" si="11"/>
        <v>1.6350695955295702E-2</v>
      </c>
      <c r="S14">
        <f t="shared" si="12"/>
        <v>3.42578125</v>
      </c>
      <c r="T14">
        <f t="shared" si="13"/>
        <v>6.5275872513281818E-4</v>
      </c>
    </row>
    <row r="15" spans="1:20" x14ac:dyDescent="0.25">
      <c r="A15">
        <v>4</v>
      </c>
      <c r="B15">
        <f t="shared" si="0"/>
        <v>0.41259894803180064</v>
      </c>
      <c r="D15">
        <f t="shared" si="6"/>
        <v>3.51953125</v>
      </c>
      <c r="E15">
        <f t="shared" si="1"/>
        <v>3.5234375</v>
      </c>
      <c r="F15">
        <f t="shared" si="2"/>
        <v>-1.5822072931346298E-3</v>
      </c>
      <c r="G15">
        <f t="shared" si="3"/>
        <v>1.7615006965243651E-3</v>
      </c>
      <c r="H15">
        <f t="shared" si="7"/>
        <v>3.521484375</v>
      </c>
      <c r="I15">
        <f t="shared" si="4"/>
        <v>8.9594701136341826E-5</v>
      </c>
      <c r="L15">
        <v>4</v>
      </c>
      <c r="M15">
        <f t="shared" si="5"/>
        <v>3.6312851293983099</v>
      </c>
      <c r="O15">
        <f t="shared" si="8"/>
        <v>3.421875</v>
      </c>
      <c r="P15">
        <f t="shared" si="9"/>
        <v>3.42578125</v>
      </c>
      <c r="Q15">
        <f t="shared" si="10"/>
        <v>-1.4978913656810589E-2</v>
      </c>
      <c r="R15">
        <f t="shared" si="11"/>
        <v>6.5275872513281818E-4</v>
      </c>
      <c r="S15">
        <f t="shared" si="12"/>
        <v>3.423828125</v>
      </c>
      <c r="T15">
        <f t="shared" si="13"/>
        <v>-7.1713187487910668E-3</v>
      </c>
    </row>
    <row r="16" spans="1:20" x14ac:dyDescent="0.25">
      <c r="A16">
        <v>5</v>
      </c>
      <c r="B16">
        <f t="shared" si="0"/>
        <v>1.2900240533233029</v>
      </c>
      <c r="D16">
        <f t="shared" si="6"/>
        <v>3.51953125</v>
      </c>
      <c r="E16">
        <f t="shared" si="1"/>
        <v>3.521484375</v>
      </c>
      <c r="F16">
        <f t="shared" si="2"/>
        <v>-1.5822072931346298E-3</v>
      </c>
      <c r="G16">
        <f t="shared" si="3"/>
        <v>8.9594701136341826E-5</v>
      </c>
      <c r="H16">
        <f t="shared" si="7"/>
        <v>3.5205078125</v>
      </c>
      <c r="I16">
        <f t="shared" si="4"/>
        <v>-7.4631930214841269E-4</v>
      </c>
      <c r="L16">
        <v>5</v>
      </c>
      <c r="M16">
        <f t="shared" si="5"/>
        <v>-17.902575031232928</v>
      </c>
      <c r="O16">
        <f t="shared" si="8"/>
        <v>3.423828125</v>
      </c>
      <c r="P16">
        <f t="shared" si="9"/>
        <v>3.42578125</v>
      </c>
      <c r="Q16">
        <f t="shared" si="10"/>
        <v>-7.1713187487910668E-3</v>
      </c>
      <c r="R16">
        <f t="shared" si="11"/>
        <v>6.5275872513281818E-4</v>
      </c>
      <c r="S16">
        <f t="shared" si="12"/>
        <v>3.4248046875</v>
      </c>
      <c r="T16">
        <f t="shared" si="13"/>
        <v>-3.2613455431543814E-3</v>
      </c>
    </row>
    <row r="17" spans="1:20" x14ac:dyDescent="0.25">
      <c r="A17">
        <v>6</v>
      </c>
      <c r="B17">
        <f t="shared" si="0"/>
        <v>2.1828794071678601</v>
      </c>
      <c r="D17">
        <f t="shared" si="6"/>
        <v>3.5205078125</v>
      </c>
      <c r="E17">
        <f t="shared" si="1"/>
        <v>3.521484375</v>
      </c>
      <c r="F17">
        <f t="shared" si="2"/>
        <v>-7.4631930214841269E-4</v>
      </c>
      <c r="G17">
        <f t="shared" si="3"/>
        <v>8.9594701136341826E-5</v>
      </c>
      <c r="H17" s="6">
        <f t="shared" si="7"/>
        <v>3.52099609375</v>
      </c>
      <c r="I17">
        <f t="shared" si="4"/>
        <v>-3.2836555129178713E-4</v>
      </c>
      <c r="L17">
        <v>6</v>
      </c>
      <c r="M17">
        <f t="shared" si="5"/>
        <v>-2.7460371483084947</v>
      </c>
      <c r="O17">
        <f t="shared" si="8"/>
        <v>3.4248046875</v>
      </c>
      <c r="P17">
        <f t="shared" si="9"/>
        <v>3.42578125</v>
      </c>
      <c r="Q17">
        <f t="shared" si="10"/>
        <v>-3.2613455431543814E-3</v>
      </c>
      <c r="R17">
        <f t="shared" si="11"/>
        <v>6.5275872513281818E-4</v>
      </c>
      <c r="S17" s="6">
        <f t="shared" si="12"/>
        <v>3.42529296875</v>
      </c>
      <c r="T17">
        <f t="shared" si="13"/>
        <v>-1.3048104446733433E-3</v>
      </c>
    </row>
    <row r="31" spans="1:20" ht="15.75" thickBot="1" x14ac:dyDescent="0.3">
      <c r="A31" s="1" t="s">
        <v>4</v>
      </c>
      <c r="B31" s="1"/>
      <c r="C31" s="1"/>
      <c r="D31" s="1"/>
      <c r="E31" s="2" t="s">
        <v>18</v>
      </c>
      <c r="F31" s="2"/>
      <c r="G31" s="1"/>
      <c r="H31" s="1"/>
      <c r="I31" s="1"/>
      <c r="J31" s="1"/>
      <c r="L31" s="1" t="s">
        <v>5</v>
      </c>
      <c r="M31" s="14" t="s">
        <v>19</v>
      </c>
      <c r="N31" s="14"/>
      <c r="O31" s="1"/>
      <c r="P31" s="1"/>
      <c r="Q31" s="1"/>
      <c r="R31" s="1"/>
      <c r="S31" s="1"/>
      <c r="T31" s="1"/>
    </row>
    <row r="32" spans="1:20" x14ac:dyDescent="0.25">
      <c r="H32" t="s">
        <v>12</v>
      </c>
      <c r="S32" t="s">
        <v>12</v>
      </c>
    </row>
    <row r="33" spans="1:20" x14ac:dyDescent="0.25">
      <c r="A33" t="s">
        <v>6</v>
      </c>
      <c r="B33" t="s">
        <v>7</v>
      </c>
      <c r="D33" t="s">
        <v>10</v>
      </c>
      <c r="E33" t="s">
        <v>9</v>
      </c>
      <c r="F33" t="s">
        <v>14</v>
      </c>
      <c r="G33" t="s">
        <v>15</v>
      </c>
      <c r="H33" t="s">
        <v>11</v>
      </c>
      <c r="I33" t="s">
        <v>13</v>
      </c>
      <c r="L33" t="s">
        <v>6</v>
      </c>
      <c r="M33" t="s">
        <v>7</v>
      </c>
      <c r="O33" t="s">
        <v>10</v>
      </c>
      <c r="P33" t="s">
        <v>9</v>
      </c>
      <c r="Q33" t="s">
        <v>14</v>
      </c>
      <c r="R33" t="s">
        <v>15</v>
      </c>
      <c r="S33" t="s">
        <v>11</v>
      </c>
      <c r="T33" t="s">
        <v>13</v>
      </c>
    </row>
    <row r="34" spans="1:20" x14ac:dyDescent="0.25">
      <c r="A34">
        <v>-5</v>
      </c>
      <c r="B34">
        <f>(A34^4)-(EXP(A34))+1</f>
        <v>625.99326205300088</v>
      </c>
      <c r="D34">
        <v>3</v>
      </c>
      <c r="E34">
        <v>5</v>
      </c>
      <c r="F34">
        <f>(D34^4)-(EXP(D34))+1</f>
        <v>61.914463076812332</v>
      </c>
      <c r="G34">
        <f>(E34^4)-(EXP(E34))+1</f>
        <v>477.58684089742337</v>
      </c>
      <c r="H34">
        <f>(D34+E34)/2</f>
        <v>4</v>
      </c>
      <c r="I34">
        <f>(H34^4)-(EXP(H34))+1</f>
        <v>202.40184996685576</v>
      </c>
      <c r="L34">
        <v>-5</v>
      </c>
      <c r="M34">
        <f>(L34^2)*(EXP(L34))-1</f>
        <v>-0.83155132502286333</v>
      </c>
      <c r="O34">
        <v>3</v>
      </c>
      <c r="P34">
        <v>5</v>
      </c>
      <c r="Q34">
        <f>(O34^2)*(EXP(O34))-1</f>
        <v>179.76983230868902</v>
      </c>
      <c r="R34">
        <f>(P34^2)*(EXP(P34))-1</f>
        <v>3709.3289775644148</v>
      </c>
      <c r="S34">
        <f>(O34+P34)/2</f>
        <v>4</v>
      </c>
      <c r="T34">
        <f>(S34^2)*(EXP(S34))-1</f>
        <v>872.57040053030778</v>
      </c>
    </row>
    <row r="35" spans="1:20" x14ac:dyDescent="0.25">
      <c r="A35">
        <v>-4</v>
      </c>
      <c r="B35">
        <f t="shared" ref="B35:B45" si="14">(A35^4)-(EXP(A35))+1</f>
        <v>256.98168436111126</v>
      </c>
      <c r="D35">
        <f>IF(I34&lt;0,H34,D34)</f>
        <v>3</v>
      </c>
      <c r="E35">
        <f>IF(I34&gt;0,H34,E34)</f>
        <v>4</v>
      </c>
      <c r="F35">
        <f t="shared" ref="F35:F38" si="15">(D35^4)-(EXP(D35))+1</f>
        <v>61.914463076812332</v>
      </c>
      <c r="G35">
        <f t="shared" ref="G35:G38" si="16">(E35^4)-(EXP(E35))+1</f>
        <v>202.40184996685576</v>
      </c>
      <c r="H35">
        <f t="shared" ref="H35:H38" si="17">(D35+E35)/2</f>
        <v>3.5</v>
      </c>
      <c r="I35">
        <f t="shared" ref="I35:I45" si="18">(H35^4)-(EXP(H35))+1</f>
        <v>117.94704804130768</v>
      </c>
      <c r="L35">
        <v>-4</v>
      </c>
      <c r="M35">
        <f t="shared" ref="M35:M45" si="19">(L35^2)*(EXP(L35))-1</f>
        <v>-0.70694977778025314</v>
      </c>
      <c r="O35">
        <f>IF(T34&lt;0,S34,O34)</f>
        <v>3</v>
      </c>
      <c r="P35">
        <f>IF(T34&gt;0,S34,P34)</f>
        <v>4</v>
      </c>
      <c r="Q35">
        <f t="shared" ref="Q35:Q45" si="20">(O35^2)*(EXP(O35))-1</f>
        <v>179.76983230868902</v>
      </c>
      <c r="R35">
        <f t="shared" ref="R35:R45" si="21">(P35^2)*(EXP(P35))-1</f>
        <v>872.57040053030778</v>
      </c>
      <c r="S35">
        <f t="shared" ref="S35:S45" si="22">(O35+P35)/2</f>
        <v>3.5</v>
      </c>
      <c r="T35">
        <f t="shared" ref="T35:T45" si="23">(S35^2)*(EXP(S35))-1</f>
        <v>404.6642864939808</v>
      </c>
    </row>
    <row r="36" spans="1:20" x14ac:dyDescent="0.25">
      <c r="A36">
        <v>-3</v>
      </c>
      <c r="B36">
        <f t="shared" si="14"/>
        <v>81.950212931632137</v>
      </c>
      <c r="D36">
        <f t="shared" ref="D36:D45" si="24">IF(I35&lt;0,H35,D35)</f>
        <v>3</v>
      </c>
      <c r="E36">
        <f t="shared" ref="E36:E45" si="25">IF(I35&gt;0,H35,E35)</f>
        <v>3.5</v>
      </c>
      <c r="F36">
        <f t="shared" si="15"/>
        <v>61.914463076812332</v>
      </c>
      <c r="G36">
        <f t="shared" si="16"/>
        <v>117.94704804130768</v>
      </c>
      <c r="H36">
        <f t="shared" si="17"/>
        <v>3.25</v>
      </c>
      <c r="I36">
        <f t="shared" si="18"/>
        <v>86.776066332806934</v>
      </c>
      <c r="L36">
        <v>-3</v>
      </c>
      <c r="M36">
        <f t="shared" si="19"/>
        <v>-0.55191638468922455</v>
      </c>
      <c r="O36">
        <f t="shared" ref="O36:O45" si="26">IF(T35&lt;0,S35,O35)</f>
        <v>3</v>
      </c>
      <c r="P36">
        <f t="shared" ref="P36:P45" si="27">IF(T35&gt;0,S35,P35)</f>
        <v>3.5</v>
      </c>
      <c r="Q36">
        <f t="shared" si="20"/>
        <v>179.76983230868902</v>
      </c>
      <c r="R36">
        <f t="shared" si="21"/>
        <v>404.6642864939808</v>
      </c>
      <c r="S36">
        <f t="shared" si="22"/>
        <v>3.25</v>
      </c>
      <c r="T36">
        <f t="shared" si="23"/>
        <v>271.41046537535175</v>
      </c>
    </row>
    <row r="37" spans="1:20" x14ac:dyDescent="0.25">
      <c r="A37">
        <v>-2</v>
      </c>
      <c r="B37">
        <f t="shared" si="14"/>
        <v>16.864664716763386</v>
      </c>
      <c r="D37">
        <f t="shared" si="24"/>
        <v>3</v>
      </c>
      <c r="E37">
        <f t="shared" si="25"/>
        <v>3.25</v>
      </c>
      <c r="F37">
        <f t="shared" si="15"/>
        <v>61.914463076812332</v>
      </c>
      <c r="G37">
        <f t="shared" si="16"/>
        <v>86.776066332806934</v>
      </c>
      <c r="H37">
        <f t="shared" si="17"/>
        <v>3.125</v>
      </c>
      <c r="I37">
        <f t="shared" si="18"/>
        <v>73.607536547098277</v>
      </c>
      <c r="L37">
        <v>-2</v>
      </c>
      <c r="M37">
        <f t="shared" si="19"/>
        <v>-0.45865886705354919</v>
      </c>
      <c r="O37">
        <f t="shared" si="26"/>
        <v>3</v>
      </c>
      <c r="P37">
        <f t="shared" si="27"/>
        <v>3.25</v>
      </c>
      <c r="Q37">
        <f t="shared" si="20"/>
        <v>179.76983230868902</v>
      </c>
      <c r="R37">
        <f t="shared" si="21"/>
        <v>271.41046537535175</v>
      </c>
      <c r="S37">
        <f t="shared" si="22"/>
        <v>3.125</v>
      </c>
      <c r="T37">
        <f t="shared" si="23"/>
        <v>221.26460052272196</v>
      </c>
    </row>
    <row r="38" spans="1:20" x14ac:dyDescent="0.25">
      <c r="A38">
        <v>-1</v>
      </c>
      <c r="B38">
        <f t="shared" si="14"/>
        <v>1.6321205588285577</v>
      </c>
      <c r="D38">
        <f t="shared" si="24"/>
        <v>3</v>
      </c>
      <c r="E38">
        <f t="shared" si="25"/>
        <v>3.125</v>
      </c>
      <c r="F38">
        <f t="shared" si="15"/>
        <v>61.914463076812332</v>
      </c>
      <c r="G38">
        <f t="shared" si="16"/>
        <v>73.607536547098277</v>
      </c>
      <c r="H38">
        <f t="shared" si="17"/>
        <v>3.0625</v>
      </c>
      <c r="I38">
        <f t="shared" si="18"/>
        <v>67.58293968716572</v>
      </c>
      <c r="L38">
        <v>-1</v>
      </c>
      <c r="M38">
        <f t="shared" si="19"/>
        <v>-0.63212055882855767</v>
      </c>
      <c r="O38">
        <f t="shared" si="26"/>
        <v>3</v>
      </c>
      <c r="P38">
        <f t="shared" si="27"/>
        <v>3.125</v>
      </c>
      <c r="Q38">
        <f t="shared" si="20"/>
        <v>179.76983230868902</v>
      </c>
      <c r="R38">
        <f t="shared" si="21"/>
        <v>221.26460052272196</v>
      </c>
      <c r="S38">
        <f t="shared" si="22"/>
        <v>3.0625</v>
      </c>
      <c r="T38">
        <f t="shared" si="23"/>
        <v>199.52985767443417</v>
      </c>
    </row>
    <row r="39" spans="1:20" x14ac:dyDescent="0.25">
      <c r="A39">
        <v>0</v>
      </c>
      <c r="B39">
        <f t="shared" si="14"/>
        <v>0</v>
      </c>
      <c r="D39">
        <f t="shared" si="24"/>
        <v>3</v>
      </c>
      <c r="E39">
        <f t="shared" si="25"/>
        <v>3.0625</v>
      </c>
      <c r="F39">
        <f t="shared" ref="F39:F45" si="28">(D39^4)-(EXP(D39))+1</f>
        <v>61.914463076812332</v>
      </c>
      <c r="G39">
        <f t="shared" ref="G39:G45" si="29">(E39^4)-(EXP(E39))+1</f>
        <v>67.58293968716572</v>
      </c>
      <c r="H39">
        <f t="shared" ref="H39:H45" si="30">(D39+E39)/2</f>
        <v>3.03125</v>
      </c>
      <c r="I39">
        <f t="shared" si="18"/>
        <v>64.704981233033124</v>
      </c>
      <c r="L39">
        <v>0</v>
      </c>
      <c r="M39">
        <f t="shared" si="19"/>
        <v>-1</v>
      </c>
      <c r="O39">
        <f t="shared" si="26"/>
        <v>3</v>
      </c>
      <c r="P39">
        <f t="shared" si="27"/>
        <v>3.0625</v>
      </c>
      <c r="Q39">
        <f t="shared" si="20"/>
        <v>179.76983230868902</v>
      </c>
      <c r="R39">
        <f t="shared" si="21"/>
        <v>199.52985767443417</v>
      </c>
      <c r="S39">
        <f t="shared" si="22"/>
        <v>3.03125</v>
      </c>
      <c r="T39">
        <f t="shared" si="23"/>
        <v>189.41390523886608</v>
      </c>
    </row>
    <row r="40" spans="1:20" x14ac:dyDescent="0.25">
      <c r="A40">
        <v>1</v>
      </c>
      <c r="B40">
        <f t="shared" si="14"/>
        <v>-0.71828182845904509</v>
      </c>
      <c r="D40">
        <f t="shared" si="24"/>
        <v>3</v>
      </c>
      <c r="E40">
        <f t="shared" si="25"/>
        <v>3.03125</v>
      </c>
      <c r="F40">
        <f t="shared" si="28"/>
        <v>61.914463076812332</v>
      </c>
      <c r="G40">
        <f t="shared" si="29"/>
        <v>64.704981233033124</v>
      </c>
      <c r="H40">
        <f t="shared" si="30"/>
        <v>3.015625</v>
      </c>
      <c r="I40">
        <f t="shared" si="18"/>
        <v>63.298891324260687</v>
      </c>
      <c r="L40">
        <v>1</v>
      </c>
      <c r="M40">
        <f t="shared" si="19"/>
        <v>1.7182818284590451</v>
      </c>
      <c r="O40">
        <f t="shared" si="26"/>
        <v>3</v>
      </c>
      <c r="P40">
        <f t="shared" si="27"/>
        <v>3.03125</v>
      </c>
      <c r="Q40">
        <f t="shared" si="20"/>
        <v>179.76983230868902</v>
      </c>
      <c r="R40">
        <f t="shared" si="21"/>
        <v>189.41390523886608</v>
      </c>
      <c r="S40">
        <f t="shared" si="22"/>
        <v>3.015625</v>
      </c>
      <c r="T40">
        <f t="shared" si="23"/>
        <v>184.53419618904351</v>
      </c>
    </row>
    <row r="41" spans="1:20" x14ac:dyDescent="0.25">
      <c r="A41">
        <v>2</v>
      </c>
      <c r="B41">
        <f t="shared" si="14"/>
        <v>9.6109439010693496</v>
      </c>
      <c r="D41">
        <f t="shared" si="24"/>
        <v>3</v>
      </c>
      <c r="E41">
        <f t="shared" si="25"/>
        <v>3.015625</v>
      </c>
      <c r="F41">
        <f t="shared" si="28"/>
        <v>61.914463076812332</v>
      </c>
      <c r="G41">
        <f t="shared" si="29"/>
        <v>63.298891324260687</v>
      </c>
      <c r="H41">
        <f t="shared" si="30"/>
        <v>3.0078125</v>
      </c>
      <c r="I41">
        <f t="shared" si="18"/>
        <v>62.60398188248876</v>
      </c>
      <c r="L41">
        <v>2</v>
      </c>
      <c r="M41">
        <f t="shared" si="19"/>
        <v>28.556224395722602</v>
      </c>
      <c r="O41">
        <f t="shared" si="26"/>
        <v>3</v>
      </c>
      <c r="P41">
        <f t="shared" si="27"/>
        <v>3.015625</v>
      </c>
      <c r="Q41">
        <f t="shared" si="20"/>
        <v>179.76983230868902</v>
      </c>
      <c r="R41">
        <f t="shared" si="21"/>
        <v>184.53419618904351</v>
      </c>
      <c r="S41">
        <f t="shared" si="22"/>
        <v>3.0078125</v>
      </c>
      <c r="T41">
        <f t="shared" si="23"/>
        <v>182.13775710854713</v>
      </c>
    </row>
    <row r="42" spans="1:20" x14ac:dyDescent="0.25">
      <c r="A42">
        <v>3</v>
      </c>
      <c r="B42">
        <f t="shared" si="14"/>
        <v>61.914463076812332</v>
      </c>
      <c r="D42">
        <f t="shared" si="24"/>
        <v>3</v>
      </c>
      <c r="E42">
        <f t="shared" si="25"/>
        <v>3.0078125</v>
      </c>
      <c r="F42">
        <f t="shared" si="28"/>
        <v>61.914463076812332</v>
      </c>
      <c r="G42">
        <f t="shared" si="29"/>
        <v>62.60398188248876</v>
      </c>
      <c r="H42">
        <f t="shared" si="30"/>
        <v>3.00390625</v>
      </c>
      <c r="I42">
        <f t="shared" si="18"/>
        <v>62.258550198091626</v>
      </c>
      <c r="L42">
        <v>3</v>
      </c>
      <c r="M42">
        <f t="shared" si="19"/>
        <v>179.76983230868902</v>
      </c>
      <c r="O42">
        <f t="shared" si="26"/>
        <v>3</v>
      </c>
      <c r="P42">
        <f t="shared" si="27"/>
        <v>3.0078125</v>
      </c>
      <c r="Q42">
        <f t="shared" si="20"/>
        <v>179.76983230868902</v>
      </c>
      <c r="R42">
        <f t="shared" si="21"/>
        <v>182.13775710854713</v>
      </c>
      <c r="S42">
        <f t="shared" si="22"/>
        <v>3.00390625</v>
      </c>
      <c r="T42">
        <f t="shared" si="23"/>
        <v>180.95025036227949</v>
      </c>
    </row>
    <row r="43" spans="1:20" x14ac:dyDescent="0.25">
      <c r="A43">
        <v>4</v>
      </c>
      <c r="B43">
        <f t="shared" si="14"/>
        <v>202.40184996685576</v>
      </c>
      <c r="D43">
        <f t="shared" si="24"/>
        <v>3</v>
      </c>
      <c r="E43">
        <f t="shared" si="25"/>
        <v>3.00390625</v>
      </c>
      <c r="F43">
        <f t="shared" si="28"/>
        <v>61.914463076812332</v>
      </c>
      <c r="G43">
        <f t="shared" si="29"/>
        <v>62.258550198091626</v>
      </c>
      <c r="H43">
        <f t="shared" si="30"/>
        <v>3.001953125</v>
      </c>
      <c r="I43">
        <f t="shared" si="18"/>
        <v>62.086338760508035</v>
      </c>
      <c r="L43">
        <v>4</v>
      </c>
      <c r="M43">
        <f t="shared" si="19"/>
        <v>872.57040053030778</v>
      </c>
      <c r="O43">
        <f t="shared" si="26"/>
        <v>3</v>
      </c>
      <c r="P43">
        <f t="shared" si="27"/>
        <v>3.00390625</v>
      </c>
      <c r="Q43">
        <f t="shared" si="20"/>
        <v>179.76983230868902</v>
      </c>
      <c r="R43">
        <f t="shared" si="21"/>
        <v>180.95025036227949</v>
      </c>
      <c r="S43">
        <f t="shared" si="22"/>
        <v>3.001953125</v>
      </c>
      <c r="T43">
        <f t="shared" si="23"/>
        <v>180.35915772964483</v>
      </c>
    </row>
    <row r="44" spans="1:20" x14ac:dyDescent="0.25">
      <c r="A44">
        <v>5</v>
      </c>
      <c r="B44">
        <f t="shared" si="14"/>
        <v>477.58684089742337</v>
      </c>
      <c r="D44">
        <f t="shared" si="24"/>
        <v>3</v>
      </c>
      <c r="E44">
        <f t="shared" si="25"/>
        <v>3.001953125</v>
      </c>
      <c r="F44">
        <f t="shared" si="28"/>
        <v>61.914463076812332</v>
      </c>
      <c r="G44">
        <f t="shared" si="29"/>
        <v>62.086338760508035</v>
      </c>
      <c r="H44">
        <f t="shared" si="30"/>
        <v>3.0009765625</v>
      </c>
      <c r="I44">
        <f t="shared" si="18"/>
        <v>62.000358973601855</v>
      </c>
      <c r="L44">
        <v>5</v>
      </c>
      <c r="M44">
        <f t="shared" si="19"/>
        <v>3709.3289775644148</v>
      </c>
      <c r="O44">
        <f t="shared" si="26"/>
        <v>3</v>
      </c>
      <c r="P44">
        <f t="shared" si="27"/>
        <v>3.001953125</v>
      </c>
      <c r="Q44">
        <f t="shared" si="20"/>
        <v>179.76983230868902</v>
      </c>
      <c r="R44">
        <f t="shared" si="21"/>
        <v>180.35915772964483</v>
      </c>
      <c r="S44">
        <f t="shared" si="22"/>
        <v>3.0009765625</v>
      </c>
      <c r="T44">
        <f t="shared" si="23"/>
        <v>180.06427442707812</v>
      </c>
    </row>
    <row r="45" spans="1:20" x14ac:dyDescent="0.25">
      <c r="A45">
        <v>6</v>
      </c>
      <c r="B45">
        <f t="shared" si="14"/>
        <v>893.57120650726483</v>
      </c>
      <c r="D45">
        <f t="shared" si="24"/>
        <v>3</v>
      </c>
      <c r="E45">
        <f t="shared" si="25"/>
        <v>3.0009765625</v>
      </c>
      <c r="F45">
        <f t="shared" si="28"/>
        <v>61.914463076812332</v>
      </c>
      <c r="G45">
        <f t="shared" si="29"/>
        <v>62.000358973601855</v>
      </c>
      <c r="H45" s="6">
        <f t="shared" si="30"/>
        <v>3.00048828125</v>
      </c>
      <c r="I45">
        <f t="shared" si="18"/>
        <v>61.957400541964525</v>
      </c>
      <c r="L45">
        <v>6</v>
      </c>
      <c r="M45">
        <f t="shared" si="19"/>
        <v>14522.436565738464</v>
      </c>
      <c r="O45">
        <f t="shared" si="26"/>
        <v>3</v>
      </c>
      <c r="P45">
        <f t="shared" si="27"/>
        <v>3.0009765625</v>
      </c>
      <c r="Q45">
        <f t="shared" si="20"/>
        <v>179.76983230868902</v>
      </c>
      <c r="R45">
        <f t="shared" si="21"/>
        <v>180.06427442707812</v>
      </c>
      <c r="S45" s="6">
        <f t="shared" si="22"/>
        <v>3.00048828125</v>
      </c>
      <c r="T45">
        <f t="shared" si="23"/>
        <v>179.91699825848772</v>
      </c>
    </row>
  </sheetData>
  <mergeCells count="3">
    <mergeCell ref="M31:N31"/>
    <mergeCell ref="G1:K1"/>
    <mergeCell ref="P3:Q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2B1E-0774-4EAE-A781-7DD17FF28CBB}">
  <dimension ref="A2:U34"/>
  <sheetViews>
    <sheetView workbookViewId="0">
      <selection activeCell="I10" sqref="I10"/>
    </sheetView>
  </sheetViews>
  <sheetFormatPr defaultRowHeight="15" x14ac:dyDescent="0.25"/>
  <cols>
    <col min="3" max="3" width="12.85546875" customWidth="1"/>
    <col min="4" max="4" width="12.5703125" customWidth="1"/>
    <col min="14" max="14" width="10.5703125" bestFit="1" customWidth="1"/>
    <col min="15" max="15" width="12.140625" customWidth="1"/>
    <col min="16" max="16" width="12.7109375" customWidth="1"/>
    <col min="17" max="17" width="11.5703125" bestFit="1" customWidth="1"/>
    <col min="18" max="18" width="10.5703125" bestFit="1" customWidth="1"/>
    <col min="21" max="21" width="13.7109375" customWidth="1"/>
    <col min="22" max="22" width="14.28515625" bestFit="1" customWidth="1"/>
  </cols>
  <sheetData>
    <row r="2" spans="1:21" ht="15.75" thickBot="1" x14ac:dyDescent="0.3">
      <c r="A2" s="1" t="s">
        <v>1</v>
      </c>
      <c r="B2" s="1"/>
      <c r="C2" s="1"/>
      <c r="D2" s="2" t="s">
        <v>16</v>
      </c>
      <c r="E2" s="2"/>
      <c r="F2" s="1"/>
      <c r="G2" s="1"/>
      <c r="H2" s="1"/>
      <c r="K2" s="1" t="s">
        <v>2</v>
      </c>
      <c r="L2" s="1"/>
      <c r="M2" s="1"/>
      <c r="N2" s="1"/>
      <c r="O2" s="14" t="s">
        <v>3</v>
      </c>
      <c r="P2" s="14"/>
      <c r="Q2" s="1"/>
      <c r="R2" s="1"/>
    </row>
    <row r="4" spans="1:21" x14ac:dyDescent="0.25">
      <c r="A4" t="s">
        <v>6</v>
      </c>
      <c r="B4" t="s">
        <v>7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K4" t="s">
        <v>6</v>
      </c>
      <c r="L4" t="s">
        <v>7</v>
      </c>
      <c r="N4" t="s">
        <v>21</v>
      </c>
      <c r="O4" t="s">
        <v>22</v>
      </c>
      <c r="P4" t="s">
        <v>23</v>
      </c>
      <c r="Q4" t="s">
        <v>24</v>
      </c>
      <c r="R4" t="s">
        <v>25</v>
      </c>
      <c r="U4" s="4"/>
    </row>
    <row r="5" spans="1:21" x14ac:dyDescent="0.25">
      <c r="A5">
        <v>-5</v>
      </c>
      <c r="B5">
        <f>A5-(A5^(1/3))-2</f>
        <v>-5.2900240533233029</v>
      </c>
      <c r="D5">
        <v>3</v>
      </c>
      <c r="E5">
        <v>3.2</v>
      </c>
      <c r="F5" s="4">
        <f>D5-D5^(1/3)-2</f>
        <v>-0.4422495703074083</v>
      </c>
      <c r="G5">
        <f>E5-E5^(1/3)-2</f>
        <v>-0.27361259945615446</v>
      </c>
      <c r="H5">
        <f>E5-G5*(E5-D5)/(G5-F5)</f>
        <v>3.5244989495186019</v>
      </c>
      <c r="K5">
        <v>-5</v>
      </c>
      <c r="L5">
        <f>K5*TAN(K5)-1</f>
        <v>-17.902575031232928</v>
      </c>
      <c r="N5">
        <v>0.89</v>
      </c>
      <c r="O5">
        <v>0.95</v>
      </c>
      <c r="P5">
        <f>N5*TAN(N5)-1</f>
        <v>9.8793518553614179E-2</v>
      </c>
      <c r="Q5">
        <f>O5*TAN(O5)-1</f>
        <v>0.32846345982331404</v>
      </c>
      <c r="R5">
        <f>O5-Q5*(O5-N5)/(Q5-P5)</f>
        <v>0.86419074050157885</v>
      </c>
    </row>
    <row r="6" spans="1:21" x14ac:dyDescent="0.25">
      <c r="A6">
        <v>-4</v>
      </c>
      <c r="B6">
        <f t="shared" ref="B6:B16" si="0">A6-(A6^(1/3))-2</f>
        <v>-4.4125989480318006</v>
      </c>
      <c r="D6">
        <f>E5</f>
        <v>3.2</v>
      </c>
      <c r="E6">
        <f>H5</f>
        <v>3.5244989495186019</v>
      </c>
      <c r="F6" s="4">
        <f t="shared" ref="F6:F10" si="1">D6-D6^(1/3)-2</f>
        <v>-0.27361259945615446</v>
      </c>
      <c r="G6">
        <f t="shared" ref="G6:G10" si="2">E6-E6^(1/3)-2</f>
        <v>2.6701619138611576E-3</v>
      </c>
      <c r="H6">
        <f t="shared" ref="H6:H10" si="3">E6-G6*(E6-D6)/(G6-F6)</f>
        <v>3.5213627975133304</v>
      </c>
      <c r="K6">
        <v>-4</v>
      </c>
      <c r="L6">
        <f t="shared" ref="L6:L16" si="4">K6*TAN(K6)-1</f>
        <v>3.6312851293983099</v>
      </c>
      <c r="N6">
        <f>O5</f>
        <v>0.95</v>
      </c>
      <c r="O6">
        <f>R5</f>
        <v>0.86419074050157885</v>
      </c>
      <c r="P6">
        <f t="shared" ref="P6:P12" si="5">N6*TAN(N6)-1</f>
        <v>0.32846345982331404</v>
      </c>
      <c r="Q6">
        <f t="shared" ref="Q6:Q12" si="6">O6*TAN(O6)-1</f>
        <v>1.2355388422577773E-2</v>
      </c>
      <c r="R6">
        <f t="shared" ref="R6:R12" si="7">O6-Q6*(O6-N6)/(Q6-P6)</f>
        <v>0.86083680294896026</v>
      </c>
    </row>
    <row r="7" spans="1:21" x14ac:dyDescent="0.25">
      <c r="A7">
        <v>-3</v>
      </c>
      <c r="B7">
        <f t="shared" si="0"/>
        <v>-3.5577504296925917</v>
      </c>
      <c r="D7">
        <f t="shared" ref="D7:D10" si="8">E6</f>
        <v>3.5244989495186019</v>
      </c>
      <c r="E7">
        <f t="shared" ref="E7:E10" si="9">H6</f>
        <v>3.5213627975133304</v>
      </c>
      <c r="F7" s="4">
        <f t="shared" si="1"/>
        <v>2.6701619138611576E-3</v>
      </c>
      <c r="G7">
        <f t="shared" si="2"/>
        <v>-1.4474119433005583E-5</v>
      </c>
      <c r="H7">
        <f t="shared" si="3"/>
        <v>3.5213797059650243</v>
      </c>
      <c r="K7">
        <v>-3</v>
      </c>
      <c r="L7">
        <f t="shared" si="4"/>
        <v>-1.4276396292228335</v>
      </c>
      <c r="N7">
        <f t="shared" ref="N7:N12" si="10">O6</f>
        <v>0.86419074050157885</v>
      </c>
      <c r="O7">
        <f t="shared" ref="O7:O12" si="11">R6</f>
        <v>0.86083680294896026</v>
      </c>
      <c r="P7">
        <f t="shared" si="5"/>
        <v>1.2355388422577773E-2</v>
      </c>
      <c r="Q7">
        <f t="shared" si="6"/>
        <v>1.6039344961413793E-3</v>
      </c>
      <c r="R7">
        <f t="shared" si="7"/>
        <v>0.86033645237541401</v>
      </c>
    </row>
    <row r="8" spans="1:21" x14ac:dyDescent="0.25">
      <c r="A8">
        <v>-2</v>
      </c>
      <c r="B8">
        <f t="shared" si="0"/>
        <v>-2.7400789501051266</v>
      </c>
      <c r="D8">
        <f t="shared" si="8"/>
        <v>3.5213627975133304</v>
      </c>
      <c r="E8">
        <f t="shared" si="9"/>
        <v>3.5213797059650243</v>
      </c>
      <c r="F8" s="4">
        <f t="shared" si="1"/>
        <v>-1.4474119433005583E-5</v>
      </c>
      <c r="G8">
        <f t="shared" si="2"/>
        <v>-7.1863759387724713E-10</v>
      </c>
      <c r="H8">
        <f t="shared" si="3"/>
        <v>3.5213797068045678</v>
      </c>
      <c r="K8">
        <v>-2</v>
      </c>
      <c r="L8">
        <f t="shared" si="4"/>
        <v>-5.3700797265230378</v>
      </c>
      <c r="N8">
        <f t="shared" si="10"/>
        <v>0.86083680294896026</v>
      </c>
      <c r="O8">
        <f t="shared" si="11"/>
        <v>0.86033645237541401</v>
      </c>
      <c r="P8">
        <f t="shared" si="5"/>
        <v>1.6039344961413793E-3</v>
      </c>
      <c r="Q8">
        <f t="shared" si="6"/>
        <v>9.1198654730284545E-6</v>
      </c>
      <c r="R8">
        <f t="shared" si="7"/>
        <v>0.86033359114638319</v>
      </c>
    </row>
    <row r="9" spans="1:21" x14ac:dyDescent="0.25">
      <c r="A9">
        <v>-1</v>
      </c>
      <c r="B9">
        <f t="shared" si="0"/>
        <v>-2</v>
      </c>
      <c r="D9">
        <f t="shared" si="8"/>
        <v>3.5213797059650243</v>
      </c>
      <c r="E9">
        <f t="shared" si="9"/>
        <v>3.5213797068045678</v>
      </c>
      <c r="F9" s="4">
        <f t="shared" si="1"/>
        <v>-7.1863759387724713E-10</v>
      </c>
      <c r="G9">
        <f t="shared" si="2"/>
        <v>0</v>
      </c>
      <c r="H9">
        <f t="shared" si="3"/>
        <v>3.5213797068045678</v>
      </c>
      <c r="K9">
        <v>-1</v>
      </c>
      <c r="L9">
        <f t="shared" si="4"/>
        <v>0.55740772465490229</v>
      </c>
      <c r="N9">
        <f t="shared" si="10"/>
        <v>0.86033645237541401</v>
      </c>
      <c r="O9">
        <f t="shared" si="11"/>
        <v>0.86033359114638319</v>
      </c>
      <c r="P9">
        <f t="shared" si="5"/>
        <v>9.1198654730284545E-6</v>
      </c>
      <c r="Q9">
        <f t="shared" si="6"/>
        <v>6.774534266895671E-9</v>
      </c>
      <c r="R9">
        <f t="shared" si="7"/>
        <v>0.86033358901938872</v>
      </c>
    </row>
    <row r="10" spans="1:21" x14ac:dyDescent="0.25">
      <c r="A10">
        <v>0</v>
      </c>
      <c r="B10">
        <f t="shared" si="0"/>
        <v>-2</v>
      </c>
      <c r="D10">
        <f t="shared" si="8"/>
        <v>3.5213797068045678</v>
      </c>
      <c r="E10" s="6">
        <f t="shared" si="9"/>
        <v>3.5213797068045678</v>
      </c>
      <c r="F10" s="4">
        <f t="shared" si="1"/>
        <v>0</v>
      </c>
      <c r="G10">
        <f t="shared" si="2"/>
        <v>0</v>
      </c>
      <c r="H10" t="e">
        <f t="shared" si="3"/>
        <v>#DIV/0!</v>
      </c>
      <c r="K10">
        <v>0</v>
      </c>
      <c r="L10">
        <f t="shared" si="4"/>
        <v>-1</v>
      </c>
      <c r="N10">
        <f t="shared" si="10"/>
        <v>0.86033359114638319</v>
      </c>
      <c r="O10">
        <f t="shared" si="11"/>
        <v>0.86033358901938872</v>
      </c>
      <c r="P10">
        <f t="shared" si="5"/>
        <v>6.774534266895671E-9</v>
      </c>
      <c r="Q10">
        <f t="shared" si="6"/>
        <v>2.8643754035329039E-14</v>
      </c>
      <c r="R10">
        <f t="shared" si="7"/>
        <v>0.86033358901937973</v>
      </c>
    </row>
    <row r="11" spans="1:21" x14ac:dyDescent="0.25">
      <c r="A11">
        <v>1</v>
      </c>
      <c r="B11">
        <f t="shared" si="0"/>
        <v>-2</v>
      </c>
      <c r="F11" s="4"/>
      <c r="K11">
        <v>1</v>
      </c>
      <c r="L11">
        <f t="shared" si="4"/>
        <v>0.55740772465490229</v>
      </c>
      <c r="N11">
        <f t="shared" si="10"/>
        <v>0.86033358901938872</v>
      </c>
      <c r="O11">
        <f t="shared" si="11"/>
        <v>0.86033358901937973</v>
      </c>
      <c r="P11">
        <f t="shared" si="5"/>
        <v>2.8643754035329039E-14</v>
      </c>
      <c r="Q11">
        <f t="shared" si="6"/>
        <v>0</v>
      </c>
      <c r="R11">
        <f t="shared" si="7"/>
        <v>0.86033358901937973</v>
      </c>
    </row>
    <row r="12" spans="1:21" x14ac:dyDescent="0.25">
      <c r="A12">
        <v>2</v>
      </c>
      <c r="B12">
        <f t="shared" si="0"/>
        <v>-1.2599210498948732</v>
      </c>
      <c r="F12" s="4"/>
      <c r="K12">
        <v>2</v>
      </c>
      <c r="L12">
        <f t="shared" si="4"/>
        <v>-5.3700797265230378</v>
      </c>
      <c r="N12">
        <f t="shared" si="10"/>
        <v>0.86033358901937973</v>
      </c>
      <c r="O12" s="6">
        <f t="shared" si="11"/>
        <v>0.86033358901937973</v>
      </c>
      <c r="P12">
        <f t="shared" si="5"/>
        <v>0</v>
      </c>
      <c r="Q12">
        <f t="shared" si="6"/>
        <v>0</v>
      </c>
      <c r="R12" t="e">
        <f t="shared" si="7"/>
        <v>#DIV/0!</v>
      </c>
    </row>
    <row r="13" spans="1:21" x14ac:dyDescent="0.25">
      <c r="A13">
        <v>3</v>
      </c>
      <c r="B13">
        <f t="shared" si="0"/>
        <v>-0.4422495703074083</v>
      </c>
      <c r="K13">
        <v>3</v>
      </c>
      <c r="L13">
        <f t="shared" si="4"/>
        <v>-1.4276396292228335</v>
      </c>
    </row>
    <row r="14" spans="1:21" x14ac:dyDescent="0.25">
      <c r="A14">
        <v>4</v>
      </c>
      <c r="B14">
        <f t="shared" si="0"/>
        <v>0.41259894803180064</v>
      </c>
      <c r="K14">
        <v>4</v>
      </c>
      <c r="L14">
        <f t="shared" si="4"/>
        <v>3.6312851293983099</v>
      </c>
    </row>
    <row r="15" spans="1:21" x14ac:dyDescent="0.25">
      <c r="A15">
        <v>5</v>
      </c>
      <c r="B15">
        <f t="shared" si="0"/>
        <v>1.2900240533233029</v>
      </c>
      <c r="K15">
        <v>5</v>
      </c>
      <c r="L15">
        <f t="shared" si="4"/>
        <v>-17.902575031232928</v>
      </c>
    </row>
    <row r="16" spans="1:21" x14ac:dyDescent="0.25">
      <c r="A16">
        <v>6</v>
      </c>
      <c r="B16">
        <f t="shared" si="0"/>
        <v>2.1828794071678601</v>
      </c>
      <c r="K16">
        <v>6</v>
      </c>
      <c r="L16">
        <f t="shared" si="4"/>
        <v>-2.7460371483084947</v>
      </c>
    </row>
    <row r="20" spans="1:18" ht="15.75" thickBot="1" x14ac:dyDescent="0.3">
      <c r="A20" s="1" t="s">
        <v>4</v>
      </c>
      <c r="B20" s="1"/>
      <c r="C20" s="1"/>
      <c r="D20" s="1"/>
      <c r="E20" s="2" t="s">
        <v>18</v>
      </c>
      <c r="F20" s="2"/>
      <c r="G20" s="1"/>
      <c r="H20" s="1"/>
      <c r="K20" s="1" t="s">
        <v>5</v>
      </c>
      <c r="L20" s="14" t="s">
        <v>19</v>
      </c>
      <c r="M20" s="14"/>
      <c r="N20" s="1"/>
      <c r="O20" s="1"/>
      <c r="P20" s="1"/>
      <c r="Q20" s="1"/>
      <c r="R20" s="1"/>
    </row>
    <row r="22" spans="1:18" x14ac:dyDescent="0.25">
      <c r="A22" t="s">
        <v>6</v>
      </c>
      <c r="B22" t="s">
        <v>7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K22" t="s">
        <v>6</v>
      </c>
      <c r="L22" t="s">
        <v>7</v>
      </c>
      <c r="N22" t="s">
        <v>21</v>
      </c>
      <c r="O22" t="s">
        <v>22</v>
      </c>
      <c r="P22" t="s">
        <v>23</v>
      </c>
      <c r="Q22" t="s">
        <v>24</v>
      </c>
      <c r="R22" t="s">
        <v>25</v>
      </c>
    </row>
    <row r="23" spans="1:18" x14ac:dyDescent="0.25">
      <c r="A23">
        <v>-5</v>
      </c>
      <c r="B23">
        <f>(A23^4)-(EXP(A23))+1</f>
        <v>625.99326205300088</v>
      </c>
      <c r="D23">
        <v>1</v>
      </c>
      <c r="E23">
        <v>1.1000000000000001</v>
      </c>
      <c r="F23">
        <f>D23^4-EXP(D23)+1</f>
        <v>-0.71828182845904509</v>
      </c>
      <c r="G23">
        <f>E23^4-EXP(E23)+1</f>
        <v>-0.54006602394643299</v>
      </c>
      <c r="H23">
        <f>E23-G23*(E23-D23)/(G23-F23)</f>
        <v>1.4030404769225806</v>
      </c>
      <c r="K23">
        <v>-5</v>
      </c>
      <c r="L23">
        <f>(K23^2)*(EXP(K23))-1</f>
        <v>-0.83155132502286333</v>
      </c>
      <c r="N23" s="7">
        <v>1</v>
      </c>
      <c r="O23" s="7">
        <v>1.7</v>
      </c>
      <c r="P23" s="7">
        <f>N23^2*EXP(N23)-1</f>
        <v>1.7182818284590451</v>
      </c>
      <c r="Q23" s="7">
        <f>O23^2*EXP(O23)-1</f>
        <v>14.819707962091606</v>
      </c>
      <c r="R23" s="7">
        <f>O23-Q23*(O23-N23)/(Q23-P23)</f>
        <v>0.90819340828601547</v>
      </c>
    </row>
    <row r="24" spans="1:18" x14ac:dyDescent="0.25">
      <c r="A24">
        <v>-4</v>
      </c>
      <c r="B24">
        <f t="shared" ref="B24:B34" si="12">(A24^4)-(EXP(A24))+1</f>
        <v>256.98168436111126</v>
      </c>
      <c r="D24">
        <f>E23</f>
        <v>1.1000000000000001</v>
      </c>
      <c r="E24">
        <f>H23</f>
        <v>1.4030404769225806</v>
      </c>
      <c r="F24">
        <f t="shared" ref="F24:F32" si="13">D24^4-EXP(D24)+1</f>
        <v>-0.54006602394643299</v>
      </c>
      <c r="G24">
        <f t="shared" ref="G24:G32" si="14">E24^4-EXP(E24)+1</f>
        <v>0.80753267559009112</v>
      </c>
      <c r="H24">
        <f t="shared" ref="H24:H32" si="15">E24-G24*(E24-D24)/(G24-F24)</f>
        <v>1.2214470342860206</v>
      </c>
      <c r="K24">
        <v>-4</v>
      </c>
      <c r="L24">
        <f t="shared" ref="L24:L34" si="16">(K24^2)*(EXP(K24))-1</f>
        <v>-0.70694977778025314</v>
      </c>
      <c r="N24" s="7">
        <f>O23</f>
        <v>1.7</v>
      </c>
      <c r="O24" s="7">
        <f>R23</f>
        <v>0.90819340828601547</v>
      </c>
      <c r="P24" s="7">
        <f t="shared" ref="P24:P33" si="17">N24^2*EXP(N24)-1</f>
        <v>14.819707962091606</v>
      </c>
      <c r="Q24" s="7">
        <f t="shared" ref="Q24:Q33" si="18">O24^2*EXP(O24)-1</f>
        <v>1.0454085952195107</v>
      </c>
      <c r="R24" s="7">
        <f t="shared" ref="R24:R33" si="19">O24-Q24*(O24-N24)/(Q24-P24)</f>
        <v>0.84809877881106199</v>
      </c>
    </row>
    <row r="25" spans="1:18" x14ac:dyDescent="0.25">
      <c r="A25">
        <v>-3</v>
      </c>
      <c r="B25">
        <f t="shared" si="12"/>
        <v>81.950212931632137</v>
      </c>
      <c r="D25">
        <f t="shared" ref="D25:D32" si="20">E24</f>
        <v>1.4030404769225806</v>
      </c>
      <c r="E25">
        <f t="shared" ref="E25:E32" si="21">H24</f>
        <v>1.2214470342860206</v>
      </c>
      <c r="F25">
        <f t="shared" si="13"/>
        <v>0.80753267559009112</v>
      </c>
      <c r="G25">
        <f t="shared" si="14"/>
        <v>-0.16622900686093089</v>
      </c>
      <c r="H25">
        <f t="shared" si="15"/>
        <v>1.2524465058876886</v>
      </c>
      <c r="K25">
        <v>-3</v>
      </c>
      <c r="L25">
        <f t="shared" si="16"/>
        <v>-0.55191638468922455</v>
      </c>
      <c r="N25" s="7">
        <f t="shared" ref="N25:N33" si="22">O24</f>
        <v>0.90819340828601547</v>
      </c>
      <c r="O25" s="7">
        <f t="shared" ref="O25:O33" si="23">R24</f>
        <v>0.84809877881106199</v>
      </c>
      <c r="P25" s="7">
        <f t="shared" si="17"/>
        <v>1.0454085952195107</v>
      </c>
      <c r="Q25" s="7">
        <f t="shared" si="18"/>
        <v>0.67964497681196412</v>
      </c>
      <c r="R25" s="7">
        <f t="shared" si="19"/>
        <v>0.73643372794063988</v>
      </c>
    </row>
    <row r="26" spans="1:18" x14ac:dyDescent="0.25">
      <c r="A26">
        <v>-2</v>
      </c>
      <c r="B26">
        <f t="shared" si="12"/>
        <v>16.864664716763386</v>
      </c>
      <c r="D26">
        <f t="shared" si="20"/>
        <v>1.2214470342860206</v>
      </c>
      <c r="E26">
        <f t="shared" si="21"/>
        <v>1.2524465058876886</v>
      </c>
      <c r="F26">
        <f t="shared" si="13"/>
        <v>-0.16622900686093089</v>
      </c>
      <c r="G26">
        <f t="shared" si="14"/>
        <v>-3.8316792573616532E-2</v>
      </c>
      <c r="H26">
        <f t="shared" si="15"/>
        <v>1.2617325645324464</v>
      </c>
      <c r="K26">
        <v>-2</v>
      </c>
      <c r="L26">
        <f t="shared" si="16"/>
        <v>-0.45865886705354919</v>
      </c>
      <c r="N26" s="7">
        <f t="shared" si="22"/>
        <v>0.84809877881106199</v>
      </c>
      <c r="O26" s="7">
        <f t="shared" si="23"/>
        <v>0.73643372794063988</v>
      </c>
      <c r="P26" s="7">
        <f t="shared" si="17"/>
        <v>0.67964497681196412</v>
      </c>
      <c r="Q26" s="7">
        <f t="shared" si="18"/>
        <v>0.13265186761670145</v>
      </c>
      <c r="R26" s="7">
        <f t="shared" si="19"/>
        <v>0.70935372035650823</v>
      </c>
    </row>
    <row r="27" spans="1:18" x14ac:dyDescent="0.25">
      <c r="A27">
        <v>-1</v>
      </c>
      <c r="B27">
        <f t="shared" si="12"/>
        <v>1.6321205588285577</v>
      </c>
      <c r="D27">
        <f t="shared" si="20"/>
        <v>1.2524465058876886</v>
      </c>
      <c r="E27">
        <f t="shared" si="21"/>
        <v>1.2617325645324464</v>
      </c>
      <c r="F27">
        <f t="shared" si="13"/>
        <v>-3.8316792573616532E-2</v>
      </c>
      <c r="G27">
        <f t="shared" si="14"/>
        <v>2.8307000887122236E-3</v>
      </c>
      <c r="H27">
        <f t="shared" si="15"/>
        <v>1.2610937395317297</v>
      </c>
      <c r="K27">
        <v>-1</v>
      </c>
      <c r="L27">
        <f t="shared" si="16"/>
        <v>-0.63212055882855767</v>
      </c>
      <c r="N27" s="7">
        <f t="shared" si="22"/>
        <v>0.73643372794063988</v>
      </c>
      <c r="O27" s="7">
        <f t="shared" si="23"/>
        <v>0.70935372035650823</v>
      </c>
      <c r="P27" s="7">
        <f t="shared" si="17"/>
        <v>0.13265186761670145</v>
      </c>
      <c r="Q27" s="7">
        <f t="shared" si="18"/>
        <v>2.2807980864212762E-2</v>
      </c>
      <c r="R27" s="7">
        <f t="shared" si="19"/>
        <v>0.70373082851389401</v>
      </c>
    </row>
    <row r="28" spans="1:18" x14ac:dyDescent="0.25">
      <c r="A28">
        <v>0</v>
      </c>
      <c r="B28">
        <f t="shared" si="12"/>
        <v>0</v>
      </c>
      <c r="D28">
        <f t="shared" si="20"/>
        <v>1.2617325645324464</v>
      </c>
      <c r="E28">
        <f t="shared" si="21"/>
        <v>1.2610937395317297</v>
      </c>
      <c r="F28">
        <f t="shared" si="13"/>
        <v>2.8307000887122236E-3</v>
      </c>
      <c r="G28">
        <f t="shared" si="14"/>
        <v>-4.2766665488080946E-5</v>
      </c>
      <c r="H28">
        <f t="shared" si="15"/>
        <v>1.2611032473553616</v>
      </c>
      <c r="K28">
        <v>0</v>
      </c>
      <c r="L28">
        <f t="shared" si="16"/>
        <v>-1</v>
      </c>
      <c r="N28" s="7">
        <f t="shared" si="22"/>
        <v>0.70935372035650823</v>
      </c>
      <c r="O28" s="7">
        <f t="shared" si="23"/>
        <v>0.70373082851389401</v>
      </c>
      <c r="P28" s="7">
        <f t="shared" si="17"/>
        <v>2.2807980864212762E-2</v>
      </c>
      <c r="Q28" s="7">
        <f t="shared" si="18"/>
        <v>1.012657309706233E-3</v>
      </c>
      <c r="R28" s="7">
        <f t="shared" si="19"/>
        <v>0.70346957694257084</v>
      </c>
    </row>
    <row r="29" spans="1:18" x14ac:dyDescent="0.25">
      <c r="A29">
        <v>1</v>
      </c>
      <c r="B29">
        <f t="shared" si="12"/>
        <v>-0.71828182845904509</v>
      </c>
      <c r="D29">
        <f t="shared" si="20"/>
        <v>1.2610937395317297</v>
      </c>
      <c r="E29">
        <f t="shared" si="21"/>
        <v>1.2611032473553616</v>
      </c>
      <c r="F29">
        <f t="shared" si="13"/>
        <v>-4.2766665488080946E-5</v>
      </c>
      <c r="G29">
        <f t="shared" si="14"/>
        <v>-4.6553495725021321E-8</v>
      </c>
      <c r="H29">
        <f t="shared" si="15"/>
        <v>1.2611032577163463</v>
      </c>
      <c r="K29">
        <v>1</v>
      </c>
      <c r="L29">
        <f t="shared" si="16"/>
        <v>1.7182818284590451</v>
      </c>
      <c r="N29" s="7">
        <f t="shared" si="22"/>
        <v>0.70373082851389401</v>
      </c>
      <c r="O29" s="7">
        <f t="shared" si="23"/>
        <v>0.70346957694257084</v>
      </c>
      <c r="P29" s="7">
        <f t="shared" si="17"/>
        <v>1.012657309706233E-3</v>
      </c>
      <c r="Q29" s="7">
        <f t="shared" si="18"/>
        <v>8.279682867984306E-6</v>
      </c>
      <c r="R29" s="7">
        <f t="shared" si="19"/>
        <v>0.70346742329029754</v>
      </c>
    </row>
    <row r="30" spans="1:18" x14ac:dyDescent="0.25">
      <c r="A30">
        <v>2</v>
      </c>
      <c r="B30">
        <f t="shared" si="12"/>
        <v>9.6109439010693496</v>
      </c>
      <c r="D30">
        <f t="shared" si="20"/>
        <v>1.2611032473553616</v>
      </c>
      <c r="E30">
        <f t="shared" si="21"/>
        <v>1.2611032577163463</v>
      </c>
      <c r="F30">
        <f t="shared" si="13"/>
        <v>-4.6553495725021321E-8</v>
      </c>
      <c r="G30">
        <f t="shared" si="14"/>
        <v>7.6694206541105814E-13</v>
      </c>
      <c r="H30">
        <f t="shared" si="15"/>
        <v>1.2611032577161756</v>
      </c>
      <c r="K30">
        <v>2</v>
      </c>
      <c r="L30">
        <f t="shared" si="16"/>
        <v>28.556224395722602</v>
      </c>
      <c r="N30" s="7">
        <f t="shared" si="22"/>
        <v>0.70346957694257084</v>
      </c>
      <c r="O30" s="7">
        <f t="shared" si="23"/>
        <v>0.70346742329029754</v>
      </c>
      <c r="P30" s="7">
        <f t="shared" si="17"/>
        <v>8.279682867984306E-6</v>
      </c>
      <c r="Q30" s="7">
        <f t="shared" si="18"/>
        <v>3.0433418007902446E-9</v>
      </c>
      <c r="R30" s="7">
        <f t="shared" si="19"/>
        <v>0.703467422498394</v>
      </c>
    </row>
    <row r="31" spans="1:18" x14ac:dyDescent="0.25">
      <c r="A31">
        <v>3</v>
      </c>
      <c r="B31">
        <f t="shared" si="12"/>
        <v>61.914463076812332</v>
      </c>
      <c r="D31">
        <f t="shared" si="20"/>
        <v>1.2611032577163463</v>
      </c>
      <c r="E31">
        <f t="shared" si="21"/>
        <v>1.2611032577161756</v>
      </c>
      <c r="F31">
        <f t="shared" si="13"/>
        <v>7.6694206541105814E-13</v>
      </c>
      <c r="G31">
        <f t="shared" si="14"/>
        <v>0</v>
      </c>
      <c r="H31">
        <f t="shared" si="15"/>
        <v>1.2611032577161756</v>
      </c>
      <c r="K31">
        <v>3</v>
      </c>
      <c r="L31">
        <f t="shared" si="16"/>
        <v>179.76983230868902</v>
      </c>
      <c r="N31" s="7">
        <f t="shared" si="22"/>
        <v>0.70346742329029754</v>
      </c>
      <c r="O31" s="7">
        <f t="shared" si="23"/>
        <v>0.703467422498394</v>
      </c>
      <c r="P31" s="7">
        <f t="shared" si="17"/>
        <v>3.0433418007902446E-9</v>
      </c>
      <c r="Q31" s="7">
        <f t="shared" si="18"/>
        <v>9.1038288019262836E-15</v>
      </c>
      <c r="R31" s="7">
        <f t="shared" si="19"/>
        <v>0.70346742249839167</v>
      </c>
    </row>
    <row r="32" spans="1:18" x14ac:dyDescent="0.25">
      <c r="A32">
        <v>4</v>
      </c>
      <c r="B32">
        <f t="shared" si="12"/>
        <v>202.40184996685576</v>
      </c>
      <c r="D32">
        <f t="shared" si="20"/>
        <v>1.2611032577161756</v>
      </c>
      <c r="E32" s="6">
        <f t="shared" si="21"/>
        <v>1.2611032577161756</v>
      </c>
      <c r="F32">
        <f t="shared" si="13"/>
        <v>0</v>
      </c>
      <c r="G32">
        <f t="shared" si="14"/>
        <v>0</v>
      </c>
      <c r="H32" t="e">
        <f t="shared" si="15"/>
        <v>#DIV/0!</v>
      </c>
      <c r="K32">
        <v>4</v>
      </c>
      <c r="L32">
        <f t="shared" si="16"/>
        <v>872.57040053030778</v>
      </c>
      <c r="N32" s="7">
        <f t="shared" si="22"/>
        <v>0.703467422498394</v>
      </c>
      <c r="O32" s="7">
        <f t="shared" si="23"/>
        <v>0.70346742249839167</v>
      </c>
      <c r="P32" s="7">
        <f t="shared" si="17"/>
        <v>9.1038288019262836E-15</v>
      </c>
      <c r="Q32" s="7">
        <f t="shared" si="18"/>
        <v>0</v>
      </c>
      <c r="R32" s="7">
        <f t="shared" si="19"/>
        <v>0.70346742249839167</v>
      </c>
    </row>
    <row r="33" spans="1:18" x14ac:dyDescent="0.25">
      <c r="A33">
        <v>5</v>
      </c>
      <c r="B33">
        <f t="shared" si="12"/>
        <v>477.58684089742337</v>
      </c>
      <c r="K33">
        <v>5</v>
      </c>
      <c r="L33">
        <f t="shared" si="16"/>
        <v>3709.3289775644148</v>
      </c>
      <c r="N33" s="7">
        <f t="shared" si="22"/>
        <v>0.70346742249839167</v>
      </c>
      <c r="O33" s="8">
        <f t="shared" si="23"/>
        <v>0.70346742249839167</v>
      </c>
      <c r="P33" s="7">
        <f t="shared" si="17"/>
        <v>0</v>
      </c>
      <c r="Q33" s="7">
        <f t="shared" si="18"/>
        <v>0</v>
      </c>
      <c r="R33" s="7" t="e">
        <f t="shared" si="19"/>
        <v>#DIV/0!</v>
      </c>
    </row>
    <row r="34" spans="1:18" x14ac:dyDescent="0.25">
      <c r="A34">
        <v>6</v>
      </c>
      <c r="B34">
        <f t="shared" si="12"/>
        <v>893.57120650726483</v>
      </c>
      <c r="K34">
        <v>6</v>
      </c>
      <c r="L34">
        <f t="shared" si="16"/>
        <v>14522.436565738464</v>
      </c>
    </row>
  </sheetData>
  <mergeCells count="2">
    <mergeCell ref="O2:P2"/>
    <mergeCell ref="L20:M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C69E-678A-4530-A747-2632533BDC67}">
  <dimension ref="A2:N64"/>
  <sheetViews>
    <sheetView workbookViewId="0">
      <selection activeCell="N9" sqref="N9"/>
    </sheetView>
  </sheetViews>
  <sheetFormatPr defaultRowHeight="15" x14ac:dyDescent="0.25"/>
  <cols>
    <col min="1" max="1" width="10.85546875" customWidth="1"/>
    <col min="4" max="4" width="10.5703125" customWidth="1"/>
    <col min="5" max="5" width="11" bestFit="1" customWidth="1"/>
    <col min="10" max="10" width="12" bestFit="1" customWidth="1"/>
    <col min="14" max="14" width="12.42578125" customWidth="1"/>
  </cols>
  <sheetData>
    <row r="2" spans="1:6" ht="15.75" thickBot="1" x14ac:dyDescent="0.3">
      <c r="A2" s="1" t="s">
        <v>1</v>
      </c>
      <c r="B2" s="1"/>
      <c r="C2" s="1"/>
      <c r="D2" s="2" t="s">
        <v>26</v>
      </c>
      <c r="E2" s="2"/>
      <c r="F2" s="1"/>
    </row>
    <row r="4" spans="1:6" x14ac:dyDescent="0.25">
      <c r="A4" t="s">
        <v>6</v>
      </c>
      <c r="B4" t="s">
        <v>7</v>
      </c>
      <c r="D4" t="s">
        <v>27</v>
      </c>
    </row>
    <row r="5" spans="1:6" x14ac:dyDescent="0.25">
      <c r="A5">
        <v>-5</v>
      </c>
      <c r="B5">
        <f>A5^3-17*A5+12</f>
        <v>-28</v>
      </c>
      <c r="D5" t="s">
        <v>6</v>
      </c>
      <c r="E5">
        <v>0.72863564232316103</v>
      </c>
    </row>
    <row r="6" spans="1:6" x14ac:dyDescent="0.25">
      <c r="A6">
        <v>-4</v>
      </c>
      <c r="B6">
        <f t="shared" ref="B6:B15" si="0">A6^3-17*A6+12</f>
        <v>16</v>
      </c>
      <c r="D6" t="s">
        <v>7</v>
      </c>
      <c r="E6" s="6">
        <f>E5^3-17*E5+12</f>
        <v>3.3955971982635447E-5</v>
      </c>
    </row>
    <row r="7" spans="1:6" x14ac:dyDescent="0.25">
      <c r="A7">
        <v>-3</v>
      </c>
      <c r="B7">
        <f t="shared" si="0"/>
        <v>36</v>
      </c>
    </row>
    <row r="8" spans="1:6" x14ac:dyDescent="0.25">
      <c r="A8">
        <v>-2</v>
      </c>
      <c r="B8">
        <f t="shared" si="0"/>
        <v>38</v>
      </c>
    </row>
    <row r="9" spans="1:6" x14ac:dyDescent="0.25">
      <c r="A9">
        <v>-1</v>
      </c>
      <c r="B9">
        <f t="shared" si="0"/>
        <v>28</v>
      </c>
    </row>
    <row r="10" spans="1:6" x14ac:dyDescent="0.25">
      <c r="A10">
        <v>0</v>
      </c>
      <c r="B10">
        <f t="shared" si="0"/>
        <v>12</v>
      </c>
    </row>
    <row r="11" spans="1:6" x14ac:dyDescent="0.25">
      <c r="A11">
        <v>1</v>
      </c>
      <c r="B11">
        <f t="shared" si="0"/>
        <v>-4</v>
      </c>
    </row>
    <row r="12" spans="1:6" x14ac:dyDescent="0.25">
      <c r="A12">
        <v>2</v>
      </c>
      <c r="B12">
        <f t="shared" si="0"/>
        <v>-14</v>
      </c>
    </row>
    <row r="13" spans="1:6" x14ac:dyDescent="0.25">
      <c r="A13">
        <v>3</v>
      </c>
      <c r="B13">
        <f t="shared" si="0"/>
        <v>-12</v>
      </c>
    </row>
    <row r="14" spans="1:6" x14ac:dyDescent="0.25">
      <c r="A14">
        <v>4</v>
      </c>
      <c r="B14">
        <f t="shared" si="0"/>
        <v>8</v>
      </c>
    </row>
    <row r="15" spans="1:6" x14ac:dyDescent="0.25">
      <c r="A15">
        <v>5</v>
      </c>
      <c r="B15">
        <f t="shared" si="0"/>
        <v>52</v>
      </c>
    </row>
    <row r="18" spans="1:14" ht="15.75" thickBot="1" x14ac:dyDescent="0.3">
      <c r="A18" s="9" t="s">
        <v>2</v>
      </c>
      <c r="B18" s="14" t="s">
        <v>28</v>
      </c>
      <c r="C18" s="14"/>
      <c r="D18" s="14"/>
      <c r="E18" s="14"/>
      <c r="F18" s="14"/>
      <c r="I18" s="1" t="s">
        <v>4</v>
      </c>
      <c r="J18" s="14" t="s">
        <v>30</v>
      </c>
      <c r="K18" s="14"/>
      <c r="L18" s="14"/>
      <c r="M18" s="14"/>
      <c r="N18" s="14"/>
    </row>
    <row r="19" spans="1:14" x14ac:dyDescent="0.25">
      <c r="K19" s="3" t="s">
        <v>38</v>
      </c>
      <c r="L19" s="3"/>
      <c r="M19" s="3"/>
    </row>
    <row r="20" spans="1:14" x14ac:dyDescent="0.25">
      <c r="A20" t="s">
        <v>6</v>
      </c>
      <c r="B20" t="s">
        <v>29</v>
      </c>
      <c r="D20" t="s">
        <v>27</v>
      </c>
    </row>
    <row r="21" spans="1:14" x14ac:dyDescent="0.25">
      <c r="A21">
        <v>2</v>
      </c>
      <c r="B21">
        <f>BESSELJ(A21,1)</f>
        <v>0.57672480789629377</v>
      </c>
      <c r="D21" t="s">
        <v>6</v>
      </c>
      <c r="E21" s="6">
        <v>3.8313014932064764</v>
      </c>
    </row>
    <row r="22" spans="1:14" x14ac:dyDescent="0.25">
      <c r="A22">
        <v>2.25</v>
      </c>
      <c r="B22">
        <f t="shared" ref="B22:B33" si="1">BESSELJ(A22,1)</f>
        <v>0.54837835678480862</v>
      </c>
      <c r="D22" t="s">
        <v>7</v>
      </c>
      <c r="E22">
        <f>BESSELJ(E21,1)</f>
        <v>1.6291552690211387E-4</v>
      </c>
      <c r="I22" s="10" t="s">
        <v>31</v>
      </c>
      <c r="J22" s="10">
        <v>8.2000000000000003E-2</v>
      </c>
      <c r="L22" t="s">
        <v>41</v>
      </c>
      <c r="M22" t="s">
        <v>40</v>
      </c>
      <c r="N22" t="s">
        <v>42</v>
      </c>
    </row>
    <row r="23" spans="1:14" x14ac:dyDescent="0.25">
      <c r="A23">
        <v>2.5</v>
      </c>
      <c r="B23">
        <f t="shared" si="1"/>
        <v>0.49709410250442176</v>
      </c>
      <c r="I23" s="10" t="s">
        <v>34</v>
      </c>
      <c r="J23" s="10">
        <v>400</v>
      </c>
      <c r="L23" s="11">
        <v>5</v>
      </c>
      <c r="M23" s="11">
        <f>(P+a/L23^2)*(L23-b)-constant*T</f>
        <v>27.392545599999991</v>
      </c>
      <c r="N23" s="11">
        <f>constant*T/P</f>
        <v>2.7702702702702706</v>
      </c>
    </row>
    <row r="24" spans="1:14" x14ac:dyDescent="0.25">
      <c r="A24">
        <v>2.75</v>
      </c>
      <c r="B24">
        <f t="shared" si="1"/>
        <v>0.42597230283991766</v>
      </c>
      <c r="I24" s="10" t="s">
        <v>35</v>
      </c>
      <c r="J24" s="10">
        <v>500</v>
      </c>
      <c r="L24" s="11">
        <v>4</v>
      </c>
      <c r="M24" s="11">
        <f>(P+a/L24^2)*(L24-b)-constant*T</f>
        <v>15.983029999999999</v>
      </c>
      <c r="N24" s="11"/>
    </row>
    <row r="25" spans="1:14" x14ac:dyDescent="0.25">
      <c r="A25">
        <v>3</v>
      </c>
      <c r="B25">
        <f t="shared" si="1"/>
        <v>0.33905895827253579</v>
      </c>
      <c r="I25" s="10" t="s">
        <v>36</v>
      </c>
      <c r="J25" s="10">
        <v>11.84</v>
      </c>
      <c r="L25" s="11">
        <v>3</v>
      </c>
      <c r="M25" s="11">
        <f>(P+a/L25^2)*(L25-b)-constant*T</f>
        <v>4.8541999999999916</v>
      </c>
      <c r="N25" s="11"/>
    </row>
    <row r="26" spans="1:14" x14ac:dyDescent="0.25">
      <c r="A26">
        <v>3.25</v>
      </c>
      <c r="B26">
        <f t="shared" si="1"/>
        <v>0.2411196877319747</v>
      </c>
      <c r="I26" s="10" t="s">
        <v>37</v>
      </c>
      <c r="J26" s="10">
        <v>80</v>
      </c>
      <c r="L26" s="11">
        <v>2</v>
      </c>
      <c r="M26" s="11">
        <f>(P+a/L26^2)*(L26-b)-constant*T</f>
        <v>-5.5871000000000031</v>
      </c>
      <c r="N26" s="11"/>
    </row>
    <row r="27" spans="1:14" x14ac:dyDescent="0.25">
      <c r="A27">
        <v>3.5</v>
      </c>
      <c r="B27">
        <f t="shared" si="1"/>
        <v>0.13737752717818574</v>
      </c>
      <c r="I27" s="10" t="s">
        <v>32</v>
      </c>
      <c r="J27" s="10">
        <v>8.8650000000000002</v>
      </c>
      <c r="L27" s="11">
        <v>1</v>
      </c>
      <c r="M27" s="11">
        <f>(P+a/L27^2)*(L27-b)-constant*T</f>
        <v>-13.420120000000008</v>
      </c>
      <c r="N27" s="11"/>
    </row>
    <row r="28" spans="1:14" x14ac:dyDescent="0.25">
      <c r="A28">
        <v>3.75</v>
      </c>
      <c r="B28">
        <f t="shared" si="1"/>
        <v>3.3229349105749206E-2</v>
      </c>
      <c r="I28" s="10" t="s">
        <v>33</v>
      </c>
      <c r="J28" s="10">
        <v>6.4000000000000001E-2</v>
      </c>
      <c r="L28" s="11">
        <v>0</v>
      </c>
      <c r="M28" s="11"/>
      <c r="N28" s="11"/>
    </row>
    <row r="29" spans="1:14" x14ac:dyDescent="0.25">
      <c r="A29">
        <v>4</v>
      </c>
      <c r="B29">
        <f t="shared" si="1"/>
        <v>-6.6043327959084727E-2</v>
      </c>
    </row>
    <row r="30" spans="1:14" x14ac:dyDescent="0.25">
      <c r="A30">
        <v>4.25</v>
      </c>
      <c r="B30">
        <f t="shared" si="1"/>
        <v>-0.15555319301522461</v>
      </c>
      <c r="I30" t="s">
        <v>27</v>
      </c>
    </row>
    <row r="31" spans="1:14" x14ac:dyDescent="0.25">
      <c r="A31">
        <v>4.5</v>
      </c>
      <c r="B31">
        <f t="shared" si="1"/>
        <v>-0.2310604322641216</v>
      </c>
      <c r="I31" t="s">
        <v>39</v>
      </c>
      <c r="J31" s="12">
        <v>2.5477796909991426</v>
      </c>
    </row>
    <row r="32" spans="1:14" x14ac:dyDescent="0.25">
      <c r="A32">
        <v>4.75</v>
      </c>
      <c r="B32">
        <f t="shared" si="1"/>
        <v>-0.28918679936742159</v>
      </c>
      <c r="I32" t="s">
        <v>40</v>
      </c>
      <c r="J32">
        <f>(P+a/J31^2)*(J31-b)-constant*T</f>
        <v>4.7026111971604223E-5</v>
      </c>
    </row>
    <row r="33" spans="1:14" x14ac:dyDescent="0.25">
      <c r="A33">
        <v>5</v>
      </c>
      <c r="B33">
        <f t="shared" si="1"/>
        <v>-0.32757913856636323</v>
      </c>
    </row>
    <row r="36" spans="1:14" ht="15.75" thickBot="1" x14ac:dyDescent="0.3">
      <c r="A36" s="1" t="s">
        <v>5</v>
      </c>
      <c r="B36" s="14" t="s">
        <v>43</v>
      </c>
      <c r="C36" s="14"/>
      <c r="D36" s="14"/>
      <c r="E36" s="14"/>
      <c r="F36" s="14"/>
      <c r="I36" s="1" t="s">
        <v>51</v>
      </c>
      <c r="J36" s="14" t="s">
        <v>52</v>
      </c>
      <c r="K36" s="14"/>
      <c r="L36" s="14"/>
      <c r="M36" s="14"/>
      <c r="N36" s="14"/>
    </row>
    <row r="41" spans="1:14" ht="30" x14ac:dyDescent="0.25">
      <c r="A41" s="13" t="s">
        <v>44</v>
      </c>
      <c r="B41" s="10" t="s">
        <v>46</v>
      </c>
      <c r="C41" s="10">
        <f>10^5</f>
        <v>100000</v>
      </c>
      <c r="I41" s="13" t="s">
        <v>44</v>
      </c>
      <c r="J41" s="10" t="s">
        <v>46</v>
      </c>
      <c r="K41" s="10">
        <f>10^5</f>
        <v>100000</v>
      </c>
    </row>
    <row r="42" spans="1:14" ht="30" x14ac:dyDescent="0.25">
      <c r="A42" s="13" t="s">
        <v>45</v>
      </c>
      <c r="B42" s="10" t="s">
        <v>47</v>
      </c>
      <c r="C42" s="10">
        <f>10^-4</f>
        <v>1E-4</v>
      </c>
      <c r="I42" s="13" t="s">
        <v>45</v>
      </c>
      <c r="J42" s="10" t="s">
        <v>47</v>
      </c>
      <c r="K42" s="10">
        <f>10^-4</f>
        <v>1E-4</v>
      </c>
    </row>
    <row r="44" spans="1:14" x14ac:dyDescent="0.25">
      <c r="B44" t="s">
        <v>48</v>
      </c>
      <c r="C44" t="s">
        <v>49</v>
      </c>
      <c r="E44" t="s">
        <v>50</v>
      </c>
      <c r="I44" t="s">
        <v>48</v>
      </c>
      <c r="J44" t="s">
        <v>46</v>
      </c>
      <c r="K44" t="s">
        <v>49</v>
      </c>
    </row>
    <row r="45" spans="1:14" x14ac:dyDescent="0.25">
      <c r="B45">
        <v>10</v>
      </c>
      <c r="C45">
        <f t="shared" ref="C45:C64" si="2">SQRT(1/B45)+0.86*LN((ed/3.7)+(2.51/(nre*SQRT(B45))))</f>
        <v>-8.5083885475121388</v>
      </c>
      <c r="E45" t="s">
        <v>48</v>
      </c>
      <c r="F45" s="6">
        <v>1.8850233631062266E-2</v>
      </c>
      <c r="I45">
        <v>3.8151653150854649E-2</v>
      </c>
      <c r="J45">
        <v>5000</v>
      </c>
      <c r="K45">
        <f t="shared" ref="K45:K58" si="3">SQRT(1/I45)+0.86*LN((ed/3.7)+(2.51/(J45*SQRT(I45))))</f>
        <v>-2.0043698718552605E-4</v>
      </c>
    </row>
    <row r="46" spans="1:14" x14ac:dyDescent="0.25">
      <c r="B46">
        <v>20</v>
      </c>
      <c r="C46">
        <f t="shared" si="2"/>
        <v>-8.660180801336411</v>
      </c>
      <c r="E46" t="s">
        <v>49</v>
      </c>
      <c r="F46">
        <f>SQRT(1/F45)+0.86*LN((ed/3.7)+(2.51/(nre*SQRT(F45))))</f>
        <v>5.7569886902086864E-5</v>
      </c>
      <c r="I46">
        <v>3.8151653150854649E-2</v>
      </c>
      <c r="J46">
        <v>7000</v>
      </c>
      <c r="K46">
        <f t="shared" si="3"/>
        <v>-0.28599412708623362</v>
      </c>
    </row>
    <row r="47" spans="1:14" x14ac:dyDescent="0.25">
      <c r="B47">
        <v>30</v>
      </c>
      <c r="C47">
        <f t="shared" si="2"/>
        <v>-8.7287874806010084</v>
      </c>
      <c r="I47">
        <v>3.8151653150854649E-2</v>
      </c>
      <c r="J47">
        <v>9000</v>
      </c>
      <c r="K47">
        <f t="shared" si="3"/>
        <v>-0.49856688050492526</v>
      </c>
    </row>
    <row r="48" spans="1:14" x14ac:dyDescent="0.25">
      <c r="B48">
        <v>40</v>
      </c>
      <c r="C48">
        <f t="shared" si="2"/>
        <v>-8.7701159021568227</v>
      </c>
      <c r="I48">
        <v>3.8151653150854649E-2</v>
      </c>
      <c r="J48">
        <v>11000</v>
      </c>
      <c r="K48">
        <f t="shared" si="3"/>
        <v>-0.66760068042360832</v>
      </c>
    </row>
    <row r="49" spans="2:11" x14ac:dyDescent="0.25">
      <c r="B49">
        <v>50</v>
      </c>
      <c r="C49">
        <f t="shared" si="2"/>
        <v>-8.7985127156374912</v>
      </c>
      <c r="I49">
        <v>3.8151653150854649E-2</v>
      </c>
      <c r="J49">
        <v>13000</v>
      </c>
      <c r="K49">
        <f t="shared" si="3"/>
        <v>-0.80773873150989761</v>
      </c>
    </row>
    <row r="50" spans="2:11" x14ac:dyDescent="0.25">
      <c r="B50">
        <v>60</v>
      </c>
      <c r="C50">
        <f t="shared" si="2"/>
        <v>-8.8195777246954101</v>
      </c>
      <c r="I50">
        <v>3.8151653150854649E-2</v>
      </c>
      <c r="J50">
        <v>15000</v>
      </c>
      <c r="K50">
        <f t="shared" si="3"/>
        <v>-0.92729141297649509</v>
      </c>
    </row>
    <row r="51" spans="2:11" x14ac:dyDescent="0.25">
      <c r="B51">
        <v>70</v>
      </c>
      <c r="C51">
        <f t="shared" si="2"/>
        <v>-8.8360113627774286</v>
      </c>
      <c r="I51">
        <v>3.8151653150854649E-2</v>
      </c>
      <c r="J51">
        <v>17000</v>
      </c>
      <c r="K51">
        <f t="shared" si="3"/>
        <v>-1.0314319721674314</v>
      </c>
    </row>
    <row r="52" spans="2:11" x14ac:dyDescent="0.25">
      <c r="B52">
        <v>80</v>
      </c>
      <c r="C52">
        <f t="shared" si="2"/>
        <v>-8.8492982132303393</v>
      </c>
      <c r="I52">
        <v>3.8151653150854649E-2</v>
      </c>
      <c r="J52">
        <v>19000</v>
      </c>
      <c r="K52">
        <f t="shared" si="3"/>
        <v>-1.1236004590096043</v>
      </c>
    </row>
    <row r="53" spans="2:11" x14ac:dyDescent="0.25">
      <c r="B53">
        <v>90</v>
      </c>
      <c r="C53">
        <f t="shared" si="2"/>
        <v>-8.8603313546625753</v>
      </c>
      <c r="I53">
        <v>3.8151653150854649E-2</v>
      </c>
      <c r="J53">
        <v>21000</v>
      </c>
      <c r="K53">
        <f t="shared" si="3"/>
        <v>-1.2062007438986484</v>
      </c>
    </row>
    <row r="54" spans="2:11" x14ac:dyDescent="0.25">
      <c r="B54">
        <v>100</v>
      </c>
      <c r="C54">
        <f t="shared" si="2"/>
        <v>-8.8696846982576343</v>
      </c>
      <c r="I54">
        <v>3.8151653150854649E-2</v>
      </c>
      <c r="J54">
        <v>23000</v>
      </c>
      <c r="K54">
        <f t="shared" si="3"/>
        <v>-1.2809789404352205</v>
      </c>
    </row>
    <row r="55" spans="2:11" x14ac:dyDescent="0.25">
      <c r="B55">
        <v>110</v>
      </c>
      <c r="C55">
        <f t="shared" si="2"/>
        <v>-8.8777461896794456</v>
      </c>
      <c r="I55">
        <v>3.8151653150854649E-2</v>
      </c>
      <c r="J55">
        <v>25000</v>
      </c>
      <c r="K55">
        <f t="shared" si="3"/>
        <v>-1.3492434363780674</v>
      </c>
    </row>
    <row r="56" spans="2:11" x14ac:dyDescent="0.25">
      <c r="B56">
        <v>120</v>
      </c>
      <c r="C56">
        <f t="shared" si="2"/>
        <v>-8.8847887879821084</v>
      </c>
      <c r="I56">
        <v>3.8151653150854649E-2</v>
      </c>
      <c r="J56">
        <v>27000</v>
      </c>
      <c r="K56">
        <f t="shared" si="3"/>
        <v>-1.4119999785494004</v>
      </c>
    </row>
    <row r="57" spans="2:11" x14ac:dyDescent="0.25">
      <c r="B57">
        <v>130</v>
      </c>
      <c r="C57">
        <f t="shared" si="2"/>
        <v>-8.8910109010139724</v>
      </c>
      <c r="I57">
        <v>3.8151653150854649E-2</v>
      </c>
      <c r="J57">
        <v>29000</v>
      </c>
      <c r="K57">
        <f t="shared" si="3"/>
        <v>-1.4700383597868152</v>
      </c>
    </row>
    <row r="58" spans="2:11" x14ac:dyDescent="0.25">
      <c r="B58">
        <v>140</v>
      </c>
      <c r="C58">
        <f t="shared" si="2"/>
        <v>-8.8965606908456376</v>
      </c>
      <c r="I58" s="6">
        <v>3.8151653150854649E-2</v>
      </c>
      <c r="J58">
        <v>31000</v>
      </c>
      <c r="K58">
        <f t="shared" si="3"/>
        <v>-1.5239901316617539</v>
      </c>
    </row>
    <row r="59" spans="2:11" x14ac:dyDescent="0.25">
      <c r="B59">
        <v>150</v>
      </c>
      <c r="C59">
        <f t="shared" si="2"/>
        <v>-8.9015513427639945</v>
      </c>
    </row>
    <row r="60" spans="2:11" x14ac:dyDescent="0.25">
      <c r="B60">
        <v>160</v>
      </c>
      <c r="C60">
        <f t="shared" si="2"/>
        <v>-8.9060710186664149</v>
      </c>
    </row>
    <row r="61" spans="2:11" x14ac:dyDescent="0.25">
      <c r="B61">
        <v>170</v>
      </c>
      <c r="C61">
        <f t="shared" si="2"/>
        <v>-8.910189552585992</v>
      </c>
    </row>
    <row r="62" spans="2:11" x14ac:dyDescent="0.25">
      <c r="B62">
        <v>180</v>
      </c>
      <c r="C62">
        <f t="shared" si="2"/>
        <v>-8.9139630783067361</v>
      </c>
    </row>
    <row r="63" spans="2:11" x14ac:dyDescent="0.25">
      <c r="B63">
        <v>190</v>
      </c>
      <c r="C63">
        <f t="shared" si="2"/>
        <v>-8.9174373040362784</v>
      </c>
    </row>
    <row r="64" spans="2:11" x14ac:dyDescent="0.25">
      <c r="B64">
        <v>200</v>
      </c>
      <c r="C64">
        <f t="shared" si="2"/>
        <v>-8.9206498781920498</v>
      </c>
    </row>
  </sheetData>
  <mergeCells count="4">
    <mergeCell ref="B18:F18"/>
    <mergeCell ref="J18:N18"/>
    <mergeCell ref="B36:F36"/>
    <mergeCell ref="J36:N3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E87C-1902-48F1-9E71-30D991421F79}">
  <dimension ref="B2:L30"/>
  <sheetViews>
    <sheetView workbookViewId="0">
      <selection activeCell="O8" sqref="O8"/>
    </sheetView>
  </sheetViews>
  <sheetFormatPr defaultRowHeight="15" x14ac:dyDescent="0.25"/>
  <cols>
    <col min="2" max="2" width="17.140625" customWidth="1"/>
    <col min="8" max="8" width="17.42578125" customWidth="1"/>
    <col min="10" max="10" width="9.5703125" customWidth="1"/>
  </cols>
  <sheetData>
    <row r="2" spans="2:12" ht="15.75" thickBot="1" x14ac:dyDescent="0.3">
      <c r="B2" s="1" t="s">
        <v>1</v>
      </c>
      <c r="C2" s="1"/>
      <c r="D2" s="2" t="s">
        <v>16</v>
      </c>
      <c r="E2" s="2"/>
      <c r="F2" s="1"/>
      <c r="H2" s="1" t="s">
        <v>2</v>
      </c>
      <c r="I2" s="1"/>
      <c r="J2" s="14" t="s">
        <v>3</v>
      </c>
      <c r="K2" s="14"/>
      <c r="L2" s="1"/>
    </row>
    <row r="4" spans="2:12" x14ac:dyDescent="0.25">
      <c r="C4" t="s">
        <v>6</v>
      </c>
      <c r="D4" t="s">
        <v>7</v>
      </c>
      <c r="E4" t="s">
        <v>8</v>
      </c>
      <c r="I4" t="s">
        <v>6</v>
      </c>
      <c r="J4" t="s">
        <v>7</v>
      </c>
      <c r="K4" t="s">
        <v>8</v>
      </c>
    </row>
    <row r="5" spans="2:12" x14ac:dyDescent="0.25">
      <c r="B5" t="s">
        <v>17</v>
      </c>
      <c r="C5">
        <v>4</v>
      </c>
      <c r="D5">
        <f>C5-(C5^1/3)-2</f>
        <v>0.66666666666666696</v>
      </c>
      <c r="E5">
        <f t="shared" ref="E5:E14" si="0">(2/(C5^3))+1</f>
        <v>1.03125</v>
      </c>
      <c r="H5" t="s">
        <v>17</v>
      </c>
      <c r="I5">
        <v>1</v>
      </c>
      <c r="J5">
        <f>I5*TAN(I5)-1</f>
        <v>0.55740772465490229</v>
      </c>
      <c r="K5">
        <f>I5*((_xlfn.SEC(I5))^2)+TAN(I5)</f>
        <v>4.9829265454696614</v>
      </c>
    </row>
    <row r="6" spans="2:12" ht="33" customHeight="1" x14ac:dyDescent="0.25">
      <c r="B6" s="5" t="s">
        <v>20</v>
      </c>
      <c r="C6">
        <f>C5-(D5/E5)</f>
        <v>3.3535353535353534</v>
      </c>
      <c r="D6">
        <f t="shared" ref="D6:D14" si="1">C6-(C6^1/3)-2</f>
        <v>0.23569023569023528</v>
      </c>
      <c r="E6">
        <f t="shared" si="0"/>
        <v>1.0530299635178835</v>
      </c>
      <c r="H6" s="5" t="s">
        <v>20</v>
      </c>
      <c r="I6">
        <f>I5-(J5/K5)</f>
        <v>0.8881364757099055</v>
      </c>
      <c r="J6">
        <f t="shared" ref="J6:J14" si="2">I6*TAN(I6)-1</f>
        <v>9.2324625844214969E-2</v>
      </c>
      <c r="K6">
        <f t="shared" ref="K6:K14" si="3">I6*((_xlfn.SEC(I6))^2)+TAN(I6)</f>
        <v>3.4614996654641317</v>
      </c>
    </row>
    <row r="7" spans="2:12" x14ac:dyDescent="0.25">
      <c r="C7">
        <f t="shared" ref="C7:C14" si="4">C6-(D6/E6)</f>
        <v>3.1297143381267709</v>
      </c>
      <c r="D7">
        <f t="shared" si="1"/>
        <v>8.6476225417847274E-2</v>
      </c>
      <c r="E7">
        <f t="shared" si="0"/>
        <v>1.0652402921421507</v>
      </c>
      <c r="I7">
        <f t="shared" ref="I7:I14" si="5">I6-(J6-K6)</f>
        <v>4.257311515329822</v>
      </c>
      <c r="J7">
        <f t="shared" si="2"/>
        <v>7.7002379303536266</v>
      </c>
      <c r="K7">
        <f t="shared" si="3"/>
        <v>24.080708903852695</v>
      </c>
    </row>
    <row r="8" spans="2:12" x14ac:dyDescent="0.25">
      <c r="C8">
        <f t="shared" si="4"/>
        <v>3.048534320758157</v>
      </c>
      <c r="D8">
        <f t="shared" si="1"/>
        <v>3.235621383877163E-2</v>
      </c>
      <c r="E8">
        <f t="shared" si="0"/>
        <v>1.0705922020536998</v>
      </c>
      <c r="I8">
        <f t="shared" si="5"/>
        <v>20.63778248882889</v>
      </c>
      <c r="J8">
        <f t="shared" si="2"/>
        <v>-94.416304365351323</v>
      </c>
      <c r="K8">
        <f t="shared" si="3"/>
        <v>438.95741647022692</v>
      </c>
    </row>
    <row r="9" spans="2:12" x14ac:dyDescent="0.25">
      <c r="C9">
        <f t="shared" si="4"/>
        <v>3.018311595637702</v>
      </c>
      <c r="D9">
        <f t="shared" si="1"/>
        <v>1.2207730425134677E-2</v>
      </c>
      <c r="E9">
        <f t="shared" si="0"/>
        <v>1.0727340514002213</v>
      </c>
      <c r="I9">
        <f t="shared" si="5"/>
        <v>554.01150332440716</v>
      </c>
      <c r="J9">
        <f t="shared" si="2"/>
        <v>1064.19660829292</v>
      </c>
      <c r="K9">
        <f t="shared" si="3"/>
        <v>2603.9852026286385</v>
      </c>
    </row>
    <row r="10" spans="2:12" x14ac:dyDescent="0.25">
      <c r="C10">
        <f t="shared" si="4"/>
        <v>3.0069315798647338</v>
      </c>
      <c r="D10">
        <f t="shared" si="1"/>
        <v>4.6210532431558704E-3</v>
      </c>
      <c r="E10">
        <f t="shared" si="0"/>
        <v>1.0735629872898347</v>
      </c>
      <c r="I10">
        <f t="shared" si="5"/>
        <v>2093.8000976601256</v>
      </c>
      <c r="J10">
        <f t="shared" si="2"/>
        <v>29271.631182002762</v>
      </c>
      <c r="K10">
        <f t="shared" si="3"/>
        <v>411357.42077776598</v>
      </c>
    </row>
    <row r="11" spans="2:12" x14ac:dyDescent="0.25">
      <c r="C11">
        <f t="shared" si="4"/>
        <v>3.0026271717416284</v>
      </c>
      <c r="D11">
        <f t="shared" si="1"/>
        <v>1.7514478277522727E-3</v>
      </c>
      <c r="E11">
        <f t="shared" si="0"/>
        <v>1.0738798091041157</v>
      </c>
      <c r="I11">
        <f t="shared" si="5"/>
        <v>384179.5896934233</v>
      </c>
      <c r="J11">
        <f t="shared" si="2"/>
        <v>213518.95447671684</v>
      </c>
      <c r="K11">
        <f t="shared" si="3"/>
        <v>502850.61153525393</v>
      </c>
    </row>
    <row r="12" spans="2:12" x14ac:dyDescent="0.25">
      <c r="C12">
        <f t="shared" si="4"/>
        <v>3.0009962184329768</v>
      </c>
      <c r="D12">
        <f t="shared" si="1"/>
        <v>6.6414562198424676E-4</v>
      </c>
      <c r="E12">
        <f t="shared" si="0"/>
        <v>1.0740003290988986</v>
      </c>
      <c r="I12">
        <f t="shared" si="5"/>
        <v>673511.24675196037</v>
      </c>
      <c r="J12">
        <f t="shared" si="2"/>
        <v>858758.50642638246</v>
      </c>
      <c r="K12">
        <f t="shared" si="3"/>
        <v>1768472.544270996</v>
      </c>
    </row>
    <row r="13" spans="2:12" x14ac:dyDescent="0.25">
      <c r="C13">
        <f t="shared" si="4"/>
        <v>3.0003778334995741</v>
      </c>
      <c r="D13">
        <f t="shared" si="1"/>
        <v>2.518889997160656E-4</v>
      </c>
      <c r="E13">
        <f t="shared" si="0"/>
        <v>1.0740460934557448</v>
      </c>
      <c r="I13">
        <f t="shared" si="5"/>
        <v>1583225.284596574</v>
      </c>
      <c r="J13">
        <f t="shared" si="2"/>
        <v>1687483.7369009655</v>
      </c>
      <c r="K13">
        <f t="shared" si="3"/>
        <v>3381836.2924318011</v>
      </c>
    </row>
    <row r="14" spans="2:12" x14ac:dyDescent="0.25">
      <c r="C14">
        <f t="shared" si="4"/>
        <v>3.0001433100454591</v>
      </c>
      <c r="D14">
        <f t="shared" si="1"/>
        <v>9.5540030305762969E-5</v>
      </c>
      <c r="E14">
        <f t="shared" si="0"/>
        <v>1.0740634595292813</v>
      </c>
      <c r="I14">
        <f t="shared" si="5"/>
        <v>3277577.8401274094</v>
      </c>
      <c r="J14">
        <f t="shared" si="2"/>
        <v>14502333.76933554</v>
      </c>
      <c r="K14">
        <f t="shared" si="3"/>
        <v>67446222.651332736</v>
      </c>
    </row>
    <row r="17" spans="2:12" ht="15.75" thickBot="1" x14ac:dyDescent="0.3">
      <c r="B17" s="1" t="s">
        <v>4</v>
      </c>
      <c r="C17" s="1"/>
      <c r="D17" s="2" t="s">
        <v>18</v>
      </c>
      <c r="E17" s="1"/>
      <c r="F17" s="1"/>
      <c r="H17" s="1" t="s">
        <v>5</v>
      </c>
      <c r="I17" s="14" t="s">
        <v>19</v>
      </c>
      <c r="J17" s="14"/>
      <c r="K17" s="1"/>
      <c r="L17" s="1"/>
    </row>
    <row r="19" spans="2:12" x14ac:dyDescent="0.25">
      <c r="C19" t="s">
        <v>6</v>
      </c>
      <c r="D19" t="s">
        <v>7</v>
      </c>
      <c r="E19" t="s">
        <v>8</v>
      </c>
      <c r="I19" t="s">
        <v>6</v>
      </c>
      <c r="J19" t="s">
        <v>7</v>
      </c>
      <c r="K19" t="s">
        <v>8</v>
      </c>
    </row>
    <row r="20" spans="2:12" x14ac:dyDescent="0.25">
      <c r="B20" t="s">
        <v>17</v>
      </c>
      <c r="C20">
        <v>2</v>
      </c>
      <c r="D20">
        <f>C20^4-EXP(C20)+1</f>
        <v>9.6109439010693496</v>
      </c>
      <c r="E20">
        <f>(4*C20^3)-EXP(C20)</f>
        <v>24.610943901069348</v>
      </c>
      <c r="H20" t="s">
        <v>17</v>
      </c>
      <c r="I20">
        <v>3</v>
      </c>
      <c r="J20">
        <f>I20^2*EXP(I20)-1</f>
        <v>179.76983230868902</v>
      </c>
      <c r="K20">
        <f>J20^2*EXP(J20)-1</f>
        <v>3.8236647817577397E+82</v>
      </c>
    </row>
    <row r="21" spans="2:12" ht="30" x14ac:dyDescent="0.25">
      <c r="B21" s="5" t="s">
        <v>20</v>
      </c>
      <c r="C21">
        <f>C20-(D20/E20)</f>
        <v>1.609484953535173</v>
      </c>
      <c r="D21">
        <f t="shared" ref="D21:D30" si="6">C21^4-EXP(C21)+1</f>
        <v>2.7101535892621529</v>
      </c>
      <c r="E21">
        <f t="shared" ref="E21:E30" si="7">(4*C21^3)-EXP(C21)</f>
        <v>11.67687329018981</v>
      </c>
      <c r="H21" s="5" t="s">
        <v>20</v>
      </c>
      <c r="I21">
        <f>I20-(J20/K20)</f>
        <v>3</v>
      </c>
      <c r="J21">
        <f t="shared" ref="J21:K30" si="8">I21^2*EXP(I21)-1</f>
        <v>179.76983230868902</v>
      </c>
      <c r="K21">
        <f t="shared" si="8"/>
        <v>3.8236647817577397E+82</v>
      </c>
    </row>
    <row r="22" spans="2:12" x14ac:dyDescent="0.25">
      <c r="C22">
        <f t="shared" ref="C22:C30" si="9">C21-(D21/E21)</f>
        <v>1.377389124291307</v>
      </c>
      <c r="D22">
        <f t="shared" si="6"/>
        <v>0.63483368503445492</v>
      </c>
      <c r="E22">
        <f t="shared" si="7"/>
        <v>6.4881978030937351</v>
      </c>
      <c r="I22">
        <f t="shared" ref="I22:I30" si="10">I21-(J21/K21)</f>
        <v>3</v>
      </c>
      <c r="J22">
        <f t="shared" si="8"/>
        <v>179.76983230868902</v>
      </c>
      <c r="K22">
        <f t="shared" si="8"/>
        <v>3.8236647817577397E+82</v>
      </c>
    </row>
    <row r="23" spans="2:12" x14ac:dyDescent="0.25">
      <c r="C23">
        <f t="shared" si="9"/>
        <v>1.2795447452664026</v>
      </c>
      <c r="D23">
        <f t="shared" si="6"/>
        <v>8.5534932467844271E-2</v>
      </c>
      <c r="E23">
        <f t="shared" si="7"/>
        <v>4.7846577998550615</v>
      </c>
      <c r="I23">
        <f t="shared" si="10"/>
        <v>3</v>
      </c>
      <c r="J23">
        <f t="shared" si="8"/>
        <v>179.76983230868902</v>
      </c>
      <c r="K23">
        <f t="shared" si="8"/>
        <v>3.8236647817577397E+82</v>
      </c>
    </row>
    <row r="24" spans="2:12" x14ac:dyDescent="0.25">
      <c r="C24">
        <f t="shared" si="9"/>
        <v>1.2616678278261553</v>
      </c>
      <c r="D24">
        <f t="shared" si="6"/>
        <v>2.5392219024138463E-3</v>
      </c>
      <c r="E24">
        <f t="shared" si="7"/>
        <v>4.5020140091899936</v>
      </c>
      <c r="I24">
        <f t="shared" si="10"/>
        <v>3</v>
      </c>
      <c r="J24">
        <f t="shared" si="8"/>
        <v>179.76983230868902</v>
      </c>
      <c r="K24">
        <f t="shared" si="8"/>
        <v>3.8236647817577397E+82</v>
      </c>
    </row>
    <row r="25" spans="2:12" x14ac:dyDescent="0.25">
      <c r="C25">
        <f t="shared" si="9"/>
        <v>1.2611038087233204</v>
      </c>
      <c r="D25">
        <f t="shared" si="6"/>
        <v>2.4758029328886266E-6</v>
      </c>
      <c r="E25">
        <f t="shared" si="7"/>
        <v>4.4932362814193203</v>
      </c>
      <c r="I25">
        <f t="shared" si="10"/>
        <v>3</v>
      </c>
      <c r="J25">
        <f t="shared" si="8"/>
        <v>179.76983230868902</v>
      </c>
      <c r="K25">
        <f t="shared" si="8"/>
        <v>3.8236647817577397E+82</v>
      </c>
    </row>
    <row r="26" spans="2:12" x14ac:dyDescent="0.25">
      <c r="C26">
        <f t="shared" si="9"/>
        <v>1.2611032577167012</v>
      </c>
      <c r="D26">
        <f t="shared" si="6"/>
        <v>2.361666417982633E-12</v>
      </c>
      <c r="E26">
        <f t="shared" si="7"/>
        <v>4.4932277103618139</v>
      </c>
      <c r="I26">
        <f t="shared" si="10"/>
        <v>3</v>
      </c>
      <c r="J26">
        <f t="shared" si="8"/>
        <v>179.76983230868902</v>
      </c>
      <c r="K26">
        <f t="shared" si="8"/>
        <v>3.8236647817577397E+82</v>
      </c>
    </row>
    <row r="27" spans="2:12" x14ac:dyDescent="0.25">
      <c r="C27">
        <f t="shared" si="9"/>
        <v>1.2611032577161756</v>
      </c>
      <c r="D27">
        <f t="shared" si="6"/>
        <v>0</v>
      </c>
      <c r="E27">
        <f t="shared" si="7"/>
        <v>4.4932277103536382</v>
      </c>
      <c r="I27">
        <f t="shared" si="10"/>
        <v>3</v>
      </c>
      <c r="J27">
        <f t="shared" si="8"/>
        <v>179.76983230868902</v>
      </c>
      <c r="K27">
        <f t="shared" si="8"/>
        <v>3.8236647817577397E+82</v>
      </c>
    </row>
    <row r="28" spans="2:12" x14ac:dyDescent="0.25">
      <c r="C28">
        <f t="shared" si="9"/>
        <v>1.2611032577161756</v>
      </c>
      <c r="D28">
        <f t="shared" si="6"/>
        <v>0</v>
      </c>
      <c r="E28">
        <f t="shared" si="7"/>
        <v>4.4932277103536382</v>
      </c>
      <c r="I28">
        <f t="shared" si="10"/>
        <v>3</v>
      </c>
      <c r="J28">
        <f t="shared" si="8"/>
        <v>179.76983230868902</v>
      </c>
      <c r="K28">
        <f t="shared" si="8"/>
        <v>3.8236647817577397E+82</v>
      </c>
    </row>
    <row r="29" spans="2:12" x14ac:dyDescent="0.25">
      <c r="C29">
        <f t="shared" si="9"/>
        <v>1.2611032577161756</v>
      </c>
      <c r="D29">
        <f t="shared" si="6"/>
        <v>0</v>
      </c>
      <c r="E29">
        <f t="shared" si="7"/>
        <v>4.4932277103536382</v>
      </c>
      <c r="I29">
        <f t="shared" si="10"/>
        <v>3</v>
      </c>
      <c r="J29">
        <f t="shared" si="8"/>
        <v>179.76983230868902</v>
      </c>
      <c r="K29">
        <f t="shared" si="8"/>
        <v>3.8236647817577397E+82</v>
      </c>
    </row>
    <row r="30" spans="2:12" x14ac:dyDescent="0.25">
      <c r="C30">
        <f t="shared" si="9"/>
        <v>1.2611032577161756</v>
      </c>
      <c r="D30">
        <f t="shared" si="6"/>
        <v>0</v>
      </c>
      <c r="E30">
        <f t="shared" si="7"/>
        <v>4.4932277103536382</v>
      </c>
      <c r="I30">
        <f t="shared" si="10"/>
        <v>3</v>
      </c>
      <c r="J30">
        <f t="shared" si="8"/>
        <v>179.76983230868902</v>
      </c>
      <c r="K30">
        <f t="shared" si="8"/>
        <v>3.8236647817577397E+82</v>
      </c>
    </row>
  </sheetData>
  <mergeCells count="2">
    <mergeCell ref="J2:K2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Exercise 1.2</vt:lpstr>
      <vt:lpstr>Exercise 1.3</vt:lpstr>
      <vt:lpstr>Exercise 1.4</vt:lpstr>
      <vt:lpstr>Exercise 1.6</vt:lpstr>
      <vt:lpstr>a</vt:lpstr>
      <vt:lpstr>b</vt:lpstr>
      <vt:lpstr>constant</vt:lpstr>
      <vt:lpstr>ed</vt:lpstr>
      <vt:lpstr>nre</vt:lpstr>
      <vt:lpstr>P</vt:lpstr>
      <vt:lpstr>Pc</vt:lpstr>
      <vt:lpstr>T</vt:lpstr>
      <vt:lpstr>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</dc:creator>
  <cp:lastModifiedBy>Renata</cp:lastModifiedBy>
  <dcterms:created xsi:type="dcterms:W3CDTF">2020-01-30T16:19:02Z</dcterms:created>
  <dcterms:modified xsi:type="dcterms:W3CDTF">2020-02-04T05:13:41Z</dcterms:modified>
</cp:coreProperties>
</file>