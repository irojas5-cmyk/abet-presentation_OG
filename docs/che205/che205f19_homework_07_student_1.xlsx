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weak/hw7/"/>
    </mc:Choice>
  </mc:AlternateContent>
  <xr:revisionPtr revIDLastSave="0" documentId="13_ncr:1_{709CF005-F8E8-1948-8EB0-3A4731C40367}" xr6:coauthVersionLast="41" xr6:coauthVersionMax="45" xr10:uidLastSave="{00000000-0000-0000-0000-000000000000}"/>
  <bookViews>
    <workbookView xWindow="-24320" yWindow="-1240" windowWidth="24680" windowHeight="15240" xr2:uid="{A065A440-803F-46E1-A237-A79DC8015FB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0" i="1" l="1"/>
  <c r="I19" i="1"/>
  <c r="H18" i="1"/>
  <c r="G17" i="1"/>
  <c r="F16" i="1"/>
  <c r="E15" i="1"/>
  <c r="D14" i="1"/>
  <c r="C13" i="1"/>
  <c r="B12" i="1"/>
  <c r="M12" i="1"/>
  <c r="A19" i="1"/>
  <c r="A20" i="1" s="1"/>
  <c r="A21" i="1" s="1"/>
  <c r="A13" i="1"/>
  <c r="A14" i="1" s="1"/>
  <c r="A15" i="1" s="1"/>
  <c r="A16" i="1" s="1"/>
  <c r="A17" i="1" s="1"/>
  <c r="A18" i="1" s="1"/>
  <c r="A12" i="1"/>
  <c r="E1" i="1"/>
  <c r="B1" i="1"/>
  <c r="L12" i="1" a="1"/>
  <c r="L12" i="1" l="1"/>
  <c r="L16" i="1"/>
  <c r="L20" i="1"/>
  <c r="L18" i="1"/>
  <c r="L19" i="1"/>
  <c r="L13" i="1"/>
  <c r="L17" i="1"/>
  <c r="L21" i="1"/>
  <c r="L14" i="1"/>
  <c r="L15" i="1"/>
</calcChain>
</file>

<file path=xl/sharedStrings.xml><?xml version="1.0" encoding="utf-8"?>
<sst xmlns="http://schemas.openxmlformats.org/spreadsheetml/2006/main" count="13" uniqueCount="12">
  <si>
    <t>x=</t>
  </si>
  <si>
    <t>k</t>
  </si>
  <si>
    <t>b</t>
  </si>
  <si>
    <t>A =</t>
  </si>
  <si>
    <t>T=A^(-1) B</t>
  </si>
  <si>
    <t>B=</t>
  </si>
  <si>
    <t>D(a)</t>
  </si>
  <si>
    <t>dCa(L)/dx</t>
  </si>
  <si>
    <t>Ca(0)</t>
  </si>
  <si>
    <t>Ca0</t>
  </si>
  <si>
    <t>L</t>
  </si>
  <si>
    <r>
      <rPr>
        <b/>
        <sz val="18"/>
        <rFont val="Calibri"/>
        <family val="2"/>
      </rPr>
      <t>Δ</t>
    </r>
    <r>
      <rPr>
        <b/>
        <sz val="18"/>
        <rFont val="Arial"/>
        <family val="2"/>
      </rPr>
      <t>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</si>
</sst>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6">
    <font>
      <sz val="11"/>
      <color theme="1"/>
      <name val="等线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b/>
      <sz val="18"/>
      <name val="Calibri"/>
      <family val="2"/>
    </font>
    <font>
      <sz val="18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76" fontId="1" fillId="0" borderId="0" xfId="0" applyNumberFormat="1" applyFont="1"/>
    <xf numFmtId="176" fontId="2" fillId="0" borderId="0" xfId="0" applyNumberFormat="1" applyFont="1"/>
    <xf numFmtId="0" fontId="2" fillId="0" borderId="0" xfId="0" applyFont="1"/>
    <xf numFmtId="176" fontId="1" fillId="0" borderId="0" xfId="0" quotePrefix="1" applyNumberFormat="1" applyFont="1"/>
    <xf numFmtId="0" fontId="4" fillId="0" borderId="0" xfId="0" applyFont="1"/>
    <xf numFmtId="0" fontId="2" fillId="2" borderId="1" xfId="0" applyFont="1" applyFill="1" applyBorder="1"/>
    <xf numFmtId="0" fontId="1" fillId="0" borderId="1" xfId="0" applyFont="1" applyBorder="1"/>
    <xf numFmtId="176" fontId="1" fillId="0" borderId="1" xfId="0" applyNumberFormat="1" applyFont="1" applyBorder="1" applyAlignment="1">
      <alignment horizontal="center"/>
    </xf>
    <xf numFmtId="176" fontId="1" fillId="0" borderId="1" xfId="0" applyNumberFormat="1" applyFont="1" applyBorder="1"/>
    <xf numFmtId="177" fontId="2" fillId="0" borderId="1" xfId="0" applyNumberFormat="1" applyFont="1" applyBorder="1"/>
    <xf numFmtId="0" fontId="2" fillId="0" borderId="1" xfId="0" applyFont="1" applyBorder="1"/>
    <xf numFmtId="177" fontId="4" fillId="0" borderId="1" xfId="0" applyNumberFormat="1" applyFont="1" applyBorder="1"/>
    <xf numFmtId="176" fontId="4" fillId="0" borderId="1" xfId="0" applyNumberFormat="1" applyFont="1" applyBorder="1"/>
    <xf numFmtId="0" fontId="4" fillId="0" borderId="1" xfId="0" applyFont="1" applyBorder="1"/>
    <xf numFmtId="17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599516644577843E-2"/>
          <c:y val="0.17171296296296298"/>
          <c:w val="0.94332132740833141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Sheet1!$A$11:$A$21</c:f>
              <c:numCache>
                <c:formatCode>0.0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Sheet1!$L$11:$L$21</c:f>
              <c:numCache>
                <c:formatCode>General</c:formatCode>
                <c:ptCount val="11"/>
                <c:pt idx="0">
                  <c:v>1</c:v>
                </c:pt>
                <c:pt idx="1">
                  <c:v>0.73100007503021536</c:v>
                </c:pt>
                <c:pt idx="2">
                  <c:v>0.53510015756345242</c:v>
                </c:pt>
                <c:pt idx="3">
                  <c:v>0.3927102558530346</c:v>
                </c:pt>
                <c:pt idx="4">
                  <c:v>0.28959137972792054</c:v>
                </c:pt>
                <c:pt idx="5">
                  <c:v>0.21543164157559841</c:v>
                </c:pt>
                <c:pt idx="6">
                  <c:v>0.16281506758083622</c:v>
                </c:pt>
                <c:pt idx="7">
                  <c:v>0.12648000034415768</c:v>
                </c:pt>
                <c:pt idx="8">
                  <c:v>0.10279293314189492</c:v>
                </c:pt>
                <c:pt idx="9">
                  <c:v>8.9385159253821636E-2</c:v>
                </c:pt>
                <c:pt idx="10">
                  <c:v>8.4915901291130552E-2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B0-4020-AE1E-13CBD4777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114320"/>
        <c:axId val="515116240"/>
      </c:scatterChart>
      <c:valAx>
        <c:axId val="51511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16240"/>
        <c:crosses val="autoZero"/>
        <c:crossBetween val="midCat"/>
      </c:valAx>
      <c:valAx>
        <c:axId val="51511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11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292101</xdr:colOff>
      <xdr:row>0</xdr:row>
      <xdr:rowOff>152400</xdr:rowOff>
    </xdr:from>
    <xdr:to>
      <xdr:col>12</xdr:col>
      <xdr:colOff>431800</xdr:colOff>
      <xdr:row>8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3BD48C-B361-4114-A2E9-CE1E646CE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211436</xdr:colOff>
      <xdr:row>26</xdr:row>
      <xdr:rowOff>83635</xdr:rowOff>
    </xdr:from>
    <xdr:ext cx="3984039" cy="875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2FCD8A4-000E-3A4D-84F4-431B863DD426}"/>
            </a:ext>
          </a:extLst>
        </xdr:cNvPr>
        <xdr:cNvSpPr/>
      </xdr:nvSpPr>
      <xdr:spPr>
        <a:xfrm>
          <a:off x="5850236" y="7297235"/>
          <a:ext cx="3984039" cy="875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6/12</a:t>
          </a:r>
        </a:p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where is the other problem?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27jos/Downloads/matrix_v23(1)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WorkArea"/>
      <sheetName val="CommandBarMenu"/>
      <sheetName val="Functions"/>
      <sheetName val="matrix_v23(1)"/>
    </sheetNames>
    <definedNames>
      <definedName name="syslin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58CC-C59C-4F86-A632-098DA59913A3}">
  <dimension ref="A1:M22"/>
  <sheetViews>
    <sheetView tabSelected="1" topLeftCell="A12" workbookViewId="0">
      <selection activeCell="K27" sqref="K27"/>
    </sheetView>
  </sheetViews>
  <sheetFormatPr baseColWidth="10" defaultColWidth="8.83203125" defaultRowHeight="15"/>
  <cols>
    <col min="1" max="1" width="16.83203125" customWidth="1"/>
    <col min="2" max="2" width="13.5" customWidth="1"/>
    <col min="3" max="3" width="11.5" customWidth="1"/>
    <col min="4" max="4" width="14.83203125" customWidth="1"/>
    <col min="5" max="5" width="17.33203125" customWidth="1"/>
    <col min="6" max="6" width="12.33203125" customWidth="1"/>
    <col min="7" max="7" width="12.6640625" customWidth="1"/>
    <col min="8" max="8" width="12.33203125" customWidth="1"/>
    <col min="9" max="9" width="12.1640625" customWidth="1"/>
    <col min="10" max="10" width="13.6640625" customWidth="1"/>
    <col min="12" max="12" width="19.1640625" customWidth="1"/>
    <col min="13" max="13" width="12.1640625" customWidth="1"/>
  </cols>
  <sheetData>
    <row r="1" spans="1:13" ht="23">
      <c r="A1" s="4" t="s">
        <v>6</v>
      </c>
      <c r="B1" s="2">
        <f>1*10^-3</f>
        <v>1E-3</v>
      </c>
      <c r="C1" s="1"/>
      <c r="D1" s="1" t="s">
        <v>2</v>
      </c>
      <c r="E1" s="2">
        <f>2+(B5*B7*B7/B1)</f>
        <v>2.1</v>
      </c>
      <c r="F1" s="2"/>
      <c r="G1" s="2"/>
      <c r="H1" s="2"/>
      <c r="I1" s="2"/>
      <c r="J1" s="2"/>
      <c r="K1" s="2"/>
      <c r="L1" s="2"/>
      <c r="M1" s="3"/>
    </row>
    <row r="2" spans="1:13" ht="23">
      <c r="A2" s="1" t="s">
        <v>7</v>
      </c>
      <c r="B2" s="2">
        <v>0</v>
      </c>
      <c r="C2" s="1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 ht="23">
      <c r="A3" s="1" t="s">
        <v>8</v>
      </c>
      <c r="B3" s="2" t="s">
        <v>9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 ht="23">
      <c r="A4" s="1" t="s">
        <v>9</v>
      </c>
      <c r="B4" s="2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ht="23">
      <c r="A5" s="1" t="s">
        <v>1</v>
      </c>
      <c r="B5" s="2">
        <v>0.01</v>
      </c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 spans="1:13" ht="23">
      <c r="A6" s="1" t="s">
        <v>10</v>
      </c>
      <c r="B6" s="2">
        <v>1</v>
      </c>
      <c r="C6" s="1"/>
      <c r="D6" s="2"/>
      <c r="E6" s="2"/>
      <c r="F6" s="2"/>
      <c r="G6" s="2"/>
      <c r="H6" s="2"/>
      <c r="I6" s="2"/>
      <c r="J6" s="2"/>
      <c r="K6" s="2"/>
      <c r="L6" s="2"/>
      <c r="M6" s="3"/>
    </row>
    <row r="7" spans="1:13" ht="24">
      <c r="A7" s="1" t="s">
        <v>11</v>
      </c>
      <c r="B7" s="2">
        <v>0.1</v>
      </c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spans="1:13" ht="2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</row>
    <row r="9" spans="1:13" ht="23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</row>
    <row r="10" spans="1:13" ht="23">
      <c r="A10" s="7" t="s">
        <v>0</v>
      </c>
      <c r="B10" s="15" t="s">
        <v>3</v>
      </c>
      <c r="C10" s="15"/>
      <c r="D10" s="15"/>
      <c r="E10" s="15"/>
      <c r="F10" s="15"/>
      <c r="G10" s="15"/>
      <c r="H10" s="15"/>
      <c r="I10" s="15"/>
      <c r="J10" s="15"/>
      <c r="K10" s="8"/>
      <c r="L10" s="9" t="s">
        <v>4</v>
      </c>
      <c r="M10" s="9" t="s">
        <v>5</v>
      </c>
    </row>
    <row r="11" spans="1:13" ht="23">
      <c r="A11" s="10">
        <v>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11">
        <v>1</v>
      </c>
      <c r="M11" s="6"/>
    </row>
    <row r="12" spans="1:13" ht="24" customHeight="1">
      <c r="A12" s="12">
        <f>A11+$B$7</f>
        <v>0.1</v>
      </c>
      <c r="B12" s="13">
        <f>-$E$1</f>
        <v>-2.1</v>
      </c>
      <c r="C12" s="14">
        <v>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f t="array" ref="L12:L21">[1]!syslin(B12:K21,M12:M21)</f>
        <v>0.73100007503021536</v>
      </c>
      <c r="M12" s="13">
        <f>-B4</f>
        <v>-1</v>
      </c>
    </row>
    <row r="13" spans="1:13" ht="23">
      <c r="A13" s="12">
        <f t="shared" ref="A13:A21" si="0">A12+$B$7</f>
        <v>0.2</v>
      </c>
      <c r="B13" s="14">
        <v>1</v>
      </c>
      <c r="C13" s="13">
        <f>-$E$1</f>
        <v>-2.1</v>
      </c>
      <c r="D13" s="14">
        <v>1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0.53510015756345242</v>
      </c>
      <c r="M13" s="14">
        <v>0</v>
      </c>
    </row>
    <row r="14" spans="1:13" ht="23">
      <c r="A14" s="12">
        <f t="shared" si="0"/>
        <v>0.30000000000000004</v>
      </c>
      <c r="B14" s="14">
        <v>0</v>
      </c>
      <c r="C14" s="14">
        <v>1</v>
      </c>
      <c r="D14" s="13">
        <f>-$E$1</f>
        <v>-2.1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0.3927102558530346</v>
      </c>
      <c r="M14" s="14">
        <v>0</v>
      </c>
    </row>
    <row r="15" spans="1:13" ht="23">
      <c r="A15" s="12">
        <f t="shared" si="0"/>
        <v>0.4</v>
      </c>
      <c r="B15" s="14">
        <v>0</v>
      </c>
      <c r="C15" s="14">
        <v>0</v>
      </c>
      <c r="D15" s="14">
        <v>1</v>
      </c>
      <c r="E15" s="13">
        <f>-$E$1</f>
        <v>-2.1</v>
      </c>
      <c r="F15" s="14">
        <v>1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0.28959137972792054</v>
      </c>
      <c r="M15" s="14">
        <v>0</v>
      </c>
    </row>
    <row r="16" spans="1:13" ht="23">
      <c r="A16" s="12">
        <f t="shared" si="0"/>
        <v>0.5</v>
      </c>
      <c r="B16" s="14">
        <v>0</v>
      </c>
      <c r="C16" s="14">
        <v>0</v>
      </c>
      <c r="D16" s="14">
        <v>0</v>
      </c>
      <c r="E16" s="14">
        <v>1</v>
      </c>
      <c r="F16" s="13">
        <f>-$E$1</f>
        <v>-2.1</v>
      </c>
      <c r="G16" s="14">
        <v>1</v>
      </c>
      <c r="H16" s="14">
        <v>0</v>
      </c>
      <c r="I16" s="14">
        <v>0</v>
      </c>
      <c r="J16" s="14">
        <v>0</v>
      </c>
      <c r="K16" s="14">
        <v>0</v>
      </c>
      <c r="L16" s="14">
        <v>0.21543164157559841</v>
      </c>
      <c r="M16" s="14">
        <v>0</v>
      </c>
    </row>
    <row r="17" spans="1:13" ht="23">
      <c r="A17" s="12">
        <f t="shared" si="0"/>
        <v>0.6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3">
        <f>-$E$1</f>
        <v>-2.1</v>
      </c>
      <c r="H17" s="14">
        <v>1</v>
      </c>
      <c r="I17" s="14">
        <v>0</v>
      </c>
      <c r="J17" s="14">
        <v>0</v>
      </c>
      <c r="K17" s="14">
        <v>0</v>
      </c>
      <c r="L17" s="14">
        <v>0.16281506758083622</v>
      </c>
      <c r="M17" s="14">
        <v>0</v>
      </c>
    </row>
    <row r="18" spans="1:13" ht="23">
      <c r="A18" s="12">
        <f t="shared" si="0"/>
        <v>0.7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1</v>
      </c>
      <c r="H18" s="13">
        <f>-$E$1</f>
        <v>-2.1</v>
      </c>
      <c r="I18" s="14">
        <v>1</v>
      </c>
      <c r="J18" s="14">
        <v>0</v>
      </c>
      <c r="K18" s="14">
        <v>0</v>
      </c>
      <c r="L18" s="14">
        <v>0.12648000034415768</v>
      </c>
      <c r="M18" s="14">
        <v>0</v>
      </c>
    </row>
    <row r="19" spans="1:13" ht="23">
      <c r="A19" s="12">
        <f>A18+$B$7</f>
        <v>0.79999999999999993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1</v>
      </c>
      <c r="I19" s="13">
        <f>-$E$1</f>
        <v>-2.1</v>
      </c>
      <c r="J19" s="14">
        <v>1</v>
      </c>
      <c r="K19" s="14">
        <v>0</v>
      </c>
      <c r="L19" s="14">
        <v>0.10279293314189492</v>
      </c>
      <c r="M19" s="14">
        <v>0</v>
      </c>
    </row>
    <row r="20" spans="1:13" ht="23">
      <c r="A20" s="12">
        <f t="shared" si="0"/>
        <v>0.89999999999999991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1</v>
      </c>
      <c r="J20" s="13">
        <f>-$E$1</f>
        <v>-2.1</v>
      </c>
      <c r="K20" s="14">
        <v>1</v>
      </c>
      <c r="L20" s="14">
        <v>8.9385159253821636E-2</v>
      </c>
      <c r="M20" s="14">
        <v>0</v>
      </c>
    </row>
    <row r="21" spans="1:13" ht="23">
      <c r="A21" s="12">
        <f t="shared" si="0"/>
        <v>0.99999999999999989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1</v>
      </c>
      <c r="J21" s="14">
        <v>-4</v>
      </c>
      <c r="K21" s="14">
        <v>3</v>
      </c>
      <c r="L21" s="14">
        <v>8.4915901291130552E-2</v>
      </c>
      <c r="M21" s="14">
        <v>0</v>
      </c>
    </row>
    <row r="22" spans="1:13" ht="23">
      <c r="L22" s="5"/>
    </row>
  </sheetData>
  <mergeCells count="1">
    <mergeCell ref="B10:J10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27jos</dc:creator>
  <cp:lastModifiedBy>Zhen Luo</cp:lastModifiedBy>
  <dcterms:created xsi:type="dcterms:W3CDTF">2019-10-31T19:54:34Z</dcterms:created>
  <dcterms:modified xsi:type="dcterms:W3CDTF">2020-05-13T00:54:40Z</dcterms:modified>
</cp:coreProperties>
</file>