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0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32cef6a871318d33/Documents/PhD/Year 2/CHE 205/"/>
    </mc:Choice>
  </mc:AlternateContent>
  <xr:revisionPtr revIDLastSave="1" documentId="8_{AA9D6184-7D3D-DE40-AF43-855C8493D0EF}" xr6:coauthVersionLast="45" xr6:coauthVersionMax="45" xr10:uidLastSave="{67A0E538-1383-D24A-9107-921A12FE6A55}"/>
  <bookViews>
    <workbookView xWindow="0" yWindow="0" windowWidth="28800" windowHeight="18000" xr2:uid="{00000000-000D-0000-FFFF-FFFF00000000}"/>
  </bookViews>
  <sheets>
    <sheet name="Sheet1" sheetId="1" r:id="rId1"/>
    <sheet name="Sheet2" sheetId="2" r:id="rId2"/>
    <sheet name="Sheet3" sheetId="3" r:id="rId3"/>
  </sheets>
  <externalReferences>
    <externalReference r:id="rId4"/>
    <externalReference r:id="rId5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6" i="1" l="1"/>
  <c r="H14" i="1" l="1"/>
  <c r="K7" i="1"/>
  <c r="K8" i="1" s="1"/>
  <c r="K9" i="1" s="1"/>
  <c r="K10" i="1" s="1"/>
  <c r="K11" i="1" s="1"/>
  <c r="K12" i="1" s="1"/>
  <c r="K13" i="1" s="1"/>
  <c r="K14" i="1" s="1"/>
  <c r="K15" i="1" s="1"/>
  <c r="D3" i="1"/>
  <c r="D4" i="1" s="1"/>
  <c r="H13" i="1" s="1"/>
  <c r="D2" i="1"/>
  <c r="I14" i="1" l="1"/>
  <c r="A6" i="1"/>
  <c r="B7" i="1"/>
  <c r="C8" i="1"/>
  <c r="D9" i="1"/>
  <c r="E10" i="1"/>
  <c r="F11" i="1"/>
  <c r="G12" i="1"/>
  <c r="L6" i="1" a="1"/>
  <c r="L13" i="1" l="1"/>
  <c r="L11" i="1"/>
  <c r="L9" i="1"/>
  <c r="L7" i="1"/>
  <c r="L14" i="1"/>
  <c r="L15" i="1" s="1"/>
  <c r="L12" i="1"/>
  <c r="L10" i="1"/>
  <c r="L8" i="1"/>
  <c r="L6" i="1"/>
</calcChain>
</file>

<file path=xl/sharedStrings.xml><?xml version="1.0" encoding="utf-8"?>
<sst xmlns="http://schemas.openxmlformats.org/spreadsheetml/2006/main" count="10" uniqueCount="10">
  <si>
    <t>k</t>
  </si>
  <si>
    <t>Dy</t>
  </si>
  <si>
    <t>CA0</t>
  </si>
  <si>
    <t>k/Da</t>
  </si>
  <si>
    <t>Da</t>
  </si>
  <si>
    <t>kL^2Dx^2/Da</t>
  </si>
  <si>
    <t>L</t>
  </si>
  <si>
    <t>2+alpha</t>
  </si>
  <si>
    <t>y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</si>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</sst>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Concentration of A by Finite Differences</a:t>
            </a:r>
          </a:p>
        </c:rich>
      </c:tx>
      <c:layout>
        <c:manualLayout>
          <c:xMode val="edge"/>
          <c:yMode val="edge"/>
          <c:x val="0.1992187531021557"/>
          <c:y val="3.64238677326459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464457752560158"/>
          <c:y val="0.23785195943389276"/>
          <c:w val="0.81543176726178912"/>
          <c:h val="0.53708506968943526"/>
        </c:manualLayout>
      </c:layout>
      <c:scatterChart>
        <c:scatterStyle val="smoothMarker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xVal>
            <c:numRef>
              <c:f>[2]LinRxnFD!$K$5:$K$15</c:f>
              <c:numCache>
                <c:formatCode>General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0.30000000000000004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0.79999999999999993</c:v>
                </c:pt>
                <c:pt idx="9">
                  <c:v>0.89999999999999991</c:v>
                </c:pt>
                <c:pt idx="10">
                  <c:v>0.99999999999999989</c:v>
                </c:pt>
              </c:numCache>
            </c:numRef>
          </c:xVal>
          <c:yVal>
            <c:numRef>
              <c:f>[2]LinRxnFD!$L$5:$L$15</c:f>
              <c:numCache>
                <c:formatCode>General</c:formatCode>
                <c:ptCount val="11"/>
                <c:pt idx="0">
                  <c:v>1</c:v>
                </c:pt>
                <c:pt idx="1">
                  <c:v>0.73100007503021536</c:v>
                </c:pt>
                <c:pt idx="2">
                  <c:v>0.53510015756345242</c:v>
                </c:pt>
                <c:pt idx="3">
                  <c:v>0.39271025585303465</c:v>
                </c:pt>
                <c:pt idx="4">
                  <c:v>0.28959137972792054</c:v>
                </c:pt>
                <c:pt idx="5">
                  <c:v>0.21543164157559841</c:v>
                </c:pt>
                <c:pt idx="6">
                  <c:v>0.16281506758083625</c:v>
                </c:pt>
                <c:pt idx="7">
                  <c:v>0.12648000034415771</c:v>
                </c:pt>
                <c:pt idx="8">
                  <c:v>0.10279293314189493</c:v>
                </c:pt>
                <c:pt idx="9">
                  <c:v>8.938515925382165E-2</c:v>
                </c:pt>
                <c:pt idx="10">
                  <c:v>8.4915901291130566E-2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59D-6041-AF26-4C1A35DE26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463744"/>
        <c:axId val="82326656"/>
      </c:scatterChart>
      <c:valAx>
        <c:axId val="82463744"/>
        <c:scaling>
          <c:orientation val="minMax"/>
          <c:max val="1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Distance, cm</a:t>
                </a:r>
              </a:p>
            </c:rich>
          </c:tx>
          <c:layout>
            <c:manualLayout>
              <c:xMode val="edge"/>
              <c:yMode val="edge"/>
              <c:x val="0.46093745656981983"/>
              <c:y val="0.8741721543119130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2326656"/>
        <c:crosses val="autoZero"/>
        <c:crossBetween val="midCat"/>
      </c:valAx>
      <c:valAx>
        <c:axId val="82326656"/>
        <c:scaling>
          <c:orientation val="minMax"/>
          <c:max val="1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Concentration, mole/l</a:t>
                </a:r>
              </a:p>
            </c:rich>
          </c:tx>
          <c:layout>
            <c:manualLayout>
              <c:xMode val="edge"/>
              <c:yMode val="edge"/>
              <c:x val="3.12500744517374E-2"/>
              <c:y val="0.264900551113975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2463744"/>
        <c:crosses val="autoZero"/>
        <c:crossBetween val="midCat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409575</xdr:colOff>
      <xdr:row>16</xdr:row>
      <xdr:rowOff>28575</xdr:rowOff>
    </xdr:from>
    <xdr:to>
      <xdr:col>8</xdr:col>
      <xdr:colOff>28575</xdr:colOff>
      <xdr:row>33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yusrakhalid/OneDrive/Documents/PhD/Year%202/CHE%20205/matrix.xla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CENG%20323/2010/In-Lab%20Exercises%202009/Ch6/DiffusionReaction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trix"/>
      <sheetName val="WorkArea"/>
      <sheetName val="CommandBarMenu"/>
      <sheetName val="Functions"/>
    </sheetNames>
    <definedNames>
      <definedName name="SysLin"/>
    </definedNames>
    <sheetDataSet>
      <sheetData sheetId="0"/>
      <sheetData sheetId="1"/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nlinRxnA"/>
      <sheetName val="NonlinRxnB"/>
      <sheetName val="LinRxnFD"/>
    </sheetNames>
    <sheetDataSet>
      <sheetData sheetId="0"/>
      <sheetData sheetId="1"/>
      <sheetData sheetId="2">
        <row r="5">
          <cell r="K5">
            <v>0</v>
          </cell>
          <cell r="L5">
            <v>1</v>
          </cell>
        </row>
        <row r="6">
          <cell r="K6">
            <v>0.1</v>
          </cell>
          <cell r="L6">
            <v>0.73100007503021536</v>
          </cell>
        </row>
        <row r="7">
          <cell r="K7">
            <v>0.2</v>
          </cell>
          <cell r="L7">
            <v>0.53510015756345242</v>
          </cell>
        </row>
        <row r="8">
          <cell r="K8">
            <v>0.30000000000000004</v>
          </cell>
          <cell r="L8">
            <v>0.39271025585303465</v>
          </cell>
        </row>
        <row r="9">
          <cell r="K9">
            <v>0.4</v>
          </cell>
          <cell r="L9">
            <v>0.28959137972792054</v>
          </cell>
        </row>
        <row r="10">
          <cell r="K10">
            <v>0.5</v>
          </cell>
          <cell r="L10">
            <v>0.21543164157559841</v>
          </cell>
        </row>
        <row r="11">
          <cell r="K11">
            <v>0.6</v>
          </cell>
          <cell r="L11">
            <v>0.16281506758083625</v>
          </cell>
        </row>
        <row r="12">
          <cell r="K12">
            <v>0.7</v>
          </cell>
          <cell r="L12">
            <v>0.12648000034415771</v>
          </cell>
        </row>
        <row r="13">
          <cell r="K13">
            <v>0.79999999999999993</v>
          </cell>
          <cell r="L13">
            <v>0.10279293314189493</v>
          </cell>
        </row>
        <row r="14">
          <cell r="K14">
            <v>0.89999999999999991</v>
          </cell>
          <cell r="L14">
            <v>8.938515925382165E-2</v>
          </cell>
        </row>
        <row r="15">
          <cell r="K15">
            <v>0.99999999999999989</v>
          </cell>
          <cell r="L15">
            <v>8.4915901291130566E-2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8"/>
  <sheetViews>
    <sheetView tabSelected="1" workbookViewId="0">
      <selection activeCell="K7" sqref="K7"/>
    </sheetView>
  </sheetViews>
  <sheetFormatPr baseColWidth="10" defaultColWidth="8.83203125" defaultRowHeight="15"/>
  <cols>
    <col min="1" max="9" width="9.83203125" customWidth="1"/>
    <col min="257" max="265" width="9.83203125" customWidth="1"/>
    <col min="513" max="521" width="9.83203125" customWidth="1"/>
    <col min="769" max="777" width="9.83203125" customWidth="1"/>
    <col min="1025" max="1033" width="9.83203125" customWidth="1"/>
    <col min="1281" max="1289" width="9.83203125" customWidth="1"/>
    <col min="1537" max="1545" width="9.83203125" customWidth="1"/>
    <col min="1793" max="1801" width="9.83203125" customWidth="1"/>
    <col min="2049" max="2057" width="9.83203125" customWidth="1"/>
    <col min="2305" max="2313" width="9.83203125" customWidth="1"/>
    <col min="2561" max="2569" width="9.83203125" customWidth="1"/>
    <col min="2817" max="2825" width="9.83203125" customWidth="1"/>
    <col min="3073" max="3081" width="9.83203125" customWidth="1"/>
    <col min="3329" max="3337" width="9.83203125" customWidth="1"/>
    <col min="3585" max="3593" width="9.83203125" customWidth="1"/>
    <col min="3841" max="3849" width="9.83203125" customWidth="1"/>
    <col min="4097" max="4105" width="9.83203125" customWidth="1"/>
    <col min="4353" max="4361" width="9.83203125" customWidth="1"/>
    <col min="4609" max="4617" width="9.83203125" customWidth="1"/>
    <col min="4865" max="4873" width="9.83203125" customWidth="1"/>
    <col min="5121" max="5129" width="9.83203125" customWidth="1"/>
    <col min="5377" max="5385" width="9.83203125" customWidth="1"/>
    <col min="5633" max="5641" width="9.83203125" customWidth="1"/>
    <col min="5889" max="5897" width="9.83203125" customWidth="1"/>
    <col min="6145" max="6153" width="9.83203125" customWidth="1"/>
    <col min="6401" max="6409" width="9.83203125" customWidth="1"/>
    <col min="6657" max="6665" width="9.83203125" customWidth="1"/>
    <col min="6913" max="6921" width="9.83203125" customWidth="1"/>
    <col min="7169" max="7177" width="9.83203125" customWidth="1"/>
    <col min="7425" max="7433" width="9.83203125" customWidth="1"/>
    <col min="7681" max="7689" width="9.83203125" customWidth="1"/>
    <col min="7937" max="7945" width="9.83203125" customWidth="1"/>
    <col min="8193" max="8201" width="9.83203125" customWidth="1"/>
    <col min="8449" max="8457" width="9.83203125" customWidth="1"/>
    <col min="8705" max="8713" width="9.83203125" customWidth="1"/>
    <col min="8961" max="8969" width="9.83203125" customWidth="1"/>
    <col min="9217" max="9225" width="9.83203125" customWidth="1"/>
    <col min="9473" max="9481" width="9.83203125" customWidth="1"/>
    <col min="9729" max="9737" width="9.83203125" customWidth="1"/>
    <col min="9985" max="9993" width="9.83203125" customWidth="1"/>
    <col min="10241" max="10249" width="9.83203125" customWidth="1"/>
    <col min="10497" max="10505" width="9.83203125" customWidth="1"/>
    <col min="10753" max="10761" width="9.83203125" customWidth="1"/>
    <col min="11009" max="11017" width="9.83203125" customWidth="1"/>
    <col min="11265" max="11273" width="9.83203125" customWidth="1"/>
    <col min="11521" max="11529" width="9.83203125" customWidth="1"/>
    <col min="11777" max="11785" width="9.83203125" customWidth="1"/>
    <col min="12033" max="12041" width="9.83203125" customWidth="1"/>
    <col min="12289" max="12297" width="9.83203125" customWidth="1"/>
    <col min="12545" max="12553" width="9.83203125" customWidth="1"/>
    <col min="12801" max="12809" width="9.83203125" customWidth="1"/>
    <col min="13057" max="13065" width="9.83203125" customWidth="1"/>
    <col min="13313" max="13321" width="9.83203125" customWidth="1"/>
    <col min="13569" max="13577" width="9.83203125" customWidth="1"/>
    <col min="13825" max="13833" width="9.83203125" customWidth="1"/>
    <col min="14081" max="14089" width="9.83203125" customWidth="1"/>
    <col min="14337" max="14345" width="9.83203125" customWidth="1"/>
    <col min="14593" max="14601" width="9.83203125" customWidth="1"/>
    <col min="14849" max="14857" width="9.83203125" customWidth="1"/>
    <col min="15105" max="15113" width="9.83203125" customWidth="1"/>
    <col min="15361" max="15369" width="9.83203125" customWidth="1"/>
    <col min="15617" max="15625" width="9.83203125" customWidth="1"/>
    <col min="15873" max="15881" width="9.83203125" customWidth="1"/>
    <col min="16129" max="16137" width="9.83203125" customWidth="1"/>
  </cols>
  <sheetData>
    <row r="1" spans="1:12">
      <c r="A1" t="s">
        <v>0</v>
      </c>
      <c r="B1">
        <v>0.01</v>
      </c>
      <c r="C1" t="s">
        <v>1</v>
      </c>
      <c r="D1">
        <v>0.1</v>
      </c>
    </row>
    <row r="2" spans="1:12">
      <c r="A2" t="s">
        <v>2</v>
      </c>
      <c r="B2">
        <v>1</v>
      </c>
      <c r="C2" t="s">
        <v>3</v>
      </c>
      <c r="D2" s="1">
        <f>B1/B3</f>
        <v>10</v>
      </c>
    </row>
    <row r="3" spans="1:12">
      <c r="A3" t="s">
        <v>4</v>
      </c>
      <c r="B3" s="1">
        <v>1E-3</v>
      </c>
      <c r="C3" t="s">
        <v>5</v>
      </c>
      <c r="D3" s="1">
        <f>B1*B4^2*D1^2/B3</f>
        <v>0.10000000000000002</v>
      </c>
    </row>
    <row r="4" spans="1:12">
      <c r="A4" t="s">
        <v>6</v>
      </c>
      <c r="B4">
        <v>1</v>
      </c>
      <c r="C4" t="s">
        <v>7</v>
      </c>
      <c r="D4" s="1">
        <f>2+D3</f>
        <v>2.1</v>
      </c>
      <c r="K4" t="s">
        <v>8</v>
      </c>
      <c r="L4" t="s">
        <v>9</v>
      </c>
    </row>
    <row r="5" spans="1:12">
      <c r="K5">
        <v>0</v>
      </c>
      <c r="L5">
        <v>1</v>
      </c>
    </row>
    <row r="6" spans="1:12">
      <c r="A6" s="1">
        <f>-$D$4</f>
        <v>-2.1</v>
      </c>
      <c r="B6">
        <v>1</v>
      </c>
      <c r="J6">
        <v>-1</v>
      </c>
      <c r="K6">
        <f>K5+$D$1</f>
        <v>0.1</v>
      </c>
      <c r="L6">
        <f t="array" ref="L6:L14">[1]!SysLin(A6:I14,J6:J14)</f>
        <v>0.73100007503021536</v>
      </c>
    </row>
    <row r="7" spans="1:12">
      <c r="A7">
        <v>1</v>
      </c>
      <c r="B7" s="1">
        <f>-$D$4</f>
        <v>-2.1</v>
      </c>
      <c r="C7">
        <v>1</v>
      </c>
      <c r="J7">
        <v>0</v>
      </c>
      <c r="K7">
        <f t="shared" ref="K7:K15" si="0">K6+$D$1</f>
        <v>0.2</v>
      </c>
      <c r="L7">
        <v>0.53510015756345242</v>
      </c>
    </row>
    <row r="8" spans="1:12">
      <c r="B8">
        <v>1</v>
      </c>
      <c r="C8" s="1">
        <f>-$D$4</f>
        <v>-2.1</v>
      </c>
      <c r="D8">
        <v>1</v>
      </c>
      <c r="J8">
        <v>0</v>
      </c>
      <c r="K8">
        <f t="shared" si="0"/>
        <v>0.30000000000000004</v>
      </c>
      <c r="L8">
        <v>0.39271025585303465</v>
      </c>
    </row>
    <row r="9" spans="1:12">
      <c r="C9">
        <v>1</v>
      </c>
      <c r="D9" s="1">
        <f>-$D$4</f>
        <v>-2.1</v>
      </c>
      <c r="E9">
        <v>1</v>
      </c>
      <c r="J9">
        <v>0</v>
      </c>
      <c r="K9">
        <f t="shared" si="0"/>
        <v>0.4</v>
      </c>
      <c r="L9">
        <v>0.28959137972792054</v>
      </c>
    </row>
    <row r="10" spans="1:12">
      <c r="D10">
        <v>1</v>
      </c>
      <c r="E10" s="1">
        <f>-$D$4</f>
        <v>-2.1</v>
      </c>
      <c r="F10">
        <v>1</v>
      </c>
      <c r="J10">
        <v>0</v>
      </c>
      <c r="K10">
        <f t="shared" si="0"/>
        <v>0.5</v>
      </c>
      <c r="L10">
        <v>0.21543164157559841</v>
      </c>
    </row>
    <row r="11" spans="1:12">
      <c r="E11">
        <v>1</v>
      </c>
      <c r="F11" s="1">
        <f>-$D$4</f>
        <v>-2.1</v>
      </c>
      <c r="G11">
        <v>1</v>
      </c>
      <c r="J11">
        <v>0</v>
      </c>
      <c r="K11">
        <f t="shared" si="0"/>
        <v>0.6</v>
      </c>
      <c r="L11">
        <v>0.16281506758083625</v>
      </c>
    </row>
    <row r="12" spans="1:12">
      <c r="F12">
        <v>1</v>
      </c>
      <c r="G12" s="1">
        <f>-$D$4</f>
        <v>-2.1</v>
      </c>
      <c r="H12">
        <v>1</v>
      </c>
      <c r="J12">
        <v>0</v>
      </c>
      <c r="K12">
        <f t="shared" si="0"/>
        <v>0.7</v>
      </c>
      <c r="L12">
        <v>0.12648000034415771</v>
      </c>
    </row>
    <row r="13" spans="1:12">
      <c r="G13">
        <v>1</v>
      </c>
      <c r="H13" s="1">
        <f>-$D$4</f>
        <v>-2.1</v>
      </c>
      <c r="I13">
        <v>1</v>
      </c>
      <c r="J13">
        <v>0</v>
      </c>
      <c r="K13">
        <f t="shared" si="0"/>
        <v>0.79999999999999993</v>
      </c>
      <c r="L13">
        <v>0.10279293314189493</v>
      </c>
    </row>
    <row r="14" spans="1:12">
      <c r="H14">
        <f>2/3</f>
        <v>0.66666666666666663</v>
      </c>
      <c r="I14" s="1">
        <f>4/3-$D$4</f>
        <v>-0.76666666666666683</v>
      </c>
      <c r="J14">
        <v>0</v>
      </c>
      <c r="K14">
        <f t="shared" si="0"/>
        <v>0.89999999999999991</v>
      </c>
      <c r="L14">
        <v>8.938515925382165E-2</v>
      </c>
    </row>
    <row r="15" spans="1:12">
      <c r="K15">
        <f t="shared" si="0"/>
        <v>0.99999999999999989</v>
      </c>
      <c r="L15">
        <f>(4*L14-L13)/3</f>
        <v>8.4915901291130566E-2</v>
      </c>
    </row>
    <row r="18" spans="13:13">
      <c r="M18" s="2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pansdad</dc:creator>
  <cp:lastModifiedBy>Yusra Khalid</cp:lastModifiedBy>
  <dcterms:created xsi:type="dcterms:W3CDTF">2011-08-06T00:26:02Z</dcterms:created>
  <dcterms:modified xsi:type="dcterms:W3CDTF">2020-04-16T21:41:45Z</dcterms:modified>
</cp:coreProperties>
</file>