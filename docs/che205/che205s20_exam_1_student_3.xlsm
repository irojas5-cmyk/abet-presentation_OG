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esktop\"/>
    </mc:Choice>
  </mc:AlternateContent>
  <xr:revisionPtr revIDLastSave="0" documentId="13_ncr:1_{FEFDFC8A-2842-4483-9607-0C7E28E74385}" xr6:coauthVersionLast="45" xr6:coauthVersionMax="45" xr10:uidLastSave="{00000000-0000-0000-0000-000000000000}"/>
  <bookViews>
    <workbookView xWindow="-98" yWindow="-98" windowWidth="22695" windowHeight="14595" xr2:uid="{001D329C-245C-4C03-8445-F3CE3E4FC1AD}"/>
  </bookViews>
  <sheets>
    <sheet name="Question 1" sheetId="1" r:id="rId1"/>
    <sheet name="Question 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1" i="1" l="1"/>
  <c r="E71" i="1"/>
  <c r="F71" i="1" s="1"/>
  <c r="C71" i="1"/>
  <c r="B71" i="1"/>
  <c r="D70" i="1"/>
  <c r="E70" i="1"/>
  <c r="F70" i="1" s="1"/>
  <c r="D69" i="1"/>
  <c r="F69" i="1" s="1"/>
  <c r="C70" i="1" s="1"/>
  <c r="B70" i="1"/>
  <c r="E69" i="1"/>
  <c r="B13" i="1"/>
  <c r="C56" i="1"/>
  <c r="D51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6" i="1"/>
  <c r="B7" i="1"/>
  <c r="H10" i="2" a="1"/>
  <c r="H10" i="2" s="1"/>
  <c r="B10" i="2" a="1"/>
  <c r="B10" i="2" s="1"/>
  <c r="F8" i="2"/>
  <c r="F7" i="2"/>
  <c r="F6" i="2"/>
  <c r="F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<sst xmlns="http://schemas.openxmlformats.org/spreadsheetml/2006/main" count="41" uniqueCount="35">
  <si>
    <t>wt% xylene</t>
  </si>
  <si>
    <t>wt% styrene</t>
  </si>
  <si>
    <t>wt% toluene</t>
  </si>
  <si>
    <t>wt% benzene</t>
  </si>
  <si>
    <t>A</t>
  </si>
  <si>
    <t>b</t>
  </si>
  <si>
    <t>x</t>
  </si>
  <si>
    <r>
      <t>A</t>
    </r>
    <r>
      <rPr>
        <vertAlign val="superscript"/>
        <sz val="11"/>
        <color theme="1"/>
        <rFont val="Calibri"/>
        <family val="2"/>
        <scheme val="minor"/>
      </rPr>
      <t>-1</t>
    </r>
  </si>
  <si>
    <r>
      <t>A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b</t>
    </r>
  </si>
  <si>
    <t>Tc</t>
  </si>
  <si>
    <t>Pc</t>
  </si>
  <si>
    <t>K</t>
  </si>
  <si>
    <t>atm</t>
  </si>
  <si>
    <t>P</t>
  </si>
  <si>
    <t>T</t>
  </si>
  <si>
    <t>R</t>
  </si>
  <si>
    <t>a</t>
  </si>
  <si>
    <t>D1</t>
  </si>
  <si>
    <t>B1</t>
  </si>
  <si>
    <t>D2</t>
  </si>
  <si>
    <t>B2</t>
  </si>
  <si>
    <t>V</t>
  </si>
  <si>
    <t>f(V)</t>
  </si>
  <si>
    <t>f(V) = p(V-b)/e^(-a/RTV)-RT</t>
  </si>
  <si>
    <t>Initial f</t>
  </si>
  <si>
    <t>Newton's method</t>
  </si>
  <si>
    <t>Initial guess</t>
  </si>
  <si>
    <t>f'(V)</t>
  </si>
  <si>
    <t>f'(V) = e^(-a/RTV)*p-p(V-b)*e^(-a/RTV)/(e^(-a/RTV)^2)</t>
  </si>
  <si>
    <t>Secant method</t>
  </si>
  <si>
    <t>f(V0)</t>
  </si>
  <si>
    <t>f(V1)</t>
  </si>
  <si>
    <t>V1</t>
  </si>
  <si>
    <t>V0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</si>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</sst>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'Question 1'!$A$13:$A$45</c:f>
              <c:numCache>
                <c:formatCode>General</c:formatCode>
                <c:ptCount val="33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1.3</c:v>
                </c:pt>
                <c:pt idx="4">
                  <c:v>1.4</c:v>
                </c:pt>
                <c:pt idx="5">
                  <c:v>1.5</c:v>
                </c:pt>
                <c:pt idx="6">
                  <c:v>1.6</c:v>
                </c:pt>
                <c:pt idx="7">
                  <c:v>1.7</c:v>
                </c:pt>
                <c:pt idx="8">
                  <c:v>1.8</c:v>
                </c:pt>
                <c:pt idx="9">
                  <c:v>1.9</c:v>
                </c:pt>
                <c:pt idx="10">
                  <c:v>2</c:v>
                </c:pt>
                <c:pt idx="11">
                  <c:v>2.1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2.5</c:v>
                </c:pt>
                <c:pt idx="16">
                  <c:v>2.6</c:v>
                </c:pt>
                <c:pt idx="17">
                  <c:v>2.7</c:v>
                </c:pt>
                <c:pt idx="18">
                  <c:v>2.8</c:v>
                </c:pt>
                <c:pt idx="19">
                  <c:v>2.9</c:v>
                </c:pt>
                <c:pt idx="20">
                  <c:v>3</c:v>
                </c:pt>
                <c:pt idx="21">
                  <c:v>3.1</c:v>
                </c:pt>
                <c:pt idx="22">
                  <c:v>3.2</c:v>
                </c:pt>
                <c:pt idx="23">
                  <c:v>3.3</c:v>
                </c:pt>
                <c:pt idx="24">
                  <c:v>3.4</c:v>
                </c:pt>
                <c:pt idx="25">
                  <c:v>3.5</c:v>
                </c:pt>
                <c:pt idx="26">
                  <c:v>3.6</c:v>
                </c:pt>
                <c:pt idx="27">
                  <c:v>3.7</c:v>
                </c:pt>
                <c:pt idx="28">
                  <c:v>3.8</c:v>
                </c:pt>
                <c:pt idx="29">
                  <c:v>3.9</c:v>
                </c:pt>
                <c:pt idx="30">
                  <c:v>4</c:v>
                </c:pt>
                <c:pt idx="31">
                  <c:v>4.0999999999999996</c:v>
                </c:pt>
                <c:pt idx="32">
                  <c:v>4.2</c:v>
                </c:pt>
              </c:numCache>
            </c:numRef>
          </c:xVal>
          <c:yVal>
            <c:numRef>
              <c:f>'Question 1'!$B$13:$B$45</c:f>
              <c:numCache>
                <c:formatCode>General</c:formatCode>
                <c:ptCount val="33"/>
                <c:pt idx="0">
                  <c:v>-16.257418003604407</c:v>
                </c:pt>
                <c:pt idx="1">
                  <c:v>-15.567752555043628</c:v>
                </c:pt>
                <c:pt idx="2">
                  <c:v>-14.876292407107734</c:v>
                </c:pt>
                <c:pt idx="3">
                  <c:v>-14.183467474549671</c:v>
                </c:pt>
                <c:pt idx="4">
                  <c:v>-13.489580571193292</c:v>
                </c:pt>
                <c:pt idx="5">
                  <c:v>-12.794851130668352</c:v>
                </c:pt>
                <c:pt idx="6">
                  <c:v>-12.099442047364636</c:v>
                </c:pt>
                <c:pt idx="7">
                  <c:v>-11.403476779010346</c:v>
                </c:pt>
                <c:pt idx="8">
                  <c:v>-10.707050596938872</c:v>
                </c:pt>
                <c:pt idx="9">
                  <c:v>-10.010238193824325</c:v>
                </c:pt>
                <c:pt idx="10">
                  <c:v>-9.3130989540697389</c:v>
                </c:pt>
                <c:pt idx="11">
                  <c:v>-8.6156806836759099</c:v>
                </c:pt>
                <c:pt idx="12">
                  <c:v>-7.918022300434167</c:v>
                </c:pt>
                <c:pt idx="13">
                  <c:v>-7.2201558074824668</c:v>
                </c:pt>
                <c:pt idx="14">
                  <c:v>-6.5221077634450886</c:v>
                </c:pt>
                <c:pt idx="15">
                  <c:v>-5.8239003928399882</c:v>
                </c:pt>
                <c:pt idx="16">
                  <c:v>-5.125552435411187</c:v>
                </c:pt>
                <c:pt idx="17">
                  <c:v>-4.4270798032908232</c:v>
                </c:pt>
                <c:pt idx="18">
                  <c:v>-3.7284960948691435</c:v>
                </c:pt>
                <c:pt idx="19">
                  <c:v>-3.0298130005420951</c:v>
                </c:pt>
                <c:pt idx="20">
                  <c:v>-2.3310406259762964</c:v>
                </c:pt>
                <c:pt idx="21">
                  <c:v>-1.6321877518105055</c:v>
                </c:pt>
                <c:pt idx="22">
                  <c:v>-0.93326204391129863</c:v>
                </c:pt>
                <c:pt idx="23">
                  <c:v>-0.2342702248274513</c:v>
                </c:pt>
                <c:pt idx="24">
                  <c:v>0.46478178545297411</c:v>
                </c:pt>
                <c:pt idx="25">
                  <c:v>1.1638887532169235</c:v>
                </c:pt>
                <c:pt idx="26">
                  <c:v>1.863046034388713</c:v>
                </c:pt>
                <c:pt idx="27">
                  <c:v>2.5622494937735851</c:v>
                </c:pt>
                <c:pt idx="28">
                  <c:v>3.261495437218997</c:v>
                </c:pt>
                <c:pt idx="29">
                  <c:v>3.9607805543457282</c:v>
                </c:pt>
                <c:pt idx="30">
                  <c:v>4.6601018699761028</c:v>
                </c:pt>
                <c:pt idx="31">
                  <c:v>5.3594567027566704</c:v>
                </c:pt>
                <c:pt idx="32">
                  <c:v>6.0588426297620188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36-4807-B963-74DF50656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423208"/>
        <c:axId val="747423864"/>
      </c:scatterChart>
      <c:valAx>
        <c:axId val="747423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Molar</a:t>
                </a:r>
                <a:r>
                  <a:rPr lang="en-US" baseline="0"/>
                  <a:t> Volume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3864"/>
        <c:crosses val="autoZero"/>
        <c:crossBetween val="midCat"/>
      </c:valAx>
      <c:valAx>
        <c:axId val="74742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23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302418</xdr:colOff>
      <xdr:row>14</xdr:row>
      <xdr:rowOff>107156</xdr:rowOff>
    </xdr:from>
    <xdr:to>
      <xdr:col>9</xdr:col>
      <xdr:colOff>340518</xdr:colOff>
      <xdr:row>29</xdr:row>
      <xdr:rowOff>135731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A16A6-8D44-451B-82B6-02A054CA2E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7DED5-48B1-44D0-B613-67526927C4D6}">
  <sheetPr codeName="Sheet1"/>
  <dimension ref="A1:F90"/>
  <sheetViews>
    <sheetView tabSelected="1" topLeftCell="A9" workbookViewId="0">
      <selection activeCell="D88" sqref="D88"/>
    </sheetView>
  </sheetViews>
  <sheetFormatPr defaultRowHeight="14.25" x14ac:dyDescent="0.45"/>
  <cols>
    <col min="2" max="2" width="11.59765625" bestFit="1" customWidth="1"/>
    <col min="4" max="4" width="11.59765625" bestFit="1" customWidth="1"/>
  </cols>
  <sheetData>
    <row r="1" spans="1:3" x14ac:dyDescent="0.45">
      <c r="A1" t="s">
        <v>9</v>
      </c>
      <c r="B1">
        <v>406</v>
      </c>
      <c r="C1" t="s">
        <v>11</v>
      </c>
    </row>
    <row r="2" spans="1:3" x14ac:dyDescent="0.45">
      <c r="A2" t="s">
        <v>10</v>
      </c>
      <c r="B2">
        <v>112.8</v>
      </c>
      <c r="C2" t="s">
        <v>12</v>
      </c>
    </row>
    <row r="3" spans="1:3" x14ac:dyDescent="0.45">
      <c r="A3" t="s">
        <v>13</v>
      </c>
      <c r="B3">
        <v>7</v>
      </c>
      <c r="C3" t="s">
        <v>12</v>
      </c>
    </row>
    <row r="4" spans="1:3" x14ac:dyDescent="0.45">
      <c r="A4" t="s">
        <v>14</v>
      </c>
      <c r="B4">
        <v>300</v>
      </c>
      <c r="C4" t="s">
        <v>11</v>
      </c>
    </row>
    <row r="5" spans="1:3" x14ac:dyDescent="0.45">
      <c r="A5" t="s">
        <v>15</v>
      </c>
      <c r="B5">
        <v>8.2000000000000003E-2</v>
      </c>
    </row>
    <row r="6" spans="1:3" x14ac:dyDescent="0.45">
      <c r="A6" t="s">
        <v>16</v>
      </c>
      <c r="B6">
        <f>(4*B5^2*B1^2)/(EXP(2)*B2)</f>
        <v>5.3191434131488347</v>
      </c>
    </row>
    <row r="7" spans="1:3" x14ac:dyDescent="0.45">
      <c r="A7" t="s">
        <v>5</v>
      </c>
      <c r="B7">
        <f>B5*B1/(EXP(2)*B2)</f>
        <v>3.994310504887686E-2</v>
      </c>
    </row>
    <row r="12" spans="1:3" x14ac:dyDescent="0.45">
      <c r="A12" t="s">
        <v>21</v>
      </c>
      <c r="B12" t="s">
        <v>22</v>
      </c>
      <c r="C12" t="s">
        <v>23</v>
      </c>
    </row>
    <row r="13" spans="1:3" x14ac:dyDescent="0.45">
      <c r="A13">
        <v>1</v>
      </c>
      <c r="B13">
        <f>$B$3*(A13-$B$7)/EXP(-$B$6/($B$5*$B$4*A13))-$B$5*$B$4</f>
        <v>-16.257418003604407</v>
      </c>
    </row>
    <row r="14" spans="1:3" x14ac:dyDescent="0.45">
      <c r="A14">
        <v>1.1000000000000001</v>
      </c>
      <c r="B14">
        <f t="shared" ref="B14:B45" si="0">$B$3*(A14-$B$7)/EXP(-$B$6/($B$5*$B$4*A14))-$B$5*$B$4</f>
        <v>-15.567752555043628</v>
      </c>
    </row>
    <row r="15" spans="1:3" x14ac:dyDescent="0.45">
      <c r="A15">
        <v>1.2</v>
      </c>
      <c r="B15">
        <f t="shared" si="0"/>
        <v>-14.876292407107734</v>
      </c>
    </row>
    <row r="16" spans="1:3" x14ac:dyDescent="0.45">
      <c r="A16">
        <v>1.3</v>
      </c>
      <c r="B16">
        <f t="shared" si="0"/>
        <v>-14.183467474549671</v>
      </c>
    </row>
    <row r="17" spans="1:2" x14ac:dyDescent="0.45">
      <c r="A17">
        <v>1.4</v>
      </c>
      <c r="B17">
        <f t="shared" si="0"/>
        <v>-13.489580571193292</v>
      </c>
    </row>
    <row r="18" spans="1:2" x14ac:dyDescent="0.45">
      <c r="A18">
        <v>1.5</v>
      </c>
      <c r="B18">
        <f t="shared" si="0"/>
        <v>-12.794851130668352</v>
      </c>
    </row>
    <row r="19" spans="1:2" x14ac:dyDescent="0.45">
      <c r="A19">
        <v>1.6</v>
      </c>
      <c r="B19">
        <f t="shared" si="0"/>
        <v>-12.099442047364636</v>
      </c>
    </row>
    <row r="20" spans="1:2" x14ac:dyDescent="0.45">
      <c r="A20">
        <v>1.7</v>
      </c>
      <c r="B20">
        <f t="shared" si="0"/>
        <v>-11.403476779010346</v>
      </c>
    </row>
    <row r="21" spans="1:2" x14ac:dyDescent="0.45">
      <c r="A21">
        <v>1.8</v>
      </c>
      <c r="B21">
        <f t="shared" si="0"/>
        <v>-10.707050596938872</v>
      </c>
    </row>
    <row r="22" spans="1:2" x14ac:dyDescent="0.45">
      <c r="A22">
        <v>1.9</v>
      </c>
      <c r="B22">
        <f t="shared" si="0"/>
        <v>-10.010238193824325</v>
      </c>
    </row>
    <row r="23" spans="1:2" x14ac:dyDescent="0.45">
      <c r="A23">
        <v>2</v>
      </c>
      <c r="B23">
        <f t="shared" si="0"/>
        <v>-9.3130989540697389</v>
      </c>
    </row>
    <row r="24" spans="1:2" x14ac:dyDescent="0.45">
      <c r="A24">
        <v>2.1</v>
      </c>
      <c r="B24">
        <f t="shared" si="0"/>
        <v>-8.6156806836759099</v>
      </c>
    </row>
    <row r="25" spans="1:2" x14ac:dyDescent="0.45">
      <c r="A25">
        <v>2.2000000000000002</v>
      </c>
      <c r="B25">
        <f t="shared" si="0"/>
        <v>-7.918022300434167</v>
      </c>
    </row>
    <row r="26" spans="1:2" x14ac:dyDescent="0.45">
      <c r="A26">
        <v>2.2999999999999998</v>
      </c>
      <c r="B26">
        <f t="shared" si="0"/>
        <v>-7.2201558074824668</v>
      </c>
    </row>
    <row r="27" spans="1:2" x14ac:dyDescent="0.45">
      <c r="A27">
        <v>2.4</v>
      </c>
      <c r="B27">
        <f t="shared" si="0"/>
        <v>-6.5221077634450886</v>
      </c>
    </row>
    <row r="28" spans="1:2" x14ac:dyDescent="0.45">
      <c r="A28">
        <v>2.5</v>
      </c>
      <c r="B28">
        <f t="shared" si="0"/>
        <v>-5.8239003928399882</v>
      </c>
    </row>
    <row r="29" spans="1:2" x14ac:dyDescent="0.45">
      <c r="A29">
        <v>2.6</v>
      </c>
      <c r="B29">
        <f t="shared" si="0"/>
        <v>-5.125552435411187</v>
      </c>
    </row>
    <row r="30" spans="1:2" x14ac:dyDescent="0.45">
      <c r="A30">
        <v>2.7</v>
      </c>
      <c r="B30">
        <f t="shared" si="0"/>
        <v>-4.4270798032908232</v>
      </c>
    </row>
    <row r="31" spans="1:2" x14ac:dyDescent="0.45">
      <c r="A31">
        <v>2.8</v>
      </c>
      <c r="B31">
        <f t="shared" si="0"/>
        <v>-3.7284960948691435</v>
      </c>
    </row>
    <row r="32" spans="1:2" x14ac:dyDescent="0.45">
      <c r="A32">
        <v>2.9</v>
      </c>
      <c r="B32">
        <f t="shared" si="0"/>
        <v>-3.0298130005420951</v>
      </c>
    </row>
    <row r="33" spans="1:2" x14ac:dyDescent="0.45">
      <c r="A33">
        <v>3</v>
      </c>
      <c r="B33">
        <f t="shared" si="0"/>
        <v>-2.3310406259762964</v>
      </c>
    </row>
    <row r="34" spans="1:2" x14ac:dyDescent="0.45">
      <c r="A34">
        <v>3.1</v>
      </c>
      <c r="B34">
        <f t="shared" si="0"/>
        <v>-1.6321877518105055</v>
      </c>
    </row>
    <row r="35" spans="1:2" x14ac:dyDescent="0.45">
      <c r="A35">
        <v>3.2</v>
      </c>
      <c r="B35">
        <f t="shared" si="0"/>
        <v>-0.93326204391129863</v>
      </c>
    </row>
    <row r="36" spans="1:2" x14ac:dyDescent="0.45">
      <c r="A36">
        <v>3.3</v>
      </c>
      <c r="B36">
        <f t="shared" si="0"/>
        <v>-0.2342702248274513</v>
      </c>
    </row>
    <row r="37" spans="1:2" x14ac:dyDescent="0.45">
      <c r="A37">
        <v>3.4</v>
      </c>
      <c r="B37">
        <f t="shared" si="0"/>
        <v>0.46478178545297411</v>
      </c>
    </row>
    <row r="38" spans="1:2" x14ac:dyDescent="0.45">
      <c r="A38">
        <v>3.5</v>
      </c>
      <c r="B38">
        <f t="shared" si="0"/>
        <v>1.1638887532169235</v>
      </c>
    </row>
    <row r="39" spans="1:2" x14ac:dyDescent="0.45">
      <c r="A39">
        <v>3.6</v>
      </c>
      <c r="B39">
        <f t="shared" si="0"/>
        <v>1.863046034388713</v>
      </c>
    </row>
    <row r="40" spans="1:2" x14ac:dyDescent="0.45">
      <c r="A40">
        <v>3.7</v>
      </c>
      <c r="B40">
        <f t="shared" si="0"/>
        <v>2.5622494937735851</v>
      </c>
    </row>
    <row r="41" spans="1:2" x14ac:dyDescent="0.45">
      <c r="A41">
        <v>3.8</v>
      </c>
      <c r="B41">
        <f t="shared" si="0"/>
        <v>3.261495437218997</v>
      </c>
    </row>
    <row r="42" spans="1:2" x14ac:dyDescent="0.45">
      <c r="A42">
        <v>3.9</v>
      </c>
      <c r="B42">
        <f t="shared" si="0"/>
        <v>3.9607805543457282</v>
      </c>
    </row>
    <row r="43" spans="1:2" x14ac:dyDescent="0.45">
      <c r="A43">
        <v>4</v>
      </c>
      <c r="B43">
        <f t="shared" si="0"/>
        <v>4.6601018699761028</v>
      </c>
    </row>
    <row r="44" spans="1:2" x14ac:dyDescent="0.45">
      <c r="A44">
        <v>4.0999999999999996</v>
      </c>
      <c r="B44">
        <f t="shared" si="0"/>
        <v>5.3594567027566704</v>
      </c>
    </row>
    <row r="45" spans="1:2" x14ac:dyDescent="0.45">
      <c r="A45">
        <v>4.2</v>
      </c>
      <c r="B45">
        <f t="shared" si="0"/>
        <v>6.0588426297620188</v>
      </c>
    </row>
    <row r="50" spans="2:5" x14ac:dyDescent="0.45">
      <c r="C50" t="s">
        <v>24</v>
      </c>
      <c r="D50" t="s">
        <v>22</v>
      </c>
    </row>
    <row r="51" spans="2:5" x14ac:dyDescent="0.45">
      <c r="C51">
        <v>3.3335134875962731</v>
      </c>
      <c r="D51">
        <f>$B$3*(C51-$B$7)/EXP(-$B$6/($B$5*$B$4*C51))-$B$5*$B$4</f>
        <v>5.069893660447633E-8</v>
      </c>
    </row>
    <row r="54" spans="2:5" x14ac:dyDescent="0.45">
      <c r="B54" t="s">
        <v>25</v>
      </c>
    </row>
    <row r="55" spans="2:5" x14ac:dyDescent="0.45">
      <c r="B55" t="s">
        <v>26</v>
      </c>
      <c r="C55" t="s">
        <v>22</v>
      </c>
      <c r="D55" t="s">
        <v>27</v>
      </c>
      <c r="E55" t="s">
        <v>28</v>
      </c>
    </row>
    <row r="56" spans="2:5" x14ac:dyDescent="0.45">
      <c r="B56">
        <v>3.3</v>
      </c>
      <c r="C56">
        <f>$B$3*(B56-$B$7)/EXP(-$B$6/($B$5*$B$4*B56))-$B$5*$B$4</f>
        <v>-0.2342702248274513</v>
      </c>
    </row>
    <row r="67" spans="2:6" x14ac:dyDescent="0.45">
      <c r="B67" t="s">
        <v>29</v>
      </c>
    </row>
    <row r="68" spans="2:6" x14ac:dyDescent="0.45">
      <c r="B68" t="s">
        <v>33</v>
      </c>
      <c r="C68" t="s">
        <v>32</v>
      </c>
      <c r="D68" t="s">
        <v>30</v>
      </c>
      <c r="E68" t="s">
        <v>31</v>
      </c>
      <c r="F68" t="s">
        <v>34</v>
      </c>
    </row>
    <row r="69" spans="2:6" x14ac:dyDescent="0.45">
      <c r="B69">
        <v>3.3</v>
      </c>
      <c r="C69">
        <v>3.4</v>
      </c>
      <c r="D69">
        <f>$B$3*(B69-$B$7)/EXP(-$B$6/($B$5*$B$4*B69))-$B$5*$B$4</f>
        <v>-0.2342702248274513</v>
      </c>
      <c r="E69">
        <f>$B$3*(C69-$B$7)/EXP(-$B$6/($B$5*$B$4*C69))-$B$5*$B$4</f>
        <v>0.46478178545297411</v>
      </c>
      <c r="F69">
        <f>C69-(E69/(E69-D69))*(C69-B69)</f>
        <v>3.3335125600645181</v>
      </c>
    </row>
    <row r="70" spans="2:6" x14ac:dyDescent="0.45">
      <c r="B70">
        <f>C69</f>
        <v>3.4</v>
      </c>
      <c r="C70">
        <f>F69</f>
        <v>3.3335125600645181</v>
      </c>
      <c r="D70">
        <f>$B$3*(B70-$B$7)/EXP(-$B$6/($B$5*$B$4*B70))-$B$5*$B$4</f>
        <v>0.46478178545297411</v>
      </c>
      <c r="E70">
        <f>$B$3*(C70-$B$7)/EXP(-$B$6/($B$5*$B$4*C70))-$B$5*$B$4</f>
        <v>-6.4331439517673061E-6</v>
      </c>
      <c r="F70">
        <f>C70-(E70/(E70-D70))*(C70-B70)</f>
        <v>3.3335134803186359</v>
      </c>
    </row>
    <row r="71" spans="2:6" x14ac:dyDescent="0.45">
      <c r="B71">
        <f>C70</f>
        <v>3.3335125600645181</v>
      </c>
      <c r="C71">
        <f>F70</f>
        <v>3.3335134803186359</v>
      </c>
      <c r="D71">
        <f>$B$3*(B71-$B$7)/EXP(-$B$6/($B$5*$B$4*B71))-$B$5*$B$4</f>
        <v>-6.4331439517673061E-6</v>
      </c>
      <c r="E71">
        <f>$B$3*(C71-$B$7)/EXP(-$B$6/($B$5*$B$4*C71))-$B$5*$B$4</f>
        <v>-1.7485035641584545E-10</v>
      </c>
      <c r="F71">
        <f>C71-(E71/(E71-D71))*(C71-B71)</f>
        <v>3.3335134803436488</v>
      </c>
    </row>
    <row r="80" spans="2:6" x14ac:dyDescent="0.45">
      <c r="B80" t="s">
        <v>14</v>
      </c>
    </row>
    <row r="81" spans="2:2" x14ac:dyDescent="0.45">
      <c r="B81">
        <v>20</v>
      </c>
    </row>
    <row r="82" spans="2:2" x14ac:dyDescent="0.45">
      <c r="B82">
        <v>40</v>
      </c>
    </row>
    <row r="83" spans="2:2" x14ac:dyDescent="0.45">
      <c r="B83">
        <v>60</v>
      </c>
    </row>
    <row r="84" spans="2:2" x14ac:dyDescent="0.45">
      <c r="B84">
        <v>80</v>
      </c>
    </row>
    <row r="85" spans="2:2" x14ac:dyDescent="0.45">
      <c r="B85">
        <v>100</v>
      </c>
    </row>
    <row r="86" spans="2:2" x14ac:dyDescent="0.45">
      <c r="B86">
        <v>120</v>
      </c>
    </row>
    <row r="87" spans="2:2" x14ac:dyDescent="0.45">
      <c r="B87">
        <v>140</v>
      </c>
    </row>
    <row r="88" spans="2:2" x14ac:dyDescent="0.45">
      <c r="B88">
        <v>160</v>
      </c>
    </row>
    <row r="89" spans="2:2" x14ac:dyDescent="0.45">
      <c r="B89">
        <v>180</v>
      </c>
    </row>
    <row r="90" spans="2:2" x14ac:dyDescent="0.45">
      <c r="B90">
        <v>200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D37A0-CD49-4191-8C89-D4C005EBE2F5}">
  <sheetPr codeName="Sheet2"/>
  <dimension ref="A3:H13"/>
  <sheetViews>
    <sheetView workbookViewId="0">
      <selection activeCell="L21" sqref="L21"/>
    </sheetView>
  </sheetViews>
  <sheetFormatPr defaultRowHeight="14.25" x14ac:dyDescent="0.45"/>
  <cols>
    <col min="1" max="1" width="11.19921875" customWidth="1"/>
    <col min="2" max="2" width="12.3984375" customWidth="1"/>
    <col min="3" max="3" width="14.1328125" customWidth="1"/>
    <col min="4" max="4" width="11.9296875" customWidth="1"/>
  </cols>
  <sheetData>
    <row r="3" spans="1:8" x14ac:dyDescent="0.45">
      <c r="B3" t="s">
        <v>4</v>
      </c>
      <c r="E3" t="s">
        <v>6</v>
      </c>
      <c r="F3" t="s">
        <v>5</v>
      </c>
    </row>
    <row r="4" spans="1:8" x14ac:dyDescent="0.45">
      <c r="A4" t="s">
        <v>0</v>
      </c>
      <c r="B4" t="s">
        <v>1</v>
      </c>
      <c r="C4" t="s">
        <v>2</v>
      </c>
      <c r="D4" t="s">
        <v>3</v>
      </c>
    </row>
    <row r="5" spans="1:8" x14ac:dyDescent="0.45">
      <c r="A5">
        <v>7.0000000000000007E-2</v>
      </c>
      <c r="B5">
        <v>0.04</v>
      </c>
      <c r="C5">
        <v>0.54</v>
      </c>
      <c r="D5">
        <v>0.35</v>
      </c>
      <c r="E5" t="s">
        <v>17</v>
      </c>
      <c r="F5">
        <f>0.15*70</f>
        <v>10.5</v>
      </c>
    </row>
    <row r="6" spans="1:8" x14ac:dyDescent="0.45">
      <c r="A6">
        <v>0.18</v>
      </c>
      <c r="B6">
        <v>0.24</v>
      </c>
      <c r="C6">
        <v>0.42</v>
      </c>
      <c r="D6">
        <v>0.16</v>
      </c>
      <c r="E6" t="s">
        <v>18</v>
      </c>
      <c r="F6">
        <f>0.25*70</f>
        <v>17.5</v>
      </c>
    </row>
    <row r="7" spans="1:8" x14ac:dyDescent="0.45">
      <c r="A7">
        <v>0.15</v>
      </c>
      <c r="B7">
        <v>0.1</v>
      </c>
      <c r="C7">
        <v>0.54</v>
      </c>
      <c r="D7">
        <v>0.21</v>
      </c>
      <c r="E7" t="s">
        <v>19</v>
      </c>
      <c r="F7">
        <f>0.4*70</f>
        <v>28</v>
      </c>
    </row>
    <row r="8" spans="1:8" x14ac:dyDescent="0.45">
      <c r="A8">
        <v>0.24</v>
      </c>
      <c r="B8">
        <v>0.65</v>
      </c>
      <c r="C8">
        <v>0.1</v>
      </c>
      <c r="D8">
        <v>0.01</v>
      </c>
      <c r="E8" t="s">
        <v>20</v>
      </c>
      <c r="F8">
        <f>0.2*70</f>
        <v>14</v>
      </c>
    </row>
    <row r="9" spans="1:8" ht="15.75" x14ac:dyDescent="0.45">
      <c r="H9" t="s">
        <v>8</v>
      </c>
    </row>
    <row r="10" spans="1:8" ht="15.75" x14ac:dyDescent="0.45">
      <c r="A10" t="s">
        <v>7</v>
      </c>
      <c r="B10" cm="1">
        <f t="array" ref="B10:E13">MINVERSE(A5:D8)</f>
        <v>-2.8104838709677566</v>
      </c>
      <c r="C10">
        <v>94.362903225806036</v>
      </c>
      <c r="D10">
        <v>-66.044354838709353</v>
      </c>
      <c r="E10">
        <v>-24.508064516128918</v>
      </c>
      <c r="H10" cm="1">
        <f t="array" ref="H10:H13">MMULT(_xlfn.ANCHORARRAY(B10),F5:F8)</f>
        <v>-570.51411290322255</v>
      </c>
    </row>
    <row r="11" spans="1:8" x14ac:dyDescent="0.45">
      <c r="B11">
        <v>1.2217741935483917</v>
      </c>
      <c r="C11">
        <v>-29.830645161290185</v>
      </c>
      <c r="D11">
        <v>20.245967741935381</v>
      </c>
      <c r="E11">
        <v>9.3629032258064147</v>
      </c>
      <c r="H11">
        <v>188.76008064516037</v>
      </c>
    </row>
    <row r="12" spans="1:8" x14ac:dyDescent="0.45">
      <c r="B12">
        <v>-1.8024193548387044</v>
      </c>
      <c r="C12">
        <v>-36.685483870967573</v>
      </c>
      <c r="D12">
        <v>30.528225806451481</v>
      </c>
      <c r="E12">
        <v>8.9596774193547937</v>
      </c>
      <c r="H12">
        <v>319.30443548386972</v>
      </c>
    </row>
    <row r="13" spans="1:8" x14ac:dyDescent="0.45">
      <c r="B13">
        <v>6.0604838709677367</v>
      </c>
      <c r="C13">
        <v>41.137096774193367</v>
      </c>
      <c r="D13">
        <v>-36.205645161290178</v>
      </c>
      <c r="E13">
        <v>-9.99193548387092</v>
      </c>
      <c r="H13">
        <v>-370.11088709677267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 1</vt:lpstr>
      <vt:lpstr>Question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2020-02-26T16:04:14Z</dcterms:created>
  <dcterms:modified xsi:type="dcterms:W3CDTF">2020-02-26T17:20:22Z</dcterms:modified>
</cp:coreProperties>
</file>