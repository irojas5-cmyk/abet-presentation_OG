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/>
  <mc:AlternateContent xmlns:mc="http://schemas.openxmlformats.org/markup-compatibility/2006">
    <mc:Choice Requires="x15">
      <x15ac:absPath xmlns:x15ac="http://schemas.microsoft.com/office/spreadsheetml/2010/11/ac" url="/Users/LuoZhen/Desktop/CHE205_Fall19/mid/exam1/"/>
    </mc:Choice>
  </mc:AlternateContent>
  <xr:revisionPtr revIDLastSave="0" documentId="13_ncr:1_{262F036C-3C47-034C-BA95-253574300312}" xr6:coauthVersionLast="41" xr6:coauthVersionMax="44" xr10:uidLastSave="{00000000-0000-0000-0000-000000000000}"/>
  <bookViews>
    <workbookView xWindow="-30500" yWindow="-2480" windowWidth="23380" windowHeight="147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3" i="1" l="1"/>
  <c r="A14" i="1" s="1"/>
  <c r="B13" i="1"/>
  <c r="B8" i="1"/>
  <c r="B6" i="1"/>
  <c r="B7" i="1"/>
  <c r="B5" i="1"/>
  <c r="B3" i="1"/>
  <c r="B2" i="1"/>
  <c r="B1" i="1"/>
  <c r="C14" i="1" l="1"/>
  <c r="B14" i="1"/>
  <c r="A15" i="1" s="1"/>
  <c r="C15" i="1" l="1"/>
  <c r="B15" i="1"/>
  <c r="A16" i="1" s="1"/>
  <c r="B16" i="1" l="1"/>
  <c r="C16" i="1"/>
  <c r="A17" i="1" l="1"/>
  <c r="C17" i="1"/>
  <c r="B17" i="1"/>
</calcChain>
</file>

<file path=xl/sharedStrings.xml><?xml version="1.0" encoding="utf-8"?>
<sst xmlns="http://schemas.openxmlformats.org/spreadsheetml/2006/main" count="12" uniqueCount="12">
  <si>
    <t>Ai =</t>
  </si>
  <si>
    <t>Bi =</t>
  </si>
  <si>
    <t xml:space="preserve">Ci = </t>
  </si>
  <si>
    <t xml:space="preserve">T = </t>
  </si>
  <si>
    <t>Pi =</t>
  </si>
  <si>
    <t xml:space="preserve">zi = </t>
  </si>
  <si>
    <t xml:space="preserve">ki = </t>
  </si>
  <si>
    <t>f(x) =</t>
  </si>
  <si>
    <t>zi (1 -ki)/ 1 + x (ki - 1)</t>
  </si>
  <si>
    <t>x</t>
  </si>
  <si>
    <t>f</t>
  </si>
  <si>
    <t>f'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</si>
</sst>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287691</xdr:colOff>
      <xdr:row>14</xdr:row>
      <xdr:rowOff>128085</xdr:rowOff>
    </xdr:from>
    <xdr:ext cx="5901616" cy="87511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1FEAF19-05A6-974C-9FB7-8463BEEE134E}"/>
            </a:ext>
          </a:extLst>
        </xdr:cNvPr>
        <xdr:cNvSpPr/>
      </xdr:nvSpPr>
      <xdr:spPr>
        <a:xfrm>
          <a:off x="4326291" y="2795085"/>
          <a:ext cx="5901616" cy="875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5/10</a:t>
          </a:r>
        </a:p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methods are not correct for both problems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Q11" sqref="Q11"/>
    </sheetView>
  </sheetViews>
  <sheetFormatPr baseColWidth="10" defaultColWidth="8.83203125" defaultRowHeight="15"/>
  <sheetData>
    <row r="1" spans="1:9">
      <c r="A1" t="s">
        <v>0</v>
      </c>
      <c r="B1">
        <f xml:space="preserve"> 3.867 + 3.933 + 3.977 + 3.844</f>
        <v>15.620999999999999</v>
      </c>
    </row>
    <row r="2" spans="1:9">
      <c r="A2" t="s">
        <v>1</v>
      </c>
      <c r="B2">
        <f>584.146 + 659.739 +  819.296 + 909.65</f>
        <v>2972.8310000000001</v>
      </c>
    </row>
    <row r="3" spans="1:9">
      <c r="A3" t="s">
        <v>2</v>
      </c>
      <c r="B3">
        <f xml:space="preserve"> -18.307+  -16.719 + -24.417 + -36.146</f>
        <v>-95.588999999999999</v>
      </c>
    </row>
    <row r="4" spans="1:9">
      <c r="A4" t="s">
        <v>3</v>
      </c>
      <c r="B4">
        <v>273</v>
      </c>
    </row>
    <row r="5" spans="1:9">
      <c r="A5" t="s">
        <v>5</v>
      </c>
      <c r="B5">
        <f xml:space="preserve"> 0.1 + 0.3 + 0.4 + 0.2</f>
        <v>1</v>
      </c>
    </row>
    <row r="6" spans="1:9">
      <c r="A6" t="s">
        <v>4</v>
      </c>
      <c r="B6">
        <f xml:space="preserve"> B1 -(B2/(B3+B4))/1</f>
        <v>-1.1357456358399425</v>
      </c>
      <c r="I6" t="s">
        <v>8</v>
      </c>
    </row>
    <row r="7" spans="1:9">
      <c r="A7" t="s">
        <v>6</v>
      </c>
      <c r="B7">
        <f xml:space="preserve"> B6 / 18</f>
        <v>-6.3096979768885689E-2</v>
      </c>
    </row>
    <row r="8" spans="1:9">
      <c r="A8" t="s">
        <v>7</v>
      </c>
      <c r="B8" t="e">
        <f xml:space="preserve"> (B5*(1-B7))/(1+(x*(B7 -1)))</f>
        <v>#NAME?</v>
      </c>
    </row>
    <row r="9" spans="1:9">
      <c r="B9">
        <v>-335544.32000000001</v>
      </c>
    </row>
    <row r="12" spans="1:9">
      <c r="A12" t="s">
        <v>9</v>
      </c>
      <c r="B12" t="s">
        <v>10</v>
      </c>
      <c r="C12" t="s">
        <v>11</v>
      </c>
    </row>
    <row r="13" spans="1:9">
      <c r="A13">
        <v>3</v>
      </c>
      <c r="B13" t="e">
        <f>(B5*(1-B7))/(1+(x*(B7 -1)))</f>
        <v>#NAME?</v>
      </c>
      <c r="C13" t="e">
        <f>(B%*(1-B7))/(1+(x*(B7 -1)))</f>
        <v>#NAME?</v>
      </c>
    </row>
    <row r="14" spans="1:9">
      <c r="A14" t="e">
        <f>A13-B13/C13</f>
        <v>#NAME?</v>
      </c>
      <c r="B14" t="e">
        <f>A14-A14^0.33333-2</f>
        <v>#NAME?</v>
      </c>
      <c r="C14" t="e">
        <f>1-0.3333*A14^(-0.6666667)</f>
        <v>#NAME?</v>
      </c>
    </row>
    <row r="15" spans="1:9">
      <c r="A15" t="e">
        <f>A14-B14/C14</f>
        <v>#NAME?</v>
      </c>
      <c r="B15" t="e">
        <f>A15-A15^0.33333-2</f>
        <v>#NAME?</v>
      </c>
      <c r="C15" t="e">
        <f>1-0.3333*A15^(-0.6666667)</f>
        <v>#NAME?</v>
      </c>
    </row>
    <row r="16" spans="1:9">
      <c r="A16" t="e">
        <f>A15-B15/C15</f>
        <v>#NAME?</v>
      </c>
      <c r="B16" t="e">
        <f>A16-A16^0.33333-2</f>
        <v>#NAME?</v>
      </c>
      <c r="C16" t="e">
        <f>1-0.3333*A16^(-0.6666667)</f>
        <v>#NAME?</v>
      </c>
    </row>
    <row r="17" spans="1:3">
      <c r="A17" t="e">
        <f>A16-B16/C16</f>
        <v>#NAME?</v>
      </c>
      <c r="B17" t="e">
        <f>A17-A17^0.33333-2</f>
        <v>#NAME?</v>
      </c>
      <c r="C17" t="e">
        <f>1-0.3333*A17^(-0.6666667)</f>
        <v>#NAME?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Eckhart</dc:creator>
  <cp:lastModifiedBy>Zhen Luo</cp:lastModifiedBy>
  <dcterms:created xsi:type="dcterms:W3CDTF">2015-06-05T18:17:20Z</dcterms:created>
  <dcterms:modified xsi:type="dcterms:W3CDTF">2020-05-13T00:59:27Z</dcterms:modified>
</cp:coreProperties>
</file>