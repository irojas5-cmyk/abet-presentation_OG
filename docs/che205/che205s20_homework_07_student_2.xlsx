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ata\Desktop\Che205\"/>
    </mc:Choice>
  </mc:AlternateContent>
  <xr:revisionPtr revIDLastSave="0" documentId="13_ncr:1_{F98C0B65-0A0C-4334-BF6E-7E2CEE1AF7E8}" xr6:coauthVersionLast="45" xr6:coauthVersionMax="45" xr10:uidLastSave="{00000000-0000-0000-0000-000000000000}"/>
  <bookViews>
    <workbookView xWindow="-120" yWindow="-120" windowWidth="20730" windowHeight="11160" xr2:uid="{546E80BE-453F-46CF-B137-55D15D0ACCE0}"/>
  </bookViews>
  <sheets>
    <sheet name="1)" sheetId="1" r:id="rId1"/>
    <sheet name="2)" sheetId="2" r:id="rId2"/>
    <sheet name="3)" sheetId="3" r:id="rId3"/>
  </sheets>
  <definedNames>
    <definedName name="_xlchart.v1.0" hidden="1">'3)'!$F$12:$F$112</definedName>
    <definedName name="_xlchart.v1.1" hidden="1">'3)'!$G$11</definedName>
    <definedName name="_xlchart.v1.2" hidden="1">'3)'!$G$12:$G$112</definedName>
    <definedName name="_xlchart.v1.3" hidden="1">'3)'!$H$11</definedName>
    <definedName name="_xlchart.v1.4" hidden="1">'3)'!$H$12:$H$112</definedName>
    <definedName name="a">'2)'!$G$5</definedName>
    <definedName name="b">'2)'!$G$6</definedName>
    <definedName name="Ca">'1)'!$C$5</definedName>
    <definedName name="Da">'1)'!$C$6</definedName>
    <definedName name="Dx">'2)'!$C$10</definedName>
    <definedName name="h">'1)'!$C$8</definedName>
    <definedName name="k">'1)'!$C$4</definedName>
    <definedName name="L">'1)'!$C$7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3" i="1" l="1"/>
  <c r="D13" i="1"/>
  <c r="D14" i="1" l="1"/>
  <c r="C14" i="1"/>
  <c r="D15" i="1" l="1"/>
  <c r="C15" i="1"/>
  <c r="C16" i="1" s="1"/>
  <c r="H13" i="3"/>
  <c r="G13" i="3"/>
  <c r="D13" i="3"/>
  <c r="C13" i="3"/>
  <c r="N22" i="2"/>
  <c r="N16" i="2"/>
  <c r="N17" i="2"/>
  <c r="N18" i="2"/>
  <c r="N19" i="2"/>
  <c r="N20" i="2"/>
  <c r="N21" i="2"/>
  <c r="N15" i="2"/>
  <c r="N14" i="2"/>
  <c r="D16" i="1" l="1"/>
  <c r="D17" i="1" s="1"/>
  <c r="H14" i="3"/>
  <c r="G14" i="3"/>
  <c r="G15" i="3" s="1"/>
  <c r="D14" i="3"/>
  <c r="C14" i="3"/>
  <c r="G5" i="2"/>
  <c r="G6" i="2" s="1"/>
  <c r="J22" i="2" s="1"/>
  <c r="C17" i="1" l="1"/>
  <c r="C18" i="1" s="1"/>
  <c r="D18" i="1"/>
  <c r="D19" i="1" s="1"/>
  <c r="H15" i="3"/>
  <c r="H16" i="3" s="1"/>
  <c r="C15" i="3"/>
  <c r="D15" i="3"/>
  <c r="F18" i="2"/>
  <c r="B14" i="2"/>
  <c r="G19" i="2"/>
  <c r="C15" i="2"/>
  <c r="H20" i="2"/>
  <c r="D16" i="2"/>
  <c r="I21" i="2"/>
  <c r="E17" i="2"/>
  <c r="C19" i="1" l="1"/>
  <c r="C20" i="1" s="1"/>
  <c r="G16" i="3"/>
  <c r="H17" i="3" s="1"/>
  <c r="G17" i="3"/>
  <c r="H18" i="3" s="1"/>
  <c r="D16" i="3"/>
  <c r="C16" i="3"/>
  <c r="B25" i="2" a="1"/>
  <c r="B25" i="2" s="1"/>
  <c r="D20" i="1" l="1"/>
  <c r="D21" i="1" s="1"/>
  <c r="C21" i="1"/>
  <c r="C22" i="1" s="1"/>
  <c r="G18" i="3"/>
  <c r="H19" i="3" s="1"/>
  <c r="C17" i="3"/>
  <c r="D17" i="3"/>
  <c r="D22" i="1" l="1"/>
  <c r="G19" i="3"/>
  <c r="H20" i="3" s="1"/>
  <c r="D18" i="3"/>
  <c r="C18" i="3"/>
  <c r="G20" i="3" l="1"/>
  <c r="H21" i="3" s="1"/>
  <c r="D19" i="3"/>
  <c r="C19" i="3"/>
  <c r="C20" i="3" s="1"/>
  <c r="G21" i="3" l="1"/>
  <c r="G22" i="3" s="1"/>
  <c r="D20" i="3"/>
  <c r="D21" i="3" s="1"/>
  <c r="H22" i="3" l="1"/>
  <c r="H23" i="3" s="1"/>
  <c r="C21" i="3"/>
  <c r="D22" i="3" s="1"/>
  <c r="C22" i="3"/>
  <c r="G23" i="3" l="1"/>
  <c r="G24" i="3" s="1"/>
  <c r="H24" i="3" l="1"/>
  <c r="H25" i="3" s="1"/>
  <c r="G25" i="3" l="1"/>
  <c r="G26" i="3" s="1"/>
  <c r="H26" i="3" l="1"/>
  <c r="H27" i="3" s="1"/>
  <c r="G27" i="3" l="1"/>
  <c r="G28" i="3" s="1"/>
  <c r="H28" i="3" l="1"/>
  <c r="H29" i="3" s="1"/>
  <c r="G29" i="3" l="1"/>
  <c r="G30" i="3" s="1"/>
  <c r="H30" i="3" l="1"/>
  <c r="H31" i="3" s="1"/>
  <c r="G31" i="3"/>
  <c r="G32" i="3" s="1"/>
  <c r="H32" i="3" l="1"/>
  <c r="H33" i="3" l="1"/>
  <c r="G33" i="3"/>
  <c r="G34" i="3" s="1"/>
  <c r="H34" i="3" l="1"/>
  <c r="H35" i="3" s="1"/>
  <c r="G35" i="3" l="1"/>
  <c r="G36" i="3" s="1"/>
  <c r="H36" i="3" l="1"/>
  <c r="H37" i="3" s="1"/>
  <c r="G37" i="3" l="1"/>
  <c r="G38" i="3" s="1"/>
  <c r="H38" i="3" l="1"/>
  <c r="H39" i="3" s="1"/>
  <c r="G39" i="3" l="1"/>
  <c r="G40" i="3" s="1"/>
  <c r="H40" i="3" l="1"/>
  <c r="H41" i="3" s="1"/>
  <c r="G41" i="3" l="1"/>
  <c r="G42" i="3" s="1"/>
  <c r="H42" i="3" l="1"/>
  <c r="H43" i="3" s="1"/>
  <c r="G43" i="3" l="1"/>
  <c r="G44" i="3" s="1"/>
  <c r="H44" i="3" l="1"/>
  <c r="H45" i="3" s="1"/>
  <c r="G45" i="3" l="1"/>
  <c r="G46" i="3" s="1"/>
  <c r="H46" i="3" l="1"/>
  <c r="H47" i="3" s="1"/>
  <c r="G47" i="3" l="1"/>
  <c r="G48" i="3" s="1"/>
  <c r="H48" i="3" l="1"/>
  <c r="H49" i="3" s="1"/>
  <c r="G49" i="3" l="1"/>
  <c r="G50" i="3" s="1"/>
  <c r="H50" i="3" l="1"/>
  <c r="H51" i="3" s="1"/>
  <c r="G51" i="3" l="1"/>
  <c r="G52" i="3" s="1"/>
  <c r="H52" i="3" l="1"/>
  <c r="H53" i="3" s="1"/>
  <c r="G53" i="3" l="1"/>
  <c r="G54" i="3" s="1"/>
  <c r="H54" i="3" l="1"/>
  <c r="H55" i="3" s="1"/>
  <c r="G55" i="3" l="1"/>
  <c r="G56" i="3" s="1"/>
  <c r="H56" i="3" l="1"/>
  <c r="H57" i="3" s="1"/>
  <c r="G57" i="3" l="1"/>
  <c r="G58" i="3" s="1"/>
  <c r="H58" i="3" l="1"/>
  <c r="H59" i="3" s="1"/>
  <c r="G59" i="3" l="1"/>
  <c r="G60" i="3" s="1"/>
  <c r="H60" i="3" l="1"/>
  <c r="H61" i="3" s="1"/>
  <c r="G61" i="3" l="1"/>
  <c r="G62" i="3" s="1"/>
  <c r="H62" i="3" l="1"/>
  <c r="H63" i="3" s="1"/>
  <c r="G63" i="3" l="1"/>
  <c r="G64" i="3" s="1"/>
  <c r="H64" i="3" l="1"/>
  <c r="H65" i="3" s="1"/>
  <c r="G65" i="3" l="1"/>
  <c r="G66" i="3" s="1"/>
  <c r="H66" i="3" l="1"/>
  <c r="H67" i="3" s="1"/>
  <c r="G67" i="3" l="1"/>
  <c r="G68" i="3" s="1"/>
  <c r="H68" i="3" l="1"/>
  <c r="H69" i="3" s="1"/>
  <c r="G69" i="3" l="1"/>
  <c r="G70" i="3" s="1"/>
  <c r="H70" i="3" l="1"/>
  <c r="H71" i="3" s="1"/>
  <c r="G71" i="3" l="1"/>
  <c r="G72" i="3" s="1"/>
  <c r="H72" i="3" l="1"/>
  <c r="H73" i="3" s="1"/>
  <c r="G73" i="3" l="1"/>
  <c r="G74" i="3" s="1"/>
  <c r="H74" i="3" l="1"/>
  <c r="H75" i="3" s="1"/>
  <c r="G75" i="3" l="1"/>
  <c r="G76" i="3" s="1"/>
  <c r="H76" i="3" l="1"/>
  <c r="H77" i="3" s="1"/>
  <c r="G77" i="3" l="1"/>
  <c r="G78" i="3" s="1"/>
  <c r="H78" i="3" l="1"/>
  <c r="H79" i="3" s="1"/>
  <c r="G79" i="3" l="1"/>
  <c r="G80" i="3" s="1"/>
  <c r="H80" i="3" l="1"/>
  <c r="H81" i="3" s="1"/>
  <c r="G81" i="3" l="1"/>
  <c r="G82" i="3" s="1"/>
  <c r="H82" i="3" l="1"/>
  <c r="H83" i="3" s="1"/>
  <c r="G83" i="3" l="1"/>
  <c r="G84" i="3" s="1"/>
  <c r="H84" i="3" l="1"/>
  <c r="H85" i="3" s="1"/>
  <c r="G85" i="3" l="1"/>
  <c r="G86" i="3" s="1"/>
  <c r="H86" i="3" l="1"/>
  <c r="H87" i="3" s="1"/>
  <c r="G87" i="3" l="1"/>
  <c r="G88" i="3" s="1"/>
  <c r="H88" i="3" l="1"/>
  <c r="H89" i="3" s="1"/>
  <c r="G89" i="3" l="1"/>
  <c r="G90" i="3" s="1"/>
  <c r="H90" i="3" l="1"/>
  <c r="H91" i="3" s="1"/>
  <c r="G91" i="3" l="1"/>
  <c r="G92" i="3" s="1"/>
  <c r="H92" i="3" l="1"/>
  <c r="H93" i="3" s="1"/>
  <c r="G93" i="3" l="1"/>
  <c r="G94" i="3" s="1"/>
  <c r="H94" i="3" l="1"/>
  <c r="H95" i="3" s="1"/>
  <c r="G95" i="3" l="1"/>
  <c r="G96" i="3" s="1"/>
  <c r="H96" i="3" l="1"/>
  <c r="H97" i="3" s="1"/>
  <c r="G97" i="3" l="1"/>
  <c r="G98" i="3" s="1"/>
  <c r="H98" i="3" l="1"/>
  <c r="H99" i="3" s="1"/>
  <c r="G99" i="3" l="1"/>
  <c r="G100" i="3" s="1"/>
  <c r="H100" i="3" l="1"/>
  <c r="H101" i="3" s="1"/>
  <c r="G101" i="3"/>
  <c r="G102" i="3" s="1"/>
  <c r="H102" i="3" l="1"/>
  <c r="H103" i="3" s="1"/>
  <c r="G103" i="3" l="1"/>
  <c r="G104" i="3" s="1"/>
  <c r="H104" i="3" l="1"/>
  <c r="H105" i="3" s="1"/>
  <c r="G105" i="3" l="1"/>
  <c r="G106" i="3" s="1"/>
  <c r="H106" i="3" l="1"/>
  <c r="H107" i="3" s="1"/>
  <c r="G107" i="3" l="1"/>
  <c r="G108" i="3" s="1"/>
  <c r="H108" i="3" l="1"/>
  <c r="H109" i="3" s="1"/>
  <c r="G109" i="3" l="1"/>
  <c r="G110" i="3" s="1"/>
  <c r="H110" i="3" l="1"/>
  <c r="H111" i="3" s="1"/>
  <c r="G111" i="3" l="1"/>
  <c r="G112" i="3" s="1"/>
  <c r="H112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<sst xmlns="http://schemas.openxmlformats.org/spreadsheetml/2006/main" count="68" uniqueCount="49">
  <si>
    <t>Ex. 6.2 - Shooting Method</t>
  </si>
  <si>
    <t>k</t>
  </si>
  <si>
    <t>L/gmol*s</t>
  </si>
  <si>
    <t>gmol/L</t>
  </si>
  <si>
    <t>Da</t>
  </si>
  <si>
    <t>cm^2/s</t>
  </si>
  <si>
    <t>L</t>
  </si>
  <si>
    <t>h</t>
  </si>
  <si>
    <t>Dx</t>
  </si>
  <si>
    <t>x</t>
  </si>
  <si>
    <t>F</t>
  </si>
  <si>
    <t>Ca</t>
  </si>
  <si>
    <t>Euler:</t>
  </si>
  <si>
    <t>Ca(n+1)=Ca(n)+h*F(n)</t>
  </si>
  <si>
    <t>where x=L=1</t>
  </si>
  <si>
    <t>F(n+1)= F(n)+h*(k*Ca^2/Da)</t>
  </si>
  <si>
    <t>Ex. 6.3 - Finite Difference Method</t>
  </si>
  <si>
    <t>a</t>
  </si>
  <si>
    <t>b</t>
  </si>
  <si>
    <t>= -2-a</t>
  </si>
  <si>
    <t>= k*Dx^2/Da</t>
  </si>
  <si>
    <t>*boundary conditions are applied directly</t>
  </si>
  <si>
    <t>A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</si>
  <si>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</si>
  <si>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</si>
  <si>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</si>
  <si>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</si>
  <si>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</si>
  <si>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</si>
  <si>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</si>
  <si>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</si>
  <si>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</si>
  <si>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Ca(0)=</t>
  </si>
  <si>
    <t>Inverse A</t>
  </si>
  <si>
    <t>x=Ainverse*b</t>
  </si>
  <si>
    <t>Ca=</t>
  </si>
  <si>
    <t>Ca(0)</t>
  </si>
  <si>
    <t>Ex. 6.4 Euler Method and Goal Seek</t>
  </si>
  <si>
    <t>dT/dx= 0.5(T'-T)</t>
  </si>
  <si>
    <t>dT'/dx= -1.2(T'-T)</t>
  </si>
  <si>
    <t>T'(n+1)= T'(n)+h*(-1.2(T'(n)-T(n)))</t>
  </si>
  <si>
    <t>T(n+1)= T(n)+h*(0.5(T'(n)-T(n)))</t>
  </si>
  <si>
    <t>T'(0)=</t>
  </si>
  <si>
    <t>T(1)=</t>
  </si>
  <si>
    <t>T</t>
  </si>
  <si>
    <t>T'</t>
  </si>
  <si>
    <t>*Temperature in Celsius</t>
  </si>
  <si>
    <t>h= 0.1</t>
  </si>
  <si>
    <t>h=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</si>
</sst>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0.0000"/>
    <numFmt numFmtId="175" formatCode="0.0"/>
  </numFmts>
  <fonts count="3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1" applyAlignment="1">
      <alignment horizontal="center"/>
    </xf>
    <xf numFmtId="0" fontId="0" fillId="0" borderId="1" xfId="0" applyBorder="1"/>
    <xf numFmtId="0" fontId="2" fillId="0" borderId="0" xfId="0" applyFont="1"/>
    <xf numFmtId="0" fontId="0" fillId="0" borderId="0" xfId="0" applyBorder="1"/>
    <xf numFmtId="0" fontId="0" fillId="0" borderId="1" xfId="0" applyFill="1" applyBorder="1"/>
    <xf numFmtId="0" fontId="0" fillId="0" borderId="1" xfId="0" quotePrefix="1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71" fontId="0" fillId="0" borderId="1" xfId="0" applyNumberFormat="1" applyBorder="1"/>
    <xf numFmtId="171" fontId="0" fillId="2" borderId="1" xfId="0" applyNumberFormat="1" applyFill="1" applyBorder="1"/>
    <xf numFmtId="0" fontId="1" fillId="0" borderId="0" xfId="1" applyAlignment="1"/>
    <xf numFmtId="0" fontId="0" fillId="0" borderId="1" xfId="0" applyBorder="1" applyAlignment="1">
      <alignment horizontal="left"/>
    </xf>
    <xf numFmtId="2" fontId="0" fillId="0" borderId="1" xfId="0" applyNumberFormat="1" applyBorder="1"/>
    <xf numFmtId="175" fontId="0" fillId="0" borderId="1" xfId="0" applyNumberFormat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1" fontId="0" fillId="0" borderId="1" xfId="0" applyNumberFormat="1" applyBorder="1"/>
    <xf numFmtId="2" fontId="0" fillId="2" borderId="1" xfId="0" applyNumberFormat="1" applyFill="1" applyBorder="1"/>
  </cellXfs>
  <cellStyles count="2">
    <cellStyle name="Normal" xfId="0" builtinId="0"/>
    <cellStyle name="Title" xfId="1" builtinId="15"/>
  </cellStyles>
  <dxfs count="0"/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Ca(dx=0.1)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'1)'!$D$11</c:f>
              <c:strCache>
                <c:ptCount val="1"/>
                <c:pt idx="0">
                  <c:v>Ca</c:v>
                </c:pt>
              </c:strCache>
            </c:strRef>
          </c:tx>
          <c:spPr>
            <a:ln w="28575">
              <a:solidFill>
                <a:schemeClr val="accent1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('1)'!$B$12:$B$13,'1)'!$B$14,'1)'!$B$15:$B$22)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('1)'!$D$12:$D$13,'1)'!$D$14,'1)'!$D$15:$D$22)</c:f>
              <c:numCache>
                <c:formatCode>General</c:formatCode>
                <c:ptCount val="11"/>
                <c:pt idx="0">
                  <c:v>1</c:v>
                </c:pt>
                <c:pt idx="1">
                  <c:v>0.72540954947389702</c:v>
                </c:pt>
                <c:pt idx="2">
                  <c:v>0.55081909894779402</c:v>
                </c:pt>
                <c:pt idx="3">
                  <c:v>0.42885054986848326</c:v>
                </c:pt>
                <c:pt idx="4">
                  <c:v>0.33722216876573846</c:v>
                </c:pt>
                <c:pt idx="5">
                  <c:v>0.26398506707524372</c:v>
                </c:pt>
                <c:pt idx="6">
                  <c:v>0.20211984449545578</c:v>
                </c:pt>
                <c:pt idx="7">
                  <c:v>0.14722343347953992</c:v>
                </c:pt>
                <c:pt idx="8">
                  <c:v>9.6412265617510789E-2</c:v>
                </c:pt>
                <c:pt idx="9">
                  <c:v>4.7768571692032108E-2</c:v>
                </c:pt>
                <c:pt idx="10">
                  <c:v>5.4410262703571965E-5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5C-45AB-A323-DF42FA957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550080"/>
        <c:axId val="316552376"/>
      </c:scatterChart>
      <c:valAx>
        <c:axId val="316550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552376"/>
        <c:crosses val="autoZero"/>
        <c:crossBetween val="midCat"/>
      </c:valAx>
      <c:valAx>
        <c:axId val="316552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550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Ca(dx=0.1)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'2)'!$C$36</c:f>
              <c:strCache>
                <c:ptCount val="1"/>
                <c:pt idx="0">
                  <c:v>Ca</c:v>
                </c:pt>
              </c:strCache>
            </c:strRef>
          </c:tx>
          <c:spPr>
            <a:ln w="28575">
              <a:solidFill>
                <a:schemeClr val="accent1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'2)'!$B$37:$B$47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'2)'!$C$37:$C$47</c:f>
              <c:numCache>
                <c:formatCode>General</c:formatCode>
                <c:ptCount val="11"/>
                <c:pt idx="0">
                  <c:v>1</c:v>
                </c:pt>
                <c:pt idx="1">
                  <c:v>0.72866403895529319</c:v>
                </c:pt>
                <c:pt idx="2">
                  <c:v>0.53019448180611561</c:v>
                </c:pt>
                <c:pt idx="3">
                  <c:v>0.38474437283754953</c:v>
                </c:pt>
                <c:pt idx="4">
                  <c:v>0.27776870115273861</c:v>
                </c:pt>
                <c:pt idx="5">
                  <c:v>0.19856989958320159</c:v>
                </c:pt>
                <c:pt idx="6">
                  <c:v>0.1392280879719848</c:v>
                </c:pt>
                <c:pt idx="7">
                  <c:v>9.3809085157966446E-2</c:v>
                </c:pt>
                <c:pt idx="8">
                  <c:v>5.7770990859744728E-2</c:v>
                </c:pt>
                <c:pt idx="9">
                  <c:v>2.7509995647497492E-2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0E-4D0A-A580-5BB2C83B5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8060544"/>
        <c:axId val="608060872"/>
      </c:scatterChart>
      <c:valAx>
        <c:axId val="608060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060872"/>
        <c:crosses val="autoZero"/>
        <c:crossBetween val="midCat"/>
      </c:valAx>
      <c:valAx>
        <c:axId val="608060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060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Heat</a:t>
            </a:r>
            <a:r>
              <a:rPr lang="en-US" baseline="0"/>
              <a:t> Exchange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'3)'!$G$11</c:f>
              <c:strCache>
                <c:ptCount val="1"/>
                <c:pt idx="0">
                  <c:v>T</c:v>
                </c:pt>
              </c:strCache>
            </c:strRef>
          </c:tx>
          <c:spPr>
            <a:ln w="28575">
              <a:solidFill>
                <a:schemeClr val="accent1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'3)'!$F$12:$F$112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'3)'!$G$12:$G$112</c:f>
              <c:numCache>
                <c:formatCode>0.00</c:formatCode>
                <c:ptCount val="101"/>
                <c:pt idx="0">
                  <c:v>35.040606013355116</c:v>
                </c:pt>
                <c:pt idx="1">
                  <c:v>35.76540298328834</c:v>
                </c:pt>
                <c:pt idx="2">
                  <c:v>36.477878404732699</c:v>
                </c:pt>
                <c:pt idx="3">
                  <c:v>37.178241744012503</c:v>
                </c:pt>
                <c:pt idx="4">
                  <c:v>37.866698906524555</c:v>
                </c:pt>
                <c:pt idx="5">
                  <c:v>38.543452297273902</c:v>
                </c:pt>
                <c:pt idx="6">
                  <c:v>39.208700880380505</c:v>
                </c:pt>
                <c:pt idx="7">
                  <c:v>39.862640237574297</c:v>
                </c:pt>
                <c:pt idx="8">
                  <c:v>40.505462625695792</c:v>
                </c:pt>
                <c:pt idx="9">
                  <c:v>41.137357033219224</c:v>
                </c:pt>
                <c:pt idx="10">
                  <c:v>41.758509235814756</c:v>
                </c:pt>
                <c:pt idx="11">
                  <c:v>42.369101850966167</c:v>
                </c:pt>
                <c:pt idx="12">
                  <c:v>42.969314391660006</c:v>
                </c:pt>
                <c:pt idx="13">
                  <c:v>43.559323319162047</c:v>
                </c:pt>
                <c:pt idx="14">
                  <c:v>44.13930209489655</c:v>
                </c:pt>
                <c:pt idx="15">
                  <c:v>44.709421231443571</c:v>
                </c:pt>
                <c:pt idx="16">
                  <c:v>45.269848342669292</c:v>
                </c:pt>
                <c:pt idx="17">
                  <c:v>45.820748193004178</c:v>
                </c:pt>
                <c:pt idx="18">
                  <c:v>46.36228274588337</c:v>
                </c:pt>
                <c:pt idx="19">
                  <c:v>46.89461121136361</c:v>
                </c:pt>
                <c:pt idx="20">
                  <c:v>47.417890092930691</c:v>
                </c:pt>
                <c:pt idx="21">
                  <c:v>47.932273233511133</c:v>
                </c:pt>
                <c:pt idx="22">
                  <c:v>48.437911860701703</c:v>
                </c:pt>
                <c:pt idx="23">
                  <c:v>48.934954631230035</c:v>
                </c:pt>
                <c:pt idx="24">
                  <c:v>49.423547674659382</c:v>
                </c:pt>
                <c:pt idx="25">
                  <c:v>49.903834636350432</c:v>
                </c:pt>
                <c:pt idx="26">
                  <c:v>50.375956719692738</c:v>
                </c:pt>
                <c:pt idx="27">
                  <c:v>50.840052727618222</c:v>
                </c:pt>
                <c:pt idx="28">
                  <c:v>51.296259103408971</c:v>
                </c:pt>
                <c:pt idx="29">
                  <c:v>51.744709970811279</c:v>
                </c:pt>
                <c:pt idx="30">
                  <c:v>52.18553717346775</c:v>
                </c:pt>
                <c:pt idx="31">
                  <c:v>52.618870313679061</c:v>
                </c:pt>
                <c:pt idx="32">
                  <c:v>53.044836790506778</c:v>
                </c:pt>
                <c:pt idx="33">
                  <c:v>53.463561837228426</c:v>
                </c:pt>
                <c:pt idx="34">
                  <c:v>53.875168558155806</c:v>
                </c:pt>
                <c:pt idx="35">
                  <c:v>54.279777964827417</c:v>
                </c:pt>
                <c:pt idx="36">
                  <c:v>54.677509011585613</c:v>
                </c:pt>
                <c:pt idx="37">
                  <c:v>55.068478630548917</c:v>
                </c:pt>
                <c:pt idx="38">
                  <c:v>55.452801765989847</c:v>
                </c:pt>
                <c:pt idx="39">
                  <c:v>55.830591408128278</c:v>
                </c:pt>
                <c:pt idx="40">
                  <c:v>56.201958626350361</c:v>
                </c:pt>
                <c:pt idx="41">
                  <c:v>56.567012601862665</c:v>
                </c:pt>
                <c:pt idx="42">
                  <c:v>56.925860659791262</c:v>
                </c:pt>
                <c:pt idx="43">
                  <c:v>57.278608300735073</c:v>
                </c:pt>
                <c:pt idx="44">
                  <c:v>57.625359231782838</c:v>
                </c:pt>
                <c:pt idx="45">
                  <c:v>57.966215397002792</c:v>
                </c:pt>
                <c:pt idx="46">
                  <c:v>58.301277007414008</c:v>
                </c:pt>
                <c:pt idx="47">
                  <c:v>58.630642570448231</c:v>
                </c:pt>
                <c:pt idx="48">
                  <c:v>58.954408918910872</c:v>
                </c:pt>
                <c:pt idx="49">
                  <c:v>59.27267123944965</c:v>
                </c:pt>
                <c:pt idx="50">
                  <c:v>59.58552310053927</c:v>
                </c:pt>
                <c:pt idx="51">
                  <c:v>59.893056479990364</c:v>
                </c:pt>
                <c:pt idx="52">
                  <c:v>60.195361791990791</c:v>
                </c:pt>
                <c:pt idx="53">
                  <c:v>60.492527913687212</c:v>
                </c:pt>
                <c:pt idx="54">
                  <c:v>60.78464221131479</c:v>
                </c:pt>
                <c:pt idx="55">
                  <c:v>61.071790565882701</c:v>
                </c:pt>
                <c:pt idx="56">
                  <c:v>61.35405739842296</c:v>
                </c:pt>
                <c:pt idx="57">
                  <c:v>61.63152569481003</c:v>
                </c:pt>
                <c:pt idx="58">
                  <c:v>61.904277030158518</c:v>
                </c:pt>
                <c:pt idx="59">
                  <c:v>62.172391592806086</c:v>
                </c:pt>
                <c:pt idx="60">
                  <c:v>62.435948207888643</c:v>
                </c:pt>
                <c:pt idx="61">
                  <c:v>62.6950243605148</c:v>
                </c:pt>
                <c:pt idx="62">
                  <c:v>62.949696218546308</c:v>
                </c:pt>
                <c:pt idx="63">
                  <c:v>63.200038654991282</c:v>
                </c:pt>
                <c:pt idx="64">
                  <c:v>63.446125270016694</c:v>
                </c:pt>
                <c:pt idx="65">
                  <c:v>63.688028412586668</c:v>
                </c:pt>
                <c:pt idx="66">
                  <c:v>63.925819201732956</c:v>
                </c:pt>
                <c:pt idx="67">
                  <c:v>64.159567547463752</c:v>
                </c:pt>
                <c:pt idx="68">
                  <c:v>64.389342171317125</c:v>
                </c:pt>
                <c:pt idx="69">
                  <c:v>64.615210626565002</c:v>
                </c:pt>
                <c:pt idx="70">
                  <c:v>64.837239318073657</c:v>
                </c:pt>
                <c:pt idx="71">
                  <c:v>65.055493521826662</c:v>
                </c:pt>
                <c:pt idx="72">
                  <c:v>65.270037404115868</c:v>
                </c:pt>
                <c:pt idx="73">
                  <c:v>65.480934040406154</c:v>
                </c:pt>
                <c:pt idx="74">
                  <c:v>65.688245433879516</c:v>
                </c:pt>
                <c:pt idx="75">
                  <c:v>65.892032533663823</c:v>
                </c:pt>
                <c:pt idx="76">
                  <c:v>66.092355252751801</c:v>
                </c:pt>
                <c:pt idx="77">
                  <c:v>66.289272485615285</c:v>
                </c:pt>
                <c:pt idx="78">
                  <c:v>66.482842125520094</c:v>
                </c:pt>
                <c:pt idx="79">
                  <c:v>66.673121081546512</c:v>
                </c:pt>
                <c:pt idx="80">
                  <c:v>66.860165295320485</c:v>
                </c:pt>
                <c:pt idx="81">
                  <c:v>67.044029757460294</c:v>
                </c:pt>
                <c:pt idx="82">
                  <c:v>67.224768523743734</c:v>
                </c:pt>
                <c:pt idx="83">
                  <c:v>67.402434731000355</c:v>
                </c:pt>
                <c:pt idx="84">
                  <c:v>67.57708061273361</c:v>
                </c:pt>
                <c:pt idx="85">
                  <c:v>67.748757514477404</c:v>
                </c:pt>
                <c:pt idx="86">
                  <c:v>67.917515908891545</c:v>
                </c:pt>
                <c:pt idx="87">
                  <c:v>68.083405410600648</c:v>
                </c:pt>
                <c:pt idx="88">
                  <c:v>68.246474790780695</c:v>
                </c:pt>
                <c:pt idx="89">
                  <c:v>68.406771991497678</c:v>
                </c:pt>
                <c:pt idx="90">
                  <c:v>68.564344139802472</c:v>
                </c:pt>
                <c:pt idx="91">
                  <c:v>68.719237561586098</c:v>
                </c:pt>
                <c:pt idx="92">
                  <c:v>68.871497795199389</c:v>
                </c:pt>
                <c:pt idx="93">
                  <c:v>69.021169604841262</c:v>
                </c:pt>
                <c:pt idx="94">
                  <c:v>69.168296993719224</c:v>
                </c:pt>
                <c:pt idx="95">
                  <c:v>69.312923216986263</c:v>
                </c:pt>
                <c:pt idx="96">
                  <c:v>69.45509079445776</c:v>
                </c:pt>
                <c:pt idx="97">
                  <c:v>69.594841523112237</c:v>
                </c:pt>
                <c:pt idx="98">
                  <c:v>69.732216489379596</c:v>
                </c:pt>
                <c:pt idx="99">
                  <c:v>69.867256081220404</c:v>
                </c:pt>
                <c:pt idx="100">
                  <c:v>69.999999999999915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67-4282-86B1-493298767C9A}"/>
            </c:ext>
          </c:extLst>
        </c:ser>
        <c:ser>
          <c:idx val="1"/>
          <c:order val="1"/>
          <c:tx>
            <c:strRef>
              <c:f>'3)'!$H$11</c:f>
              <c:strCache>
                <c:ptCount val="1"/>
                <c:pt idx="0">
                  <c:v>T'</c:v>
                </c:pt>
              </c:strCache>
            </c:strRef>
          </c:tx>
          <c:spPr>
            <a:ln w="28575">
              <a:solidFill>
                <a:schemeClr val="accent2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'3)'!$F$12:$F$112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'3)'!$H$12:$H$112</c:f>
              <c:numCache>
                <c:formatCode>0.00</c:formatCode>
                <c:ptCount val="101"/>
                <c:pt idx="0">
                  <c:v>180</c:v>
                </c:pt>
                <c:pt idx="1">
                  <c:v>178.26048727216025</c:v>
                </c:pt>
                <c:pt idx="2">
                  <c:v>176.55054626069378</c:v>
                </c:pt>
                <c:pt idx="3">
                  <c:v>174.86967424642225</c:v>
                </c:pt>
                <c:pt idx="4">
                  <c:v>173.21737705639333</c:v>
                </c:pt>
                <c:pt idx="5">
                  <c:v>171.5931689185949</c:v>
                </c:pt>
                <c:pt idx="6">
                  <c:v>169.99657231913903</c:v>
                </c:pt>
                <c:pt idx="7">
                  <c:v>168.42711786187394</c:v>
                </c:pt>
                <c:pt idx="8">
                  <c:v>166.88434413038235</c:v>
                </c:pt>
                <c:pt idx="9">
                  <c:v>165.3677975523261</c:v>
                </c:pt>
                <c:pt idx="10">
                  <c:v>163.87703226609682</c:v>
                </c:pt>
                <c:pt idx="11">
                  <c:v>162.41160998973342</c:v>
                </c:pt>
                <c:pt idx="12">
                  <c:v>160.97109989206822</c:v>
                </c:pt>
                <c:pt idx="13">
                  <c:v>159.55507846606332</c:v>
                </c:pt>
                <c:pt idx="14">
                  <c:v>158.16312940430052</c:v>
                </c:pt>
                <c:pt idx="15">
                  <c:v>156.79484347658766</c:v>
                </c:pt>
                <c:pt idx="16">
                  <c:v>155.44981840964593</c:v>
                </c:pt>
                <c:pt idx="17">
                  <c:v>154.1276587688422</c:v>
                </c:pt>
                <c:pt idx="18">
                  <c:v>152.82797584193213</c:v>
                </c:pt>
                <c:pt idx="19">
                  <c:v>151.55038752477955</c:v>
                </c:pt>
                <c:pt idx="20">
                  <c:v>150.29451820901855</c:v>
                </c:pt>
                <c:pt idx="21">
                  <c:v>149.05999867162549</c:v>
                </c:pt>
                <c:pt idx="22">
                  <c:v>147.84646596636813</c:v>
                </c:pt>
                <c:pt idx="23">
                  <c:v>146.65356331710012</c:v>
                </c:pt>
                <c:pt idx="24">
                  <c:v>145.4809400128697</c:v>
                </c:pt>
                <c:pt idx="25">
                  <c:v>144.32825130481118</c:v>
                </c:pt>
                <c:pt idx="26">
                  <c:v>143.19515830478966</c:v>
                </c:pt>
                <c:pt idx="27">
                  <c:v>142.0813278857685</c:v>
                </c:pt>
                <c:pt idx="28">
                  <c:v>140.98643258387071</c:v>
                </c:pt>
                <c:pt idx="29">
                  <c:v>139.91015050210518</c:v>
                </c:pt>
                <c:pt idx="30">
                  <c:v>138.85216521572966</c:v>
                </c:pt>
                <c:pt idx="31">
                  <c:v>137.81216567922252</c:v>
                </c:pt>
                <c:pt idx="32">
                  <c:v>136.78984613483598</c:v>
                </c:pt>
                <c:pt idx="33">
                  <c:v>135.78490602270404</c:v>
                </c:pt>
                <c:pt idx="34">
                  <c:v>134.79704989247833</c:v>
                </c:pt>
                <c:pt idx="35">
                  <c:v>133.82598731646647</c:v>
                </c:pt>
                <c:pt idx="36">
                  <c:v>132.87143280424681</c:v>
                </c:pt>
                <c:pt idx="37">
                  <c:v>131.93310571873488</c:v>
                </c:pt>
                <c:pt idx="38">
                  <c:v>131.01073019367664</c:v>
                </c:pt>
                <c:pt idx="39">
                  <c:v>130.10403505254439</c:v>
                </c:pt>
                <c:pt idx="40">
                  <c:v>129.21275372881141</c:v>
                </c:pt>
                <c:pt idx="41">
                  <c:v>128.33662418758186</c:v>
                </c:pt>
                <c:pt idx="42">
                  <c:v>127.47538884855324</c:v>
                </c:pt>
                <c:pt idx="43">
                  <c:v>126.62879451028809</c:v>
                </c:pt>
                <c:pt idx="44">
                  <c:v>125.79659227577345</c:v>
                </c:pt>
                <c:pt idx="45">
                  <c:v>124.97853747924556</c:v>
                </c:pt>
                <c:pt idx="46">
                  <c:v>124.17438961425864</c:v>
                </c:pt>
                <c:pt idx="47">
                  <c:v>123.38391226297651</c:v>
                </c:pt>
                <c:pt idx="48">
                  <c:v>122.60687302666616</c:v>
                </c:pt>
                <c:pt idx="49">
                  <c:v>121.8430434573731</c:v>
                </c:pt>
                <c:pt idx="50">
                  <c:v>121.09219899075802</c:v>
                </c:pt>
                <c:pt idx="51">
                  <c:v>120.35411888007539</c:v>
                </c:pt>
                <c:pt idx="52">
                  <c:v>119.62858613127437</c:v>
                </c:pt>
                <c:pt idx="53">
                  <c:v>118.91538743920297</c:v>
                </c:pt>
                <c:pt idx="54">
                  <c:v>118.21431312489679</c:v>
                </c:pt>
                <c:pt idx="55">
                  <c:v>117.52515707393381</c:v>
                </c:pt>
                <c:pt idx="56">
                  <c:v>116.84771667583721</c:v>
                </c:pt>
                <c:pt idx="57">
                  <c:v>116.18179276450823</c:v>
                </c:pt>
                <c:pt idx="58">
                  <c:v>115.52718955967185</c:v>
                </c:pt>
                <c:pt idx="59">
                  <c:v>114.88371460931769</c:v>
                </c:pt>
                <c:pt idx="60">
                  <c:v>114.25117873311956</c:v>
                </c:pt>
                <c:pt idx="61">
                  <c:v>113.62939596681679</c:v>
                </c:pt>
                <c:pt idx="62">
                  <c:v>113.01818350754117</c:v>
                </c:pt>
                <c:pt idx="63">
                  <c:v>112.41736166007323</c:v>
                </c:pt>
                <c:pt idx="64">
                  <c:v>111.82675378401224</c:v>
                </c:pt>
                <c:pt idx="65">
                  <c:v>111.2461862418443</c:v>
                </c:pt>
                <c:pt idx="66">
                  <c:v>110.67548834789321</c:v>
                </c:pt>
                <c:pt idx="67">
                  <c:v>110.11449231813928</c:v>
                </c:pt>
                <c:pt idx="68">
                  <c:v>109.56303322089117</c:v>
                </c:pt>
                <c:pt idx="69">
                  <c:v>109.02094892829628</c:v>
                </c:pt>
                <c:pt idx="70">
                  <c:v>108.4880800686755</c:v>
                </c:pt>
                <c:pt idx="71">
                  <c:v>107.96426997966827</c:v>
                </c:pt>
                <c:pt idx="72">
                  <c:v>107.44936466217418</c:v>
                </c:pt>
                <c:pt idx="73">
                  <c:v>106.94321273507748</c:v>
                </c:pt>
                <c:pt idx="74">
                  <c:v>106.44566539074142</c:v>
                </c:pt>
                <c:pt idx="75">
                  <c:v>105.95657635125909</c:v>
                </c:pt>
                <c:pt idx="76">
                  <c:v>105.47580182544795</c:v>
                </c:pt>
                <c:pt idx="77">
                  <c:v>105.00320046657559</c:v>
                </c:pt>
                <c:pt idx="78">
                  <c:v>104.53863333080407</c:v>
                </c:pt>
                <c:pt idx="79">
                  <c:v>104.08196383634066</c:v>
                </c:pt>
                <c:pt idx="80">
                  <c:v>103.63305772328313</c:v>
                </c:pt>
                <c:pt idx="81">
                  <c:v>103.19178301414757</c:v>
                </c:pt>
                <c:pt idx="82">
                  <c:v>102.75800997506732</c:v>
                </c:pt>
                <c:pt idx="83">
                  <c:v>102.33161107765144</c:v>
                </c:pt>
                <c:pt idx="84">
                  <c:v>101.91246096149163</c:v>
                </c:pt>
                <c:pt idx="85">
                  <c:v>101.50043639730653</c:v>
                </c:pt>
                <c:pt idx="86">
                  <c:v>101.09541625071257</c:v>
                </c:pt>
                <c:pt idx="87">
                  <c:v>100.69728144661072</c:v>
                </c:pt>
                <c:pt idx="88">
                  <c:v>100.3059149341786</c:v>
                </c:pt>
                <c:pt idx="89">
                  <c:v>99.921201652457825</c:v>
                </c:pt>
                <c:pt idx="90">
                  <c:v>99.543028496526304</c:v>
                </c:pt>
                <c:pt idx="91">
                  <c:v>99.171284284245615</c:v>
                </c:pt>
                <c:pt idx="92">
                  <c:v>98.805859723573704</c:v>
                </c:pt>
                <c:pt idx="93">
                  <c:v>98.446647380433205</c:v>
                </c:pt>
                <c:pt idx="94">
                  <c:v>98.093541647126102</c:v>
                </c:pt>
                <c:pt idx="95">
                  <c:v>97.746438711285222</c:v>
                </c:pt>
                <c:pt idx="96">
                  <c:v>97.405236525353629</c:v>
                </c:pt>
                <c:pt idx="97">
                  <c:v>97.06983477658288</c:v>
                </c:pt>
                <c:pt idx="98">
                  <c:v>96.740134857541236</c:v>
                </c:pt>
                <c:pt idx="99">
                  <c:v>96.416039837123293</c:v>
                </c:pt>
                <c:pt idx="100">
                  <c:v>96.097454432052459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67-4282-86B1-493298767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870072"/>
        <c:axId val="461867448"/>
      </c:scatterChart>
      <c:valAx>
        <c:axId val="461870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867448"/>
        <c:crosses val="autoZero"/>
        <c:crossBetween val="midCat"/>
      </c:valAx>
      <c:valAx>
        <c:axId val="461867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870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333374</xdr:colOff>
      <xdr:row>8</xdr:row>
      <xdr:rowOff>71437</xdr:rowOff>
    </xdr:from>
    <xdr:to>
      <xdr:col>12</xdr:col>
      <xdr:colOff>104775</xdr:colOff>
      <xdr:row>21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D637CD-1E3A-4B06-AE1F-DADB8B2D18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34</xdr:row>
      <xdr:rowOff>185737</xdr:rowOff>
    </xdr:from>
    <xdr:to>
      <xdr:col>10</xdr:col>
      <xdr:colOff>561975</xdr:colOff>
      <xdr:row>49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9A95A0-9B52-4679-83C9-497FBFFA94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266700</xdr:colOff>
      <xdr:row>6</xdr:row>
      <xdr:rowOff>100012</xdr:rowOff>
    </xdr:from>
    <xdr:to>
      <xdr:col>16</xdr:col>
      <xdr:colOff>571500</xdr:colOff>
      <xdr:row>20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A60B85-9985-48BB-B0CC-1FC8EF17EE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4161C-2D1D-4BBD-A512-E78EC18E71C1}">
  <dimension ref="A2:G22"/>
  <sheetViews>
    <sheetView tabSelected="1" topLeftCell="A3" workbookViewId="0">
      <selection activeCell="E14" sqref="E14"/>
    </sheetView>
  </sheetViews>
  <sheetFormatPr defaultRowHeight="15" x14ac:dyDescent="0.25"/>
  <cols>
    <col min="1" max="1" width="12.28515625" bestFit="1" customWidth="1"/>
    <col min="3" max="3" width="12.28515625" bestFit="1" customWidth="1"/>
    <col min="4" max="4" width="11.7109375" bestFit="1" customWidth="1"/>
    <col min="5" max="5" width="12.42578125" customWidth="1"/>
  </cols>
  <sheetData>
    <row r="2" spans="1:7" ht="23.25" x14ac:dyDescent="0.35">
      <c r="A2" s="1" t="s">
        <v>0</v>
      </c>
      <c r="B2" s="1"/>
      <c r="C2" s="1"/>
      <c r="D2" s="1"/>
      <c r="E2" s="1"/>
    </row>
    <row r="4" spans="1:7" x14ac:dyDescent="0.25">
      <c r="B4" s="2" t="s">
        <v>1</v>
      </c>
      <c r="C4" s="2">
        <v>0.01</v>
      </c>
      <c r="D4" s="2" t="s">
        <v>2</v>
      </c>
      <c r="F4" s="3" t="s">
        <v>12</v>
      </c>
      <c r="G4" t="s">
        <v>15</v>
      </c>
    </row>
    <row r="5" spans="1:7" x14ac:dyDescent="0.25">
      <c r="B5" s="2" t="s">
        <v>36</v>
      </c>
      <c r="C5" s="2">
        <v>1</v>
      </c>
      <c r="D5" s="2" t="s">
        <v>3</v>
      </c>
      <c r="G5" t="s">
        <v>13</v>
      </c>
    </row>
    <row r="6" spans="1:7" x14ac:dyDescent="0.25">
      <c r="B6" s="2" t="s">
        <v>4</v>
      </c>
      <c r="C6" s="2">
        <v>1E-3</v>
      </c>
      <c r="D6" s="2" t="s">
        <v>5</v>
      </c>
    </row>
    <row r="7" spans="1:7" x14ac:dyDescent="0.25">
      <c r="B7" s="2" t="s">
        <v>6</v>
      </c>
      <c r="C7" s="2">
        <v>1</v>
      </c>
      <c r="D7" s="2" t="s">
        <v>5</v>
      </c>
    </row>
    <row r="8" spans="1:7" x14ac:dyDescent="0.25">
      <c r="B8" s="2" t="s">
        <v>7</v>
      </c>
      <c r="C8" s="2">
        <v>0.1</v>
      </c>
      <c r="D8" s="4"/>
    </row>
    <row r="11" spans="1:7" x14ac:dyDescent="0.25">
      <c r="A11" s="3" t="s">
        <v>14</v>
      </c>
      <c r="B11" s="2" t="s">
        <v>9</v>
      </c>
      <c r="C11" s="2" t="s">
        <v>10</v>
      </c>
      <c r="D11" s="2" t="s">
        <v>11</v>
      </c>
    </row>
    <row r="12" spans="1:7" x14ac:dyDescent="0.25">
      <c r="B12" s="2">
        <v>0</v>
      </c>
      <c r="C12" s="7">
        <v>-2.7459045052610298</v>
      </c>
      <c r="D12" s="2">
        <v>1</v>
      </c>
    </row>
    <row r="13" spans="1:7" x14ac:dyDescent="0.25">
      <c r="B13" s="2">
        <v>0.1</v>
      </c>
      <c r="C13" s="2">
        <f>C12+h*k*D12^2/Da</f>
        <v>-1.7459045052610298</v>
      </c>
      <c r="D13" s="2">
        <f>D12+h*C12</f>
        <v>0.72540954947389702</v>
      </c>
    </row>
    <row r="14" spans="1:7" x14ac:dyDescent="0.25">
      <c r="B14" s="2">
        <v>0.2</v>
      </c>
      <c r="C14" s="2">
        <f>C13+h*k*D13^2/Da</f>
        <v>-1.2196854907931076</v>
      </c>
      <c r="D14" s="2">
        <f>D13+h*C13</f>
        <v>0.55081909894779402</v>
      </c>
    </row>
    <row r="15" spans="1:7" x14ac:dyDescent="0.25">
      <c r="B15" s="2">
        <v>0.3</v>
      </c>
      <c r="C15" s="2">
        <f>C14+h*k*D14^2/Da</f>
        <v>-0.91628381102744794</v>
      </c>
      <c r="D15" s="2">
        <f>D14+h*C14</f>
        <v>0.42885054986848326</v>
      </c>
    </row>
    <row r="16" spans="1:7" x14ac:dyDescent="0.25">
      <c r="B16" s="2">
        <v>0.4</v>
      </c>
      <c r="C16" s="2">
        <f>C15+h*k*D15^2/Da</f>
        <v>-0.73237101690494755</v>
      </c>
      <c r="D16" s="2">
        <f>D15+h*C15</f>
        <v>0.33722216876573846</v>
      </c>
    </row>
    <row r="17" spans="2:4" x14ac:dyDescent="0.25">
      <c r="B17" s="2">
        <v>0.5</v>
      </c>
      <c r="C17" s="2">
        <f>C16+h*k*D16^2/Da</f>
        <v>-0.61865222579787937</v>
      </c>
      <c r="D17" s="2">
        <f>D16+h*C16</f>
        <v>0.26398506707524372</v>
      </c>
    </row>
    <row r="18" spans="2:4" x14ac:dyDescent="0.25">
      <c r="B18" s="2">
        <v>0.6</v>
      </c>
      <c r="C18" s="2">
        <f>C17+h*k*D17^2/Da</f>
        <v>-0.54896411015915847</v>
      </c>
      <c r="D18" s="2">
        <f>D17+h*C17</f>
        <v>0.20211984449545578</v>
      </c>
    </row>
    <row r="19" spans="2:4" x14ac:dyDescent="0.25">
      <c r="B19" s="2">
        <v>0.7</v>
      </c>
      <c r="C19" s="2">
        <f>C18+h*k*D18^2/Da</f>
        <v>-0.50811167862029127</v>
      </c>
      <c r="D19" s="2">
        <f>D18+h*C18</f>
        <v>0.14722343347953992</v>
      </c>
    </row>
    <row r="20" spans="2:4" x14ac:dyDescent="0.25">
      <c r="B20" s="2">
        <v>0.8</v>
      </c>
      <c r="C20" s="2">
        <f>C19+h*k*D19^2/Da</f>
        <v>-0.48643693925478676</v>
      </c>
      <c r="D20" s="2">
        <f>D19+h*C19</f>
        <v>9.6412265617510789E-2</v>
      </c>
    </row>
    <row r="21" spans="2:4" x14ac:dyDescent="0.25">
      <c r="B21" s="2">
        <v>0.9</v>
      </c>
      <c r="C21" s="2">
        <f>C20+h*k*D20^2/Da</f>
        <v>-0.47714161429328533</v>
      </c>
      <c r="D21" s="2">
        <f>D20+h*C20</f>
        <v>4.7768571692032108E-2</v>
      </c>
    </row>
    <row r="22" spans="2:4" x14ac:dyDescent="0.25">
      <c r="B22" s="2">
        <v>1</v>
      </c>
      <c r="C22" s="2">
        <f>C21+h*k*D21^2/Da</f>
        <v>-0.47485977785178851</v>
      </c>
      <c r="D22" s="2">
        <f>D21+h*C21</f>
        <v>5.4410262703571965E-5</v>
      </c>
    </row>
  </sheetData>
  <mergeCells count="1">
    <mergeCell ref="A2:E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909C0-6BE8-4D22-9639-546AC4DBCD42}">
  <dimension ref="B2:N47"/>
  <sheetViews>
    <sheetView topLeftCell="A29" workbookViewId="0">
      <selection activeCell="D43" sqref="D43"/>
    </sheetView>
  </sheetViews>
  <sheetFormatPr defaultRowHeight="15" x14ac:dyDescent="0.25"/>
  <cols>
    <col min="3" max="3" width="11.85546875" customWidth="1"/>
    <col min="5" max="5" width="10.7109375" customWidth="1"/>
    <col min="7" max="7" width="12.5703125" customWidth="1"/>
    <col min="11" max="11" width="15.28515625" customWidth="1"/>
    <col min="15" max="15" width="13" customWidth="1"/>
  </cols>
  <sheetData>
    <row r="2" spans="2:14" ht="23.25" x14ac:dyDescent="0.35">
      <c r="B2" s="1" t="s">
        <v>16</v>
      </c>
      <c r="C2" s="1"/>
      <c r="D2" s="1"/>
      <c r="E2" s="1"/>
      <c r="F2" s="1"/>
    </row>
    <row r="5" spans="2:14" x14ac:dyDescent="0.25">
      <c r="B5" s="2" t="s">
        <v>1</v>
      </c>
      <c r="C5" s="2">
        <v>0.01</v>
      </c>
      <c r="D5" s="2" t="s">
        <v>2</v>
      </c>
      <c r="F5" s="5" t="s">
        <v>17</v>
      </c>
      <c r="G5" s="5">
        <f>k*Dx^2/Da</f>
        <v>0.10000000000000002</v>
      </c>
      <c r="H5" s="6" t="s">
        <v>20</v>
      </c>
      <c r="J5" t="s">
        <v>21</v>
      </c>
    </row>
    <row r="6" spans="2:14" x14ac:dyDescent="0.25">
      <c r="B6" s="2" t="s">
        <v>36</v>
      </c>
      <c r="C6" s="2">
        <v>1</v>
      </c>
      <c r="D6" s="2" t="s">
        <v>3</v>
      </c>
      <c r="F6" s="5" t="s">
        <v>18</v>
      </c>
      <c r="G6" s="5">
        <f>-2-G5</f>
        <v>-2.1</v>
      </c>
      <c r="H6" s="6" t="s">
        <v>19</v>
      </c>
    </row>
    <row r="7" spans="2:14" x14ac:dyDescent="0.25">
      <c r="B7" s="2" t="s">
        <v>4</v>
      </c>
      <c r="C7" s="2">
        <v>1E-3</v>
      </c>
      <c r="D7" s="2" t="s">
        <v>5</v>
      </c>
    </row>
    <row r="8" spans="2:14" x14ac:dyDescent="0.25">
      <c r="B8" s="2" t="s">
        <v>6</v>
      </c>
      <c r="C8" s="2">
        <v>1</v>
      </c>
      <c r="D8" s="2" t="s">
        <v>5</v>
      </c>
      <c r="L8" s="2" t="s">
        <v>32</v>
      </c>
      <c r="M8" s="2">
        <v>1</v>
      </c>
    </row>
    <row r="9" spans="2:14" x14ac:dyDescent="0.25">
      <c r="B9" s="2" t="s">
        <v>7</v>
      </c>
      <c r="C9" s="2">
        <v>0.1</v>
      </c>
      <c r="D9" s="2"/>
      <c r="L9" s="2" t="s">
        <v>35</v>
      </c>
      <c r="M9" s="2">
        <v>0</v>
      </c>
    </row>
    <row r="10" spans="2:14" x14ac:dyDescent="0.25">
      <c r="B10" s="5" t="s">
        <v>8</v>
      </c>
      <c r="C10" s="5">
        <v>0.1</v>
      </c>
      <c r="D10" s="2"/>
    </row>
    <row r="13" spans="2:14" x14ac:dyDescent="0.25">
      <c r="B13" s="9" t="s">
        <v>22</v>
      </c>
      <c r="C13" s="10"/>
      <c r="D13" s="10"/>
      <c r="E13" s="10"/>
      <c r="F13" s="10"/>
      <c r="G13" s="10"/>
      <c r="H13" s="10"/>
      <c r="I13" s="10"/>
      <c r="J13" s="11"/>
      <c r="L13" s="2" t="s">
        <v>9</v>
      </c>
      <c r="N13" s="2" t="s">
        <v>18</v>
      </c>
    </row>
    <row r="14" spans="2:14" x14ac:dyDescent="0.25">
      <c r="B14" s="2">
        <f>b</f>
        <v>-2.1</v>
      </c>
      <c r="C14" s="2">
        <v>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L14" s="2" t="s">
        <v>23</v>
      </c>
      <c r="N14" s="2">
        <f>-M9-1</f>
        <v>-1</v>
      </c>
    </row>
    <row r="15" spans="2:14" x14ac:dyDescent="0.25">
      <c r="B15" s="2">
        <v>1</v>
      </c>
      <c r="C15" s="2">
        <f>b</f>
        <v>-2.1</v>
      </c>
      <c r="D15" s="2">
        <v>1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L15" s="2" t="s">
        <v>24</v>
      </c>
      <c r="N15" s="2">
        <f>-M9</f>
        <v>0</v>
      </c>
    </row>
    <row r="16" spans="2:14" x14ac:dyDescent="0.25">
      <c r="B16" s="2">
        <v>0</v>
      </c>
      <c r="C16" s="2">
        <v>1</v>
      </c>
      <c r="D16" s="2">
        <f>b</f>
        <v>-2.1</v>
      </c>
      <c r="E16" s="2">
        <v>1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L16" s="2" t="s">
        <v>25</v>
      </c>
      <c r="N16" s="2">
        <f>-M10</f>
        <v>0</v>
      </c>
    </row>
    <row r="17" spans="2:14" x14ac:dyDescent="0.25">
      <c r="B17" s="2">
        <v>0</v>
      </c>
      <c r="C17" s="2">
        <v>0</v>
      </c>
      <c r="D17" s="2">
        <v>1</v>
      </c>
      <c r="E17" s="2">
        <f>b</f>
        <v>-2.1</v>
      </c>
      <c r="F17" s="2">
        <v>1</v>
      </c>
      <c r="G17" s="2">
        <v>0</v>
      </c>
      <c r="H17" s="2">
        <v>0</v>
      </c>
      <c r="I17" s="2">
        <v>0</v>
      </c>
      <c r="J17" s="2">
        <v>0</v>
      </c>
      <c r="L17" s="2" t="s">
        <v>26</v>
      </c>
      <c r="N17" s="2">
        <f>-M11</f>
        <v>0</v>
      </c>
    </row>
    <row r="18" spans="2:14" x14ac:dyDescent="0.25">
      <c r="B18" s="2">
        <v>0</v>
      </c>
      <c r="C18" s="2">
        <v>0</v>
      </c>
      <c r="D18" s="2">
        <v>0</v>
      </c>
      <c r="E18" s="2">
        <v>1</v>
      </c>
      <c r="F18" s="2">
        <f>b</f>
        <v>-2.1</v>
      </c>
      <c r="G18" s="2">
        <v>1</v>
      </c>
      <c r="H18" s="2">
        <v>0</v>
      </c>
      <c r="I18" s="2">
        <v>0</v>
      </c>
      <c r="J18" s="2">
        <v>0</v>
      </c>
      <c r="L18" s="2" t="s">
        <v>27</v>
      </c>
      <c r="N18" s="2">
        <f>-M12</f>
        <v>0</v>
      </c>
    </row>
    <row r="19" spans="2:14" x14ac:dyDescent="0.25">
      <c r="B19" s="2">
        <v>0</v>
      </c>
      <c r="C19" s="2">
        <v>0</v>
      </c>
      <c r="D19" s="2">
        <v>0</v>
      </c>
      <c r="E19" s="2">
        <v>0</v>
      </c>
      <c r="F19" s="2">
        <v>1</v>
      </c>
      <c r="G19" s="2">
        <f>b</f>
        <v>-2.1</v>
      </c>
      <c r="H19" s="2">
        <v>1</v>
      </c>
      <c r="I19" s="2">
        <v>0</v>
      </c>
      <c r="J19" s="2">
        <v>0</v>
      </c>
      <c r="L19" s="2" t="s">
        <v>28</v>
      </c>
      <c r="N19" s="2">
        <f>-I13</f>
        <v>0</v>
      </c>
    </row>
    <row r="20" spans="2:14" x14ac:dyDescent="0.25"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f>b</f>
        <v>-2.1</v>
      </c>
      <c r="I20" s="2">
        <v>1</v>
      </c>
      <c r="J20" s="2">
        <v>0</v>
      </c>
      <c r="L20" s="2" t="s">
        <v>29</v>
      </c>
      <c r="N20" s="2">
        <f>-I14</f>
        <v>0</v>
      </c>
    </row>
    <row r="21" spans="2:14" x14ac:dyDescent="0.25"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1</v>
      </c>
      <c r="I21" s="2">
        <f>b</f>
        <v>-2.1</v>
      </c>
      <c r="J21" s="2">
        <v>1</v>
      </c>
      <c r="L21" s="2" t="s">
        <v>30</v>
      </c>
      <c r="N21" s="2">
        <f>-I15</f>
        <v>0</v>
      </c>
    </row>
    <row r="22" spans="2:14" x14ac:dyDescent="0.25"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1</v>
      </c>
      <c r="J22" s="2">
        <f>b</f>
        <v>-2.1</v>
      </c>
      <c r="L22" s="2" t="s">
        <v>31</v>
      </c>
      <c r="N22" s="2">
        <f>-I16-0</f>
        <v>0</v>
      </c>
    </row>
    <row r="24" spans="2:14" x14ac:dyDescent="0.25">
      <c r="B24" s="9" t="s">
        <v>33</v>
      </c>
      <c r="C24" s="10"/>
      <c r="D24" s="10"/>
      <c r="E24" s="10"/>
      <c r="F24" s="10"/>
      <c r="G24" s="10"/>
      <c r="H24" s="10"/>
      <c r="I24" s="10"/>
      <c r="J24" s="11"/>
      <c r="L24" s="8" t="s">
        <v>34</v>
      </c>
    </row>
    <row r="25" spans="2:14" x14ac:dyDescent="0.25">
      <c r="B25" s="12" cm="1">
        <f t="array" ref="B25:J33">MINVERSE(B14:J22)</f>
        <v>-0.72866403895529319</v>
      </c>
      <c r="C25" s="12">
        <v>-0.53019448180611561</v>
      </c>
      <c r="D25" s="12">
        <v>-0.38474437283754959</v>
      </c>
      <c r="E25" s="12">
        <v>-0.27776870115273866</v>
      </c>
      <c r="F25" s="12">
        <v>-0.19856989958320162</v>
      </c>
      <c r="G25" s="12">
        <v>-0.13922808797198477</v>
      </c>
      <c r="H25" s="12">
        <v>-9.3809085157966446E-2</v>
      </c>
      <c r="I25" s="12">
        <v>-5.7770990859744728E-2</v>
      </c>
      <c r="J25" s="12">
        <v>-2.7509995647497485E-2</v>
      </c>
      <c r="L25" s="13">
        <v>0.72866403895529319</v>
      </c>
    </row>
    <row r="26" spans="2:14" x14ac:dyDescent="0.25">
      <c r="B26" s="12">
        <v>-0.53019448180611561</v>
      </c>
      <c r="C26" s="12">
        <v>-1.1134084117928429</v>
      </c>
      <c r="D26" s="12">
        <v>-0.80796318295885416</v>
      </c>
      <c r="E26" s="12">
        <v>-0.58331427242075118</v>
      </c>
      <c r="F26" s="12">
        <v>-0.41699678912472343</v>
      </c>
      <c r="G26" s="12">
        <v>-0.29237898474116802</v>
      </c>
      <c r="H26" s="12">
        <v>-0.19699907883172954</v>
      </c>
      <c r="I26" s="12">
        <v>-0.12131908080546393</v>
      </c>
      <c r="J26" s="12">
        <v>-5.7770990859744721E-2</v>
      </c>
      <c r="L26" s="13">
        <v>0.53019448180611561</v>
      </c>
    </row>
    <row r="27" spans="2:14" x14ac:dyDescent="0.25">
      <c r="B27" s="12">
        <v>-0.38474437283754953</v>
      </c>
      <c r="C27" s="12">
        <v>-0.80796318295885428</v>
      </c>
      <c r="D27" s="12">
        <v>-1.3119783113760441</v>
      </c>
      <c r="E27" s="12">
        <v>-0.94719127093083888</v>
      </c>
      <c r="F27" s="12">
        <v>-0.67712335757871756</v>
      </c>
      <c r="G27" s="12">
        <v>-0.47476777998446806</v>
      </c>
      <c r="H27" s="12">
        <v>-0.31988898038866559</v>
      </c>
      <c r="I27" s="12">
        <v>-0.19699907883172951</v>
      </c>
      <c r="J27" s="12">
        <v>-9.3809085157966432E-2</v>
      </c>
      <c r="L27" s="13">
        <v>0.38474437283754953</v>
      </c>
    </row>
    <row r="28" spans="2:14" x14ac:dyDescent="0.25">
      <c r="B28" s="12">
        <v>-0.27776870115273861</v>
      </c>
      <c r="C28" s="12">
        <v>-0.58331427242075118</v>
      </c>
      <c r="D28" s="12">
        <v>-0.94719127093083888</v>
      </c>
      <c r="E28" s="12">
        <v>-1.4057873965340106</v>
      </c>
      <c r="F28" s="12">
        <v>-1.0049622617905836</v>
      </c>
      <c r="G28" s="12">
        <v>-0.70463335322621501</v>
      </c>
      <c r="H28" s="12">
        <v>-0.47476777998446823</v>
      </c>
      <c r="I28" s="12">
        <v>-0.29237898474116808</v>
      </c>
      <c r="J28" s="12">
        <v>-0.1392280879719848</v>
      </c>
      <c r="L28" s="13">
        <v>0.27776870115273861</v>
      </c>
    </row>
    <row r="29" spans="2:14" x14ac:dyDescent="0.25">
      <c r="B29" s="12">
        <v>-0.19856989958320159</v>
      </c>
      <c r="C29" s="12">
        <v>-0.41699678912472338</v>
      </c>
      <c r="D29" s="12">
        <v>-0.67712335757871756</v>
      </c>
      <c r="E29" s="12">
        <v>-1.0049622617905836</v>
      </c>
      <c r="F29" s="12">
        <v>-1.4332973921815082</v>
      </c>
      <c r="G29" s="12">
        <v>-1.0049622617905836</v>
      </c>
      <c r="H29" s="12">
        <v>-0.67712335757871778</v>
      </c>
      <c r="I29" s="12">
        <v>-0.41699678912472354</v>
      </c>
      <c r="J29" s="12">
        <v>-0.19856989958320168</v>
      </c>
      <c r="L29" s="13">
        <v>0.19856989958320159</v>
      </c>
    </row>
    <row r="30" spans="2:14" x14ac:dyDescent="0.25">
      <c r="B30" s="12">
        <v>-0.1392280879719848</v>
      </c>
      <c r="C30" s="12">
        <v>-0.29237898474116802</v>
      </c>
      <c r="D30" s="12">
        <v>-0.47476777998446817</v>
      </c>
      <c r="E30" s="12">
        <v>-0.70463335322621512</v>
      </c>
      <c r="F30" s="12">
        <v>-1.0049622617905836</v>
      </c>
      <c r="G30" s="12">
        <v>-1.4057873965340109</v>
      </c>
      <c r="H30" s="12">
        <v>-0.94719127093083921</v>
      </c>
      <c r="I30" s="12">
        <v>-0.5833142724207514</v>
      </c>
      <c r="J30" s="12">
        <v>-0.27776870115273877</v>
      </c>
      <c r="L30" s="13">
        <v>0.1392280879719848</v>
      </c>
    </row>
    <row r="31" spans="2:14" x14ac:dyDescent="0.25">
      <c r="B31" s="12">
        <v>-9.3809085157966446E-2</v>
      </c>
      <c r="C31" s="12">
        <v>-0.19699907883172951</v>
      </c>
      <c r="D31" s="12">
        <v>-0.31988898038866559</v>
      </c>
      <c r="E31" s="12">
        <v>-0.47476777998446823</v>
      </c>
      <c r="F31" s="12">
        <v>-0.67712335757871767</v>
      </c>
      <c r="G31" s="12">
        <v>-0.94719127093083921</v>
      </c>
      <c r="H31" s="12">
        <v>-1.3119783113760446</v>
      </c>
      <c r="I31" s="12">
        <v>-0.80796318295885439</v>
      </c>
      <c r="J31" s="12">
        <v>-0.38474437283754975</v>
      </c>
      <c r="L31" s="13">
        <v>9.3809085157966446E-2</v>
      </c>
    </row>
    <row r="32" spans="2:14" x14ac:dyDescent="0.25">
      <c r="B32" s="12">
        <v>-5.7770990859744728E-2</v>
      </c>
      <c r="C32" s="12">
        <v>-0.12131908080546393</v>
      </c>
      <c r="D32" s="12">
        <v>-0.19699907883172954</v>
      </c>
      <c r="E32" s="12">
        <v>-0.29237898474116814</v>
      </c>
      <c r="F32" s="12">
        <v>-0.41699678912472354</v>
      </c>
      <c r="G32" s="12">
        <v>-0.58331427242075151</v>
      </c>
      <c r="H32" s="12">
        <v>-0.8079631829588545</v>
      </c>
      <c r="I32" s="12">
        <v>-1.1134084117928429</v>
      </c>
      <c r="J32" s="12">
        <v>-0.53019448180611572</v>
      </c>
      <c r="L32" s="13">
        <v>5.7770990859744728E-2</v>
      </c>
    </row>
    <row r="33" spans="2:12" x14ac:dyDescent="0.25">
      <c r="B33" s="12">
        <v>-2.7509995647497492E-2</v>
      </c>
      <c r="C33" s="12">
        <v>-5.7770990859744728E-2</v>
      </c>
      <c r="D33" s="12">
        <v>-9.3809085157966446E-2</v>
      </c>
      <c r="E33" s="12">
        <v>-0.13922808797198483</v>
      </c>
      <c r="F33" s="12">
        <v>-0.19856989958320168</v>
      </c>
      <c r="G33" s="12">
        <v>-0.27776870115273883</v>
      </c>
      <c r="H33" s="12">
        <v>-0.38474437283754981</v>
      </c>
      <c r="I33" s="12">
        <v>-0.53019448180611572</v>
      </c>
      <c r="J33" s="12">
        <v>-0.72866403895529319</v>
      </c>
      <c r="L33" s="13">
        <v>2.7509995647497492E-2</v>
      </c>
    </row>
    <row r="36" spans="2:12" x14ac:dyDescent="0.25">
      <c r="B36" s="2" t="s">
        <v>9</v>
      </c>
      <c r="C36" s="2" t="s">
        <v>11</v>
      </c>
    </row>
    <row r="37" spans="2:12" x14ac:dyDescent="0.25">
      <c r="B37" s="2">
        <v>0</v>
      </c>
      <c r="C37" s="7">
        <v>1</v>
      </c>
    </row>
    <row r="38" spans="2:12" x14ac:dyDescent="0.25">
      <c r="B38" s="2">
        <v>0.1</v>
      </c>
      <c r="C38" s="7">
        <v>0.72866403895529319</v>
      </c>
    </row>
    <row r="39" spans="2:12" x14ac:dyDescent="0.25">
      <c r="B39" s="2">
        <v>0.2</v>
      </c>
      <c r="C39" s="7">
        <v>0.53019448180611561</v>
      </c>
    </row>
    <row r="40" spans="2:12" x14ac:dyDescent="0.25">
      <c r="B40" s="2">
        <v>0.3</v>
      </c>
      <c r="C40" s="7">
        <v>0.38474437283754953</v>
      </c>
    </row>
    <row r="41" spans="2:12" x14ac:dyDescent="0.25">
      <c r="B41" s="2">
        <v>0.4</v>
      </c>
      <c r="C41" s="7">
        <v>0.27776870115273861</v>
      </c>
    </row>
    <row r="42" spans="2:12" x14ac:dyDescent="0.25">
      <c r="B42" s="2">
        <v>0.5</v>
      </c>
      <c r="C42" s="7">
        <v>0.19856989958320159</v>
      </c>
    </row>
    <row r="43" spans="2:12" x14ac:dyDescent="0.25">
      <c r="B43" s="2">
        <v>0.6</v>
      </c>
      <c r="C43" s="7">
        <v>0.1392280879719848</v>
      </c>
    </row>
    <row r="44" spans="2:12" x14ac:dyDescent="0.25">
      <c r="B44" s="2">
        <v>0.7</v>
      </c>
      <c r="C44" s="7">
        <v>9.3809085157966446E-2</v>
      </c>
    </row>
    <row r="45" spans="2:12" x14ac:dyDescent="0.25">
      <c r="B45" s="2">
        <v>0.8</v>
      </c>
      <c r="C45" s="7">
        <v>5.7770990859744728E-2</v>
      </c>
    </row>
    <row r="46" spans="2:12" x14ac:dyDescent="0.25">
      <c r="B46" s="2">
        <v>0.9</v>
      </c>
      <c r="C46" s="7">
        <v>2.7509995647497492E-2</v>
      </c>
    </row>
    <row r="47" spans="2:12" x14ac:dyDescent="0.25">
      <c r="B47" s="2">
        <v>1</v>
      </c>
      <c r="C47" s="7">
        <v>0</v>
      </c>
    </row>
  </sheetData>
  <mergeCells count="3">
    <mergeCell ref="B2:F2"/>
    <mergeCell ref="B13:J13"/>
    <mergeCell ref="B24:J2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60E22-19CB-4141-8FCF-969CCA5E2FB8}">
  <dimension ref="B2:H112"/>
  <sheetViews>
    <sheetView workbookViewId="0">
      <selection activeCell="I12" sqref="I12"/>
    </sheetView>
  </sheetViews>
  <sheetFormatPr defaultRowHeight="15" x14ac:dyDescent="0.25"/>
  <sheetData>
    <row r="2" spans="2:8" ht="23.25" x14ac:dyDescent="0.35">
      <c r="B2" s="14" t="s">
        <v>37</v>
      </c>
      <c r="C2" s="14"/>
      <c r="D2" s="14"/>
      <c r="E2" s="14"/>
      <c r="F2" s="14"/>
    </row>
    <row r="4" spans="2:8" x14ac:dyDescent="0.25">
      <c r="B4" t="s">
        <v>39</v>
      </c>
      <c r="E4" s="3" t="s">
        <v>12</v>
      </c>
      <c r="F4" t="s">
        <v>40</v>
      </c>
    </row>
    <row r="5" spans="2:8" x14ac:dyDescent="0.25">
      <c r="B5" t="s">
        <v>38</v>
      </c>
      <c r="F5" t="s">
        <v>41</v>
      </c>
    </row>
    <row r="7" spans="2:8" x14ac:dyDescent="0.25">
      <c r="B7" s="2" t="s">
        <v>42</v>
      </c>
      <c r="C7" s="15">
        <v>180</v>
      </c>
      <c r="E7" s="3" t="s">
        <v>46</v>
      </c>
    </row>
    <row r="8" spans="2:8" x14ac:dyDescent="0.25">
      <c r="B8" s="2" t="s">
        <v>43</v>
      </c>
      <c r="C8" s="15">
        <v>70</v>
      </c>
    </row>
    <row r="10" spans="2:8" x14ac:dyDescent="0.25">
      <c r="B10" s="18" t="s">
        <v>47</v>
      </c>
      <c r="C10" s="19"/>
      <c r="D10" s="20"/>
      <c r="F10" s="18" t="s">
        <v>48</v>
      </c>
      <c r="G10" s="19"/>
      <c r="H10" s="20"/>
    </row>
    <row r="11" spans="2:8" x14ac:dyDescent="0.25">
      <c r="B11" s="2" t="s">
        <v>9</v>
      </c>
      <c r="C11" s="2" t="s">
        <v>44</v>
      </c>
      <c r="D11" s="2" t="s">
        <v>45</v>
      </c>
      <c r="F11" s="2" t="s">
        <v>9</v>
      </c>
      <c r="G11" s="2" t="s">
        <v>44</v>
      </c>
      <c r="H11" s="2" t="s">
        <v>45</v>
      </c>
    </row>
    <row r="12" spans="2:8" x14ac:dyDescent="0.25">
      <c r="B12" s="21">
        <v>0</v>
      </c>
      <c r="C12" s="22">
        <v>33.62954190183855</v>
      </c>
      <c r="D12" s="16">
        <v>180</v>
      </c>
      <c r="F12" s="2">
        <v>0</v>
      </c>
      <c r="G12" s="22">
        <v>35.040606013355116</v>
      </c>
      <c r="H12" s="16">
        <v>180</v>
      </c>
    </row>
    <row r="13" spans="2:8" x14ac:dyDescent="0.25">
      <c r="B13" s="17">
        <v>0.1</v>
      </c>
      <c r="C13" s="16">
        <f>C12+0.1*(0.5*(D12-C12))</f>
        <v>40.948064806746622</v>
      </c>
      <c r="D13" s="16">
        <f>D12+0.1*(-1.2*(D12-C12))</f>
        <v>162.43554502822062</v>
      </c>
      <c r="F13" s="2">
        <v>0.01</v>
      </c>
      <c r="G13" s="16">
        <f>G12+0.01*(0.5*(H12-G12))</f>
        <v>35.76540298328834</v>
      </c>
      <c r="H13" s="16">
        <f>H12+0.01*(-1.2*(H12-G12))</f>
        <v>178.26048727216025</v>
      </c>
    </row>
    <row r="14" spans="2:8" x14ac:dyDescent="0.25">
      <c r="B14" s="17">
        <v>0.2</v>
      </c>
      <c r="C14" s="16">
        <f t="shared" ref="C14:C21" si="0">C13+0.1*(0.5*(D13-C13))</f>
        <v>47.022438817820323</v>
      </c>
      <c r="D14" s="16">
        <f t="shared" ref="D14:D22" si="1">D13+0.1*(-1.2*(D13-C13))</f>
        <v>147.85704740164374</v>
      </c>
      <c r="F14" s="2">
        <v>0.02</v>
      </c>
      <c r="G14" s="16">
        <f t="shared" ref="G14:G77" si="2">G13+0.01*(0.5*(H13-G13))</f>
        <v>36.477878404732699</v>
      </c>
      <c r="H14" s="16">
        <f t="shared" ref="H14:H77" si="3">H13+0.01*(-1.2*(H13-G13))</f>
        <v>176.55054626069378</v>
      </c>
    </row>
    <row r="15" spans="2:8" x14ac:dyDescent="0.25">
      <c r="B15" s="17">
        <v>0.3</v>
      </c>
      <c r="C15" s="16">
        <f t="shared" si="0"/>
        <v>52.064169247011492</v>
      </c>
      <c r="D15" s="16">
        <f t="shared" si="1"/>
        <v>135.75689437158493</v>
      </c>
      <c r="F15" s="2">
        <v>0.03</v>
      </c>
      <c r="G15" s="16">
        <f t="shared" si="2"/>
        <v>37.178241744012503</v>
      </c>
      <c r="H15" s="16">
        <f t="shared" si="3"/>
        <v>174.86967424642225</v>
      </c>
    </row>
    <row r="16" spans="2:8" x14ac:dyDescent="0.25">
      <c r="B16" s="17">
        <v>0.4</v>
      </c>
      <c r="C16" s="16">
        <f t="shared" si="0"/>
        <v>56.248805503240163</v>
      </c>
      <c r="D16" s="16">
        <f t="shared" si="1"/>
        <v>125.71376735663613</v>
      </c>
      <c r="F16" s="2">
        <v>0.04</v>
      </c>
      <c r="G16" s="16">
        <f t="shared" si="2"/>
        <v>37.866698906524555</v>
      </c>
      <c r="H16" s="16">
        <f t="shared" si="3"/>
        <v>173.21737705639333</v>
      </c>
    </row>
    <row r="17" spans="2:8" x14ac:dyDescent="0.25">
      <c r="B17" s="17">
        <v>0.5</v>
      </c>
      <c r="C17" s="16">
        <f t="shared" si="0"/>
        <v>59.722053595909962</v>
      </c>
      <c r="D17" s="16">
        <f t="shared" si="1"/>
        <v>117.37797193422861</v>
      </c>
      <c r="F17" s="2">
        <v>0.05</v>
      </c>
      <c r="G17" s="16">
        <f t="shared" si="2"/>
        <v>38.543452297273902</v>
      </c>
      <c r="H17" s="16">
        <f t="shared" si="3"/>
        <v>171.5931689185949</v>
      </c>
    </row>
    <row r="18" spans="2:8" x14ac:dyDescent="0.25">
      <c r="B18" s="17">
        <v>0.6</v>
      </c>
      <c r="C18" s="16">
        <f t="shared" si="0"/>
        <v>62.604849512825893</v>
      </c>
      <c r="D18" s="16">
        <f t="shared" si="1"/>
        <v>110.45926173363037</v>
      </c>
      <c r="F18" s="2">
        <v>0.06</v>
      </c>
      <c r="G18" s="16">
        <f t="shared" si="2"/>
        <v>39.208700880380505</v>
      </c>
      <c r="H18" s="16">
        <f t="shared" si="3"/>
        <v>169.99657231913903</v>
      </c>
    </row>
    <row r="19" spans="2:8" x14ac:dyDescent="0.25">
      <c r="B19" s="17">
        <v>0.7</v>
      </c>
      <c r="C19" s="16">
        <f t="shared" si="0"/>
        <v>64.997570123866112</v>
      </c>
      <c r="D19" s="16">
        <f t="shared" si="1"/>
        <v>104.71673226713384</v>
      </c>
      <c r="F19" s="2">
        <v>7.0000000000000007E-2</v>
      </c>
      <c r="G19" s="16">
        <f t="shared" si="2"/>
        <v>39.862640237574297</v>
      </c>
      <c r="H19" s="16">
        <f t="shared" si="3"/>
        <v>168.42711786187394</v>
      </c>
    </row>
    <row r="20" spans="2:8" x14ac:dyDescent="0.25">
      <c r="B20" s="17">
        <v>0.8</v>
      </c>
      <c r="C20" s="16">
        <f t="shared" si="0"/>
        <v>66.983528231029496</v>
      </c>
      <c r="D20" s="16">
        <f t="shared" si="1"/>
        <v>99.950432809941702</v>
      </c>
      <c r="F20" s="2">
        <v>0.08</v>
      </c>
      <c r="G20" s="16">
        <f t="shared" si="2"/>
        <v>40.505462625695792</v>
      </c>
      <c r="H20" s="16">
        <f t="shared" si="3"/>
        <v>166.88434413038235</v>
      </c>
    </row>
    <row r="21" spans="2:8" x14ac:dyDescent="0.25">
      <c r="B21" s="17">
        <v>0.9</v>
      </c>
      <c r="C21" s="16">
        <f t="shared" si="0"/>
        <v>68.631873459975111</v>
      </c>
      <c r="D21" s="16">
        <f t="shared" si="1"/>
        <v>95.994404260472237</v>
      </c>
      <c r="F21" s="2">
        <v>0.09</v>
      </c>
      <c r="G21" s="16">
        <f t="shared" si="2"/>
        <v>41.137357033219224</v>
      </c>
      <c r="H21" s="16">
        <f t="shared" si="3"/>
        <v>165.3677975523261</v>
      </c>
    </row>
    <row r="22" spans="2:8" x14ac:dyDescent="0.25">
      <c r="B22" s="17">
        <v>1</v>
      </c>
      <c r="C22" s="16">
        <f>C21+0.1*(0.5*(D21-C21))</f>
        <v>69.999999999999972</v>
      </c>
      <c r="D22" s="16">
        <f t="shared" si="1"/>
        <v>92.710900564412583</v>
      </c>
      <c r="F22" s="2">
        <v>0.1</v>
      </c>
      <c r="G22" s="16">
        <f t="shared" si="2"/>
        <v>41.758509235814756</v>
      </c>
      <c r="H22" s="16">
        <f t="shared" si="3"/>
        <v>163.87703226609682</v>
      </c>
    </row>
    <row r="23" spans="2:8" x14ac:dyDescent="0.25">
      <c r="F23" s="2">
        <v>0.11</v>
      </c>
      <c r="G23" s="16">
        <f t="shared" si="2"/>
        <v>42.369101850966167</v>
      </c>
      <c r="H23" s="16">
        <f t="shared" si="3"/>
        <v>162.41160998973342</v>
      </c>
    </row>
    <row r="24" spans="2:8" x14ac:dyDescent="0.25">
      <c r="F24" s="2">
        <v>0.12</v>
      </c>
      <c r="G24" s="16">
        <f t="shared" si="2"/>
        <v>42.969314391660006</v>
      </c>
      <c r="H24" s="16">
        <f t="shared" si="3"/>
        <v>160.97109989206822</v>
      </c>
    </row>
    <row r="25" spans="2:8" x14ac:dyDescent="0.25">
      <c r="F25" s="2">
        <v>0.13</v>
      </c>
      <c r="G25" s="16">
        <f t="shared" si="2"/>
        <v>43.559323319162047</v>
      </c>
      <c r="H25" s="16">
        <f t="shared" si="3"/>
        <v>159.55507846606332</v>
      </c>
    </row>
    <row r="26" spans="2:8" x14ac:dyDescent="0.25">
      <c r="F26" s="2">
        <v>0.14000000000000001</v>
      </c>
      <c r="G26" s="16">
        <f t="shared" si="2"/>
        <v>44.13930209489655</v>
      </c>
      <c r="H26" s="16">
        <f t="shared" si="3"/>
        <v>158.16312940430052</v>
      </c>
    </row>
    <row r="27" spans="2:8" x14ac:dyDescent="0.25">
      <c r="F27" s="2">
        <v>0.15</v>
      </c>
      <c r="G27" s="16">
        <f t="shared" si="2"/>
        <v>44.709421231443571</v>
      </c>
      <c r="H27" s="16">
        <f t="shared" si="3"/>
        <v>156.79484347658766</v>
      </c>
    </row>
    <row r="28" spans="2:8" x14ac:dyDescent="0.25">
      <c r="F28" s="2">
        <v>0.16</v>
      </c>
      <c r="G28" s="16">
        <f t="shared" si="2"/>
        <v>45.269848342669292</v>
      </c>
      <c r="H28" s="16">
        <f t="shared" si="3"/>
        <v>155.44981840964593</v>
      </c>
    </row>
    <row r="29" spans="2:8" x14ac:dyDescent="0.25">
      <c r="F29" s="2">
        <v>0.17</v>
      </c>
      <c r="G29" s="16">
        <f t="shared" si="2"/>
        <v>45.820748193004178</v>
      </c>
      <c r="H29" s="16">
        <f t="shared" si="3"/>
        <v>154.1276587688422</v>
      </c>
    </row>
    <row r="30" spans="2:8" x14ac:dyDescent="0.25">
      <c r="F30" s="2">
        <v>0.18</v>
      </c>
      <c r="G30" s="16">
        <f t="shared" si="2"/>
        <v>46.36228274588337</v>
      </c>
      <c r="H30" s="16">
        <f t="shared" si="3"/>
        <v>152.82797584193213</v>
      </c>
    </row>
    <row r="31" spans="2:8" x14ac:dyDescent="0.25">
      <c r="F31" s="2">
        <v>0.19</v>
      </c>
      <c r="G31" s="16">
        <f t="shared" si="2"/>
        <v>46.89461121136361</v>
      </c>
      <c r="H31" s="16">
        <f t="shared" si="3"/>
        <v>151.55038752477955</v>
      </c>
    </row>
    <row r="32" spans="2:8" x14ac:dyDescent="0.25">
      <c r="F32" s="2">
        <v>0.2</v>
      </c>
      <c r="G32" s="16">
        <f t="shared" si="2"/>
        <v>47.417890092930691</v>
      </c>
      <c r="H32" s="16">
        <f t="shared" si="3"/>
        <v>150.29451820901855</v>
      </c>
    </row>
    <row r="33" spans="6:8" x14ac:dyDescent="0.25">
      <c r="F33" s="2">
        <v>0.21</v>
      </c>
      <c r="G33" s="16">
        <f t="shared" si="2"/>
        <v>47.932273233511133</v>
      </c>
      <c r="H33" s="16">
        <f t="shared" si="3"/>
        <v>149.05999867162549</v>
      </c>
    </row>
    <row r="34" spans="6:8" x14ac:dyDescent="0.25">
      <c r="F34" s="2">
        <v>0.22</v>
      </c>
      <c r="G34" s="16">
        <f t="shared" si="2"/>
        <v>48.437911860701703</v>
      </c>
      <c r="H34" s="16">
        <f t="shared" si="3"/>
        <v>147.84646596636813</v>
      </c>
    </row>
    <row r="35" spans="6:8" x14ac:dyDescent="0.25">
      <c r="F35" s="2">
        <v>0.23</v>
      </c>
      <c r="G35" s="16">
        <f t="shared" si="2"/>
        <v>48.934954631230035</v>
      </c>
      <c r="H35" s="16">
        <f t="shared" si="3"/>
        <v>146.65356331710012</v>
      </c>
    </row>
    <row r="36" spans="6:8" x14ac:dyDescent="0.25">
      <c r="F36" s="2">
        <v>0.24</v>
      </c>
      <c r="G36" s="16">
        <f t="shared" si="2"/>
        <v>49.423547674659382</v>
      </c>
      <c r="H36" s="16">
        <f t="shared" si="3"/>
        <v>145.4809400128697</v>
      </c>
    </row>
    <row r="37" spans="6:8" x14ac:dyDescent="0.25">
      <c r="F37" s="2">
        <v>0.25</v>
      </c>
      <c r="G37" s="16">
        <f t="shared" si="2"/>
        <v>49.903834636350432</v>
      </c>
      <c r="H37" s="16">
        <f t="shared" si="3"/>
        <v>144.32825130481118</v>
      </c>
    </row>
    <row r="38" spans="6:8" x14ac:dyDescent="0.25">
      <c r="F38" s="2">
        <v>0.26</v>
      </c>
      <c r="G38" s="16">
        <f t="shared" si="2"/>
        <v>50.375956719692738</v>
      </c>
      <c r="H38" s="16">
        <f t="shared" si="3"/>
        <v>143.19515830478966</v>
      </c>
    </row>
    <row r="39" spans="6:8" x14ac:dyDescent="0.25">
      <c r="F39" s="2">
        <v>0.27</v>
      </c>
      <c r="G39" s="16">
        <f t="shared" si="2"/>
        <v>50.840052727618222</v>
      </c>
      <c r="H39" s="16">
        <f t="shared" si="3"/>
        <v>142.0813278857685</v>
      </c>
    </row>
    <row r="40" spans="6:8" x14ac:dyDescent="0.25">
      <c r="F40" s="2">
        <v>0.28000000000000003</v>
      </c>
      <c r="G40" s="16">
        <f t="shared" si="2"/>
        <v>51.296259103408971</v>
      </c>
      <c r="H40" s="16">
        <f t="shared" si="3"/>
        <v>140.98643258387071</v>
      </c>
    </row>
    <row r="41" spans="6:8" x14ac:dyDescent="0.25">
      <c r="F41" s="2">
        <v>0.28999999999999998</v>
      </c>
      <c r="G41" s="16">
        <f t="shared" si="2"/>
        <v>51.744709970811279</v>
      </c>
      <c r="H41" s="16">
        <f t="shared" si="3"/>
        <v>139.91015050210518</v>
      </c>
    </row>
    <row r="42" spans="6:8" x14ac:dyDescent="0.25">
      <c r="F42" s="2">
        <v>0.3</v>
      </c>
      <c r="G42" s="16">
        <f t="shared" si="2"/>
        <v>52.18553717346775</v>
      </c>
      <c r="H42" s="16">
        <f t="shared" si="3"/>
        <v>138.85216521572966</v>
      </c>
    </row>
    <row r="43" spans="6:8" x14ac:dyDescent="0.25">
      <c r="F43" s="2">
        <v>0.31</v>
      </c>
      <c r="G43" s="16">
        <f t="shared" si="2"/>
        <v>52.618870313679061</v>
      </c>
      <c r="H43" s="16">
        <f t="shared" si="3"/>
        <v>137.81216567922252</v>
      </c>
    </row>
    <row r="44" spans="6:8" x14ac:dyDescent="0.25">
      <c r="F44" s="2">
        <v>0.32</v>
      </c>
      <c r="G44" s="16">
        <f t="shared" si="2"/>
        <v>53.044836790506778</v>
      </c>
      <c r="H44" s="16">
        <f t="shared" si="3"/>
        <v>136.78984613483598</v>
      </c>
    </row>
    <row r="45" spans="6:8" x14ac:dyDescent="0.25">
      <c r="F45" s="2">
        <v>0.33</v>
      </c>
      <c r="G45" s="16">
        <f t="shared" si="2"/>
        <v>53.463561837228426</v>
      </c>
      <c r="H45" s="16">
        <f t="shared" si="3"/>
        <v>135.78490602270404</v>
      </c>
    </row>
    <row r="46" spans="6:8" x14ac:dyDescent="0.25">
      <c r="F46" s="2">
        <v>0.34</v>
      </c>
      <c r="G46" s="16">
        <f t="shared" si="2"/>
        <v>53.875168558155806</v>
      </c>
      <c r="H46" s="16">
        <f t="shared" si="3"/>
        <v>134.79704989247833</v>
      </c>
    </row>
    <row r="47" spans="6:8" x14ac:dyDescent="0.25">
      <c r="F47" s="2">
        <v>0.35</v>
      </c>
      <c r="G47" s="16">
        <f t="shared" si="2"/>
        <v>54.279777964827417</v>
      </c>
      <c r="H47" s="16">
        <f t="shared" si="3"/>
        <v>133.82598731646647</v>
      </c>
    </row>
    <row r="48" spans="6:8" x14ac:dyDescent="0.25">
      <c r="F48" s="2">
        <v>0.36</v>
      </c>
      <c r="G48" s="16">
        <f t="shared" si="2"/>
        <v>54.677509011585613</v>
      </c>
      <c r="H48" s="16">
        <f t="shared" si="3"/>
        <v>132.87143280424681</v>
      </c>
    </row>
    <row r="49" spans="6:8" x14ac:dyDescent="0.25">
      <c r="F49" s="2">
        <v>0.37</v>
      </c>
      <c r="G49" s="16">
        <f t="shared" si="2"/>
        <v>55.068478630548917</v>
      </c>
      <c r="H49" s="16">
        <f t="shared" si="3"/>
        <v>131.93310571873488</v>
      </c>
    </row>
    <row r="50" spans="6:8" x14ac:dyDescent="0.25">
      <c r="F50" s="2">
        <v>0.38</v>
      </c>
      <c r="G50" s="16">
        <f t="shared" si="2"/>
        <v>55.452801765989847</v>
      </c>
      <c r="H50" s="16">
        <f t="shared" si="3"/>
        <v>131.01073019367664</v>
      </c>
    </row>
    <row r="51" spans="6:8" x14ac:dyDescent="0.25">
      <c r="F51" s="2">
        <v>0.39</v>
      </c>
      <c r="G51" s="16">
        <f t="shared" si="2"/>
        <v>55.830591408128278</v>
      </c>
      <c r="H51" s="16">
        <f t="shared" si="3"/>
        <v>130.10403505254439</v>
      </c>
    </row>
    <row r="52" spans="6:8" x14ac:dyDescent="0.25">
      <c r="F52" s="2">
        <v>0.4</v>
      </c>
      <c r="G52" s="16">
        <f t="shared" si="2"/>
        <v>56.201958626350361</v>
      </c>
      <c r="H52" s="16">
        <f t="shared" si="3"/>
        <v>129.21275372881141</v>
      </c>
    </row>
    <row r="53" spans="6:8" x14ac:dyDescent="0.25">
      <c r="F53" s="2">
        <v>0.41</v>
      </c>
      <c r="G53" s="16">
        <f t="shared" si="2"/>
        <v>56.567012601862665</v>
      </c>
      <c r="H53" s="16">
        <f t="shared" si="3"/>
        <v>128.33662418758186</v>
      </c>
    </row>
    <row r="54" spans="6:8" x14ac:dyDescent="0.25">
      <c r="F54" s="2">
        <v>0.42</v>
      </c>
      <c r="G54" s="16">
        <f t="shared" si="2"/>
        <v>56.925860659791262</v>
      </c>
      <c r="H54" s="16">
        <f t="shared" si="3"/>
        <v>127.47538884855324</v>
      </c>
    </row>
    <row r="55" spans="6:8" x14ac:dyDescent="0.25">
      <c r="F55" s="2">
        <v>0.43</v>
      </c>
      <c r="G55" s="16">
        <f t="shared" si="2"/>
        <v>57.278608300735073</v>
      </c>
      <c r="H55" s="16">
        <f t="shared" si="3"/>
        <v>126.62879451028809</v>
      </c>
    </row>
    <row r="56" spans="6:8" x14ac:dyDescent="0.25">
      <c r="F56" s="2">
        <v>0.44</v>
      </c>
      <c r="G56" s="16">
        <f t="shared" si="2"/>
        <v>57.625359231782838</v>
      </c>
      <c r="H56" s="16">
        <f t="shared" si="3"/>
        <v>125.79659227577345</v>
      </c>
    </row>
    <row r="57" spans="6:8" x14ac:dyDescent="0.25">
      <c r="F57" s="2">
        <v>0.45</v>
      </c>
      <c r="G57" s="16">
        <f t="shared" si="2"/>
        <v>57.966215397002792</v>
      </c>
      <c r="H57" s="16">
        <f t="shared" si="3"/>
        <v>124.97853747924556</v>
      </c>
    </row>
    <row r="58" spans="6:8" x14ac:dyDescent="0.25">
      <c r="F58" s="2">
        <v>0.46</v>
      </c>
      <c r="G58" s="16">
        <f t="shared" si="2"/>
        <v>58.301277007414008</v>
      </c>
      <c r="H58" s="16">
        <f t="shared" si="3"/>
        <v>124.17438961425864</v>
      </c>
    </row>
    <row r="59" spans="6:8" x14ac:dyDescent="0.25">
      <c r="F59" s="2">
        <v>0.47</v>
      </c>
      <c r="G59" s="16">
        <f t="shared" si="2"/>
        <v>58.630642570448231</v>
      </c>
      <c r="H59" s="16">
        <f t="shared" si="3"/>
        <v>123.38391226297651</v>
      </c>
    </row>
    <row r="60" spans="6:8" x14ac:dyDescent="0.25">
      <c r="F60" s="2">
        <v>0.48</v>
      </c>
      <c r="G60" s="16">
        <f t="shared" si="2"/>
        <v>58.954408918910872</v>
      </c>
      <c r="H60" s="16">
        <f t="shared" si="3"/>
        <v>122.60687302666616</v>
      </c>
    </row>
    <row r="61" spans="6:8" x14ac:dyDescent="0.25">
      <c r="F61" s="2">
        <v>0.49</v>
      </c>
      <c r="G61" s="16">
        <f t="shared" si="2"/>
        <v>59.27267123944965</v>
      </c>
      <c r="H61" s="16">
        <f t="shared" si="3"/>
        <v>121.8430434573731</v>
      </c>
    </row>
    <row r="62" spans="6:8" x14ac:dyDescent="0.25">
      <c r="F62" s="2">
        <v>0.5</v>
      </c>
      <c r="G62" s="16">
        <f t="shared" si="2"/>
        <v>59.58552310053927</v>
      </c>
      <c r="H62" s="16">
        <f t="shared" si="3"/>
        <v>121.09219899075802</v>
      </c>
    </row>
    <row r="63" spans="6:8" x14ac:dyDescent="0.25">
      <c r="F63" s="2">
        <v>0.51</v>
      </c>
      <c r="G63" s="16">
        <f t="shared" si="2"/>
        <v>59.893056479990364</v>
      </c>
      <c r="H63" s="16">
        <f t="shared" si="3"/>
        <v>120.35411888007539</v>
      </c>
    </row>
    <row r="64" spans="6:8" x14ac:dyDescent="0.25">
      <c r="F64" s="2">
        <v>0.52</v>
      </c>
      <c r="G64" s="16">
        <f t="shared" si="2"/>
        <v>60.195361791990791</v>
      </c>
      <c r="H64" s="16">
        <f t="shared" si="3"/>
        <v>119.62858613127437</v>
      </c>
    </row>
    <row r="65" spans="6:8" x14ac:dyDescent="0.25">
      <c r="F65" s="2">
        <v>0.53</v>
      </c>
      <c r="G65" s="16">
        <f t="shared" si="2"/>
        <v>60.492527913687212</v>
      </c>
      <c r="H65" s="16">
        <f t="shared" si="3"/>
        <v>118.91538743920297</v>
      </c>
    </row>
    <row r="66" spans="6:8" x14ac:dyDescent="0.25">
      <c r="F66" s="2">
        <v>0.54</v>
      </c>
      <c r="G66" s="16">
        <f t="shared" si="2"/>
        <v>60.78464221131479</v>
      </c>
      <c r="H66" s="16">
        <f t="shared" si="3"/>
        <v>118.21431312489679</v>
      </c>
    </row>
    <row r="67" spans="6:8" x14ac:dyDescent="0.25">
      <c r="F67" s="2">
        <v>0.55000000000000004</v>
      </c>
      <c r="G67" s="16">
        <f t="shared" si="2"/>
        <v>61.071790565882701</v>
      </c>
      <c r="H67" s="16">
        <f t="shared" si="3"/>
        <v>117.52515707393381</v>
      </c>
    </row>
    <row r="68" spans="6:8" x14ac:dyDescent="0.25">
      <c r="F68" s="2">
        <v>0.56000000000000005</v>
      </c>
      <c r="G68" s="16">
        <f t="shared" si="2"/>
        <v>61.35405739842296</v>
      </c>
      <c r="H68" s="16">
        <f t="shared" si="3"/>
        <v>116.84771667583721</v>
      </c>
    </row>
    <row r="69" spans="6:8" x14ac:dyDescent="0.25">
      <c r="F69" s="2">
        <v>0.56999999999999995</v>
      </c>
      <c r="G69" s="16">
        <f t="shared" si="2"/>
        <v>61.63152569481003</v>
      </c>
      <c r="H69" s="16">
        <f t="shared" si="3"/>
        <v>116.18179276450823</v>
      </c>
    </row>
    <row r="70" spans="6:8" x14ac:dyDescent="0.25">
      <c r="F70" s="2">
        <v>0.57999999999999996</v>
      </c>
      <c r="G70" s="16">
        <f t="shared" si="2"/>
        <v>61.904277030158518</v>
      </c>
      <c r="H70" s="16">
        <f t="shared" si="3"/>
        <v>115.52718955967185</v>
      </c>
    </row>
    <row r="71" spans="6:8" x14ac:dyDescent="0.25">
      <c r="F71" s="2">
        <v>0.59</v>
      </c>
      <c r="G71" s="16">
        <f t="shared" si="2"/>
        <v>62.172391592806086</v>
      </c>
      <c r="H71" s="16">
        <f t="shared" si="3"/>
        <v>114.88371460931769</v>
      </c>
    </row>
    <row r="72" spans="6:8" x14ac:dyDescent="0.25">
      <c r="F72" s="2">
        <v>0.6</v>
      </c>
      <c r="G72" s="16">
        <f t="shared" si="2"/>
        <v>62.435948207888643</v>
      </c>
      <c r="H72" s="16">
        <f t="shared" si="3"/>
        <v>114.25117873311956</v>
      </c>
    </row>
    <row r="73" spans="6:8" x14ac:dyDescent="0.25">
      <c r="F73" s="2">
        <v>0.61</v>
      </c>
      <c r="G73" s="16">
        <f t="shared" si="2"/>
        <v>62.6950243605148</v>
      </c>
      <c r="H73" s="16">
        <f t="shared" si="3"/>
        <v>113.62939596681679</v>
      </c>
    </row>
    <row r="74" spans="6:8" x14ac:dyDescent="0.25">
      <c r="F74" s="2">
        <v>0.62</v>
      </c>
      <c r="G74" s="16">
        <f t="shared" si="2"/>
        <v>62.949696218546308</v>
      </c>
      <c r="H74" s="16">
        <f t="shared" si="3"/>
        <v>113.01818350754117</v>
      </c>
    </row>
    <row r="75" spans="6:8" x14ac:dyDescent="0.25">
      <c r="F75" s="2">
        <v>0.63</v>
      </c>
      <c r="G75" s="16">
        <f t="shared" si="2"/>
        <v>63.200038654991282</v>
      </c>
      <c r="H75" s="16">
        <f t="shared" si="3"/>
        <v>112.41736166007323</v>
      </c>
    </row>
    <row r="76" spans="6:8" x14ac:dyDescent="0.25">
      <c r="F76" s="2">
        <v>0.64</v>
      </c>
      <c r="G76" s="16">
        <f t="shared" si="2"/>
        <v>63.446125270016694</v>
      </c>
      <c r="H76" s="16">
        <f t="shared" si="3"/>
        <v>111.82675378401224</v>
      </c>
    </row>
    <row r="77" spans="6:8" x14ac:dyDescent="0.25">
      <c r="F77" s="2">
        <v>0.65</v>
      </c>
      <c r="G77" s="16">
        <f t="shared" si="2"/>
        <v>63.688028412586668</v>
      </c>
      <c r="H77" s="16">
        <f t="shared" si="3"/>
        <v>111.2461862418443</v>
      </c>
    </row>
    <row r="78" spans="6:8" x14ac:dyDescent="0.25">
      <c r="F78" s="2">
        <v>0.66</v>
      </c>
      <c r="G78" s="16">
        <f t="shared" ref="G78:G112" si="4">G77+0.01*(0.5*(H77-G77))</f>
        <v>63.925819201732956</v>
      </c>
      <c r="H78" s="16">
        <f t="shared" ref="H78:H112" si="5">H77+0.01*(-1.2*(H77-G77))</f>
        <v>110.67548834789321</v>
      </c>
    </row>
    <row r="79" spans="6:8" x14ac:dyDescent="0.25">
      <c r="F79" s="2">
        <v>0.67</v>
      </c>
      <c r="G79" s="16">
        <f t="shared" si="4"/>
        <v>64.159567547463752</v>
      </c>
      <c r="H79" s="16">
        <f t="shared" si="5"/>
        <v>110.11449231813928</v>
      </c>
    </row>
    <row r="80" spans="6:8" x14ac:dyDescent="0.25">
      <c r="F80" s="2">
        <v>0.68</v>
      </c>
      <c r="G80" s="16">
        <f t="shared" si="4"/>
        <v>64.389342171317125</v>
      </c>
      <c r="H80" s="16">
        <f t="shared" si="5"/>
        <v>109.56303322089117</v>
      </c>
    </row>
    <row r="81" spans="6:8" x14ac:dyDescent="0.25">
      <c r="F81" s="2">
        <v>0.69</v>
      </c>
      <c r="G81" s="16">
        <f t="shared" si="4"/>
        <v>64.615210626565002</v>
      </c>
      <c r="H81" s="16">
        <f t="shared" si="5"/>
        <v>109.02094892829628</v>
      </c>
    </row>
    <row r="82" spans="6:8" x14ac:dyDescent="0.25">
      <c r="F82" s="2">
        <v>0.7</v>
      </c>
      <c r="G82" s="16">
        <f t="shared" si="4"/>
        <v>64.837239318073657</v>
      </c>
      <c r="H82" s="16">
        <f t="shared" si="5"/>
        <v>108.4880800686755</v>
      </c>
    </row>
    <row r="83" spans="6:8" x14ac:dyDescent="0.25">
      <c r="F83" s="2">
        <v>0.71</v>
      </c>
      <c r="G83" s="16">
        <f t="shared" si="4"/>
        <v>65.055493521826662</v>
      </c>
      <c r="H83" s="16">
        <f t="shared" si="5"/>
        <v>107.96426997966827</v>
      </c>
    </row>
    <row r="84" spans="6:8" x14ac:dyDescent="0.25">
      <c r="F84" s="2">
        <v>0.72</v>
      </c>
      <c r="G84" s="16">
        <f t="shared" si="4"/>
        <v>65.270037404115868</v>
      </c>
      <c r="H84" s="16">
        <f t="shared" si="5"/>
        <v>107.44936466217418</v>
      </c>
    </row>
    <row r="85" spans="6:8" x14ac:dyDescent="0.25">
      <c r="F85" s="2">
        <v>0.73</v>
      </c>
      <c r="G85" s="16">
        <f t="shared" si="4"/>
        <v>65.480934040406154</v>
      </c>
      <c r="H85" s="16">
        <f t="shared" si="5"/>
        <v>106.94321273507748</v>
      </c>
    </row>
    <row r="86" spans="6:8" x14ac:dyDescent="0.25">
      <c r="F86" s="2">
        <v>0.74</v>
      </c>
      <c r="G86" s="16">
        <f t="shared" si="4"/>
        <v>65.688245433879516</v>
      </c>
      <c r="H86" s="16">
        <f t="shared" si="5"/>
        <v>106.44566539074142</v>
      </c>
    </row>
    <row r="87" spans="6:8" x14ac:dyDescent="0.25">
      <c r="F87" s="2">
        <v>0.75</v>
      </c>
      <c r="G87" s="16">
        <f t="shared" si="4"/>
        <v>65.892032533663823</v>
      </c>
      <c r="H87" s="16">
        <f t="shared" si="5"/>
        <v>105.95657635125909</v>
      </c>
    </row>
    <row r="88" spans="6:8" x14ac:dyDescent="0.25">
      <c r="F88" s="2">
        <v>0.76</v>
      </c>
      <c r="G88" s="16">
        <f t="shared" si="4"/>
        <v>66.092355252751801</v>
      </c>
      <c r="H88" s="16">
        <f t="shared" si="5"/>
        <v>105.47580182544795</v>
      </c>
    </row>
    <row r="89" spans="6:8" x14ac:dyDescent="0.25">
      <c r="F89" s="2">
        <v>0.77</v>
      </c>
      <c r="G89" s="16">
        <f t="shared" si="4"/>
        <v>66.289272485615285</v>
      </c>
      <c r="H89" s="16">
        <f t="shared" si="5"/>
        <v>105.00320046657559</v>
      </c>
    </row>
    <row r="90" spans="6:8" x14ac:dyDescent="0.25">
      <c r="F90" s="2">
        <v>0.78</v>
      </c>
      <c r="G90" s="16">
        <f t="shared" si="4"/>
        <v>66.482842125520094</v>
      </c>
      <c r="H90" s="16">
        <f t="shared" si="5"/>
        <v>104.53863333080407</v>
      </c>
    </row>
    <row r="91" spans="6:8" x14ac:dyDescent="0.25">
      <c r="F91" s="2">
        <v>0.79</v>
      </c>
      <c r="G91" s="16">
        <f t="shared" si="4"/>
        <v>66.673121081546512</v>
      </c>
      <c r="H91" s="16">
        <f t="shared" si="5"/>
        <v>104.08196383634066</v>
      </c>
    </row>
    <row r="92" spans="6:8" x14ac:dyDescent="0.25">
      <c r="F92" s="2">
        <v>0.8</v>
      </c>
      <c r="G92" s="16">
        <f t="shared" si="4"/>
        <v>66.860165295320485</v>
      </c>
      <c r="H92" s="16">
        <f t="shared" si="5"/>
        <v>103.63305772328313</v>
      </c>
    </row>
    <row r="93" spans="6:8" x14ac:dyDescent="0.25">
      <c r="F93" s="2">
        <v>0.81</v>
      </c>
      <c r="G93" s="16">
        <f t="shared" si="4"/>
        <v>67.044029757460294</v>
      </c>
      <c r="H93" s="16">
        <f t="shared" si="5"/>
        <v>103.19178301414757</v>
      </c>
    </row>
    <row r="94" spans="6:8" x14ac:dyDescent="0.25">
      <c r="F94" s="2">
        <v>0.82</v>
      </c>
      <c r="G94" s="16">
        <f t="shared" si="4"/>
        <v>67.224768523743734</v>
      </c>
      <c r="H94" s="16">
        <f t="shared" si="5"/>
        <v>102.75800997506732</v>
      </c>
    </row>
    <row r="95" spans="6:8" x14ac:dyDescent="0.25">
      <c r="F95" s="2">
        <v>0.83</v>
      </c>
      <c r="G95" s="16">
        <f t="shared" si="4"/>
        <v>67.402434731000355</v>
      </c>
      <c r="H95" s="16">
        <f t="shared" si="5"/>
        <v>102.33161107765144</v>
      </c>
    </row>
    <row r="96" spans="6:8" x14ac:dyDescent="0.25">
      <c r="F96" s="2">
        <v>0.84</v>
      </c>
      <c r="G96" s="16">
        <f t="shared" si="4"/>
        <v>67.57708061273361</v>
      </c>
      <c r="H96" s="16">
        <f t="shared" si="5"/>
        <v>101.91246096149163</v>
      </c>
    </row>
    <row r="97" spans="6:8" x14ac:dyDescent="0.25">
      <c r="F97" s="2">
        <v>0.85</v>
      </c>
      <c r="G97" s="16">
        <f t="shared" si="4"/>
        <v>67.748757514477404</v>
      </c>
      <c r="H97" s="16">
        <f t="shared" si="5"/>
        <v>101.50043639730653</v>
      </c>
    </row>
    <row r="98" spans="6:8" x14ac:dyDescent="0.25">
      <c r="F98" s="2">
        <v>0.86</v>
      </c>
      <c r="G98" s="16">
        <f t="shared" si="4"/>
        <v>67.917515908891545</v>
      </c>
      <c r="H98" s="16">
        <f t="shared" si="5"/>
        <v>101.09541625071257</v>
      </c>
    </row>
    <row r="99" spans="6:8" x14ac:dyDescent="0.25">
      <c r="F99" s="2">
        <v>0.87</v>
      </c>
      <c r="G99" s="16">
        <f t="shared" si="4"/>
        <v>68.083405410600648</v>
      </c>
      <c r="H99" s="16">
        <f t="shared" si="5"/>
        <v>100.69728144661072</v>
      </c>
    </row>
    <row r="100" spans="6:8" x14ac:dyDescent="0.25">
      <c r="F100" s="2">
        <v>0.88</v>
      </c>
      <c r="G100" s="16">
        <f t="shared" si="4"/>
        <v>68.246474790780695</v>
      </c>
      <c r="H100" s="16">
        <f t="shared" si="5"/>
        <v>100.3059149341786</v>
      </c>
    </row>
    <row r="101" spans="6:8" x14ac:dyDescent="0.25">
      <c r="F101" s="2">
        <v>0.89</v>
      </c>
      <c r="G101" s="16">
        <f t="shared" si="4"/>
        <v>68.406771991497678</v>
      </c>
      <c r="H101" s="16">
        <f t="shared" si="5"/>
        <v>99.921201652457825</v>
      </c>
    </row>
    <row r="102" spans="6:8" x14ac:dyDescent="0.25">
      <c r="F102" s="2">
        <v>0.9</v>
      </c>
      <c r="G102" s="16">
        <f t="shared" si="4"/>
        <v>68.564344139802472</v>
      </c>
      <c r="H102" s="16">
        <f t="shared" si="5"/>
        <v>99.543028496526304</v>
      </c>
    </row>
    <row r="103" spans="6:8" x14ac:dyDescent="0.25">
      <c r="F103" s="2">
        <v>0.91</v>
      </c>
      <c r="G103" s="16">
        <f t="shared" si="4"/>
        <v>68.719237561586098</v>
      </c>
      <c r="H103" s="16">
        <f t="shared" si="5"/>
        <v>99.171284284245615</v>
      </c>
    </row>
    <row r="104" spans="6:8" x14ac:dyDescent="0.25">
      <c r="F104" s="2">
        <v>0.92</v>
      </c>
      <c r="G104" s="16">
        <f t="shared" si="4"/>
        <v>68.871497795199389</v>
      </c>
      <c r="H104" s="16">
        <f t="shared" si="5"/>
        <v>98.805859723573704</v>
      </c>
    </row>
    <row r="105" spans="6:8" x14ac:dyDescent="0.25">
      <c r="F105" s="2">
        <v>0.93</v>
      </c>
      <c r="G105" s="16">
        <f t="shared" si="4"/>
        <v>69.021169604841262</v>
      </c>
      <c r="H105" s="16">
        <f t="shared" si="5"/>
        <v>98.446647380433205</v>
      </c>
    </row>
    <row r="106" spans="6:8" x14ac:dyDescent="0.25">
      <c r="F106" s="2">
        <v>0.94</v>
      </c>
      <c r="G106" s="16">
        <f t="shared" si="4"/>
        <v>69.168296993719224</v>
      </c>
      <c r="H106" s="16">
        <f t="shared" si="5"/>
        <v>98.093541647126102</v>
      </c>
    </row>
    <row r="107" spans="6:8" x14ac:dyDescent="0.25">
      <c r="F107" s="2">
        <v>0.95</v>
      </c>
      <c r="G107" s="16">
        <f t="shared" si="4"/>
        <v>69.312923216986263</v>
      </c>
      <c r="H107" s="16">
        <f t="shared" si="5"/>
        <v>97.746438711285222</v>
      </c>
    </row>
    <row r="108" spans="6:8" x14ac:dyDescent="0.25">
      <c r="F108" s="2">
        <v>0.96</v>
      </c>
      <c r="G108" s="16">
        <f t="shared" si="4"/>
        <v>69.45509079445776</v>
      </c>
      <c r="H108" s="16">
        <f t="shared" si="5"/>
        <v>97.405236525353629</v>
      </c>
    </row>
    <row r="109" spans="6:8" x14ac:dyDescent="0.25">
      <c r="F109" s="2">
        <v>0.97</v>
      </c>
      <c r="G109" s="16">
        <f t="shared" si="4"/>
        <v>69.594841523112237</v>
      </c>
      <c r="H109" s="16">
        <f t="shared" si="5"/>
        <v>97.06983477658288</v>
      </c>
    </row>
    <row r="110" spans="6:8" x14ac:dyDescent="0.25">
      <c r="F110" s="2">
        <v>0.98</v>
      </c>
      <c r="G110" s="16">
        <f t="shared" si="4"/>
        <v>69.732216489379596</v>
      </c>
      <c r="H110" s="16">
        <f t="shared" si="5"/>
        <v>96.740134857541236</v>
      </c>
    </row>
    <row r="111" spans="6:8" x14ac:dyDescent="0.25">
      <c r="F111" s="2">
        <v>0.99</v>
      </c>
      <c r="G111" s="16">
        <f t="shared" si="4"/>
        <v>69.867256081220404</v>
      </c>
      <c r="H111" s="16">
        <f t="shared" si="5"/>
        <v>96.416039837123293</v>
      </c>
    </row>
    <row r="112" spans="6:8" x14ac:dyDescent="0.25">
      <c r="F112" s="2">
        <v>1</v>
      </c>
      <c r="G112" s="16">
        <f t="shared" si="4"/>
        <v>69.999999999999915</v>
      </c>
      <c r="H112" s="16">
        <f t="shared" si="5"/>
        <v>96.097454432052459</v>
      </c>
    </row>
  </sheetData>
  <mergeCells count="2">
    <mergeCell ref="B10:D10"/>
    <mergeCell ref="F10:H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1)</vt:lpstr>
      <vt:lpstr>2)</vt:lpstr>
      <vt:lpstr>3)</vt:lpstr>
      <vt:lpstr>a</vt:lpstr>
      <vt:lpstr>b</vt:lpstr>
      <vt:lpstr>Ca</vt:lpstr>
      <vt:lpstr>Da</vt:lpstr>
      <vt:lpstr>Dx</vt:lpstr>
      <vt:lpstr>h</vt:lpstr>
      <vt:lpstr>k</vt:lpstr>
      <vt:lpstr>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Renata</dc:creator>
  <cp:lastModifiedBy>Renata</cp:lastModifiedBy>
  <dcterms:created xsi:type="dcterms:W3CDTF">2020-04-19T00:57:57Z</dcterms:created>
  <dcterms:modified xsi:type="dcterms:W3CDTF">2020-04-20T02:43:03Z</dcterms:modified>
</cp:coreProperties>
</file>