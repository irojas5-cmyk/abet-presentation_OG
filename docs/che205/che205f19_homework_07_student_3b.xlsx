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oZhen/Desktop/CHE205_Fall19/mid/hw7/"/>
    </mc:Choice>
  </mc:AlternateContent>
  <xr:revisionPtr revIDLastSave="0" documentId="13_ncr:1_{BF36288F-86AE-DF42-A2D7-D2C2BD1E4DD0}" xr6:coauthVersionLast="41" xr6:coauthVersionMax="45" xr10:uidLastSave="{00000000-0000-0000-0000-000000000000}"/>
  <bookViews>
    <workbookView xWindow="-120" yWindow="460" windowWidth="20740" windowHeight="111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" l="1"/>
  <c r="M17" i="1" s="1"/>
  <c r="B8" i="1"/>
  <c r="B6" i="1"/>
  <c r="M20" i="1" l="1"/>
  <c r="M16" i="1"/>
  <c r="M14" i="1"/>
  <c r="M12" i="1"/>
  <c r="M19" i="1"/>
  <c r="M15" i="1"/>
  <c r="M13" i="1"/>
  <c r="M18" i="1"/>
  <c r="M21" i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H18" i="1"/>
  <c r="C13" i="1" l="1"/>
  <c r="G17" i="1"/>
  <c r="F16" i="1"/>
  <c r="J20" i="1"/>
  <c r="B12" i="1"/>
  <c r="E15" i="1"/>
  <c r="I19" i="1"/>
  <c r="D14" i="1"/>
  <c r="L12" i="1" a="1"/>
  <c r="L12" i="1" l="1"/>
  <c r="L15" i="1"/>
  <c r="L19" i="1"/>
  <c r="L16" i="1"/>
  <c r="L14" i="1"/>
  <c r="L20" i="1"/>
  <c r="L13" i="1"/>
  <c r="L18" i="1"/>
  <c r="L21" i="1"/>
  <c r="L17" i="1"/>
</calcChain>
</file>

<file path=xl/sharedStrings.xml><?xml version="1.0" encoding="utf-8"?>
<sst xmlns="http://schemas.openxmlformats.org/spreadsheetml/2006/main" count="14" uniqueCount="13">
  <si>
    <t>b</t>
  </si>
  <si>
    <t>c</t>
  </si>
  <si>
    <t>x=</t>
  </si>
  <si>
    <t>A =</t>
  </si>
  <si>
    <t>T=A^(-1) B</t>
  </si>
  <si>
    <t>B=</t>
  </si>
  <si>
    <t>dCA(0)/dx=</t>
  </si>
  <si>
    <t>k=</t>
  </si>
  <si>
    <t>CA(1)=</t>
  </si>
  <si>
    <t>da=</t>
  </si>
  <si>
    <t>k/da=</t>
  </si>
  <si>
    <t>dy=</t>
  </si>
  <si>
    <t>CA(0)=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</si>
</sst>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6">
    <font>
      <sz val="11"/>
      <color theme="1"/>
      <name val="等线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76" fontId="1" fillId="0" borderId="0" xfId="0" applyNumberFormat="1" applyFont="1"/>
    <xf numFmtId="176" fontId="2" fillId="0" borderId="0" xfId="0" applyNumberFormat="1" applyFont="1"/>
    <xf numFmtId="0" fontId="2" fillId="0" borderId="0" xfId="0" applyFont="1"/>
    <xf numFmtId="0" fontId="1" fillId="0" borderId="0" xfId="0" applyFont="1"/>
    <xf numFmtId="176" fontId="1" fillId="0" borderId="0" xfId="0" applyNumberFormat="1" applyFont="1" applyAlignment="1">
      <alignment horizontal="center"/>
    </xf>
    <xf numFmtId="177" fontId="2" fillId="0" borderId="0" xfId="0" applyNumberFormat="1" applyFont="1"/>
    <xf numFmtId="0" fontId="2" fillId="2" borderId="0" xfId="0" applyFont="1" applyFill="1"/>
    <xf numFmtId="11" fontId="3" fillId="0" borderId="0" xfId="0" applyNumberFormat="1" applyFont="1"/>
    <xf numFmtId="176" fontId="1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176" fontId="2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</a:t>
            </a:r>
            <a:r>
              <a:rPr lang="en-US" baseline="0"/>
              <a:t> vs 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Sheet1!$A$11:$A$21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cat>
          <c:val>
            <c:numRef>
              <c:f>Sheet1!$L$11:$L$21</c:f>
              <c:numCache>
                <c:formatCode>0.000</c:formatCode>
                <c:ptCount val="11"/>
                <c:pt idx="0" formatCode="General">
                  <c:v>1</c:v>
                </c:pt>
                <c:pt idx="1">
                  <c:v>0.73100007503021536</c:v>
                </c:pt>
                <c:pt idx="2">
                  <c:v>0.53510015756345242</c:v>
                </c:pt>
                <c:pt idx="3">
                  <c:v>0.3927102558530346</c:v>
                </c:pt>
                <c:pt idx="4">
                  <c:v>0.28959137972792054</c:v>
                </c:pt>
                <c:pt idx="5">
                  <c:v>0.21543164157559841</c:v>
                </c:pt>
                <c:pt idx="6">
                  <c:v>0.16281506758083622</c:v>
                </c:pt>
                <c:pt idx="7">
                  <c:v>0.12648000034415768</c:v>
                </c:pt>
                <c:pt idx="8">
                  <c:v>0.10279293314189492</c:v>
                </c:pt>
                <c:pt idx="9">
                  <c:v>8.9385159253821636E-2</c:v>
                </c:pt>
                <c:pt idx="10">
                  <c:v>8.4915901291130552E-2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70-460A-9E5E-6D9977BF6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966232"/>
        <c:axId val="395967872"/>
      </c:lineChart>
      <c:catAx>
        <c:axId val="395966232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67872"/>
        <c:crosses val="autoZero"/>
        <c:auto val="1"/>
        <c:lblAlgn val="ctr"/>
        <c:lblOffset val="100"/>
        <c:noMultiLvlLbl val="0"/>
      </c:catAx>
      <c:valAx>
        <c:axId val="3959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6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31749</xdr:colOff>
      <xdr:row>10</xdr:row>
      <xdr:rowOff>127000</xdr:rowOff>
    </xdr:from>
    <xdr:to>
      <xdr:col>23</xdr:col>
      <xdr:colOff>428625</xdr:colOff>
      <xdr:row>27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2C67EA-0487-4993-A3FD-94DB83157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752475</xdr:colOff>
      <xdr:row>0</xdr:row>
      <xdr:rowOff>0</xdr:rowOff>
    </xdr:from>
    <xdr:ext cx="911225" cy="962025"/>
    <xdr:pic>
      <xdr:nvPicPr>
        <xdr:cNvPr id="6" name="Picture 1">
          <a:extLst>
            <a:ext uri="{FF2B5EF4-FFF2-40B4-BE49-F238E27FC236}">
              <a16:creationId xmlns:a16="http://schemas.microsoft.com/office/drawing/2014/main" id="{3641F5E8-6E21-40A4-9776-82499BC24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1225" y="0"/>
          <a:ext cx="911225" cy="962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733425</xdr:colOff>
      <xdr:row>1</xdr:row>
      <xdr:rowOff>0</xdr:rowOff>
    </xdr:from>
    <xdr:ext cx="346075" cy="558800"/>
    <xdr:pic>
      <xdr:nvPicPr>
        <xdr:cNvPr id="7" name="Picture 2">
          <a:extLst>
            <a:ext uri="{FF2B5EF4-FFF2-40B4-BE49-F238E27FC236}">
              <a16:creationId xmlns:a16="http://schemas.microsoft.com/office/drawing/2014/main" id="{6FB7CE2E-D060-4A85-8634-5A7A03AD1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0225" y="301625"/>
          <a:ext cx="346075" cy="5588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0</xdr:colOff>
      <xdr:row>4</xdr:row>
      <xdr:rowOff>0</xdr:rowOff>
    </xdr:from>
    <xdr:ext cx="1184235" cy="93762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D29E844-7685-9D4C-891F-9005C8F1BF82}"/>
            </a:ext>
          </a:extLst>
        </xdr:cNvPr>
        <xdr:cNvSpPr/>
      </xdr:nvSpPr>
      <xdr:spPr>
        <a:xfrm>
          <a:off x="13123333" y="1185333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6/6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ordan%20Eckhart/Desktop/CHE%20205/matrix_v23(1)%20(1)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WorkArea"/>
      <sheetName val="CommandBarMenu"/>
      <sheetName val="Functions"/>
      <sheetName val="matrix_v23(1) (1)"/>
    </sheetNames>
    <definedNames>
      <definedName name="SysLin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1"/>
  <sheetViews>
    <sheetView tabSelected="1" zoomScale="60" zoomScaleNormal="60" workbookViewId="0">
      <selection activeCell="L5" sqref="L5"/>
    </sheetView>
  </sheetViews>
  <sheetFormatPr baseColWidth="10" defaultColWidth="8.83203125" defaultRowHeight="15"/>
  <cols>
    <col min="1" max="1" width="21.5" customWidth="1"/>
    <col min="2" max="2" width="22.5" customWidth="1"/>
    <col min="3" max="3" width="16" customWidth="1"/>
    <col min="4" max="4" width="15.5" customWidth="1"/>
    <col min="5" max="5" width="16" customWidth="1"/>
    <col min="6" max="6" width="12.1640625" customWidth="1"/>
    <col min="7" max="7" width="15.33203125" customWidth="1"/>
    <col min="8" max="8" width="13.1640625" customWidth="1"/>
    <col min="9" max="9" width="13" customWidth="1"/>
    <col min="10" max="10" width="14.1640625" customWidth="1"/>
    <col min="11" max="11" width="12.6640625" customWidth="1"/>
    <col min="12" max="12" width="17.5" customWidth="1"/>
    <col min="13" max="13" width="15.5" customWidth="1"/>
    <col min="17" max="17" width="19.83203125" customWidth="1"/>
  </cols>
  <sheetData>
    <row r="1" spans="1:17" ht="23">
      <c r="A1" s="9" t="s">
        <v>6</v>
      </c>
      <c r="B1" s="2">
        <v>-100</v>
      </c>
      <c r="C1" s="1"/>
      <c r="D1" s="2"/>
      <c r="E1" s="11" t="s">
        <v>12</v>
      </c>
      <c r="F1" s="12">
        <v>1</v>
      </c>
      <c r="G1" s="10"/>
      <c r="H1" s="2"/>
      <c r="I1" s="2"/>
      <c r="J1" s="2"/>
      <c r="K1" s="9"/>
      <c r="L1" s="2"/>
      <c r="M1" s="1"/>
      <c r="N1" s="2"/>
      <c r="P1" s="9"/>
      <c r="Q1" s="10"/>
    </row>
    <row r="2" spans="1:17" ht="23">
      <c r="A2" s="9" t="s">
        <v>8</v>
      </c>
      <c r="B2" s="2">
        <v>0</v>
      </c>
      <c r="C2" s="1"/>
      <c r="D2" s="2"/>
      <c r="F2" s="11"/>
      <c r="G2" s="8"/>
      <c r="H2" s="2"/>
      <c r="I2" s="2"/>
      <c r="J2" s="2"/>
      <c r="K2" s="9"/>
      <c r="L2" s="2"/>
      <c r="M2" s="1"/>
      <c r="N2" s="2"/>
      <c r="P2" s="11"/>
      <c r="Q2" s="8"/>
    </row>
    <row r="3" spans="1:17" ht="23">
      <c r="A3" s="1" t="s">
        <v>11</v>
      </c>
      <c r="B3" s="2">
        <v>0.1</v>
      </c>
      <c r="C3" s="2"/>
      <c r="D3" s="2"/>
      <c r="F3" s="9"/>
      <c r="G3" s="8"/>
      <c r="H3" s="2"/>
      <c r="I3" s="2"/>
      <c r="J3" s="2"/>
      <c r="K3" s="9"/>
      <c r="L3" s="2"/>
      <c r="M3" s="2"/>
      <c r="N3" s="2"/>
      <c r="P3" s="9"/>
      <c r="Q3" s="8"/>
    </row>
    <row r="4" spans="1:17" ht="23">
      <c r="A4" s="9" t="s">
        <v>7</v>
      </c>
      <c r="B4" s="10">
        <v>0.01</v>
      </c>
      <c r="C4" s="2"/>
      <c r="D4" s="2"/>
      <c r="F4" s="11"/>
      <c r="G4" s="10"/>
      <c r="H4" s="2"/>
      <c r="I4" s="2"/>
      <c r="J4" s="2"/>
      <c r="K4" s="1"/>
      <c r="L4" s="2"/>
      <c r="M4" s="2"/>
      <c r="N4" s="2"/>
      <c r="P4" s="11"/>
      <c r="Q4" s="10"/>
    </row>
    <row r="5" spans="1:17" ht="23">
      <c r="A5" s="11" t="s">
        <v>9</v>
      </c>
      <c r="B5" s="8">
        <v>1E-3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spans="1:17" ht="23">
      <c r="A6" s="9" t="s">
        <v>10</v>
      </c>
      <c r="B6" s="8">
        <f>B4/B5</f>
        <v>10</v>
      </c>
      <c r="C6" s="1" t="s">
        <v>11</v>
      </c>
      <c r="D6" s="2">
        <v>0.1</v>
      </c>
      <c r="E6" s="2"/>
      <c r="F6" s="2"/>
      <c r="G6" s="1"/>
      <c r="H6" s="2"/>
      <c r="I6" s="2"/>
      <c r="J6" s="2"/>
      <c r="K6" s="2"/>
      <c r="L6" s="2"/>
      <c r="M6" s="3"/>
    </row>
    <row r="7" spans="1:17" ht="2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spans="1:17" ht="23">
      <c r="A8" s="1" t="s">
        <v>0</v>
      </c>
      <c r="B8" s="2">
        <f>2+B6*D6*D6</f>
        <v>2.1</v>
      </c>
      <c r="C8" s="1"/>
      <c r="D8" s="2"/>
      <c r="E8" s="2"/>
      <c r="F8" s="2"/>
      <c r="G8" s="2"/>
      <c r="H8" s="2"/>
      <c r="I8" s="2"/>
      <c r="J8" s="2"/>
      <c r="K8" s="2"/>
      <c r="L8" s="2"/>
      <c r="M8" s="3"/>
    </row>
    <row r="9" spans="1:17" ht="23">
      <c r="A9" s="1" t="s">
        <v>1</v>
      </c>
      <c r="B9" s="2">
        <f>B6*D6*D6*B2</f>
        <v>0</v>
      </c>
      <c r="C9" s="1"/>
      <c r="D9" s="2"/>
      <c r="E9" s="2"/>
      <c r="F9" s="2"/>
      <c r="G9" s="2"/>
      <c r="H9" s="2"/>
      <c r="I9" s="2"/>
      <c r="J9" s="2"/>
      <c r="K9" s="2"/>
      <c r="L9" s="2"/>
      <c r="M9" s="3"/>
    </row>
    <row r="10" spans="1:17" ht="23">
      <c r="A10" s="4" t="s">
        <v>2</v>
      </c>
      <c r="B10" s="13" t="s">
        <v>3</v>
      </c>
      <c r="C10" s="13"/>
      <c r="D10" s="13"/>
      <c r="E10" s="13"/>
      <c r="F10" s="13"/>
      <c r="G10" s="13"/>
      <c r="H10" s="13"/>
      <c r="I10" s="13"/>
      <c r="J10" s="13"/>
      <c r="K10" s="5"/>
      <c r="L10" s="1" t="s">
        <v>4</v>
      </c>
      <c r="M10" s="1" t="s">
        <v>5</v>
      </c>
    </row>
    <row r="11" spans="1:17" ht="23">
      <c r="A11" s="6">
        <v>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3">
        <v>1</v>
      </c>
      <c r="M11" s="7"/>
    </row>
    <row r="12" spans="1:17" ht="23">
      <c r="A12" s="6">
        <f>A11+$D$6</f>
        <v>0.1</v>
      </c>
      <c r="B12" s="2">
        <f>-$B$8</f>
        <v>-2.1</v>
      </c>
      <c r="C12" s="2">
        <v>1</v>
      </c>
      <c r="D12" s="2"/>
      <c r="E12" s="2"/>
      <c r="F12" s="2"/>
      <c r="G12" s="2"/>
      <c r="H12" s="2"/>
      <c r="I12" s="2"/>
      <c r="J12" s="2"/>
      <c r="K12" s="2"/>
      <c r="L12" s="2">
        <f t="array" ref="L12:L21">[1]!SysLin(B12:K21,M12:M21)</f>
        <v>0.73100007503021536</v>
      </c>
      <c r="M12" s="2">
        <f>-$B$9-$F$1</f>
        <v>-1</v>
      </c>
    </row>
    <row r="13" spans="1:17" ht="23">
      <c r="A13" s="6">
        <f t="shared" ref="A13:A21" si="0">A12+$D$6</f>
        <v>0.2</v>
      </c>
      <c r="B13" s="2">
        <v>1</v>
      </c>
      <c r="C13" s="2">
        <f>-$B$8</f>
        <v>-2.1</v>
      </c>
      <c r="D13" s="2">
        <v>1</v>
      </c>
      <c r="E13" s="2"/>
      <c r="F13" s="2"/>
      <c r="G13" s="2"/>
      <c r="H13" s="2"/>
      <c r="I13" s="2"/>
      <c r="J13" s="2"/>
      <c r="K13" s="2"/>
      <c r="L13" s="2">
        <v>0.53510015756345242</v>
      </c>
      <c r="M13" s="2">
        <f>-$B$9</f>
        <v>0</v>
      </c>
    </row>
    <row r="14" spans="1:17" ht="23">
      <c r="A14" s="6">
        <f t="shared" si="0"/>
        <v>0.30000000000000004</v>
      </c>
      <c r="B14" s="2"/>
      <c r="C14" s="2">
        <v>1</v>
      </c>
      <c r="D14" s="2">
        <f>-$B$8</f>
        <v>-2.1</v>
      </c>
      <c r="E14" s="2">
        <v>1</v>
      </c>
      <c r="F14" s="2"/>
      <c r="G14" s="2"/>
      <c r="H14" s="2"/>
      <c r="I14" s="2"/>
      <c r="J14" s="2"/>
      <c r="K14" s="2"/>
      <c r="L14" s="2">
        <v>0.3927102558530346</v>
      </c>
      <c r="M14" s="2">
        <f t="shared" ref="M14:M21" si="1">-$B$9</f>
        <v>0</v>
      </c>
    </row>
    <row r="15" spans="1:17" ht="23">
      <c r="A15" s="6">
        <f t="shared" si="0"/>
        <v>0.4</v>
      </c>
      <c r="B15" s="2"/>
      <c r="C15" s="2"/>
      <c r="D15" s="2">
        <v>1</v>
      </c>
      <c r="E15" s="2">
        <f>-$B$8</f>
        <v>-2.1</v>
      </c>
      <c r="F15" s="2">
        <v>1</v>
      </c>
      <c r="G15" s="2"/>
      <c r="H15" s="2"/>
      <c r="I15" s="2"/>
      <c r="J15" s="2"/>
      <c r="K15" s="2"/>
      <c r="L15" s="2">
        <v>0.28959137972792054</v>
      </c>
      <c r="M15" s="2">
        <f t="shared" si="1"/>
        <v>0</v>
      </c>
    </row>
    <row r="16" spans="1:17" ht="23">
      <c r="A16" s="6">
        <f t="shared" si="0"/>
        <v>0.5</v>
      </c>
      <c r="B16" s="2"/>
      <c r="C16" s="2"/>
      <c r="D16" s="2"/>
      <c r="E16" s="2">
        <v>1</v>
      </c>
      <c r="F16" s="2">
        <f>-$B$8</f>
        <v>-2.1</v>
      </c>
      <c r="G16" s="2">
        <v>1</v>
      </c>
      <c r="H16" s="2"/>
      <c r="I16" s="2"/>
      <c r="J16" s="2"/>
      <c r="K16" s="2"/>
      <c r="L16" s="2">
        <v>0.21543164157559841</v>
      </c>
      <c r="M16" s="2">
        <f t="shared" si="1"/>
        <v>0</v>
      </c>
    </row>
    <row r="17" spans="1:13" ht="23">
      <c r="A17" s="6">
        <f t="shared" si="0"/>
        <v>0.6</v>
      </c>
      <c r="B17" s="2"/>
      <c r="C17" s="2"/>
      <c r="D17" s="2"/>
      <c r="E17" s="2"/>
      <c r="F17" s="2">
        <v>1</v>
      </c>
      <c r="G17" s="2">
        <f>-$B$8</f>
        <v>-2.1</v>
      </c>
      <c r="H17" s="2">
        <v>1</v>
      </c>
      <c r="I17" s="2"/>
      <c r="J17" s="2"/>
      <c r="K17" s="2"/>
      <c r="L17" s="2">
        <v>0.16281506758083622</v>
      </c>
      <c r="M17" s="2">
        <f t="shared" si="1"/>
        <v>0</v>
      </c>
    </row>
    <row r="18" spans="1:13" ht="23">
      <c r="A18" s="6">
        <f t="shared" si="0"/>
        <v>0.7</v>
      </c>
      <c r="B18" s="2"/>
      <c r="C18" s="2"/>
      <c r="D18" s="2"/>
      <c r="E18" s="2"/>
      <c r="F18" s="2"/>
      <c r="G18" s="2">
        <v>1</v>
      </c>
      <c r="H18" s="2">
        <f>-$B$8</f>
        <v>-2.1</v>
      </c>
      <c r="I18" s="2">
        <v>1</v>
      </c>
      <c r="J18" s="2"/>
      <c r="K18" s="2"/>
      <c r="L18" s="2">
        <v>0.12648000034415768</v>
      </c>
      <c r="M18" s="2">
        <f t="shared" si="1"/>
        <v>0</v>
      </c>
    </row>
    <row r="19" spans="1:13" ht="23">
      <c r="A19" s="6">
        <f t="shared" si="0"/>
        <v>0.79999999999999993</v>
      </c>
      <c r="B19" s="2"/>
      <c r="C19" s="2"/>
      <c r="D19" s="2"/>
      <c r="E19" s="2"/>
      <c r="F19" s="2"/>
      <c r="G19" s="2"/>
      <c r="H19" s="2">
        <v>1</v>
      </c>
      <c r="I19" s="2">
        <f>-$B$8</f>
        <v>-2.1</v>
      </c>
      <c r="J19" s="2">
        <v>1</v>
      </c>
      <c r="K19" s="2"/>
      <c r="L19" s="2">
        <v>0.10279293314189492</v>
      </c>
      <c r="M19" s="2">
        <f t="shared" si="1"/>
        <v>0</v>
      </c>
    </row>
    <row r="20" spans="1:13" ht="23">
      <c r="A20" s="6">
        <f t="shared" si="0"/>
        <v>0.89999999999999991</v>
      </c>
      <c r="B20" s="2"/>
      <c r="C20" s="2"/>
      <c r="D20" s="2"/>
      <c r="E20" s="2"/>
      <c r="F20" s="2"/>
      <c r="G20" s="2"/>
      <c r="H20" s="2"/>
      <c r="I20" s="2">
        <v>1</v>
      </c>
      <c r="J20" s="2">
        <f>-$B$8</f>
        <v>-2.1</v>
      </c>
      <c r="K20" s="2">
        <v>1</v>
      </c>
      <c r="L20" s="2">
        <v>8.9385159253821636E-2</v>
      </c>
      <c r="M20" s="2">
        <f t="shared" si="1"/>
        <v>0</v>
      </c>
    </row>
    <row r="21" spans="1:13" ht="23">
      <c r="A21" s="6">
        <f t="shared" si="0"/>
        <v>0.99999999999999989</v>
      </c>
      <c r="B21" s="2"/>
      <c r="C21" s="2"/>
      <c r="D21" s="2"/>
      <c r="E21" s="2"/>
      <c r="F21" s="2"/>
      <c r="G21" s="2"/>
      <c r="H21" s="2"/>
      <c r="I21" s="2">
        <v>1</v>
      </c>
      <c r="J21" s="2">
        <v>-4</v>
      </c>
      <c r="K21" s="2">
        <v>3</v>
      </c>
      <c r="L21" s="2">
        <v>8.4915901291130552E-2</v>
      </c>
      <c r="M21" s="2">
        <f t="shared" si="1"/>
        <v>0</v>
      </c>
    </row>
  </sheetData>
  <mergeCells count="1">
    <mergeCell ref="B10:J10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2020-05-13T01:47:28Z</dcterms:modified>
</cp:coreProperties>
</file>