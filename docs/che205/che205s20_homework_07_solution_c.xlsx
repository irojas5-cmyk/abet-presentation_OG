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2cef6a871318d33/Documents/PhD/Year 2/CHE 205/"/>
    </mc:Choice>
  </mc:AlternateContent>
  <xr:revisionPtr revIDLastSave="16" documentId="8_{EA19F396-4947-6D44-BE35-0A8C3AD0F5CD}" xr6:coauthVersionLast="45" xr6:coauthVersionMax="45" xr10:uidLastSave="{1858BF1B-D2FE-1045-89B8-34A0393E4914}"/>
  <bookViews>
    <workbookView xWindow="0" yWindow="0" windowWidth="28800" windowHeight="18000" xr2:uid="{00000000-000D-0000-FFFF-FFFF00000000}"/>
  </bookViews>
  <sheets>
    <sheet name="DT = 0.1" sheetId="1" r:id="rId1"/>
    <sheet name="DT = 0.01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" i="1" l="1"/>
  <c r="C3" i="1" l="1"/>
  <c r="B3" i="1"/>
  <c r="E2" i="1"/>
  <c r="D2" i="1"/>
  <c r="C4" i="1"/>
  <c r="D3" i="1" l="1"/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E2" i="2"/>
  <c r="C3" i="2" s="1"/>
  <c r="D2" i="2"/>
  <c r="B3" i="2" s="1"/>
  <c r="A3" i="1"/>
  <c r="A4" i="1" s="1"/>
  <c r="A5" i="1" s="1"/>
  <c r="A6" i="1" s="1"/>
  <c r="A7" i="1" s="1"/>
  <c r="A8" i="1" s="1"/>
  <c r="A9" i="1" s="1"/>
  <c r="A10" i="1" s="1"/>
  <c r="A11" i="1" s="1"/>
  <c r="A12" i="1" s="1"/>
  <c r="E3" i="2" l="1"/>
  <c r="C4" i="2" s="1"/>
  <c r="D3" i="2"/>
  <c r="B4" i="2" s="1"/>
  <c r="B4" i="1"/>
  <c r="E3" i="1"/>
  <c r="E4" i="2" l="1"/>
  <c r="C5" i="2" s="1"/>
  <c r="D4" i="2"/>
  <c r="B5" i="2" s="1"/>
  <c r="E4" i="1"/>
  <c r="C5" i="1" s="1"/>
  <c r="B5" i="1"/>
  <c r="D5" i="2" l="1"/>
  <c r="B6" i="2" s="1"/>
  <c r="E5" i="2"/>
  <c r="C6" i="2" s="1"/>
  <c r="E5" i="1"/>
  <c r="C6" i="1" s="1"/>
  <c r="D5" i="1"/>
  <c r="B6" i="1" s="1"/>
  <c r="E6" i="2" l="1"/>
  <c r="C7" i="2" s="1"/>
  <c r="D6" i="2"/>
  <c r="B7" i="2" s="1"/>
  <c r="E6" i="1"/>
  <c r="C7" i="1" s="1"/>
  <c r="D6" i="1"/>
  <c r="B7" i="1" s="1"/>
  <c r="D7" i="2" l="1"/>
  <c r="E7" i="2"/>
  <c r="C8" i="2" s="1"/>
  <c r="B8" i="2"/>
  <c r="D7" i="1"/>
  <c r="B8" i="1" s="1"/>
  <c r="E7" i="1"/>
  <c r="C8" i="1"/>
  <c r="E8" i="2" l="1"/>
  <c r="C9" i="2" s="1"/>
  <c r="D8" i="2"/>
  <c r="B9" i="2" s="1"/>
  <c r="D8" i="1"/>
  <c r="B9" i="1" s="1"/>
  <c r="E8" i="1"/>
  <c r="C9" i="1" s="1"/>
  <c r="D9" i="2" l="1"/>
  <c r="E9" i="2"/>
  <c r="C10" i="2" s="1"/>
  <c r="B10" i="2"/>
  <c r="D9" i="1"/>
  <c r="B10" i="1" s="1"/>
  <c r="E9" i="1"/>
  <c r="C10" i="1"/>
  <c r="E10" i="2" l="1"/>
  <c r="C11" i="2" s="1"/>
  <c r="D10" i="2"/>
  <c r="B11" i="2" s="1"/>
  <c r="D10" i="1"/>
  <c r="B11" i="1" s="1"/>
  <c r="E10" i="1"/>
  <c r="C11" i="1" s="1"/>
  <c r="D11" i="2" l="1"/>
  <c r="E11" i="2"/>
  <c r="C12" i="2" s="1"/>
  <c r="B12" i="2"/>
  <c r="E11" i="1"/>
  <c r="C12" i="1" s="1"/>
  <c r="D11" i="1"/>
  <c r="B12" i="1" s="1"/>
  <c r="C13" i="2" l="1"/>
  <c r="E12" i="2"/>
  <c r="D12" i="2"/>
  <c r="B13" i="2" s="1"/>
  <c r="E12" i="1"/>
  <c r="D12" i="1"/>
  <c r="D13" i="2" l="1"/>
  <c r="B14" i="2" s="1"/>
  <c r="E13" i="2"/>
  <c r="C14" i="2" s="1"/>
  <c r="E14" i="2" l="1"/>
  <c r="C15" i="2" s="1"/>
  <c r="D14" i="2"/>
  <c r="B15" i="2" s="1"/>
  <c r="D15" i="2" l="1"/>
  <c r="B16" i="2" s="1"/>
  <c r="E15" i="2"/>
  <c r="C16" i="2" s="1"/>
  <c r="E16" i="2" l="1"/>
  <c r="C17" i="2" s="1"/>
  <c r="D16" i="2"/>
  <c r="B17" i="2" s="1"/>
  <c r="D17" i="2" l="1"/>
  <c r="B18" i="2" s="1"/>
  <c r="E17" i="2"/>
  <c r="C18" i="2" s="1"/>
  <c r="D18" i="2" l="1"/>
  <c r="B19" i="2" s="1"/>
  <c r="E18" i="2"/>
  <c r="C19" i="2"/>
  <c r="B20" i="2" l="1"/>
  <c r="D19" i="2"/>
  <c r="E19" i="2"/>
  <c r="C20" i="2" s="1"/>
  <c r="E20" i="2" l="1"/>
  <c r="C21" i="2" s="1"/>
  <c r="D20" i="2"/>
  <c r="B21" i="2" s="1"/>
  <c r="E21" i="2" l="1"/>
  <c r="C22" i="2" s="1"/>
  <c r="D21" i="2"/>
  <c r="B22" i="2" s="1"/>
  <c r="D22" i="2" l="1"/>
  <c r="E22" i="2"/>
  <c r="C23" i="2" s="1"/>
  <c r="B23" i="2"/>
  <c r="E23" i="2" l="1"/>
  <c r="C24" i="2" s="1"/>
  <c r="D23" i="2"/>
  <c r="B24" i="2" s="1"/>
  <c r="E24" i="2" l="1"/>
  <c r="C25" i="2" s="1"/>
  <c r="D24" i="2"/>
  <c r="B25" i="2" s="1"/>
  <c r="D25" i="2" l="1"/>
  <c r="B26" i="2" s="1"/>
  <c r="E25" i="2"/>
  <c r="C26" i="2" s="1"/>
  <c r="D26" i="2" l="1"/>
  <c r="B27" i="2" s="1"/>
  <c r="E26" i="2"/>
  <c r="C27" i="2" s="1"/>
  <c r="E27" i="2" l="1"/>
  <c r="C28" i="2" s="1"/>
  <c r="D27" i="2"/>
  <c r="B28" i="2" s="1"/>
  <c r="E28" i="2" l="1"/>
  <c r="C29" i="2" s="1"/>
  <c r="D28" i="2"/>
  <c r="B29" i="2" s="1"/>
  <c r="D29" i="2" l="1"/>
  <c r="B30" i="2" s="1"/>
  <c r="E29" i="2"/>
  <c r="C30" i="2"/>
  <c r="D30" i="2" l="1"/>
  <c r="B31" i="2" s="1"/>
  <c r="E30" i="2"/>
  <c r="C31" i="2" s="1"/>
  <c r="E31" i="2" l="1"/>
  <c r="C32" i="2" s="1"/>
  <c r="D31" i="2"/>
  <c r="B32" i="2" s="1"/>
  <c r="E32" i="2" l="1"/>
  <c r="C33" i="2" s="1"/>
  <c r="D32" i="2"/>
  <c r="B33" i="2" s="1"/>
  <c r="D33" i="2" l="1"/>
  <c r="B34" i="2" s="1"/>
  <c r="E33" i="2"/>
  <c r="C34" i="2" s="1"/>
  <c r="D34" i="2" l="1"/>
  <c r="B35" i="2" s="1"/>
  <c r="E34" i="2"/>
  <c r="C35" i="2"/>
  <c r="B36" i="2" l="1"/>
  <c r="E35" i="2"/>
  <c r="C36" i="2" s="1"/>
  <c r="D35" i="2"/>
  <c r="D36" i="2" l="1"/>
  <c r="B37" i="2" s="1"/>
  <c r="E36" i="2"/>
  <c r="C37" i="2" s="1"/>
  <c r="E37" i="2" l="1"/>
  <c r="C38" i="2" s="1"/>
  <c r="D37" i="2"/>
  <c r="B38" i="2" s="1"/>
  <c r="D38" i="2" l="1"/>
  <c r="B39" i="2" s="1"/>
  <c r="E38" i="2"/>
  <c r="C39" i="2" s="1"/>
  <c r="D39" i="2" l="1"/>
  <c r="B40" i="2" s="1"/>
  <c r="E39" i="2"/>
  <c r="C40" i="2" s="1"/>
  <c r="D40" i="2" l="1"/>
  <c r="E40" i="2"/>
  <c r="C41" i="2" s="1"/>
  <c r="B41" i="2"/>
  <c r="E41" i="2" l="1"/>
  <c r="C42" i="2" s="1"/>
  <c r="D41" i="2"/>
  <c r="B42" i="2" s="1"/>
  <c r="D42" i="2" l="1"/>
  <c r="B43" i="2" s="1"/>
  <c r="E42" i="2"/>
  <c r="C43" i="2" s="1"/>
  <c r="D43" i="2" l="1"/>
  <c r="E43" i="2"/>
  <c r="C44" i="2" s="1"/>
  <c r="B44" i="2"/>
  <c r="D44" i="2" l="1"/>
  <c r="E44" i="2"/>
  <c r="C45" i="2" s="1"/>
  <c r="B45" i="2"/>
  <c r="E45" i="2" l="1"/>
  <c r="C46" i="2" s="1"/>
  <c r="D45" i="2"/>
  <c r="B46" i="2" s="1"/>
  <c r="E46" i="2" l="1"/>
  <c r="C47" i="2" s="1"/>
  <c r="D46" i="2"/>
  <c r="B47" i="2" s="1"/>
  <c r="E47" i="2" l="1"/>
  <c r="C48" i="2" s="1"/>
  <c r="D47" i="2"/>
  <c r="B48" i="2" s="1"/>
  <c r="D48" i="2" l="1"/>
  <c r="E48" i="2"/>
  <c r="C49" i="2" s="1"/>
  <c r="B49" i="2"/>
  <c r="E49" i="2" l="1"/>
  <c r="C50" i="2" s="1"/>
  <c r="D49" i="2"/>
  <c r="B50" i="2" s="1"/>
  <c r="D50" i="2" l="1"/>
  <c r="B51" i="2" s="1"/>
  <c r="E50" i="2"/>
  <c r="C51" i="2" s="1"/>
  <c r="E51" i="2" l="1"/>
  <c r="C52" i="2" s="1"/>
  <c r="D51" i="2"/>
  <c r="B52" i="2" s="1"/>
  <c r="D52" i="2" l="1"/>
  <c r="E52" i="2"/>
  <c r="C53" i="2" s="1"/>
  <c r="B53" i="2"/>
  <c r="E53" i="2" l="1"/>
  <c r="C54" i="2" s="1"/>
  <c r="D53" i="2"/>
  <c r="B54" i="2" s="1"/>
  <c r="D54" i="2" l="1"/>
  <c r="B55" i="2" s="1"/>
  <c r="E54" i="2"/>
  <c r="C55" i="2" s="1"/>
  <c r="E55" i="2" l="1"/>
  <c r="C56" i="2" s="1"/>
  <c r="D55" i="2"/>
  <c r="B56" i="2" s="1"/>
  <c r="D56" i="2" l="1"/>
  <c r="B57" i="2" s="1"/>
  <c r="E56" i="2"/>
  <c r="C57" i="2" s="1"/>
  <c r="D57" i="2" l="1"/>
  <c r="B58" i="2" s="1"/>
  <c r="E57" i="2"/>
  <c r="C58" i="2" s="1"/>
  <c r="D58" i="2" l="1"/>
  <c r="B59" i="2" s="1"/>
  <c r="E58" i="2"/>
  <c r="C59" i="2" s="1"/>
  <c r="E59" i="2" l="1"/>
  <c r="C60" i="2" s="1"/>
  <c r="D59" i="2"/>
  <c r="B60" i="2" s="1"/>
  <c r="D60" i="2" l="1"/>
  <c r="B61" i="2" s="1"/>
  <c r="E60" i="2"/>
  <c r="C61" i="2" s="1"/>
  <c r="D61" i="2" l="1"/>
  <c r="B62" i="2" s="1"/>
  <c r="E61" i="2"/>
  <c r="C62" i="2" s="1"/>
  <c r="D62" i="2" l="1"/>
  <c r="B63" i="2" s="1"/>
  <c r="E62" i="2"/>
  <c r="C63" i="2" s="1"/>
  <c r="E63" i="2" l="1"/>
  <c r="C64" i="2" s="1"/>
  <c r="D63" i="2"/>
  <c r="B64" i="2" s="1"/>
  <c r="D64" i="2" l="1"/>
  <c r="B65" i="2" s="1"/>
  <c r="E64" i="2"/>
  <c r="C65" i="2" s="1"/>
  <c r="D65" i="2" l="1"/>
  <c r="E65" i="2"/>
  <c r="C66" i="2" s="1"/>
  <c r="B66" i="2"/>
  <c r="D66" i="2" l="1"/>
  <c r="B67" i="2" s="1"/>
  <c r="E66" i="2"/>
  <c r="C67" i="2" s="1"/>
  <c r="E67" i="2" l="1"/>
  <c r="C68" i="2" s="1"/>
  <c r="D67" i="2"/>
  <c r="B68" i="2" s="1"/>
  <c r="D68" i="2" l="1"/>
  <c r="B69" i="2" s="1"/>
  <c r="E68" i="2"/>
  <c r="C69" i="2" s="1"/>
  <c r="D69" i="2" l="1"/>
  <c r="E69" i="2"/>
  <c r="C70" i="2" s="1"/>
  <c r="B70" i="2"/>
  <c r="D70" i="2" l="1"/>
  <c r="B71" i="2" s="1"/>
  <c r="E70" i="2"/>
  <c r="C71" i="2" s="1"/>
  <c r="E71" i="2" l="1"/>
  <c r="C72" i="2" s="1"/>
  <c r="D71" i="2"/>
  <c r="B72" i="2" s="1"/>
  <c r="D72" i="2" l="1"/>
  <c r="B73" i="2" s="1"/>
  <c r="E72" i="2"/>
  <c r="C73" i="2" s="1"/>
  <c r="D73" i="2" l="1"/>
  <c r="E73" i="2"/>
  <c r="C74" i="2" s="1"/>
  <c r="B74" i="2"/>
  <c r="D74" i="2" l="1"/>
  <c r="B75" i="2" s="1"/>
  <c r="E74" i="2"/>
  <c r="C75" i="2" s="1"/>
  <c r="E75" i="2" l="1"/>
  <c r="C76" i="2" s="1"/>
  <c r="D75" i="2"/>
  <c r="B76" i="2" s="1"/>
  <c r="D76" i="2" l="1"/>
  <c r="B77" i="2" s="1"/>
  <c r="E76" i="2"/>
  <c r="C77" i="2" s="1"/>
  <c r="E77" i="2" l="1"/>
  <c r="C78" i="2" s="1"/>
  <c r="D77" i="2"/>
  <c r="B78" i="2" s="1"/>
  <c r="E78" i="2" l="1"/>
  <c r="C79" i="2" s="1"/>
  <c r="D78" i="2"/>
  <c r="B79" i="2" s="1"/>
  <c r="D79" i="2" l="1"/>
  <c r="E79" i="2"/>
  <c r="C80" i="2" s="1"/>
  <c r="B80" i="2"/>
  <c r="E80" i="2" l="1"/>
  <c r="C81" i="2" s="1"/>
  <c r="D80" i="2"/>
  <c r="B81" i="2" s="1"/>
  <c r="D81" i="2" l="1"/>
  <c r="B82" i="2" s="1"/>
  <c r="E81" i="2"/>
  <c r="C82" i="2"/>
  <c r="E82" i="2" l="1"/>
  <c r="C83" i="2" s="1"/>
  <c r="D82" i="2"/>
  <c r="B83" i="2" s="1"/>
  <c r="D83" i="2" l="1"/>
  <c r="B84" i="2" s="1"/>
  <c r="E83" i="2"/>
  <c r="C84" i="2" s="1"/>
  <c r="D84" i="2" l="1"/>
  <c r="B85" i="2" s="1"/>
  <c r="E84" i="2"/>
  <c r="C85" i="2" s="1"/>
  <c r="D85" i="2" l="1"/>
  <c r="E85" i="2"/>
  <c r="C86" i="2" s="1"/>
  <c r="B86" i="2"/>
  <c r="E86" i="2" l="1"/>
  <c r="C87" i="2" s="1"/>
  <c r="D86" i="2"/>
  <c r="B87" i="2" s="1"/>
  <c r="D87" i="2" l="1"/>
  <c r="B88" i="2" s="1"/>
  <c r="E87" i="2"/>
  <c r="C88" i="2" s="1"/>
  <c r="D88" i="2" l="1"/>
  <c r="B89" i="2" s="1"/>
  <c r="E88" i="2"/>
  <c r="C89" i="2" s="1"/>
  <c r="D89" i="2" l="1"/>
  <c r="B90" i="2" s="1"/>
  <c r="E89" i="2"/>
  <c r="C90" i="2" s="1"/>
  <c r="E90" i="2" l="1"/>
  <c r="C91" i="2" s="1"/>
  <c r="D90" i="2"/>
  <c r="B91" i="2" s="1"/>
  <c r="D91" i="2" l="1"/>
  <c r="B92" i="2" s="1"/>
  <c r="E91" i="2"/>
  <c r="C92" i="2" s="1"/>
  <c r="E92" i="2" l="1"/>
  <c r="C93" i="2" s="1"/>
  <c r="D92" i="2"/>
  <c r="B93" i="2" s="1"/>
  <c r="D93" i="2" l="1"/>
  <c r="B94" i="2" s="1"/>
  <c r="E93" i="2"/>
  <c r="C94" i="2" s="1"/>
  <c r="D94" i="2" l="1"/>
  <c r="B95" i="2" s="1"/>
  <c r="E94" i="2"/>
  <c r="C95" i="2"/>
  <c r="D95" i="2" l="1"/>
  <c r="B96" i="2" s="1"/>
  <c r="E95" i="2"/>
  <c r="C96" i="2" s="1"/>
  <c r="E96" i="2" l="1"/>
  <c r="C97" i="2" s="1"/>
  <c r="D96" i="2"/>
  <c r="B97" i="2" s="1"/>
  <c r="D97" i="2" l="1"/>
  <c r="B98" i="2" s="1"/>
  <c r="E97" i="2"/>
  <c r="C98" i="2" s="1"/>
  <c r="D98" i="2" l="1"/>
  <c r="B99" i="2" s="1"/>
  <c r="E98" i="2"/>
  <c r="C99" i="2" s="1"/>
  <c r="D99" i="2" l="1"/>
  <c r="B100" i="2" s="1"/>
  <c r="E99" i="2"/>
  <c r="C100" i="2" s="1"/>
  <c r="E100" i="2" l="1"/>
  <c r="C101" i="2" s="1"/>
  <c r="D100" i="2"/>
  <c r="B101" i="2" s="1"/>
  <c r="D101" i="2" l="1"/>
  <c r="B102" i="2" s="1"/>
  <c r="E101" i="2"/>
  <c r="C102" i="2" s="1"/>
  <c r="D102" i="2" l="1"/>
  <c r="E102" i="2"/>
</calcChain>
</file>

<file path=xl/sharedStrings.xml><?xml version="1.0" encoding="utf-8"?>
<sst xmlns="http://schemas.openxmlformats.org/spreadsheetml/2006/main" count="17" uniqueCount="9">
  <si>
    <t>x</t>
  </si>
  <si>
    <t>T</t>
  </si>
  <si>
    <t>T'</t>
  </si>
  <si>
    <t>dT/dx</t>
  </si>
  <si>
    <t>dT'/dx</t>
  </si>
  <si>
    <t>a'</t>
  </si>
  <si>
    <t>a</t>
  </si>
  <si>
    <t>dx</t>
  </si>
  <si>
    <t>There is no significant difference between using DX=0.1 and DX=0.01.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</si>
</sst>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544487663197686E-2"/>
          <c:y val="6.5000079345799988E-2"/>
          <c:w val="0.79644650870742617"/>
          <c:h val="0.822501004029545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'DT = 0.1'!$B$1</c:f>
              <c:strCache>
                <c:ptCount val="1"/>
                <c:pt idx="0">
                  <c:v>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'DT = 0.1'!$A$2:$A$12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'DT = 0.1'!$B$2:$B$12</c:f>
              <c:numCache>
                <c:formatCode>General</c:formatCode>
                <c:ptCount val="11"/>
                <c:pt idx="0">
                  <c:v>33.629541901838579</c:v>
                </c:pt>
                <c:pt idx="1">
                  <c:v>40.94806480674665</c:v>
                </c:pt>
                <c:pt idx="2">
                  <c:v>47.022438817820351</c:v>
                </c:pt>
                <c:pt idx="3">
                  <c:v>52.06416924701152</c:v>
                </c:pt>
                <c:pt idx="4">
                  <c:v>56.248805503240192</c:v>
                </c:pt>
                <c:pt idx="5">
                  <c:v>59.722053595909991</c:v>
                </c:pt>
                <c:pt idx="6">
                  <c:v>62.604849512825922</c:v>
                </c:pt>
                <c:pt idx="7">
                  <c:v>64.99757012386614</c:v>
                </c:pt>
                <c:pt idx="8">
                  <c:v>66.983528231029524</c:v>
                </c:pt>
                <c:pt idx="9">
                  <c:v>68.631873459975139</c:v>
                </c:pt>
                <c:pt idx="10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9E-BF4D-9C3D-2A7ACB9FB8AC}"/>
            </c:ext>
          </c:extLst>
        </c:ser>
        <c:ser>
          <c:idx val="1"/>
          <c:order val="1"/>
          <c:tx>
            <c:strRef>
              <c:f>'DT = 0.1'!$C$1</c:f>
              <c:strCache>
                <c:ptCount val="1"/>
                <c:pt idx="0">
                  <c:v>T'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'DT = 0.1'!$A$2:$A$12</c:f>
              <c:numCache>
                <c:formatCode>General</c:formatCode>
                <c:ptCount val="1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'DT = 0.1'!$C$2:$C$12</c:f>
              <c:numCache>
                <c:formatCode>General</c:formatCode>
                <c:ptCount val="11"/>
                <c:pt idx="0">
                  <c:v>180</c:v>
                </c:pt>
                <c:pt idx="1">
                  <c:v>162.43554502822064</c:v>
                </c:pt>
                <c:pt idx="2">
                  <c:v>147.85704740164377</c:v>
                </c:pt>
                <c:pt idx="3">
                  <c:v>135.75689437158496</c:v>
                </c:pt>
                <c:pt idx="4">
                  <c:v>125.71376735663615</c:v>
                </c:pt>
                <c:pt idx="5">
                  <c:v>117.37797193422864</c:v>
                </c:pt>
                <c:pt idx="6">
                  <c:v>110.4592617336304</c:v>
                </c:pt>
                <c:pt idx="7">
                  <c:v>104.71673226713386</c:v>
                </c:pt>
                <c:pt idx="8">
                  <c:v>99.950432809941731</c:v>
                </c:pt>
                <c:pt idx="9">
                  <c:v>95.994404260472265</c:v>
                </c:pt>
                <c:pt idx="10">
                  <c:v>92.710900564412611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79E-BF4D-9C3D-2A7ACB9FB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50144"/>
        <c:axId val="40194432"/>
      </c:scatterChart>
      <c:valAx>
        <c:axId val="4015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194432"/>
        <c:crosses val="autoZero"/>
        <c:crossBetween val="midCat"/>
      </c:valAx>
      <c:valAx>
        <c:axId val="401944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0150144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53221988292288"/>
          <c:y val="0.42250051574769987"/>
          <c:w val="7.7544487663197686E-2"/>
          <c:h val="0.107500131225746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544487663197686E-2"/>
          <c:y val="6.5000079345799988E-2"/>
          <c:w val="0.79644650870742617"/>
          <c:h val="0.8225010040295459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'DT = 0.1'!$B$1</c:f>
              <c:strCache>
                <c:ptCount val="1"/>
                <c:pt idx="0">
                  <c:v>T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'DT = 0.1'!$A$2:$A$102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'DT = 0.1'!$B$2:$B$102</c:f>
              <c:numCache>
                <c:formatCode>General</c:formatCode>
                <c:ptCount val="101"/>
                <c:pt idx="0">
                  <c:v>33.629541901838579</c:v>
                </c:pt>
                <c:pt idx="1">
                  <c:v>40.94806480674665</c:v>
                </c:pt>
                <c:pt idx="2">
                  <c:v>47.022438817820351</c:v>
                </c:pt>
                <c:pt idx="3">
                  <c:v>52.06416924701152</c:v>
                </c:pt>
                <c:pt idx="4">
                  <c:v>56.248805503240192</c:v>
                </c:pt>
                <c:pt idx="5">
                  <c:v>59.722053595909991</c:v>
                </c:pt>
                <c:pt idx="6">
                  <c:v>62.604849512825922</c:v>
                </c:pt>
                <c:pt idx="7">
                  <c:v>64.99757012386614</c:v>
                </c:pt>
                <c:pt idx="8">
                  <c:v>66.983528231029524</c:v>
                </c:pt>
                <c:pt idx="9">
                  <c:v>68.631873459975139</c:v>
                </c:pt>
                <c:pt idx="10">
                  <c:v>70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C9-0E48-9D6E-8AA5D49744C9}"/>
            </c:ext>
          </c:extLst>
        </c:ser>
        <c:ser>
          <c:idx val="1"/>
          <c:order val="1"/>
          <c:tx>
            <c:strRef>
              <c:f>'DT = 0.1'!$C$1</c:f>
              <c:strCache>
                <c:ptCount val="1"/>
                <c:pt idx="0">
                  <c:v>T'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'DT = 0.1'!$A$2:$A$102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0.99999999999999989</c:v>
                </c:pt>
              </c:numCache>
            </c:numRef>
          </c:xVal>
          <c:yVal>
            <c:numRef>
              <c:f>'DT = 0.1'!$C$2:$C$102</c:f>
              <c:numCache>
                <c:formatCode>General</c:formatCode>
                <c:ptCount val="101"/>
                <c:pt idx="0">
                  <c:v>180</c:v>
                </c:pt>
                <c:pt idx="1">
                  <c:v>162.43554502822064</c:v>
                </c:pt>
                <c:pt idx="2">
                  <c:v>147.85704740164377</c:v>
                </c:pt>
                <c:pt idx="3">
                  <c:v>135.75689437158496</c:v>
                </c:pt>
                <c:pt idx="4">
                  <c:v>125.71376735663615</c:v>
                </c:pt>
                <c:pt idx="5">
                  <c:v>117.37797193422864</c:v>
                </c:pt>
                <c:pt idx="6">
                  <c:v>110.4592617336304</c:v>
                </c:pt>
                <c:pt idx="7">
                  <c:v>104.71673226713386</c:v>
                </c:pt>
                <c:pt idx="8">
                  <c:v>99.950432809941731</c:v>
                </c:pt>
                <c:pt idx="9">
                  <c:v>95.994404260472265</c:v>
                </c:pt>
                <c:pt idx="10">
                  <c:v>92.710900564412611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C9-0E48-9D6E-8AA5D4974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271040"/>
        <c:axId val="39305984"/>
      </c:scatterChart>
      <c:valAx>
        <c:axId val="3927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5984"/>
        <c:crosses val="autoZero"/>
        <c:crossBetween val="midCat"/>
      </c:valAx>
      <c:valAx>
        <c:axId val="3930598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7104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53221988292288"/>
          <c:y val="0.42250051574769987"/>
          <c:w val="7.7544487663197686E-2"/>
          <c:h val="0.1075001312257461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13</xdr:row>
      <xdr:rowOff>28575</xdr:rowOff>
    </xdr:from>
    <xdr:to>
      <xdr:col>9</xdr:col>
      <xdr:colOff>466725</xdr:colOff>
      <xdr:row>36</xdr:row>
      <xdr:rowOff>114300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8</xdr:row>
      <xdr:rowOff>95249</xdr:rowOff>
    </xdr:from>
    <xdr:to>
      <xdr:col>15</xdr:col>
      <xdr:colOff>142875</xdr:colOff>
      <xdr:row>32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D5" sqref="D5"/>
    </sheetView>
  </sheetViews>
  <sheetFormatPr baseColWidth="10" defaultColWidth="8.83203125" defaultRowHeight="13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12">
      <c r="A2">
        <v>0</v>
      </c>
      <c r="B2">
        <v>33.629541901838579</v>
      </c>
      <c r="C2">
        <v>180</v>
      </c>
      <c r="D2">
        <f>$H$2*(C2-B2)</f>
        <v>73.185229049080704</v>
      </c>
      <c r="E2">
        <f>-$G$2*(C2-B2)</f>
        <v>-175.64454971779369</v>
      </c>
      <c r="F2">
        <v>0.1</v>
      </c>
      <c r="G2">
        <v>1.2</v>
      </c>
      <c r="H2">
        <v>0.5</v>
      </c>
    </row>
    <row r="3" spans="1:12">
      <c r="A3">
        <f>A2+$F$2</f>
        <v>0.1</v>
      </c>
      <c r="B3">
        <f>B2+$F$2*D2</f>
        <v>40.94806480674665</v>
      </c>
      <c r="C3">
        <f>C2+$F$2*E2</f>
        <v>162.43554502822064</v>
      </c>
      <c r="D3">
        <f>$H$2*(C3-B3)</f>
        <v>60.743740110736994</v>
      </c>
      <c r="E3">
        <f>-$G$2*(C3-B3)</f>
        <v>-145.78497626576879</v>
      </c>
    </row>
    <row r="4" spans="1:12">
      <c r="A4">
        <f t="shared" ref="A4:A12" si="0">A3+$F$2</f>
        <v>0.2</v>
      </c>
      <c r="B4">
        <f t="shared" ref="B4:B12" si="1">B3+$F$2*D3</f>
        <v>47.022438817820351</v>
      </c>
      <c r="C4">
        <f>C3+$F$2*E3</f>
        <v>147.85704740164377</v>
      </c>
      <c r="D4">
        <f>$H$2*(C4-B4)</f>
        <v>50.417304291911705</v>
      </c>
      <c r="E4">
        <f t="shared" ref="E4:E12" si="2">-$G$2*(C4-B4)</f>
        <v>-121.00153030058809</v>
      </c>
    </row>
    <row r="5" spans="1:12">
      <c r="A5">
        <f t="shared" si="0"/>
        <v>0.30000000000000004</v>
      </c>
      <c r="B5">
        <f t="shared" si="1"/>
        <v>52.06416924701152</v>
      </c>
      <c r="C5">
        <f t="shared" ref="C5:C12" si="3">C4+$F$2*E4</f>
        <v>135.75689437158496</v>
      </c>
      <c r="D5">
        <f t="shared" ref="D4:D12" si="4">$H$2*(C5-B5)</f>
        <v>41.846362562286721</v>
      </c>
      <c r="E5">
        <f t="shared" si="2"/>
        <v>-100.43127014948813</v>
      </c>
      <c r="G5" s="1" t="s">
        <v>8</v>
      </c>
      <c r="H5" s="1"/>
      <c r="I5" s="1"/>
      <c r="J5" s="1"/>
      <c r="K5" s="1"/>
      <c r="L5" s="1"/>
    </row>
    <row r="6" spans="1:12">
      <c r="A6">
        <f t="shared" si="0"/>
        <v>0.4</v>
      </c>
      <c r="B6">
        <f t="shared" si="1"/>
        <v>56.248805503240192</v>
      </c>
      <c r="C6">
        <f t="shared" si="3"/>
        <v>125.71376735663615</v>
      </c>
      <c r="D6">
        <f t="shared" si="4"/>
        <v>34.732480926697981</v>
      </c>
      <c r="E6">
        <f t="shared" si="2"/>
        <v>-83.357954224075158</v>
      </c>
      <c r="G6" s="1"/>
      <c r="H6" s="1"/>
      <c r="I6" s="1"/>
      <c r="J6" s="1"/>
      <c r="K6" s="1"/>
      <c r="L6" s="1"/>
    </row>
    <row r="7" spans="1:12">
      <c r="A7">
        <f t="shared" si="0"/>
        <v>0.5</v>
      </c>
      <c r="B7">
        <f t="shared" si="1"/>
        <v>59.722053595909991</v>
      </c>
      <c r="C7">
        <f t="shared" si="3"/>
        <v>117.37797193422864</v>
      </c>
      <c r="D7">
        <f t="shared" si="4"/>
        <v>28.827959169159325</v>
      </c>
      <c r="E7">
        <f t="shared" si="2"/>
        <v>-69.187102005982382</v>
      </c>
      <c r="G7" s="1"/>
      <c r="H7" s="1"/>
      <c r="I7" s="1"/>
      <c r="J7" s="1"/>
      <c r="K7" s="1"/>
      <c r="L7" s="1"/>
    </row>
    <row r="8" spans="1:12">
      <c r="A8">
        <f t="shared" si="0"/>
        <v>0.6</v>
      </c>
      <c r="B8">
        <f t="shared" si="1"/>
        <v>62.604849512825922</v>
      </c>
      <c r="C8">
        <f t="shared" si="3"/>
        <v>110.4592617336304</v>
      </c>
      <c r="D8">
        <f t="shared" si="4"/>
        <v>23.927206110402238</v>
      </c>
      <c r="E8">
        <f t="shared" si="2"/>
        <v>-57.425294664965371</v>
      </c>
      <c r="G8" s="1"/>
      <c r="H8" s="1"/>
      <c r="I8" s="1"/>
      <c r="J8" s="1"/>
      <c r="K8" s="1"/>
      <c r="L8" s="1"/>
    </row>
    <row r="9" spans="1:12">
      <c r="A9">
        <f t="shared" si="0"/>
        <v>0.7</v>
      </c>
      <c r="B9">
        <f t="shared" si="1"/>
        <v>64.99757012386614</v>
      </c>
      <c r="C9">
        <f t="shared" si="3"/>
        <v>104.71673226713386</v>
      </c>
      <c r="D9">
        <f t="shared" si="4"/>
        <v>19.859581071633862</v>
      </c>
      <c r="E9">
        <f t="shared" si="2"/>
        <v>-47.662994571921267</v>
      </c>
    </row>
    <row r="10" spans="1:12">
      <c r="A10">
        <f t="shared" si="0"/>
        <v>0.79999999999999993</v>
      </c>
      <c r="B10">
        <f t="shared" si="1"/>
        <v>66.983528231029524</v>
      </c>
      <c r="C10">
        <f t="shared" si="3"/>
        <v>99.950432809941731</v>
      </c>
      <c r="D10">
        <f t="shared" si="4"/>
        <v>16.483452289456103</v>
      </c>
      <c r="E10">
        <f t="shared" si="2"/>
        <v>-39.560285494694647</v>
      </c>
    </row>
    <row r="11" spans="1:12">
      <c r="A11">
        <f t="shared" si="0"/>
        <v>0.89999999999999991</v>
      </c>
      <c r="B11">
        <f t="shared" si="1"/>
        <v>68.631873459975139</v>
      </c>
      <c r="C11">
        <f t="shared" si="3"/>
        <v>95.994404260472265</v>
      </c>
      <c r="D11">
        <f t="shared" si="4"/>
        <v>13.681265400248563</v>
      </c>
      <c r="E11">
        <f t="shared" si="2"/>
        <v>-32.835036960596547</v>
      </c>
    </row>
    <row r="12" spans="1:12">
      <c r="A12">
        <f t="shared" si="0"/>
        <v>0.99999999999999989</v>
      </c>
      <c r="B12">
        <f t="shared" si="1"/>
        <v>70</v>
      </c>
      <c r="C12">
        <f t="shared" si="3"/>
        <v>92.710900564412611</v>
      </c>
      <c r="D12">
        <f t="shared" si="4"/>
        <v>11.355450282206306</v>
      </c>
      <c r="E12">
        <f t="shared" si="2"/>
        <v>-27.253080677295134</v>
      </c>
    </row>
  </sheetData>
  <mergeCells count="1">
    <mergeCell ref="G5:L8"/>
  </mergeCells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2"/>
  <sheetViews>
    <sheetView workbookViewId="0">
      <selection activeCell="B102" sqref="B102"/>
    </sheetView>
  </sheetViews>
  <sheetFormatPr baseColWidth="10" defaultColWidth="8.83203125" defaultRowHeight="13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5</v>
      </c>
      <c r="H1" t="s">
        <v>6</v>
      </c>
    </row>
    <row r="2" spans="1:8">
      <c r="A2">
        <v>0</v>
      </c>
      <c r="B2">
        <v>35.040606013355131</v>
      </c>
      <c r="C2">
        <v>180</v>
      </c>
      <c r="D2">
        <f>$H$2*(C2-B2)</f>
        <v>72.479696993322435</v>
      </c>
      <c r="E2">
        <f>-$G$2*(C2-B2)</f>
        <v>-173.95127278397385</v>
      </c>
      <c r="F2">
        <v>0.01</v>
      </c>
      <c r="G2">
        <v>1.2</v>
      </c>
      <c r="H2">
        <v>0.5</v>
      </c>
    </row>
    <row r="3" spans="1:8">
      <c r="A3">
        <f>A2+$F$2</f>
        <v>0.01</v>
      </c>
      <c r="B3">
        <f>B2+$F$2*D2</f>
        <v>35.765402983288354</v>
      </c>
      <c r="C3">
        <f>C2+$F$2*E2</f>
        <v>178.26048727216025</v>
      </c>
      <c r="D3">
        <f>$H$2*(C3-B3)</f>
        <v>71.247542144435954</v>
      </c>
      <c r="E3">
        <f>-$G$2*(C3-B3)</f>
        <v>-170.99410114664627</v>
      </c>
    </row>
    <row r="4" spans="1:8">
      <c r="A4">
        <f t="shared" ref="A4:A67" si="0">A3+$F$2</f>
        <v>0.02</v>
      </c>
      <c r="B4">
        <f t="shared" ref="B4:C12" si="1">B3+$F$2*D3</f>
        <v>36.477878404732714</v>
      </c>
      <c r="C4">
        <f t="shared" si="1"/>
        <v>176.55054626069378</v>
      </c>
      <c r="D4">
        <f t="shared" ref="D4:D12" si="2">$H$2*(C4-B4)</f>
        <v>70.036333927980536</v>
      </c>
      <c r="E4">
        <f t="shared" ref="E4:E12" si="3">-$G$2*(C4-B4)</f>
        <v>-168.08720142715327</v>
      </c>
    </row>
    <row r="5" spans="1:8">
      <c r="A5">
        <f t="shared" si="0"/>
        <v>0.03</v>
      </c>
      <c r="B5">
        <f t="shared" si="1"/>
        <v>37.178241744012517</v>
      </c>
      <c r="C5">
        <f t="shared" si="1"/>
        <v>174.86967424642225</v>
      </c>
      <c r="D5">
        <f t="shared" si="2"/>
        <v>68.845716251204863</v>
      </c>
      <c r="E5">
        <f t="shared" si="3"/>
        <v>-165.22971900289167</v>
      </c>
    </row>
    <row r="6" spans="1:8">
      <c r="A6">
        <f t="shared" si="0"/>
        <v>0.04</v>
      </c>
      <c r="B6">
        <f t="shared" si="1"/>
        <v>37.866698906524569</v>
      </c>
      <c r="C6">
        <f t="shared" si="1"/>
        <v>173.21737705639333</v>
      </c>
      <c r="D6">
        <f t="shared" si="2"/>
        <v>67.675339074934385</v>
      </c>
      <c r="E6">
        <f t="shared" si="3"/>
        <v>-162.42081377984252</v>
      </c>
    </row>
    <row r="7" spans="1:8">
      <c r="A7">
        <f t="shared" si="0"/>
        <v>0.05</v>
      </c>
      <c r="B7">
        <f t="shared" si="1"/>
        <v>38.543452297273916</v>
      </c>
      <c r="C7">
        <f t="shared" si="1"/>
        <v>171.5931689185949</v>
      </c>
      <c r="D7">
        <f t="shared" si="2"/>
        <v>66.524858310660491</v>
      </c>
      <c r="E7">
        <f t="shared" si="3"/>
        <v>-159.65965994558516</v>
      </c>
    </row>
    <row r="8" spans="1:8">
      <c r="A8">
        <f t="shared" si="0"/>
        <v>6.0000000000000005E-2</v>
      </c>
      <c r="B8">
        <f t="shared" si="1"/>
        <v>39.208700880380519</v>
      </c>
      <c r="C8">
        <f t="shared" si="1"/>
        <v>169.99657231913903</v>
      </c>
      <c r="D8">
        <f t="shared" si="2"/>
        <v>65.393935719379257</v>
      </c>
      <c r="E8">
        <f t="shared" si="3"/>
        <v>-156.9454457265102</v>
      </c>
    </row>
    <row r="9" spans="1:8">
      <c r="A9">
        <f t="shared" si="0"/>
        <v>7.0000000000000007E-2</v>
      </c>
      <c r="B9">
        <f t="shared" si="1"/>
        <v>39.862640237574311</v>
      </c>
      <c r="C9">
        <f t="shared" si="1"/>
        <v>168.42711786187394</v>
      </c>
      <c r="D9">
        <f t="shared" si="2"/>
        <v>64.282238812149814</v>
      </c>
      <c r="E9">
        <f t="shared" si="3"/>
        <v>-154.27737314915956</v>
      </c>
    </row>
    <row r="10" spans="1:8">
      <c r="A10">
        <f t="shared" si="0"/>
        <v>0.08</v>
      </c>
      <c r="B10">
        <f t="shared" si="1"/>
        <v>40.505462625695806</v>
      </c>
      <c r="C10">
        <f t="shared" si="1"/>
        <v>166.88434413038235</v>
      </c>
      <c r="D10">
        <f t="shared" si="2"/>
        <v>63.189440752343273</v>
      </c>
      <c r="E10">
        <f t="shared" si="3"/>
        <v>-151.65465780562386</v>
      </c>
    </row>
    <row r="11" spans="1:8">
      <c r="A11">
        <f t="shared" si="0"/>
        <v>0.09</v>
      </c>
      <c r="B11">
        <f t="shared" si="1"/>
        <v>41.137357033219239</v>
      </c>
      <c r="C11">
        <f t="shared" si="1"/>
        <v>165.3677975523261</v>
      </c>
      <c r="D11">
        <f t="shared" si="2"/>
        <v>62.115220259553425</v>
      </c>
      <c r="E11">
        <f t="shared" si="3"/>
        <v>-149.07652862292821</v>
      </c>
    </row>
    <row r="12" spans="1:8">
      <c r="A12">
        <f t="shared" si="0"/>
        <v>9.9999999999999992E-2</v>
      </c>
      <c r="B12">
        <f t="shared" si="1"/>
        <v>41.75850923581477</v>
      </c>
      <c r="C12">
        <f t="shared" si="1"/>
        <v>163.87703226609682</v>
      </c>
      <c r="D12">
        <f t="shared" si="2"/>
        <v>61.059261515141024</v>
      </c>
      <c r="E12">
        <f t="shared" si="3"/>
        <v>-146.54222763633845</v>
      </c>
    </row>
    <row r="13" spans="1:8">
      <c r="A13">
        <f t="shared" si="0"/>
        <v>0.10999999999999999</v>
      </c>
      <c r="B13">
        <f t="shared" ref="B13:B76" si="4">B12+$F$2*D12</f>
        <v>42.369101850966182</v>
      </c>
      <c r="C13">
        <f t="shared" ref="C13:C76" si="5">C12+$F$2*E12</f>
        <v>162.41160998973342</v>
      </c>
      <c r="D13">
        <f t="shared" ref="D13:D76" si="6">$H$2*(C13-B13)</f>
        <v>60.021254069383616</v>
      </c>
      <c r="E13">
        <f t="shared" ref="E13:E76" si="7">-$G$2*(C13-B13)</f>
        <v>-144.05100976652068</v>
      </c>
    </row>
    <row r="14" spans="1:8">
      <c r="A14">
        <f t="shared" si="0"/>
        <v>0.11999999999999998</v>
      </c>
      <c r="B14">
        <f t="shared" si="4"/>
        <v>42.969314391660021</v>
      </c>
      <c r="C14">
        <f t="shared" si="5"/>
        <v>160.97109989206822</v>
      </c>
      <c r="D14">
        <f t="shared" si="6"/>
        <v>59.000892750204102</v>
      </c>
      <c r="E14">
        <f t="shared" si="7"/>
        <v>-141.60214260048983</v>
      </c>
    </row>
    <row r="15" spans="1:8">
      <c r="A15">
        <f t="shared" si="0"/>
        <v>0.12999999999999998</v>
      </c>
      <c r="B15">
        <f t="shared" si="4"/>
        <v>43.559323319162061</v>
      </c>
      <c r="C15">
        <f t="shared" si="5"/>
        <v>159.55507846606332</v>
      </c>
      <c r="D15">
        <f t="shared" si="6"/>
        <v>57.99787757345063</v>
      </c>
      <c r="E15">
        <f t="shared" si="7"/>
        <v>-139.19490617628151</v>
      </c>
    </row>
    <row r="16" spans="1:8">
      <c r="A16">
        <f t="shared" si="0"/>
        <v>0.13999999999999999</v>
      </c>
      <c r="B16">
        <f t="shared" si="4"/>
        <v>44.139302094896564</v>
      </c>
      <c r="C16">
        <f t="shared" si="5"/>
        <v>158.16312940430052</v>
      </c>
      <c r="D16">
        <f t="shared" si="6"/>
        <v>57.011913654701978</v>
      </c>
      <c r="E16">
        <f t="shared" si="7"/>
        <v>-136.82859277128475</v>
      </c>
    </row>
    <row r="17" spans="1:5">
      <c r="A17">
        <f t="shared" si="0"/>
        <v>0.15</v>
      </c>
      <c r="B17">
        <f t="shared" si="4"/>
        <v>44.709421231443585</v>
      </c>
      <c r="C17">
        <f t="shared" si="5"/>
        <v>156.79484347658766</v>
      </c>
      <c r="D17">
        <f t="shared" si="6"/>
        <v>56.042711122572037</v>
      </c>
      <c r="E17">
        <f t="shared" si="7"/>
        <v>-134.50250669417289</v>
      </c>
    </row>
    <row r="18" spans="1:5">
      <c r="A18">
        <f t="shared" si="0"/>
        <v>0.16</v>
      </c>
      <c r="B18">
        <f t="shared" si="4"/>
        <v>45.269848342669306</v>
      </c>
      <c r="C18">
        <f t="shared" si="5"/>
        <v>155.44981840964593</v>
      </c>
      <c r="D18">
        <f t="shared" si="6"/>
        <v>55.089985033488311</v>
      </c>
      <c r="E18">
        <f t="shared" si="7"/>
        <v>-132.21596408037195</v>
      </c>
    </row>
    <row r="19" spans="1:5">
      <c r="A19">
        <f t="shared" si="0"/>
        <v>0.17</v>
      </c>
      <c r="B19">
        <f t="shared" si="4"/>
        <v>45.820748193004192</v>
      </c>
      <c r="C19">
        <f t="shared" si="5"/>
        <v>154.1276587688422</v>
      </c>
      <c r="D19">
        <f t="shared" si="6"/>
        <v>54.153455287919002</v>
      </c>
      <c r="E19">
        <f t="shared" si="7"/>
        <v>-129.96829269100559</v>
      </c>
    </row>
    <row r="20" spans="1:5">
      <c r="A20">
        <f t="shared" si="0"/>
        <v>0.18000000000000002</v>
      </c>
      <c r="B20">
        <f t="shared" si="4"/>
        <v>46.362282745883384</v>
      </c>
      <c r="C20">
        <f t="shared" si="5"/>
        <v>152.82797584193213</v>
      </c>
      <c r="D20">
        <f t="shared" si="6"/>
        <v>53.232846548024369</v>
      </c>
      <c r="E20">
        <f t="shared" si="7"/>
        <v>-127.75883171525848</v>
      </c>
    </row>
    <row r="21" spans="1:5">
      <c r="A21">
        <f t="shared" si="0"/>
        <v>0.19000000000000003</v>
      </c>
      <c r="B21">
        <f t="shared" si="4"/>
        <v>46.894611211363625</v>
      </c>
      <c r="C21">
        <f t="shared" si="5"/>
        <v>151.55038752477955</v>
      </c>
      <c r="D21">
        <f t="shared" si="6"/>
        <v>52.327888156707964</v>
      </c>
      <c r="E21">
        <f t="shared" si="7"/>
        <v>-125.5869315760991</v>
      </c>
    </row>
    <row r="22" spans="1:5">
      <c r="A22">
        <f t="shared" si="0"/>
        <v>0.20000000000000004</v>
      </c>
      <c r="B22">
        <f t="shared" si="4"/>
        <v>47.417890092930705</v>
      </c>
      <c r="C22">
        <f t="shared" si="5"/>
        <v>150.29451820901855</v>
      </c>
      <c r="D22">
        <f t="shared" si="6"/>
        <v>51.438314058043922</v>
      </c>
      <c r="E22">
        <f t="shared" si="7"/>
        <v>-123.45195373930541</v>
      </c>
    </row>
    <row r="23" spans="1:5">
      <c r="A23">
        <f t="shared" si="0"/>
        <v>0.21000000000000005</v>
      </c>
      <c r="B23">
        <f t="shared" si="4"/>
        <v>47.932273233511147</v>
      </c>
      <c r="C23">
        <f t="shared" si="5"/>
        <v>149.05999867162549</v>
      </c>
      <c r="D23">
        <f t="shared" si="6"/>
        <v>50.56386271905717</v>
      </c>
      <c r="E23">
        <f t="shared" si="7"/>
        <v>-121.3532705257372</v>
      </c>
    </row>
    <row r="24" spans="1:5">
      <c r="A24">
        <f t="shared" si="0"/>
        <v>0.22000000000000006</v>
      </c>
      <c r="B24">
        <f t="shared" si="4"/>
        <v>48.437911860701718</v>
      </c>
      <c r="C24">
        <f t="shared" si="5"/>
        <v>147.84646596636813</v>
      </c>
      <c r="D24">
        <f t="shared" si="6"/>
        <v>49.704277052833206</v>
      </c>
      <c r="E24">
        <f t="shared" si="7"/>
        <v>-119.29026492679969</v>
      </c>
    </row>
    <row r="25" spans="1:5">
      <c r="A25">
        <f t="shared" si="0"/>
        <v>0.23000000000000007</v>
      </c>
      <c r="B25">
        <f t="shared" si="4"/>
        <v>48.934954631230049</v>
      </c>
      <c r="C25">
        <f t="shared" si="5"/>
        <v>146.65356331710012</v>
      </c>
      <c r="D25">
        <f t="shared" si="6"/>
        <v>48.859304342935033</v>
      </c>
      <c r="E25">
        <f t="shared" si="7"/>
        <v>-117.26233042304408</v>
      </c>
    </row>
    <row r="26" spans="1:5">
      <c r="A26">
        <f t="shared" si="0"/>
        <v>0.24000000000000007</v>
      </c>
      <c r="B26">
        <f t="shared" si="4"/>
        <v>49.423547674659396</v>
      </c>
      <c r="C26">
        <f t="shared" si="5"/>
        <v>145.4809400128697</v>
      </c>
      <c r="D26">
        <f t="shared" si="6"/>
        <v>48.028696169105146</v>
      </c>
      <c r="E26">
        <f t="shared" si="7"/>
        <v>-115.26887080585234</v>
      </c>
    </row>
    <row r="27" spans="1:5">
      <c r="A27">
        <f t="shared" si="0"/>
        <v>0.25000000000000006</v>
      </c>
      <c r="B27">
        <f t="shared" si="4"/>
        <v>49.903834636350446</v>
      </c>
      <c r="C27">
        <f t="shared" si="5"/>
        <v>144.32825130481118</v>
      </c>
      <c r="D27">
        <f t="shared" si="6"/>
        <v>47.212208334230368</v>
      </c>
      <c r="E27">
        <f t="shared" si="7"/>
        <v>-113.30930000215288</v>
      </c>
    </row>
    <row r="28" spans="1:5">
      <c r="A28">
        <f t="shared" si="0"/>
        <v>0.26000000000000006</v>
      </c>
      <c r="B28">
        <f t="shared" si="4"/>
        <v>50.375956719692752</v>
      </c>
      <c r="C28">
        <f t="shared" si="5"/>
        <v>143.19515830478966</v>
      </c>
      <c r="D28">
        <f t="shared" si="6"/>
        <v>46.409600792548453</v>
      </c>
      <c r="E28">
        <f t="shared" si="7"/>
        <v>-111.38304190211629</v>
      </c>
    </row>
    <row r="29" spans="1:5">
      <c r="A29">
        <f t="shared" si="0"/>
        <v>0.27000000000000007</v>
      </c>
      <c r="B29">
        <f t="shared" si="4"/>
        <v>50.840052727618236</v>
      </c>
      <c r="C29">
        <f t="shared" si="5"/>
        <v>142.0813278857685</v>
      </c>
      <c r="D29">
        <f t="shared" si="6"/>
        <v>45.620637579075137</v>
      </c>
      <c r="E29">
        <f t="shared" si="7"/>
        <v>-109.48953018978033</v>
      </c>
    </row>
    <row r="30" spans="1:5">
      <c r="A30">
        <f t="shared" si="0"/>
        <v>0.28000000000000008</v>
      </c>
      <c r="B30">
        <f t="shared" si="4"/>
        <v>51.296259103408985</v>
      </c>
      <c r="C30">
        <f t="shared" si="5"/>
        <v>140.98643258387071</v>
      </c>
      <c r="D30">
        <f t="shared" si="6"/>
        <v>44.845086740230862</v>
      </c>
      <c r="E30">
        <f t="shared" si="7"/>
        <v>-107.62820817655407</v>
      </c>
    </row>
    <row r="31" spans="1:5">
      <c r="A31">
        <f t="shared" si="0"/>
        <v>0.29000000000000009</v>
      </c>
      <c r="B31">
        <f t="shared" si="4"/>
        <v>51.744709970811293</v>
      </c>
      <c r="C31">
        <f t="shared" si="5"/>
        <v>139.91015050210518</v>
      </c>
      <c r="D31">
        <f t="shared" si="6"/>
        <v>44.082720265646941</v>
      </c>
      <c r="E31">
        <f t="shared" si="7"/>
        <v>-105.79852863755265</v>
      </c>
    </row>
    <row r="32" spans="1:5">
      <c r="A32">
        <f t="shared" si="0"/>
        <v>0.3000000000000001</v>
      </c>
      <c r="B32">
        <f t="shared" si="4"/>
        <v>52.185537173467765</v>
      </c>
      <c r="C32">
        <f t="shared" si="5"/>
        <v>138.85216521572966</v>
      </c>
      <c r="D32">
        <f t="shared" si="6"/>
        <v>43.333314021130946</v>
      </c>
      <c r="E32">
        <f t="shared" si="7"/>
        <v>-103.99995365071426</v>
      </c>
    </row>
    <row r="33" spans="1:5">
      <c r="A33">
        <f t="shared" si="0"/>
        <v>0.31000000000000011</v>
      </c>
      <c r="B33">
        <f t="shared" si="4"/>
        <v>52.618870313679075</v>
      </c>
      <c r="C33">
        <f t="shared" si="5"/>
        <v>137.81216567922252</v>
      </c>
      <c r="D33">
        <f t="shared" si="6"/>
        <v>42.596647682771717</v>
      </c>
      <c r="E33">
        <f t="shared" si="7"/>
        <v>-102.23195443865212</v>
      </c>
    </row>
    <row r="34" spans="1:5">
      <c r="A34">
        <f t="shared" si="0"/>
        <v>0.32000000000000012</v>
      </c>
      <c r="B34">
        <f t="shared" si="4"/>
        <v>53.044836790506793</v>
      </c>
      <c r="C34">
        <f t="shared" si="5"/>
        <v>136.78984613483598</v>
      </c>
      <c r="D34">
        <f t="shared" si="6"/>
        <v>41.872504672164595</v>
      </c>
      <c r="E34">
        <f t="shared" si="7"/>
        <v>-100.49401121319502</v>
      </c>
    </row>
    <row r="35" spans="1:5">
      <c r="A35">
        <f t="shared" si="0"/>
        <v>0.33000000000000013</v>
      </c>
      <c r="B35">
        <f t="shared" si="4"/>
        <v>53.46356183722844</v>
      </c>
      <c r="C35">
        <f t="shared" si="5"/>
        <v>135.78490602270404</v>
      </c>
      <c r="D35">
        <f t="shared" si="6"/>
        <v>41.160672092737798</v>
      </c>
      <c r="E35">
        <f t="shared" si="7"/>
        <v>-98.785613022570715</v>
      </c>
    </row>
    <row r="36" spans="1:5">
      <c r="A36">
        <f t="shared" si="0"/>
        <v>0.34000000000000014</v>
      </c>
      <c r="B36">
        <f t="shared" si="4"/>
        <v>53.875168558155821</v>
      </c>
      <c r="C36">
        <f t="shared" si="5"/>
        <v>134.79704989247833</v>
      </c>
      <c r="D36">
        <f t="shared" si="6"/>
        <v>40.460940667161253</v>
      </c>
      <c r="E36">
        <f t="shared" si="7"/>
        <v>-97.106257601187011</v>
      </c>
    </row>
    <row r="37" spans="1:5">
      <c r="A37">
        <f t="shared" si="0"/>
        <v>0.35000000000000014</v>
      </c>
      <c r="B37">
        <f t="shared" si="4"/>
        <v>54.279777964827431</v>
      </c>
      <c r="C37">
        <f t="shared" si="5"/>
        <v>133.82598731646647</v>
      </c>
      <c r="D37">
        <f t="shared" si="6"/>
        <v>39.773104675819518</v>
      </c>
      <c r="E37">
        <f t="shared" si="7"/>
        <v>-95.45545122196684</v>
      </c>
    </row>
    <row r="38" spans="1:5">
      <c r="A38">
        <f t="shared" si="0"/>
        <v>0.36000000000000015</v>
      </c>
      <c r="B38">
        <f t="shared" si="4"/>
        <v>54.677509011585627</v>
      </c>
      <c r="C38">
        <f t="shared" si="5"/>
        <v>132.87143280424681</v>
      </c>
      <c r="D38">
        <f t="shared" si="6"/>
        <v>39.09696189633059</v>
      </c>
      <c r="E38">
        <f t="shared" si="7"/>
        <v>-93.83270855119342</v>
      </c>
    </row>
    <row r="39" spans="1:5">
      <c r="A39">
        <f t="shared" si="0"/>
        <v>0.37000000000000016</v>
      </c>
      <c r="B39">
        <f t="shared" si="4"/>
        <v>55.068478630548931</v>
      </c>
      <c r="C39">
        <f t="shared" si="5"/>
        <v>131.93310571873488</v>
      </c>
      <c r="D39">
        <f t="shared" si="6"/>
        <v>38.432313544092978</v>
      </c>
      <c r="E39">
        <f t="shared" si="7"/>
        <v>-92.237552505823146</v>
      </c>
    </row>
    <row r="40" spans="1:5">
      <c r="A40">
        <f t="shared" si="0"/>
        <v>0.38000000000000017</v>
      </c>
      <c r="B40">
        <f t="shared" si="4"/>
        <v>55.452801765989861</v>
      </c>
      <c r="C40">
        <f t="shared" si="5"/>
        <v>131.01073019367664</v>
      </c>
      <c r="D40">
        <f t="shared" si="6"/>
        <v>37.778964213843388</v>
      </c>
      <c r="E40">
        <f t="shared" si="7"/>
        <v>-90.669514113224125</v>
      </c>
    </row>
    <row r="41" spans="1:5">
      <c r="A41">
        <f t="shared" si="0"/>
        <v>0.39000000000000018</v>
      </c>
      <c r="B41">
        <f t="shared" si="4"/>
        <v>55.830591408128292</v>
      </c>
      <c r="C41">
        <f t="shared" si="5"/>
        <v>130.10403505254439</v>
      </c>
      <c r="D41">
        <f t="shared" si="6"/>
        <v>37.136721822208045</v>
      </c>
      <c r="E41">
        <f t="shared" si="7"/>
        <v>-89.128132373299309</v>
      </c>
    </row>
    <row r="42" spans="1:5">
      <c r="A42">
        <f t="shared" si="0"/>
        <v>0.40000000000000019</v>
      </c>
      <c r="B42">
        <f t="shared" si="4"/>
        <v>56.201958626350375</v>
      </c>
      <c r="C42">
        <f t="shared" si="5"/>
        <v>129.21275372881141</v>
      </c>
      <c r="D42">
        <f t="shared" si="6"/>
        <v>36.505397551230516</v>
      </c>
      <c r="E42">
        <f t="shared" si="7"/>
        <v>-87.612954122953241</v>
      </c>
    </row>
    <row r="43" spans="1:5">
      <c r="A43">
        <f t="shared" si="0"/>
        <v>0.4100000000000002</v>
      </c>
      <c r="B43">
        <f t="shared" si="4"/>
        <v>56.567012601862679</v>
      </c>
      <c r="C43">
        <f t="shared" si="5"/>
        <v>128.33662418758186</v>
      </c>
      <c r="D43">
        <f t="shared" si="6"/>
        <v>35.884805792859595</v>
      </c>
      <c r="E43">
        <f t="shared" si="7"/>
        <v>-86.123533902863031</v>
      </c>
    </row>
    <row r="44" spans="1:5">
      <c r="A44">
        <f t="shared" si="0"/>
        <v>0.42000000000000021</v>
      </c>
      <c r="B44">
        <f t="shared" si="4"/>
        <v>56.925860659791276</v>
      </c>
      <c r="C44">
        <f t="shared" si="5"/>
        <v>127.47538884855324</v>
      </c>
      <c r="D44">
        <f t="shared" si="6"/>
        <v>35.274764094380984</v>
      </c>
      <c r="E44">
        <f t="shared" si="7"/>
        <v>-84.659433826514359</v>
      </c>
    </row>
    <row r="45" spans="1:5">
      <c r="A45">
        <f t="shared" si="0"/>
        <v>0.43000000000000022</v>
      </c>
      <c r="B45">
        <f t="shared" si="4"/>
        <v>57.278608300735087</v>
      </c>
      <c r="C45">
        <f t="shared" si="5"/>
        <v>126.62879451028809</v>
      </c>
      <c r="D45">
        <f t="shared" si="6"/>
        <v>34.675093104776501</v>
      </c>
      <c r="E45">
        <f t="shared" si="7"/>
        <v>-83.220223451463596</v>
      </c>
    </row>
    <row r="46" spans="1:5">
      <c r="A46">
        <f t="shared" si="0"/>
        <v>0.44000000000000022</v>
      </c>
      <c r="B46">
        <f t="shared" si="4"/>
        <v>57.625359231782852</v>
      </c>
      <c r="C46">
        <f t="shared" si="5"/>
        <v>125.79659227577345</v>
      </c>
      <c r="D46">
        <f t="shared" si="6"/>
        <v>34.085616521995298</v>
      </c>
      <c r="E46">
        <f t="shared" si="7"/>
        <v>-81.805479652788719</v>
      </c>
    </row>
    <row r="47" spans="1:5">
      <c r="A47">
        <f t="shared" si="0"/>
        <v>0.45000000000000023</v>
      </c>
      <c r="B47">
        <f t="shared" si="4"/>
        <v>57.966215397002806</v>
      </c>
      <c r="C47">
        <f t="shared" si="5"/>
        <v>124.97853747924556</v>
      </c>
      <c r="D47">
        <f t="shared" si="6"/>
        <v>33.506161041121374</v>
      </c>
      <c r="E47">
        <f t="shared" si="7"/>
        <v>-80.414786498691299</v>
      </c>
    </row>
    <row r="48" spans="1:5">
      <c r="A48">
        <f t="shared" si="0"/>
        <v>0.46000000000000024</v>
      </c>
      <c r="B48">
        <f t="shared" si="4"/>
        <v>58.301277007414022</v>
      </c>
      <c r="C48">
        <f t="shared" si="5"/>
        <v>124.17438961425864</v>
      </c>
      <c r="D48">
        <f t="shared" si="6"/>
        <v>32.936556303422307</v>
      </c>
      <c r="E48">
        <f t="shared" si="7"/>
        <v>-79.047735128213532</v>
      </c>
    </row>
    <row r="49" spans="1:5">
      <c r="A49">
        <f t="shared" si="0"/>
        <v>0.47000000000000025</v>
      </c>
      <c r="B49">
        <f t="shared" si="4"/>
        <v>58.630642570448245</v>
      </c>
      <c r="C49">
        <f t="shared" si="5"/>
        <v>123.38391226297651</v>
      </c>
      <c r="D49">
        <f t="shared" si="6"/>
        <v>32.376634846264132</v>
      </c>
      <c r="E49">
        <f t="shared" si="7"/>
        <v>-77.703923631033916</v>
      </c>
    </row>
    <row r="50" spans="1:5">
      <c r="A50">
        <f t="shared" si="0"/>
        <v>0.48000000000000026</v>
      </c>
      <c r="B50">
        <f t="shared" si="4"/>
        <v>58.954408918910886</v>
      </c>
      <c r="C50">
        <f t="shared" si="5"/>
        <v>122.60687302666616</v>
      </c>
      <c r="D50">
        <f t="shared" si="6"/>
        <v>31.826232053877639</v>
      </c>
      <c r="E50">
        <f t="shared" si="7"/>
        <v>-76.382956929306332</v>
      </c>
    </row>
    <row r="51" spans="1:5">
      <c r="A51">
        <f t="shared" si="0"/>
        <v>0.49000000000000027</v>
      </c>
      <c r="B51">
        <f t="shared" si="4"/>
        <v>59.272671239449664</v>
      </c>
      <c r="C51">
        <f t="shared" si="5"/>
        <v>121.8430434573731</v>
      </c>
      <c r="D51">
        <f t="shared" si="6"/>
        <v>31.285186108961717</v>
      </c>
      <c r="E51">
        <f t="shared" si="7"/>
        <v>-75.084446661508125</v>
      </c>
    </row>
    <row r="52" spans="1:5">
      <c r="A52">
        <f t="shared" si="0"/>
        <v>0.50000000000000022</v>
      </c>
      <c r="B52">
        <f t="shared" si="4"/>
        <v>59.585523100539284</v>
      </c>
      <c r="C52">
        <f t="shared" si="5"/>
        <v>121.09219899075802</v>
      </c>
      <c r="D52">
        <f t="shared" si="6"/>
        <v>30.753337945109369</v>
      </c>
      <c r="E52">
        <f t="shared" si="7"/>
        <v>-73.808011068262488</v>
      </c>
    </row>
    <row r="53" spans="1:5">
      <c r="A53">
        <f t="shared" si="0"/>
        <v>0.51000000000000023</v>
      </c>
      <c r="B53">
        <f t="shared" si="4"/>
        <v>59.893056479990378</v>
      </c>
      <c r="C53">
        <f t="shared" si="5"/>
        <v>120.35411888007539</v>
      </c>
      <c r="D53">
        <f t="shared" si="6"/>
        <v>30.230531200042506</v>
      </c>
      <c r="E53">
        <f t="shared" si="7"/>
        <v>-72.553274880102009</v>
      </c>
    </row>
    <row r="54" spans="1:5">
      <c r="A54">
        <f t="shared" si="0"/>
        <v>0.52000000000000024</v>
      </c>
      <c r="B54">
        <f t="shared" si="4"/>
        <v>60.195361791990806</v>
      </c>
      <c r="C54">
        <f t="shared" si="5"/>
        <v>119.62858613127437</v>
      </c>
      <c r="D54">
        <f t="shared" si="6"/>
        <v>29.716612169641785</v>
      </c>
      <c r="E54">
        <f t="shared" si="7"/>
        <v>-71.319869207140286</v>
      </c>
    </row>
    <row r="55" spans="1:5">
      <c r="A55">
        <f t="shared" si="0"/>
        <v>0.53000000000000025</v>
      </c>
      <c r="B55">
        <f t="shared" si="4"/>
        <v>60.492527913687226</v>
      </c>
      <c r="C55">
        <f t="shared" si="5"/>
        <v>118.91538743920297</v>
      </c>
      <c r="D55">
        <f t="shared" si="6"/>
        <v>29.211429762757874</v>
      </c>
      <c r="E55">
        <f t="shared" si="7"/>
        <v>-70.107431430618888</v>
      </c>
    </row>
    <row r="56" spans="1:5">
      <c r="A56">
        <f t="shared" si="0"/>
        <v>0.54000000000000026</v>
      </c>
      <c r="B56">
        <f t="shared" si="4"/>
        <v>60.784642211314804</v>
      </c>
      <c r="C56">
        <f t="shared" si="5"/>
        <v>118.21431312489679</v>
      </c>
      <c r="D56">
        <f t="shared" si="6"/>
        <v>28.714835456790993</v>
      </c>
      <c r="E56">
        <f t="shared" si="7"/>
        <v>-68.915605096298378</v>
      </c>
    </row>
    <row r="57" spans="1:5">
      <c r="A57">
        <f t="shared" si="0"/>
        <v>0.55000000000000027</v>
      </c>
      <c r="B57">
        <f t="shared" si="4"/>
        <v>61.071790565882715</v>
      </c>
      <c r="C57">
        <f t="shared" si="5"/>
        <v>117.52515707393381</v>
      </c>
      <c r="D57">
        <f t="shared" si="6"/>
        <v>28.226683254025549</v>
      </c>
      <c r="E57">
        <f t="shared" si="7"/>
        <v>-67.744039809661317</v>
      </c>
    </row>
    <row r="58" spans="1:5">
      <c r="A58">
        <f t="shared" si="0"/>
        <v>0.56000000000000028</v>
      </c>
      <c r="B58">
        <f t="shared" si="4"/>
        <v>61.354057398422974</v>
      </c>
      <c r="C58">
        <f t="shared" si="5"/>
        <v>116.84771667583721</v>
      </c>
      <c r="D58">
        <f t="shared" si="6"/>
        <v>27.746829638707116</v>
      </c>
      <c r="E58">
        <f t="shared" si="7"/>
        <v>-66.592391132897077</v>
      </c>
    </row>
    <row r="59" spans="1:5">
      <c r="A59">
        <f t="shared" si="0"/>
        <v>0.57000000000000028</v>
      </c>
      <c r="B59">
        <f t="shared" si="4"/>
        <v>61.631525694810044</v>
      </c>
      <c r="C59">
        <f t="shared" si="5"/>
        <v>116.18179276450823</v>
      </c>
      <c r="D59">
        <f t="shared" si="6"/>
        <v>27.275133534849093</v>
      </c>
      <c r="E59">
        <f t="shared" si="7"/>
        <v>-65.460320483637815</v>
      </c>
    </row>
    <row r="60" spans="1:5">
      <c r="A60">
        <f t="shared" si="0"/>
        <v>0.58000000000000029</v>
      </c>
      <c r="B60">
        <f t="shared" si="4"/>
        <v>61.904277030158532</v>
      </c>
      <c r="C60">
        <f t="shared" si="5"/>
        <v>115.52718955967185</v>
      </c>
      <c r="D60">
        <f t="shared" si="6"/>
        <v>26.811456264756661</v>
      </c>
      <c r="E60">
        <f t="shared" si="7"/>
        <v>-64.347495035415989</v>
      </c>
    </row>
    <row r="61" spans="1:5">
      <c r="A61">
        <f t="shared" si="0"/>
        <v>0.5900000000000003</v>
      </c>
      <c r="B61">
        <f t="shared" si="4"/>
        <v>62.1723915928061</v>
      </c>
      <c r="C61">
        <f t="shared" si="5"/>
        <v>114.88371460931769</v>
      </c>
      <c r="D61">
        <f t="shared" si="6"/>
        <v>26.355661508255796</v>
      </c>
      <c r="E61">
        <f t="shared" si="7"/>
        <v>-63.253587619813906</v>
      </c>
    </row>
    <row r="62" spans="1:5">
      <c r="A62">
        <f t="shared" si="0"/>
        <v>0.60000000000000031</v>
      </c>
      <c r="B62">
        <f t="shared" si="4"/>
        <v>62.435948207888657</v>
      </c>
      <c r="C62">
        <f t="shared" si="5"/>
        <v>114.25117873311956</v>
      </c>
      <c r="D62">
        <f t="shared" si="6"/>
        <v>25.907615262615451</v>
      </c>
      <c r="E62">
        <f t="shared" si="7"/>
        <v>-62.178276630277082</v>
      </c>
    </row>
    <row r="63" spans="1:5">
      <c r="A63">
        <f t="shared" si="0"/>
        <v>0.61000000000000032</v>
      </c>
      <c r="B63">
        <f t="shared" si="4"/>
        <v>62.695024360514815</v>
      </c>
      <c r="C63">
        <f t="shared" si="5"/>
        <v>113.62939596681679</v>
      </c>
      <c r="D63">
        <f t="shared" si="6"/>
        <v>25.467185803150986</v>
      </c>
      <c r="E63">
        <f t="shared" si="7"/>
        <v>-61.121245927562363</v>
      </c>
    </row>
    <row r="64" spans="1:5">
      <c r="A64">
        <f t="shared" si="0"/>
        <v>0.62000000000000033</v>
      </c>
      <c r="B64">
        <f t="shared" si="4"/>
        <v>62.949696218546322</v>
      </c>
      <c r="C64">
        <f t="shared" si="5"/>
        <v>113.01818350754117</v>
      </c>
      <c r="D64">
        <f t="shared" si="6"/>
        <v>25.034243644497423</v>
      </c>
      <c r="E64">
        <f t="shared" si="7"/>
        <v>-60.082184746793814</v>
      </c>
    </row>
    <row r="65" spans="1:5">
      <c r="A65">
        <f t="shared" si="0"/>
        <v>0.63000000000000034</v>
      </c>
      <c r="B65">
        <f t="shared" si="4"/>
        <v>63.200038654991296</v>
      </c>
      <c r="C65">
        <f t="shared" si="5"/>
        <v>112.41736166007323</v>
      </c>
      <c r="D65">
        <f t="shared" si="6"/>
        <v>24.608661502540965</v>
      </c>
      <c r="E65">
        <f t="shared" si="7"/>
        <v>-59.060787606098316</v>
      </c>
    </row>
    <row r="66" spans="1:5">
      <c r="A66">
        <f t="shared" si="0"/>
        <v>0.64000000000000035</v>
      </c>
      <c r="B66">
        <f t="shared" si="4"/>
        <v>63.446125270016708</v>
      </c>
      <c r="C66">
        <f t="shared" si="5"/>
        <v>111.82675378401224</v>
      </c>
      <c r="D66">
        <f t="shared" si="6"/>
        <v>24.190314256997766</v>
      </c>
      <c r="E66">
        <f t="shared" si="7"/>
        <v>-58.056754216794637</v>
      </c>
    </row>
    <row r="67" spans="1:5">
      <c r="A67">
        <f t="shared" si="0"/>
        <v>0.65000000000000036</v>
      </c>
      <c r="B67">
        <f t="shared" si="4"/>
        <v>63.688028412586682</v>
      </c>
      <c r="C67">
        <f t="shared" si="5"/>
        <v>111.2461862418443</v>
      </c>
      <c r="D67">
        <f t="shared" si="6"/>
        <v>23.779078914628808</v>
      </c>
      <c r="E67">
        <f t="shared" si="7"/>
        <v>-57.06978939510914</v>
      </c>
    </row>
    <row r="68" spans="1:5">
      <c r="A68">
        <f t="shared" ref="A68:A102" si="8">A67+$F$2</f>
        <v>0.66000000000000036</v>
      </c>
      <c r="B68">
        <f t="shared" si="4"/>
        <v>63.92581920173297</v>
      </c>
      <c r="C68">
        <f t="shared" si="5"/>
        <v>110.67548834789321</v>
      </c>
      <c r="D68">
        <f t="shared" si="6"/>
        <v>23.374834573080118</v>
      </c>
      <c r="E68">
        <f t="shared" si="7"/>
        <v>-56.09960297539228</v>
      </c>
    </row>
    <row r="69" spans="1:5">
      <c r="A69">
        <f t="shared" si="8"/>
        <v>0.67000000000000037</v>
      </c>
      <c r="B69">
        <f t="shared" si="4"/>
        <v>64.159567547463766</v>
      </c>
      <c r="C69">
        <f t="shared" si="5"/>
        <v>110.11449231813928</v>
      </c>
      <c r="D69">
        <f t="shared" si="6"/>
        <v>22.977462385337759</v>
      </c>
      <c r="E69">
        <f t="shared" si="7"/>
        <v>-55.145909724810622</v>
      </c>
    </row>
    <row r="70" spans="1:5">
      <c r="A70">
        <f t="shared" si="8"/>
        <v>0.68000000000000038</v>
      </c>
      <c r="B70">
        <f t="shared" si="4"/>
        <v>64.389342171317139</v>
      </c>
      <c r="C70">
        <f t="shared" si="5"/>
        <v>109.56303322089117</v>
      </c>
      <c r="D70">
        <f t="shared" si="6"/>
        <v>22.586845524787016</v>
      </c>
      <c r="E70">
        <f t="shared" si="7"/>
        <v>-54.208429259488838</v>
      </c>
    </row>
    <row r="71" spans="1:5">
      <c r="A71">
        <f t="shared" si="8"/>
        <v>0.69000000000000039</v>
      </c>
      <c r="B71">
        <f t="shared" si="4"/>
        <v>64.615210626565016</v>
      </c>
      <c r="C71">
        <f t="shared" si="5"/>
        <v>109.02094892829628</v>
      </c>
      <c r="D71">
        <f t="shared" si="6"/>
        <v>22.202869150865631</v>
      </c>
      <c r="E71">
        <f t="shared" si="7"/>
        <v>-53.286885962077513</v>
      </c>
    </row>
    <row r="72" spans="1:5">
      <c r="A72">
        <f t="shared" si="8"/>
        <v>0.7000000000000004</v>
      </c>
      <c r="B72">
        <f t="shared" si="4"/>
        <v>64.837239318073671</v>
      </c>
      <c r="C72">
        <f t="shared" si="5"/>
        <v>108.4880800686755</v>
      </c>
      <c r="D72">
        <f t="shared" si="6"/>
        <v>21.825420375300915</v>
      </c>
      <c r="E72">
        <f t="shared" si="7"/>
        <v>-52.381008900722193</v>
      </c>
    </row>
    <row r="73" spans="1:5">
      <c r="A73">
        <f t="shared" si="8"/>
        <v>0.71000000000000041</v>
      </c>
      <c r="B73">
        <f t="shared" si="4"/>
        <v>65.055493521826676</v>
      </c>
      <c r="C73">
        <f t="shared" si="5"/>
        <v>107.96426997966827</v>
      </c>
      <c r="D73">
        <f t="shared" si="6"/>
        <v>21.454388228920799</v>
      </c>
      <c r="E73">
        <f t="shared" si="7"/>
        <v>-51.490531749409918</v>
      </c>
    </row>
    <row r="74" spans="1:5">
      <c r="A74">
        <f t="shared" si="8"/>
        <v>0.72000000000000042</v>
      </c>
      <c r="B74">
        <f t="shared" si="4"/>
        <v>65.270037404115882</v>
      </c>
      <c r="C74">
        <f t="shared" si="5"/>
        <v>107.44936466217418</v>
      </c>
      <c r="D74">
        <f t="shared" si="6"/>
        <v>21.089663629029147</v>
      </c>
      <c r="E74">
        <f t="shared" si="7"/>
        <v>-50.615192709669948</v>
      </c>
    </row>
    <row r="75" spans="1:5">
      <c r="A75">
        <f t="shared" si="8"/>
        <v>0.73000000000000043</v>
      </c>
      <c r="B75">
        <f t="shared" si="4"/>
        <v>65.480934040406169</v>
      </c>
      <c r="C75">
        <f t="shared" si="5"/>
        <v>106.94321273507748</v>
      </c>
      <c r="D75">
        <f t="shared" si="6"/>
        <v>20.731139347335656</v>
      </c>
      <c r="E75">
        <f t="shared" si="7"/>
        <v>-49.75473443360557</v>
      </c>
    </row>
    <row r="76" spans="1:5">
      <c r="A76">
        <f t="shared" si="8"/>
        <v>0.74000000000000044</v>
      </c>
      <c r="B76">
        <f t="shared" si="4"/>
        <v>65.68824543387953</v>
      </c>
      <c r="C76">
        <f t="shared" si="5"/>
        <v>106.44566539074142</v>
      </c>
      <c r="D76">
        <f t="shared" si="6"/>
        <v>20.378709978430948</v>
      </c>
      <c r="E76">
        <f t="shared" si="7"/>
        <v>-48.908903948234276</v>
      </c>
    </row>
    <row r="77" spans="1:5">
      <c r="A77">
        <f t="shared" si="8"/>
        <v>0.75000000000000044</v>
      </c>
      <c r="B77">
        <f t="shared" ref="B77:B100" si="9">B76+$F$2*D76</f>
        <v>65.892032533663837</v>
      </c>
      <c r="C77">
        <f t="shared" ref="C77:C100" si="10">C76+$F$2*E76</f>
        <v>105.95657635125909</v>
      </c>
      <c r="D77">
        <f t="shared" ref="D77:D100" si="11">$H$2*(C77-B77)</f>
        <v>20.032271908797625</v>
      </c>
      <c r="E77">
        <f t="shared" ref="E77:E100" si="12">-$G$2*(C77-B77)</f>
        <v>-48.077452581114301</v>
      </c>
    </row>
    <row r="78" spans="1:5">
      <c r="A78">
        <f t="shared" si="8"/>
        <v>0.76000000000000045</v>
      </c>
      <c r="B78">
        <f t="shared" si="9"/>
        <v>66.092355252751815</v>
      </c>
      <c r="C78">
        <f t="shared" si="10"/>
        <v>105.47580182544795</v>
      </c>
      <c r="D78">
        <f t="shared" si="11"/>
        <v>19.691723286348065</v>
      </c>
      <c r="E78">
        <f t="shared" si="12"/>
        <v>-47.260135887235357</v>
      </c>
    </row>
    <row r="79" spans="1:5">
      <c r="A79">
        <f t="shared" si="8"/>
        <v>0.77000000000000046</v>
      </c>
      <c r="B79">
        <f t="shared" si="9"/>
        <v>66.2892724856153</v>
      </c>
      <c r="C79">
        <f t="shared" si="10"/>
        <v>105.00320046657559</v>
      </c>
      <c r="D79">
        <f t="shared" si="11"/>
        <v>19.356963990480146</v>
      </c>
      <c r="E79">
        <f t="shared" si="12"/>
        <v>-46.45671357715235</v>
      </c>
    </row>
    <row r="80" spans="1:5">
      <c r="A80">
        <f t="shared" si="8"/>
        <v>0.78000000000000047</v>
      </c>
      <c r="B80">
        <f t="shared" si="9"/>
        <v>66.482842125520108</v>
      </c>
      <c r="C80">
        <f t="shared" si="10"/>
        <v>104.53863333080407</v>
      </c>
      <c r="D80">
        <f t="shared" si="11"/>
        <v>19.027895602641983</v>
      </c>
      <c r="E80">
        <f t="shared" si="12"/>
        <v>-45.666949446340759</v>
      </c>
    </row>
    <row r="81" spans="1:5">
      <c r="A81">
        <f t="shared" si="8"/>
        <v>0.79000000000000048</v>
      </c>
      <c r="B81">
        <f t="shared" si="9"/>
        <v>66.673121081546526</v>
      </c>
      <c r="C81">
        <f t="shared" si="10"/>
        <v>104.08196383634066</v>
      </c>
      <c r="D81">
        <f t="shared" si="11"/>
        <v>18.704421377397068</v>
      </c>
      <c r="E81">
        <f t="shared" si="12"/>
        <v>-44.890611305752962</v>
      </c>
    </row>
    <row r="82" spans="1:5">
      <c r="A82">
        <f t="shared" si="8"/>
        <v>0.80000000000000049</v>
      </c>
      <c r="B82">
        <f t="shared" si="9"/>
        <v>66.860165295320499</v>
      </c>
      <c r="C82">
        <f t="shared" si="10"/>
        <v>103.63305772328313</v>
      </c>
      <c r="D82">
        <f t="shared" si="11"/>
        <v>18.386446213981316</v>
      </c>
      <c r="E82">
        <f t="shared" si="12"/>
        <v>-44.127470913555157</v>
      </c>
    </row>
    <row r="83" spans="1:5">
      <c r="A83">
        <f t="shared" si="8"/>
        <v>0.8100000000000005</v>
      </c>
      <c r="B83">
        <f t="shared" si="9"/>
        <v>67.044029757460308</v>
      </c>
      <c r="C83">
        <f t="shared" si="10"/>
        <v>103.19178301414757</v>
      </c>
      <c r="D83">
        <f t="shared" si="11"/>
        <v>18.073876628343633</v>
      </c>
      <c r="E83">
        <f t="shared" si="12"/>
        <v>-43.377303908024722</v>
      </c>
    </row>
    <row r="84" spans="1:5">
      <c r="A84">
        <f t="shared" si="8"/>
        <v>0.82000000000000051</v>
      </c>
      <c r="B84">
        <f t="shared" si="9"/>
        <v>67.224768523743748</v>
      </c>
      <c r="C84">
        <f t="shared" si="10"/>
        <v>102.75800997506732</v>
      </c>
      <c r="D84">
        <f t="shared" si="11"/>
        <v>17.766620725661788</v>
      </c>
      <c r="E84">
        <f t="shared" si="12"/>
        <v>-42.639889741588291</v>
      </c>
    </row>
    <row r="85" spans="1:5">
      <c r="A85">
        <f t="shared" si="8"/>
        <v>0.83000000000000052</v>
      </c>
      <c r="B85">
        <f t="shared" si="9"/>
        <v>67.402434731000369</v>
      </c>
      <c r="C85">
        <f t="shared" si="10"/>
        <v>102.33161107765144</v>
      </c>
      <c r="D85">
        <f t="shared" si="11"/>
        <v>17.464588173325538</v>
      </c>
      <c r="E85">
        <f t="shared" si="12"/>
        <v>-41.915011615981292</v>
      </c>
    </row>
    <row r="86" spans="1:5">
      <c r="A86">
        <f t="shared" si="8"/>
        <v>0.84000000000000052</v>
      </c>
      <c r="B86">
        <f t="shared" si="9"/>
        <v>67.577080612733624</v>
      </c>
      <c r="C86">
        <f t="shared" si="10"/>
        <v>101.91246096149163</v>
      </c>
      <c r="D86">
        <f t="shared" si="11"/>
        <v>17.167690174379004</v>
      </c>
      <c r="E86">
        <f t="shared" si="12"/>
        <v>-41.202456418509605</v>
      </c>
    </row>
    <row r="87" spans="1:5">
      <c r="A87">
        <f t="shared" si="8"/>
        <v>0.85000000000000053</v>
      </c>
      <c r="B87">
        <f t="shared" si="9"/>
        <v>67.748757514477418</v>
      </c>
      <c r="C87">
        <f t="shared" si="10"/>
        <v>101.50043639730653</v>
      </c>
      <c r="D87">
        <f t="shared" si="11"/>
        <v>16.875839441414556</v>
      </c>
      <c r="E87">
        <f t="shared" si="12"/>
        <v>-40.502014659394931</v>
      </c>
    </row>
    <row r="88" spans="1:5">
      <c r="A88">
        <f t="shared" si="8"/>
        <v>0.86000000000000054</v>
      </c>
      <c r="B88">
        <f t="shared" si="9"/>
        <v>67.917515908891559</v>
      </c>
      <c r="C88">
        <f t="shared" si="10"/>
        <v>101.09541625071257</v>
      </c>
      <c r="D88">
        <f t="shared" si="11"/>
        <v>16.588950170910508</v>
      </c>
      <c r="E88">
        <f t="shared" si="12"/>
        <v>-39.813480410185214</v>
      </c>
    </row>
    <row r="89" spans="1:5">
      <c r="A89">
        <f t="shared" si="8"/>
        <v>0.87000000000000055</v>
      </c>
      <c r="B89">
        <f t="shared" si="9"/>
        <v>68.083405410600662</v>
      </c>
      <c r="C89">
        <f t="shared" si="10"/>
        <v>100.69728144661072</v>
      </c>
      <c r="D89">
        <f t="shared" si="11"/>
        <v>16.306938018005027</v>
      </c>
      <c r="E89">
        <f t="shared" si="12"/>
        <v>-39.136651243212064</v>
      </c>
    </row>
    <row r="90" spans="1:5">
      <c r="A90">
        <f t="shared" si="8"/>
        <v>0.88000000000000056</v>
      </c>
      <c r="B90">
        <f t="shared" si="9"/>
        <v>68.246474790780709</v>
      </c>
      <c r="C90">
        <f t="shared" si="10"/>
        <v>100.3059149341786</v>
      </c>
      <c r="D90">
        <f t="shared" si="11"/>
        <v>16.029720071698947</v>
      </c>
      <c r="E90">
        <f t="shared" si="12"/>
        <v>-38.47132817207747</v>
      </c>
    </row>
    <row r="91" spans="1:5">
      <c r="A91">
        <f t="shared" si="8"/>
        <v>0.89000000000000057</v>
      </c>
      <c r="B91">
        <f t="shared" si="9"/>
        <v>68.406771991497692</v>
      </c>
      <c r="C91">
        <f t="shared" si="10"/>
        <v>99.921201652457825</v>
      </c>
      <c r="D91">
        <f t="shared" si="11"/>
        <v>15.757214830480066</v>
      </c>
      <c r="E91">
        <f t="shared" si="12"/>
        <v>-37.817315593152159</v>
      </c>
    </row>
    <row r="92" spans="1:5">
      <c r="A92">
        <f t="shared" si="8"/>
        <v>0.90000000000000058</v>
      </c>
      <c r="B92">
        <f t="shared" si="9"/>
        <v>68.564344139802486</v>
      </c>
      <c r="C92">
        <f t="shared" si="10"/>
        <v>99.543028496526304</v>
      </c>
      <c r="D92">
        <f t="shared" si="11"/>
        <v>15.489342178361909</v>
      </c>
      <c r="E92">
        <f t="shared" si="12"/>
        <v>-37.174421228068582</v>
      </c>
    </row>
    <row r="93" spans="1:5">
      <c r="A93">
        <f t="shared" si="8"/>
        <v>0.91000000000000059</v>
      </c>
      <c r="B93">
        <f t="shared" si="9"/>
        <v>68.719237561586112</v>
      </c>
      <c r="C93">
        <f t="shared" si="10"/>
        <v>99.171284284245615</v>
      </c>
      <c r="D93">
        <f t="shared" si="11"/>
        <v>15.226023361329752</v>
      </c>
      <c r="E93">
        <f t="shared" si="12"/>
        <v>-36.542456067191402</v>
      </c>
    </row>
    <row r="94" spans="1:5">
      <c r="A94">
        <f t="shared" si="8"/>
        <v>0.9200000000000006</v>
      </c>
      <c r="B94">
        <f t="shared" si="9"/>
        <v>68.871497795199403</v>
      </c>
      <c r="C94">
        <f t="shared" si="10"/>
        <v>98.805859723573704</v>
      </c>
      <c r="D94">
        <f t="shared" si="11"/>
        <v>14.96718096418715</v>
      </c>
      <c r="E94">
        <f t="shared" si="12"/>
        <v>-35.921234314049158</v>
      </c>
    </row>
    <row r="95" spans="1:5">
      <c r="A95">
        <f t="shared" si="8"/>
        <v>0.9300000000000006</v>
      </c>
      <c r="B95">
        <f t="shared" si="9"/>
        <v>69.021169604841276</v>
      </c>
      <c r="C95">
        <f t="shared" si="10"/>
        <v>98.446647380433205</v>
      </c>
      <c r="D95">
        <f t="shared" si="11"/>
        <v>14.712738887795965</v>
      </c>
      <c r="E95">
        <f t="shared" si="12"/>
        <v>-35.310573330710312</v>
      </c>
    </row>
    <row r="96" spans="1:5">
      <c r="A96">
        <f t="shared" si="8"/>
        <v>0.94000000000000061</v>
      </c>
      <c r="B96">
        <f t="shared" si="9"/>
        <v>69.168296993719238</v>
      </c>
      <c r="C96">
        <f t="shared" si="10"/>
        <v>98.093541647126102</v>
      </c>
      <c r="D96">
        <f t="shared" si="11"/>
        <v>14.462622326703432</v>
      </c>
      <c r="E96">
        <f t="shared" si="12"/>
        <v>-34.710293584088234</v>
      </c>
    </row>
    <row r="97" spans="1:5">
      <c r="A97">
        <f t="shared" si="8"/>
        <v>0.95000000000000062</v>
      </c>
      <c r="B97">
        <f t="shared" si="9"/>
        <v>69.312923216986277</v>
      </c>
      <c r="C97">
        <f t="shared" si="10"/>
        <v>97.746438711285222</v>
      </c>
      <c r="D97">
        <f t="shared" si="11"/>
        <v>14.216757747149472</v>
      </c>
      <c r="E97">
        <f t="shared" si="12"/>
        <v>-34.120218593158732</v>
      </c>
    </row>
    <row r="98" spans="1:5">
      <c r="A98">
        <f t="shared" si="8"/>
        <v>0.96000000000000063</v>
      </c>
      <c r="B98">
        <f t="shared" si="9"/>
        <v>69.455090794457774</v>
      </c>
      <c r="C98">
        <f t="shared" si="10"/>
        <v>97.405236525353629</v>
      </c>
      <c r="D98">
        <f t="shared" si="11"/>
        <v>13.975072865447927</v>
      </c>
      <c r="E98">
        <f t="shared" si="12"/>
        <v>-33.540174877075025</v>
      </c>
    </row>
    <row r="99" spans="1:5">
      <c r="A99">
        <f t="shared" si="8"/>
        <v>0.97000000000000064</v>
      </c>
      <c r="B99">
        <f t="shared" si="9"/>
        <v>69.594841523112251</v>
      </c>
      <c r="C99">
        <f t="shared" si="10"/>
        <v>97.06983477658288</v>
      </c>
      <c r="D99">
        <f t="shared" si="11"/>
        <v>13.737496626735314</v>
      </c>
      <c r="E99">
        <f t="shared" si="12"/>
        <v>-32.96999190416475</v>
      </c>
    </row>
    <row r="100" spans="1:5">
      <c r="A100">
        <f t="shared" si="8"/>
        <v>0.98000000000000065</v>
      </c>
      <c r="B100">
        <f t="shared" si="9"/>
        <v>69.73221648937961</v>
      </c>
      <c r="C100">
        <f t="shared" si="10"/>
        <v>96.740134857541236</v>
      </c>
      <c r="D100">
        <f t="shared" si="11"/>
        <v>13.503959184080813</v>
      </c>
      <c r="E100">
        <f t="shared" si="12"/>
        <v>-32.409502041793949</v>
      </c>
    </row>
    <row r="101" spans="1:5">
      <c r="A101">
        <f t="shared" si="8"/>
        <v>0.99000000000000066</v>
      </c>
      <c r="B101">
        <f t="shared" ref="B101:B102" si="13">B100+$F$2*D100</f>
        <v>69.867256081220418</v>
      </c>
      <c r="C101">
        <f t="shared" ref="C101:C102" si="14">C100+$F$2*E100</f>
        <v>96.416039837123293</v>
      </c>
      <c r="D101">
        <f t="shared" ref="D101:D102" si="15">$H$2*(C101-B101)</f>
        <v>13.274391877951437</v>
      </c>
      <c r="E101">
        <f t="shared" ref="E101:E102" si="16">-$G$2*(C101-B101)</f>
        <v>-31.858540507083447</v>
      </c>
    </row>
    <row r="102" spans="1:5">
      <c r="A102">
        <f t="shared" si="8"/>
        <v>1.0000000000000007</v>
      </c>
      <c r="B102">
        <f t="shared" si="13"/>
        <v>69.999999999999929</v>
      </c>
      <c r="C102">
        <f t="shared" si="14"/>
        <v>96.097454432052459</v>
      </c>
      <c r="D102">
        <f t="shared" si="15"/>
        <v>13.048727216026265</v>
      </c>
      <c r="E102">
        <f t="shared" si="16"/>
        <v>-31.316945318463034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3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DT = 0.1</vt:lpstr>
      <vt:lpstr>DT = 0.01</vt:lpstr>
      <vt:lpstr>Sheet3</vt:lpstr>
    </vt:vector>
  </TitlesOfParts>
  <Company>TULANE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Law</dc:creator>
  <cp:lastModifiedBy>Yusra Khalid</cp:lastModifiedBy>
  <dcterms:created xsi:type="dcterms:W3CDTF">2008-09-25T20:36:33Z</dcterms:created>
  <dcterms:modified xsi:type="dcterms:W3CDTF">2020-04-19T14:54:39Z</dcterms:modified>
</cp:coreProperties>
</file>