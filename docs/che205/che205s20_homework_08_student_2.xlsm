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nata\Desktop\Che205\"/>
    </mc:Choice>
  </mc:AlternateContent>
  <xr:revisionPtr revIDLastSave="0" documentId="13_ncr:1_{F6B941E9-9EA3-483E-8572-804C0548E950}" xr6:coauthVersionLast="45" xr6:coauthVersionMax="45" xr10:uidLastSave="{00000000-0000-0000-0000-000000000000}"/>
  <bookViews>
    <workbookView xWindow="-120" yWindow="-120" windowWidth="20730" windowHeight="11160" firstSheet="2" activeTab="8" xr2:uid="{E2ED836A-AFCB-4458-BE3D-10A1F7559184}"/>
  </bookViews>
  <sheets>
    <sheet name="8.1 b)" sheetId="1" r:id="rId1"/>
    <sheet name="8.1 c)" sheetId="2" r:id="rId2"/>
    <sheet name="8.1 d)" sheetId="3" r:id="rId3"/>
    <sheet name="8.2 b) (M1)" sheetId="4" r:id="rId4"/>
    <sheet name="8.2 c) (M2)" sheetId="5" r:id="rId5"/>
    <sheet name="8.2 d) (M3)" sheetId="6" r:id="rId6"/>
    <sheet name="8.3 b) (M4)" sheetId="7" r:id="rId7"/>
    <sheet name="8.3 c) (M5)" sheetId="8" r:id="rId8"/>
    <sheet name="8.3 d) (M6)" sheetId="9" r:id="rId9"/>
  </sheets>
  <definedNames>
    <definedName name="dtdx">'8.1 b)'!$B$5</definedName>
    <definedName name="dtheta">'8.1 b)'!$B$3</definedName>
    <definedName name="dx">'8.1 b)'!$B$4</definedName>
    <definedName name="theta">'8.1 b)'!$B$3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5" l="1"/>
  <c r="U3" i="9" l="1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U6" i="6" l="1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C2" i="9" l="1"/>
  <c r="D2" i="9" s="1"/>
  <c r="E2" i="9" s="1"/>
  <c r="F2" i="9" s="1"/>
  <c r="G2" i="9" s="1"/>
  <c r="H2" i="9" s="1"/>
  <c r="I2" i="9" s="1"/>
  <c r="J2" i="9" s="1"/>
  <c r="K2" i="9" s="1"/>
  <c r="L2" i="9" s="1"/>
  <c r="M2" i="9" s="1"/>
  <c r="N2" i="9" s="1"/>
  <c r="O2" i="9" s="1"/>
  <c r="P2" i="9" s="1"/>
  <c r="Q2" i="9" s="1"/>
  <c r="R2" i="9" s="1"/>
  <c r="S2" i="9" s="1"/>
  <c r="T2" i="9" s="1"/>
  <c r="U2" i="9" s="1"/>
  <c r="V2" i="9" s="1"/>
  <c r="C2" i="8"/>
  <c r="D2" i="8" s="1"/>
  <c r="E2" i="8" s="1"/>
  <c r="F2" i="8" s="1"/>
  <c r="G2" i="8" s="1"/>
  <c r="H2" i="8" s="1"/>
  <c r="I2" i="8" s="1"/>
  <c r="J2" i="8" s="1"/>
  <c r="K2" i="8" s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D2" i="7"/>
  <c r="E2" i="7"/>
  <c r="F2" i="7" s="1"/>
  <c r="G2" i="7" s="1"/>
  <c r="H2" i="7" s="1"/>
  <c r="I2" i="7" s="1"/>
  <c r="J2" i="7" s="1"/>
  <c r="K2" i="7" s="1"/>
  <c r="L2" i="7" s="1"/>
  <c r="M2" i="7" s="1"/>
  <c r="N2" i="7" s="1"/>
  <c r="O2" i="7" s="1"/>
  <c r="P2" i="7" s="1"/>
  <c r="Q2" i="7" s="1"/>
  <c r="R2" i="7" s="1"/>
  <c r="S2" i="7" s="1"/>
  <c r="T2" i="7" s="1"/>
  <c r="U2" i="7" s="1"/>
  <c r="V2" i="7" s="1"/>
  <c r="C2" i="7"/>
  <c r="C5" i="6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P5" i="6" s="1"/>
  <c r="Q5" i="6" s="1"/>
  <c r="R5" i="6" s="1"/>
  <c r="S5" i="6" s="1"/>
  <c r="T5" i="6" s="1"/>
  <c r="U5" i="6" s="1"/>
  <c r="V5" i="6" s="1"/>
  <c r="K2" i="6"/>
  <c r="K2" i="5"/>
  <c r="K2" i="4"/>
  <c r="D5" i="5"/>
  <c r="E5" i="5" s="1"/>
  <c r="F5" i="5" s="1"/>
  <c r="G5" i="5" s="1"/>
  <c r="H5" i="5" s="1"/>
  <c r="I5" i="5" s="1"/>
  <c r="J5" i="5" s="1"/>
  <c r="K5" i="5" s="1"/>
  <c r="L5" i="5" s="1"/>
  <c r="M5" i="5" s="1"/>
  <c r="N5" i="5" s="1"/>
  <c r="O5" i="5" s="1"/>
  <c r="P5" i="5" s="1"/>
  <c r="Q5" i="5" s="1"/>
  <c r="R5" i="5" s="1"/>
  <c r="S5" i="5" s="1"/>
  <c r="T5" i="5" s="1"/>
  <c r="U5" i="5" s="1"/>
  <c r="V5" i="5" s="1"/>
  <c r="T5" i="4"/>
  <c r="U5" i="4"/>
  <c r="V5" i="4" s="1"/>
  <c r="P5" i="4"/>
  <c r="Q5" i="4"/>
  <c r="R5" i="4" s="1"/>
  <c r="S5" i="4" s="1"/>
  <c r="D5" i="4"/>
  <c r="E5" i="4"/>
  <c r="F5" i="4" s="1"/>
  <c r="G5" i="4" s="1"/>
  <c r="H5" i="4" s="1"/>
  <c r="I5" i="4" s="1"/>
  <c r="J5" i="4" s="1"/>
  <c r="K5" i="4" s="1"/>
  <c r="L5" i="4" s="1"/>
  <c r="M5" i="4" s="1"/>
  <c r="N5" i="4" s="1"/>
  <c r="O5" i="4" s="1"/>
  <c r="C5" i="4"/>
  <c r="C13" i="3" l="1"/>
  <c r="D13" i="3"/>
  <c r="D14" i="3" s="1"/>
  <c r="E13" i="3"/>
  <c r="F13" i="3"/>
  <c r="F14" i="3" s="1"/>
  <c r="G13" i="3"/>
  <c r="H13" i="3"/>
  <c r="H14" i="3" s="1"/>
  <c r="I13" i="3"/>
  <c r="J13" i="3"/>
  <c r="J14" i="3" s="1"/>
  <c r="K13" i="3"/>
  <c r="L13" i="3"/>
  <c r="L14" i="3" s="1"/>
  <c r="M13" i="3"/>
  <c r="N13" i="3"/>
  <c r="N14" i="3" s="1"/>
  <c r="O13" i="3"/>
  <c r="P13" i="3"/>
  <c r="P14" i="3" s="1"/>
  <c r="Q13" i="3"/>
  <c r="R13" i="3"/>
  <c r="R14" i="3" s="1"/>
  <c r="S13" i="3"/>
  <c r="T13" i="3"/>
  <c r="T14" i="3" s="1"/>
  <c r="U13" i="3"/>
  <c r="C14" i="3"/>
  <c r="C15" i="3" s="1"/>
  <c r="G14" i="3"/>
  <c r="G15" i="3" s="1"/>
  <c r="K14" i="3"/>
  <c r="K15" i="3" s="1"/>
  <c r="O14" i="3"/>
  <c r="O15" i="3" s="1"/>
  <c r="S14" i="3"/>
  <c r="S15" i="3" s="1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C12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C11" i="3"/>
  <c r="Q10" i="3"/>
  <c r="R10" i="3"/>
  <c r="S10" i="3" s="1"/>
  <c r="T10" i="3" s="1"/>
  <c r="U10" i="3" s="1"/>
  <c r="V10" i="3" s="1"/>
  <c r="D10" i="3"/>
  <c r="E10" i="3"/>
  <c r="F10" i="3" s="1"/>
  <c r="G10" i="3" s="1"/>
  <c r="H10" i="3" s="1"/>
  <c r="I10" i="3" s="1"/>
  <c r="J10" i="3" s="1"/>
  <c r="K10" i="3" s="1"/>
  <c r="L10" i="3" s="1"/>
  <c r="M10" i="3" s="1"/>
  <c r="N10" i="3" s="1"/>
  <c r="O10" i="3" s="1"/>
  <c r="P10" i="3" s="1"/>
  <c r="C10" i="3"/>
  <c r="A13" i="3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12" i="3"/>
  <c r="B5" i="3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U14" i="2" s="1"/>
  <c r="G14" i="2"/>
  <c r="K14" i="2"/>
  <c r="O14" i="2"/>
  <c r="S14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C13" i="2"/>
  <c r="C14" i="2"/>
  <c r="C12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D11" i="2"/>
  <c r="E11" i="2"/>
  <c r="F11" i="2"/>
  <c r="G11" i="2"/>
  <c r="H11" i="2"/>
  <c r="C11" i="2"/>
  <c r="D10" i="2"/>
  <c r="E10" i="2"/>
  <c r="F10" i="2" s="1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C10" i="2"/>
  <c r="A31" i="2"/>
  <c r="A13" i="2"/>
  <c r="A14" i="2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12" i="2"/>
  <c r="B5" i="2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G13" i="1"/>
  <c r="K13" i="1"/>
  <c r="O13" i="1"/>
  <c r="S13" i="1"/>
  <c r="V11" i="1"/>
  <c r="V10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D11" i="1"/>
  <c r="E11" i="1"/>
  <c r="F11" i="1"/>
  <c r="G11" i="1"/>
  <c r="C12" i="1"/>
  <c r="C13" i="1" s="1"/>
  <c r="C11" i="1"/>
  <c r="V9" i="1"/>
  <c r="R9" i="1"/>
  <c r="S9" i="1"/>
  <c r="T9" i="1" s="1"/>
  <c r="U9" i="1" s="1"/>
  <c r="J9" i="1"/>
  <c r="K9" i="1"/>
  <c r="L9" i="1" s="1"/>
  <c r="M9" i="1" s="1"/>
  <c r="N9" i="1" s="1"/>
  <c r="O9" i="1" s="1"/>
  <c r="P9" i="1" s="1"/>
  <c r="Q9" i="1" s="1"/>
  <c r="D9" i="1"/>
  <c r="E9" i="1"/>
  <c r="F9" i="1" s="1"/>
  <c r="G9" i="1" s="1"/>
  <c r="H9" i="1" s="1"/>
  <c r="I9" i="1" s="1"/>
  <c r="C9" i="1"/>
  <c r="A30" i="1"/>
  <c r="A25" i="1"/>
  <c r="A26" i="1" s="1"/>
  <c r="A27" i="1" s="1"/>
  <c r="A28" i="1" s="1"/>
  <c r="A29" i="1" s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11" i="1"/>
  <c r="B5" i="1"/>
  <c r="R15" i="3" l="1"/>
  <c r="J15" i="3"/>
  <c r="U14" i="3"/>
  <c r="Q14" i="3"/>
  <c r="M14" i="3"/>
  <c r="I14" i="3"/>
  <c r="E14" i="3"/>
  <c r="T14" i="2"/>
  <c r="T15" i="2" s="1"/>
  <c r="R14" i="2"/>
  <c r="P14" i="2"/>
  <c r="N14" i="2"/>
  <c r="L14" i="2"/>
  <c r="L15" i="2" s="1"/>
  <c r="J14" i="2"/>
  <c r="H14" i="2"/>
  <c r="D14" i="2"/>
  <c r="F14" i="2"/>
  <c r="F15" i="2" s="1"/>
  <c r="C15" i="2"/>
  <c r="Q14" i="2"/>
  <c r="Q15" i="2" s="1"/>
  <c r="M14" i="2"/>
  <c r="I14" i="2"/>
  <c r="I15" i="2" s="1"/>
  <c r="E14" i="2"/>
  <c r="G14" i="1"/>
  <c r="T13" i="1"/>
  <c r="R13" i="1"/>
  <c r="R14" i="1" s="1"/>
  <c r="P13" i="1"/>
  <c r="N13" i="1"/>
  <c r="L13" i="1"/>
  <c r="J13" i="1"/>
  <c r="J14" i="1" s="1"/>
  <c r="H13" i="1"/>
  <c r="D13" i="1"/>
  <c r="F13" i="1"/>
  <c r="V12" i="1"/>
  <c r="U13" i="1" s="1"/>
  <c r="Q13" i="1"/>
  <c r="M13" i="1"/>
  <c r="M14" i="1" s="1"/>
  <c r="I13" i="1"/>
  <c r="E13" i="1"/>
  <c r="E14" i="1" s="1"/>
  <c r="E15" i="3" l="1"/>
  <c r="D15" i="3"/>
  <c r="M15" i="3"/>
  <c r="L15" i="3"/>
  <c r="L16" i="3" s="1"/>
  <c r="U15" i="3"/>
  <c r="T15" i="3"/>
  <c r="T16" i="3" s="1"/>
  <c r="I15" i="3"/>
  <c r="I16" i="3" s="1"/>
  <c r="H15" i="3"/>
  <c r="Q15" i="3"/>
  <c r="Q16" i="3" s="1"/>
  <c r="P15" i="3"/>
  <c r="F15" i="3"/>
  <c r="N15" i="3"/>
  <c r="S16" i="3"/>
  <c r="H15" i="2"/>
  <c r="H16" i="2" s="1"/>
  <c r="P15" i="2"/>
  <c r="O15" i="2"/>
  <c r="O16" i="2" s="1"/>
  <c r="K15" i="2"/>
  <c r="E15" i="2"/>
  <c r="E16" i="2" s="1"/>
  <c r="M15" i="2"/>
  <c r="C16" i="2"/>
  <c r="D15" i="2"/>
  <c r="J15" i="2"/>
  <c r="J16" i="2" s="1"/>
  <c r="N15" i="2"/>
  <c r="R15" i="2"/>
  <c r="R16" i="2" s="1"/>
  <c r="G15" i="2"/>
  <c r="U15" i="2"/>
  <c r="U16" i="2" s="1"/>
  <c r="S15" i="2"/>
  <c r="V13" i="1"/>
  <c r="U14" i="1" s="1"/>
  <c r="D14" i="1"/>
  <c r="N14" i="1"/>
  <c r="C14" i="1"/>
  <c r="C15" i="1" s="1"/>
  <c r="K14" i="1"/>
  <c r="I14" i="1"/>
  <c r="I15" i="1" s="1"/>
  <c r="Q14" i="1"/>
  <c r="F14" i="1"/>
  <c r="F15" i="1" s="1"/>
  <c r="H14" i="1"/>
  <c r="L14" i="1"/>
  <c r="L15" i="1" s="1"/>
  <c r="P14" i="1"/>
  <c r="T14" i="1"/>
  <c r="O14" i="1"/>
  <c r="O15" i="1" s="1"/>
  <c r="S14" i="1"/>
  <c r="S15" i="1" s="1"/>
  <c r="F16" i="3" l="1"/>
  <c r="F17" i="3" s="1"/>
  <c r="G16" i="3"/>
  <c r="R16" i="3"/>
  <c r="R17" i="3" s="1"/>
  <c r="D16" i="3"/>
  <c r="C16" i="3"/>
  <c r="C17" i="3" s="1"/>
  <c r="N16" i="3"/>
  <c r="O16" i="3"/>
  <c r="O17" i="3" s="1"/>
  <c r="P16" i="3"/>
  <c r="H16" i="3"/>
  <c r="H17" i="3" s="1"/>
  <c r="K16" i="3"/>
  <c r="J16" i="3"/>
  <c r="J17" i="3" s="1"/>
  <c r="U16" i="3"/>
  <c r="U17" i="3" s="1"/>
  <c r="M16" i="3"/>
  <c r="M17" i="3" s="1"/>
  <c r="E16" i="3"/>
  <c r="C17" i="2"/>
  <c r="C18" i="2" s="1"/>
  <c r="P16" i="2"/>
  <c r="H17" i="2"/>
  <c r="Q16" i="2"/>
  <c r="Q17" i="2" s="1"/>
  <c r="S16" i="2"/>
  <c r="G16" i="2"/>
  <c r="N16" i="2"/>
  <c r="D16" i="2"/>
  <c r="D17" i="2" s="1"/>
  <c r="M16" i="2"/>
  <c r="M17" i="2" s="1"/>
  <c r="K16" i="2"/>
  <c r="T16" i="2"/>
  <c r="T17" i="2" s="1"/>
  <c r="L16" i="2"/>
  <c r="F16" i="2"/>
  <c r="F17" i="2" s="1"/>
  <c r="I16" i="2"/>
  <c r="I17" i="2" s="1"/>
  <c r="V14" i="1"/>
  <c r="U15" i="1" s="1"/>
  <c r="T15" i="1"/>
  <c r="C16" i="1"/>
  <c r="R15" i="1"/>
  <c r="J15" i="1"/>
  <c r="M15" i="1"/>
  <c r="P15" i="1"/>
  <c r="H15" i="1"/>
  <c r="H16" i="1" s="1"/>
  <c r="Q15" i="1"/>
  <c r="Q16" i="1" s="1"/>
  <c r="K15" i="1"/>
  <c r="K16" i="1" s="1"/>
  <c r="G15" i="1"/>
  <c r="N15" i="1"/>
  <c r="N16" i="1" s="1"/>
  <c r="D15" i="1"/>
  <c r="E15" i="1"/>
  <c r="E16" i="1" s="1"/>
  <c r="L17" i="3" l="1"/>
  <c r="Q17" i="3"/>
  <c r="Q18" i="3" s="1"/>
  <c r="E17" i="3"/>
  <c r="E18" i="3" s="1"/>
  <c r="K17" i="3"/>
  <c r="K18" i="3" s="1"/>
  <c r="P17" i="3"/>
  <c r="N17" i="3"/>
  <c r="N18" i="3" s="1"/>
  <c r="D17" i="3"/>
  <c r="T17" i="3"/>
  <c r="T18" i="3" s="1"/>
  <c r="I17" i="3"/>
  <c r="I18" i="3" s="1"/>
  <c r="G17" i="3"/>
  <c r="G18" i="3" s="1"/>
  <c r="S17" i="3"/>
  <c r="T18" i="2"/>
  <c r="N17" i="2"/>
  <c r="N18" i="2" s="1"/>
  <c r="S17" i="2"/>
  <c r="O17" i="2"/>
  <c r="R17" i="2"/>
  <c r="R18" i="2" s="1"/>
  <c r="L17" i="2"/>
  <c r="K17" i="2"/>
  <c r="G17" i="2"/>
  <c r="G18" i="2" s="1"/>
  <c r="P17" i="2"/>
  <c r="P18" i="2" s="1"/>
  <c r="E17" i="2"/>
  <c r="E18" i="2" s="1"/>
  <c r="J17" i="2"/>
  <c r="J18" i="2" s="1"/>
  <c r="U17" i="2"/>
  <c r="U18" i="2" s="1"/>
  <c r="V15" i="1"/>
  <c r="U16" i="1" s="1"/>
  <c r="O16" i="1"/>
  <c r="J16" i="1"/>
  <c r="F16" i="1"/>
  <c r="F17" i="1" s="1"/>
  <c r="T16" i="1"/>
  <c r="D16" i="1"/>
  <c r="D17" i="1" s="1"/>
  <c r="G16" i="1"/>
  <c r="Q17" i="1"/>
  <c r="P16" i="1"/>
  <c r="P17" i="1" s="1"/>
  <c r="M16" i="1"/>
  <c r="M17" i="1" s="1"/>
  <c r="R16" i="1"/>
  <c r="I16" i="1"/>
  <c r="I17" i="1" s="1"/>
  <c r="L16" i="1"/>
  <c r="S16" i="1"/>
  <c r="S17" i="1" s="1"/>
  <c r="K19" i="3" l="1"/>
  <c r="L18" i="3"/>
  <c r="O18" i="3"/>
  <c r="O19" i="3" s="1"/>
  <c r="J18" i="3"/>
  <c r="J19" i="3" s="1"/>
  <c r="S18" i="3"/>
  <c r="D18" i="3"/>
  <c r="D19" i="3" s="1"/>
  <c r="P18" i="3"/>
  <c r="U18" i="3"/>
  <c r="U19" i="3" s="1"/>
  <c r="F18" i="3"/>
  <c r="F19" i="3" s="1"/>
  <c r="R18" i="3"/>
  <c r="R19" i="3" s="1"/>
  <c r="C18" i="3"/>
  <c r="H18" i="3"/>
  <c r="H19" i="3" s="1"/>
  <c r="M18" i="3"/>
  <c r="M19" i="3" s="1"/>
  <c r="P19" i="2"/>
  <c r="P20" i="2" s="1"/>
  <c r="K18" i="2"/>
  <c r="K19" i="2" s="1"/>
  <c r="I18" i="2"/>
  <c r="H18" i="2"/>
  <c r="H19" i="2" s="1"/>
  <c r="U19" i="2"/>
  <c r="Q18" i="2"/>
  <c r="Q19" i="2" s="1"/>
  <c r="D18" i="2"/>
  <c r="L18" i="2"/>
  <c r="O18" i="2"/>
  <c r="O19" i="2" s="1"/>
  <c r="S18" i="2"/>
  <c r="S19" i="2" s="1"/>
  <c r="M18" i="2"/>
  <c r="M19" i="2" s="1"/>
  <c r="F18" i="2"/>
  <c r="F19" i="2" s="1"/>
  <c r="V16" i="1"/>
  <c r="U17" i="1" s="1"/>
  <c r="Q18" i="1"/>
  <c r="J17" i="1"/>
  <c r="H17" i="1"/>
  <c r="H18" i="1" s="1"/>
  <c r="N17" i="1"/>
  <c r="L17" i="1"/>
  <c r="L18" i="1" s="1"/>
  <c r="R17" i="1"/>
  <c r="R18" i="1" s="1"/>
  <c r="G17" i="1"/>
  <c r="T17" i="1"/>
  <c r="C17" i="1"/>
  <c r="C18" i="1" s="1"/>
  <c r="O17" i="1"/>
  <c r="O18" i="1" s="1"/>
  <c r="K17" i="1"/>
  <c r="E17" i="1"/>
  <c r="E18" i="1" s="1"/>
  <c r="R20" i="3" l="1"/>
  <c r="D20" i="3"/>
  <c r="D21" i="3" s="1"/>
  <c r="S19" i="3"/>
  <c r="Q19" i="3"/>
  <c r="T19" i="3"/>
  <c r="T20" i="3" s="1"/>
  <c r="C19" i="3"/>
  <c r="C20" i="3" s="1"/>
  <c r="F20" i="3"/>
  <c r="F21" i="3" s="1"/>
  <c r="P19" i="3"/>
  <c r="P20" i="3" s="1"/>
  <c r="I19" i="3"/>
  <c r="I20" i="3" s="1"/>
  <c r="L19" i="3"/>
  <c r="L20" i="3" s="1"/>
  <c r="E19" i="3"/>
  <c r="E20" i="3" s="1"/>
  <c r="N19" i="3"/>
  <c r="N20" i="3" s="1"/>
  <c r="G19" i="3"/>
  <c r="G20" i="3" s="1"/>
  <c r="S20" i="2"/>
  <c r="S21" i="2" s="1"/>
  <c r="R19" i="2"/>
  <c r="R20" i="2" s="1"/>
  <c r="D19" i="2"/>
  <c r="C19" i="2"/>
  <c r="E19" i="2"/>
  <c r="E20" i="2" s="1"/>
  <c r="T19" i="2"/>
  <c r="T20" i="2" s="1"/>
  <c r="L19" i="2"/>
  <c r="L20" i="2" s="1"/>
  <c r="Q20" i="2"/>
  <c r="Q21" i="2" s="1"/>
  <c r="U20" i="2"/>
  <c r="U21" i="2" s="1"/>
  <c r="N19" i="2"/>
  <c r="N20" i="2" s="1"/>
  <c r="I19" i="2"/>
  <c r="G19" i="2"/>
  <c r="G20" i="2" s="1"/>
  <c r="J19" i="2"/>
  <c r="J20" i="2" s="1"/>
  <c r="V17" i="1"/>
  <c r="U18" i="1" s="1"/>
  <c r="T18" i="1"/>
  <c r="P18" i="1"/>
  <c r="P19" i="1" s="1"/>
  <c r="F18" i="1"/>
  <c r="Q19" i="1"/>
  <c r="I18" i="1"/>
  <c r="K18" i="1"/>
  <c r="K19" i="1" s="1"/>
  <c r="G18" i="1"/>
  <c r="G19" i="1" s="1"/>
  <c r="N18" i="1"/>
  <c r="N19" i="1" s="1"/>
  <c r="J18" i="1"/>
  <c r="D18" i="1"/>
  <c r="D19" i="1" s="1"/>
  <c r="M18" i="1"/>
  <c r="S18" i="1"/>
  <c r="S19" i="1" s="1"/>
  <c r="M20" i="3" l="1"/>
  <c r="M21" i="3" s="1"/>
  <c r="K20" i="3"/>
  <c r="O20" i="3"/>
  <c r="O21" i="3" s="1"/>
  <c r="G21" i="3"/>
  <c r="G22" i="3" s="1"/>
  <c r="E21" i="3"/>
  <c r="E22" i="3" s="1"/>
  <c r="J20" i="3"/>
  <c r="J21" i="3" s="1"/>
  <c r="C21" i="3"/>
  <c r="C22" i="3" s="1"/>
  <c r="Q20" i="3"/>
  <c r="Q21" i="3" s="1"/>
  <c r="S20" i="3"/>
  <c r="S21" i="3" s="1"/>
  <c r="U20" i="3"/>
  <c r="U21" i="3" s="1"/>
  <c r="H20" i="3"/>
  <c r="H21" i="3" s="1"/>
  <c r="O20" i="2"/>
  <c r="H20" i="2"/>
  <c r="D20" i="2"/>
  <c r="S22" i="2"/>
  <c r="S23" i="2" s="1"/>
  <c r="I20" i="2"/>
  <c r="I21" i="2" s="1"/>
  <c r="M20" i="2"/>
  <c r="M21" i="2" s="1"/>
  <c r="K20" i="2"/>
  <c r="K21" i="2" s="1"/>
  <c r="T21" i="2"/>
  <c r="T22" i="2" s="1"/>
  <c r="C20" i="2"/>
  <c r="C21" i="2" s="1"/>
  <c r="R21" i="2"/>
  <c r="R22" i="2" s="1"/>
  <c r="F20" i="2"/>
  <c r="F21" i="2" s="1"/>
  <c r="V18" i="1"/>
  <c r="U19" i="1" s="1"/>
  <c r="G20" i="1"/>
  <c r="H19" i="1"/>
  <c r="P20" i="1"/>
  <c r="O19" i="1"/>
  <c r="O20" i="1" s="1"/>
  <c r="M19" i="1"/>
  <c r="J19" i="1"/>
  <c r="R19" i="1"/>
  <c r="R20" i="1" s="1"/>
  <c r="C19" i="1"/>
  <c r="C20" i="1" s="1"/>
  <c r="I19" i="1"/>
  <c r="I20" i="1" s="1"/>
  <c r="F19" i="1"/>
  <c r="L19" i="1"/>
  <c r="L20" i="1" s="1"/>
  <c r="T19" i="1"/>
  <c r="E19" i="1"/>
  <c r="E20" i="1" s="1"/>
  <c r="Q22" i="3" l="1"/>
  <c r="Q23" i="3" s="1"/>
  <c r="D22" i="3"/>
  <c r="D23" i="3" s="1"/>
  <c r="K21" i="3"/>
  <c r="F22" i="3"/>
  <c r="F23" i="3" s="1"/>
  <c r="L21" i="3"/>
  <c r="L22" i="3" s="1"/>
  <c r="T21" i="3"/>
  <c r="T22" i="3" s="1"/>
  <c r="P21" i="3"/>
  <c r="P22" i="3" s="1"/>
  <c r="E23" i="3"/>
  <c r="E24" i="3" s="1"/>
  <c r="R21" i="3"/>
  <c r="R22" i="3" s="1"/>
  <c r="O22" i="3"/>
  <c r="O23" i="3" s="1"/>
  <c r="I21" i="3"/>
  <c r="I22" i="3" s="1"/>
  <c r="N21" i="3"/>
  <c r="N22" i="3" s="1"/>
  <c r="L21" i="2"/>
  <c r="L22" i="2" s="1"/>
  <c r="E21" i="2"/>
  <c r="O21" i="2"/>
  <c r="P21" i="2"/>
  <c r="N21" i="2"/>
  <c r="N22" i="2" s="1"/>
  <c r="U22" i="2"/>
  <c r="U23" i="2" s="1"/>
  <c r="J21" i="2"/>
  <c r="J22" i="2" s="1"/>
  <c r="D21" i="2"/>
  <c r="D22" i="2" s="1"/>
  <c r="H21" i="2"/>
  <c r="G21" i="2"/>
  <c r="G22" i="2" s="1"/>
  <c r="V19" i="1"/>
  <c r="U20" i="1" s="1"/>
  <c r="M20" i="1"/>
  <c r="P21" i="1"/>
  <c r="Q20" i="1"/>
  <c r="Q21" i="1" s="1"/>
  <c r="G21" i="1"/>
  <c r="G22" i="1" s="1"/>
  <c r="D20" i="1"/>
  <c r="D21" i="1" s="1"/>
  <c r="T20" i="1"/>
  <c r="F20" i="1"/>
  <c r="F21" i="1" s="1"/>
  <c r="C21" i="1"/>
  <c r="C22" i="1" s="1"/>
  <c r="J20" i="1"/>
  <c r="O21" i="1"/>
  <c r="O22" i="1" s="1"/>
  <c r="H20" i="1"/>
  <c r="H21" i="1" s="1"/>
  <c r="K20" i="1"/>
  <c r="K21" i="1" s="1"/>
  <c r="N20" i="1"/>
  <c r="N21" i="1" s="1"/>
  <c r="S20" i="1"/>
  <c r="S21" i="1" s="1"/>
  <c r="H22" i="3" l="1"/>
  <c r="H23" i="3" s="1"/>
  <c r="F24" i="3"/>
  <c r="F25" i="3" s="1"/>
  <c r="J22" i="3"/>
  <c r="N23" i="3"/>
  <c r="N24" i="3" s="1"/>
  <c r="M22" i="3"/>
  <c r="M23" i="3" s="1"/>
  <c r="P23" i="3"/>
  <c r="P24" i="3" s="1"/>
  <c r="S22" i="3"/>
  <c r="S23" i="3" s="1"/>
  <c r="K22" i="3"/>
  <c r="K23" i="3" s="1"/>
  <c r="G23" i="3"/>
  <c r="G24" i="3" s="1"/>
  <c r="C23" i="3"/>
  <c r="C24" i="3" s="1"/>
  <c r="U22" i="3"/>
  <c r="U23" i="3" s="1"/>
  <c r="T23" i="2"/>
  <c r="T24" i="2" s="1"/>
  <c r="O22" i="2"/>
  <c r="C22" i="2"/>
  <c r="C23" i="2" s="1"/>
  <c r="H22" i="2"/>
  <c r="M22" i="2"/>
  <c r="M23" i="2" s="1"/>
  <c r="P22" i="2"/>
  <c r="P23" i="2" s="1"/>
  <c r="Q22" i="2"/>
  <c r="E22" i="2"/>
  <c r="E23" i="2" s="1"/>
  <c r="I22" i="2"/>
  <c r="I23" i="2" s="1"/>
  <c r="K22" i="2"/>
  <c r="K23" i="2" s="1"/>
  <c r="F22" i="2"/>
  <c r="V20" i="1"/>
  <c r="U21" i="1" s="1"/>
  <c r="T21" i="1"/>
  <c r="P22" i="1"/>
  <c r="R21" i="1"/>
  <c r="R22" i="1" s="1"/>
  <c r="L21" i="1"/>
  <c r="J21" i="1"/>
  <c r="J22" i="1" s="1"/>
  <c r="M21" i="1"/>
  <c r="M22" i="1" s="1"/>
  <c r="I21" i="1"/>
  <c r="E21" i="1"/>
  <c r="E22" i="1" s="1"/>
  <c r="R23" i="3" l="1"/>
  <c r="R24" i="3" s="1"/>
  <c r="J23" i="3"/>
  <c r="T23" i="3"/>
  <c r="T24" i="3" s="1"/>
  <c r="O24" i="3"/>
  <c r="O25" i="3" s="1"/>
  <c r="U24" i="3"/>
  <c r="U25" i="3" s="1"/>
  <c r="L23" i="3"/>
  <c r="L24" i="3" s="1"/>
  <c r="M24" i="3"/>
  <c r="M25" i="3" s="1"/>
  <c r="D24" i="3"/>
  <c r="I23" i="3"/>
  <c r="I24" i="3" s="1"/>
  <c r="J23" i="2"/>
  <c r="J24" i="2" s="1"/>
  <c r="O23" i="2"/>
  <c r="D23" i="2"/>
  <c r="D24" i="2" s="1"/>
  <c r="F23" i="2"/>
  <c r="Q23" i="2"/>
  <c r="R23" i="2"/>
  <c r="H23" i="2"/>
  <c r="L23" i="2"/>
  <c r="L24" i="2" s="1"/>
  <c r="N23" i="2"/>
  <c r="N24" i="2" s="1"/>
  <c r="U24" i="2"/>
  <c r="U25" i="2" s="1"/>
  <c r="G23" i="2"/>
  <c r="G24" i="2" s="1"/>
  <c r="V21" i="1"/>
  <c r="U22" i="1" s="1"/>
  <c r="D22" i="1"/>
  <c r="N22" i="1"/>
  <c r="R23" i="1"/>
  <c r="K22" i="1"/>
  <c r="I22" i="1"/>
  <c r="I23" i="1" s="1"/>
  <c r="Q22" i="1"/>
  <c r="Q23" i="1" s="1"/>
  <c r="F22" i="1"/>
  <c r="H22" i="1"/>
  <c r="L22" i="1"/>
  <c r="L23" i="1" s="1"/>
  <c r="P23" i="1"/>
  <c r="T22" i="1"/>
  <c r="S22" i="1"/>
  <c r="D25" i="3" l="1"/>
  <c r="E25" i="3"/>
  <c r="J24" i="3"/>
  <c r="K24" i="3"/>
  <c r="K25" i="3" s="1"/>
  <c r="H24" i="3"/>
  <c r="Q24" i="3"/>
  <c r="N25" i="3"/>
  <c r="N26" i="3" s="1"/>
  <c r="S24" i="3"/>
  <c r="S25" i="3" s="1"/>
  <c r="C25" i="3"/>
  <c r="C26" i="3" s="1"/>
  <c r="H24" i="2"/>
  <c r="R24" i="2"/>
  <c r="S24" i="2"/>
  <c r="I24" i="2"/>
  <c r="I25" i="2" s="1"/>
  <c r="O24" i="2"/>
  <c r="O25" i="2" s="1"/>
  <c r="E24" i="2"/>
  <c r="E25" i="2" s="1"/>
  <c r="M24" i="2"/>
  <c r="M25" i="2" s="1"/>
  <c r="Q24" i="2"/>
  <c r="Q25" i="2" s="1"/>
  <c r="F24" i="2"/>
  <c r="C24" i="2"/>
  <c r="C25" i="2" s="1"/>
  <c r="P24" i="2"/>
  <c r="K24" i="2"/>
  <c r="K25" i="2" s="1"/>
  <c r="V22" i="1"/>
  <c r="U23" i="1" s="1"/>
  <c r="T23" i="1"/>
  <c r="F23" i="1"/>
  <c r="G23" i="1"/>
  <c r="G24" i="1" s="1"/>
  <c r="R24" i="1"/>
  <c r="J23" i="1"/>
  <c r="M23" i="1"/>
  <c r="S23" i="1"/>
  <c r="S24" i="1" s="1"/>
  <c r="P24" i="1"/>
  <c r="H23" i="1"/>
  <c r="Q24" i="1"/>
  <c r="Q25" i="1" s="1"/>
  <c r="K23" i="1"/>
  <c r="K24" i="1" s="1"/>
  <c r="N23" i="1"/>
  <c r="N24" i="1" s="1"/>
  <c r="O23" i="1"/>
  <c r="D23" i="1"/>
  <c r="C23" i="1"/>
  <c r="E23" i="1"/>
  <c r="E24" i="1" s="1"/>
  <c r="Q25" i="3" l="1"/>
  <c r="P25" i="3"/>
  <c r="P26" i="3" s="1"/>
  <c r="J25" i="3"/>
  <c r="J26" i="3" s="1"/>
  <c r="D26" i="3"/>
  <c r="H25" i="3"/>
  <c r="H26" i="3" s="1"/>
  <c r="G25" i="3"/>
  <c r="R25" i="3"/>
  <c r="R26" i="3" s="1"/>
  <c r="T25" i="3"/>
  <c r="L25" i="3"/>
  <c r="E26" i="3"/>
  <c r="F26" i="3"/>
  <c r="I25" i="3"/>
  <c r="L25" i="2"/>
  <c r="L26" i="2" s="1"/>
  <c r="R25" i="2"/>
  <c r="R26" i="2" s="1"/>
  <c r="N25" i="2"/>
  <c r="N26" i="2" s="1"/>
  <c r="P25" i="2"/>
  <c r="P26" i="2" s="1"/>
  <c r="F25" i="2"/>
  <c r="M26" i="2"/>
  <c r="M27" i="2" s="1"/>
  <c r="J25" i="2"/>
  <c r="J26" i="2" s="1"/>
  <c r="D25" i="2"/>
  <c r="D26" i="2" s="1"/>
  <c r="S25" i="2"/>
  <c r="T25" i="2"/>
  <c r="H25" i="2"/>
  <c r="G25" i="2"/>
  <c r="G26" i="2" s="1"/>
  <c r="V23" i="1"/>
  <c r="U24" i="1" s="1"/>
  <c r="D24" i="1"/>
  <c r="M24" i="1"/>
  <c r="M25" i="1" s="1"/>
  <c r="R25" i="1"/>
  <c r="G25" i="1"/>
  <c r="L24" i="1"/>
  <c r="C24" i="1"/>
  <c r="C25" i="1" s="1"/>
  <c r="O24" i="1"/>
  <c r="O25" i="1" s="1"/>
  <c r="K25" i="1"/>
  <c r="H24" i="1"/>
  <c r="J24" i="1"/>
  <c r="I24" i="1"/>
  <c r="I25" i="1" s="1"/>
  <c r="F24" i="1"/>
  <c r="F25" i="1" s="1"/>
  <c r="T24" i="1"/>
  <c r="L26" i="3" l="1"/>
  <c r="M26" i="3"/>
  <c r="S26" i="3"/>
  <c r="S27" i="3" s="1"/>
  <c r="I26" i="3"/>
  <c r="I27" i="3" s="1"/>
  <c r="E27" i="3"/>
  <c r="T26" i="3"/>
  <c r="U26" i="3"/>
  <c r="U27" i="3" s="1"/>
  <c r="G26" i="3"/>
  <c r="G27" i="3" s="1"/>
  <c r="O26" i="3"/>
  <c r="O27" i="3" s="1"/>
  <c r="D27" i="3"/>
  <c r="K26" i="3"/>
  <c r="K27" i="3" s="1"/>
  <c r="Q26" i="3"/>
  <c r="Q27" i="3" s="1"/>
  <c r="C27" i="3"/>
  <c r="C28" i="3" s="1"/>
  <c r="T26" i="2"/>
  <c r="U26" i="2"/>
  <c r="O26" i="2"/>
  <c r="O27" i="2" s="1"/>
  <c r="C26" i="2"/>
  <c r="C27" i="2" s="1"/>
  <c r="H26" i="2"/>
  <c r="S26" i="2"/>
  <c r="S27" i="2" s="1"/>
  <c r="F26" i="2"/>
  <c r="F27" i="2" s="1"/>
  <c r="I26" i="2"/>
  <c r="I27" i="2" s="1"/>
  <c r="E26" i="2"/>
  <c r="Q26" i="2"/>
  <c r="Q27" i="2" s="1"/>
  <c r="K26" i="2"/>
  <c r="K27" i="2" s="1"/>
  <c r="V24" i="1"/>
  <c r="U25" i="1" s="1"/>
  <c r="T25" i="1"/>
  <c r="S25" i="1"/>
  <c r="S26" i="1" s="1"/>
  <c r="G26" i="1"/>
  <c r="D25" i="1"/>
  <c r="D26" i="1" s="1"/>
  <c r="J25" i="1"/>
  <c r="J26" i="1" s="1"/>
  <c r="H25" i="1"/>
  <c r="H26" i="1" s="1"/>
  <c r="L25" i="1"/>
  <c r="L26" i="1" s="1"/>
  <c r="R26" i="1"/>
  <c r="P25" i="1"/>
  <c r="N25" i="1"/>
  <c r="N26" i="1" s="1"/>
  <c r="E25" i="1"/>
  <c r="K28" i="3" l="1"/>
  <c r="U28" i="3"/>
  <c r="U29" i="3" s="1"/>
  <c r="P27" i="3"/>
  <c r="P28" i="3" s="1"/>
  <c r="R27" i="3"/>
  <c r="R28" i="3" s="1"/>
  <c r="L27" i="3"/>
  <c r="Q28" i="3"/>
  <c r="Q29" i="3" s="1"/>
  <c r="D28" i="3"/>
  <c r="T27" i="3"/>
  <c r="T28" i="3" s="1"/>
  <c r="J27" i="3"/>
  <c r="J28" i="3" s="1"/>
  <c r="H27" i="3"/>
  <c r="H28" i="3" s="1"/>
  <c r="M27" i="3"/>
  <c r="N27" i="3"/>
  <c r="N28" i="3" s="1"/>
  <c r="F27" i="3"/>
  <c r="F28" i="3" s="1"/>
  <c r="P27" i="2"/>
  <c r="P28" i="2" s="1"/>
  <c r="D27" i="2"/>
  <c r="D28" i="2" s="1"/>
  <c r="T27" i="2"/>
  <c r="K28" i="2"/>
  <c r="E27" i="2"/>
  <c r="N27" i="2"/>
  <c r="N28" i="2" s="1"/>
  <c r="J27" i="2"/>
  <c r="J28" i="2" s="1"/>
  <c r="H27" i="2"/>
  <c r="L27" i="2"/>
  <c r="R27" i="2"/>
  <c r="R28" i="2" s="1"/>
  <c r="U27" i="2"/>
  <c r="U28" i="2" s="1"/>
  <c r="G27" i="2"/>
  <c r="G28" i="2" s="1"/>
  <c r="V25" i="1"/>
  <c r="U26" i="1" s="1"/>
  <c r="R27" i="1"/>
  <c r="O26" i="1"/>
  <c r="K26" i="1"/>
  <c r="K27" i="1" s="1"/>
  <c r="I26" i="1"/>
  <c r="I27" i="1" s="1"/>
  <c r="E26" i="1"/>
  <c r="P26" i="1"/>
  <c r="P27" i="1" s="1"/>
  <c r="Q26" i="1"/>
  <c r="L27" i="1"/>
  <c r="L28" i="1" s="1"/>
  <c r="F26" i="1"/>
  <c r="F27" i="1" s="1"/>
  <c r="M26" i="1"/>
  <c r="M27" i="1" s="1"/>
  <c r="C26" i="1"/>
  <c r="C27" i="1" s="1"/>
  <c r="T26" i="1"/>
  <c r="I28" i="3" l="1"/>
  <c r="I29" i="3" s="1"/>
  <c r="G28" i="3"/>
  <c r="G29" i="3" s="1"/>
  <c r="F29" i="3"/>
  <c r="F30" i="3" s="1"/>
  <c r="M28" i="3"/>
  <c r="J29" i="3"/>
  <c r="D29" i="3"/>
  <c r="D30" i="3" s="1"/>
  <c r="L28" i="3"/>
  <c r="L29" i="3" s="1"/>
  <c r="S28" i="3"/>
  <c r="S29" i="3" s="1"/>
  <c r="E28" i="3"/>
  <c r="E29" i="3" s="1"/>
  <c r="O28" i="3"/>
  <c r="O29" i="3" s="1"/>
  <c r="C29" i="3"/>
  <c r="H28" i="2"/>
  <c r="O28" i="2"/>
  <c r="O29" i="2" s="1"/>
  <c r="S28" i="2"/>
  <c r="S29" i="2" s="1"/>
  <c r="I28" i="2"/>
  <c r="I29" i="2" s="1"/>
  <c r="U29" i="2"/>
  <c r="L28" i="2"/>
  <c r="M28" i="2"/>
  <c r="M29" i="2" s="1"/>
  <c r="J29" i="2"/>
  <c r="E28" i="2"/>
  <c r="T28" i="2"/>
  <c r="P29" i="2"/>
  <c r="P30" i="2" s="1"/>
  <c r="C28" i="2"/>
  <c r="C29" i="2" s="1"/>
  <c r="F28" i="2"/>
  <c r="F29" i="2" s="1"/>
  <c r="Q28" i="2"/>
  <c r="Q29" i="2" s="1"/>
  <c r="V26" i="1"/>
  <c r="U27" i="1" s="1"/>
  <c r="T27" i="1"/>
  <c r="G27" i="1"/>
  <c r="J27" i="1"/>
  <c r="J28" i="1" s="1"/>
  <c r="S27" i="1"/>
  <c r="S28" i="1" s="1"/>
  <c r="H27" i="1"/>
  <c r="H28" i="1" s="1"/>
  <c r="Q27" i="1"/>
  <c r="Q28" i="1" s="1"/>
  <c r="E27" i="1"/>
  <c r="D27" i="1"/>
  <c r="D28" i="1" s="1"/>
  <c r="O27" i="1"/>
  <c r="N27" i="1"/>
  <c r="N28" i="1" s="1"/>
  <c r="R29" i="3" l="1"/>
  <c r="R30" i="3" s="1"/>
  <c r="H29" i="3"/>
  <c r="H30" i="3" s="1"/>
  <c r="C30" i="3"/>
  <c r="C31" i="3" s="1"/>
  <c r="E30" i="3"/>
  <c r="E31" i="3" s="1"/>
  <c r="T29" i="3"/>
  <c r="M29" i="3"/>
  <c r="K29" i="3"/>
  <c r="K30" i="3" s="1"/>
  <c r="P29" i="3"/>
  <c r="I30" i="3"/>
  <c r="N29" i="3"/>
  <c r="N30" i="3" s="1"/>
  <c r="E29" i="2"/>
  <c r="D29" i="2"/>
  <c r="D30" i="2" s="1"/>
  <c r="N29" i="2"/>
  <c r="N30" i="2" s="1"/>
  <c r="R29" i="2"/>
  <c r="R30" i="2" s="1"/>
  <c r="Q30" i="2"/>
  <c r="Q31" i="2" s="1"/>
  <c r="C30" i="2"/>
  <c r="C31" i="2" s="1"/>
  <c r="T29" i="2"/>
  <c r="T30" i="2" s="1"/>
  <c r="L29" i="2"/>
  <c r="L30" i="2" s="1"/>
  <c r="O30" i="2"/>
  <c r="O31" i="2" s="1"/>
  <c r="K29" i="2"/>
  <c r="H29" i="2"/>
  <c r="H30" i="2" s="1"/>
  <c r="G29" i="2"/>
  <c r="V27" i="1"/>
  <c r="U28" i="1" s="1"/>
  <c r="E28" i="1"/>
  <c r="I28" i="1"/>
  <c r="I29" i="1" s="1"/>
  <c r="C28" i="1"/>
  <c r="C29" i="1" s="1"/>
  <c r="O28" i="1"/>
  <c r="K28" i="1"/>
  <c r="M28" i="1"/>
  <c r="M29" i="1" s="1"/>
  <c r="R28" i="1"/>
  <c r="R29" i="1" s="1"/>
  <c r="G28" i="1"/>
  <c r="P28" i="1"/>
  <c r="P29" i="1" s="1"/>
  <c r="F28" i="1"/>
  <c r="F29" i="1" s="1"/>
  <c r="T28" i="1"/>
  <c r="K31" i="3" l="1"/>
  <c r="T30" i="3"/>
  <c r="U30" i="3"/>
  <c r="U31" i="3" s="1"/>
  <c r="J30" i="3"/>
  <c r="J31" i="3" s="1"/>
  <c r="S30" i="3"/>
  <c r="S31" i="3" s="1"/>
  <c r="P30" i="3"/>
  <c r="P31" i="3" s="1"/>
  <c r="Q30" i="3"/>
  <c r="M30" i="3"/>
  <c r="M31" i="3" s="1"/>
  <c r="L30" i="3"/>
  <c r="G30" i="3"/>
  <c r="G31" i="3" s="1"/>
  <c r="D31" i="3"/>
  <c r="O30" i="3"/>
  <c r="S30" i="2"/>
  <c r="S31" i="2" s="1"/>
  <c r="M30" i="2"/>
  <c r="M31" i="2" s="1"/>
  <c r="P31" i="2"/>
  <c r="G30" i="2"/>
  <c r="K30" i="2"/>
  <c r="I30" i="2"/>
  <c r="I31" i="2" s="1"/>
  <c r="J30" i="2"/>
  <c r="R31" i="2"/>
  <c r="U30" i="2"/>
  <c r="U31" i="2" s="1"/>
  <c r="E30" i="2"/>
  <c r="F30" i="2"/>
  <c r="F31" i="2" s="1"/>
  <c r="V28" i="1"/>
  <c r="U29" i="1" s="1"/>
  <c r="G29" i="1"/>
  <c r="K29" i="1"/>
  <c r="K30" i="1" s="1"/>
  <c r="L29" i="1"/>
  <c r="C30" i="1"/>
  <c r="J29" i="1"/>
  <c r="H29" i="1"/>
  <c r="H30" i="1" s="1"/>
  <c r="D29" i="1"/>
  <c r="T29" i="1"/>
  <c r="Q29" i="1"/>
  <c r="Q30" i="1" s="1"/>
  <c r="O29" i="1"/>
  <c r="S29" i="1"/>
  <c r="S30" i="1" s="1"/>
  <c r="E29" i="1"/>
  <c r="E30" i="1" s="1"/>
  <c r="N29" i="1"/>
  <c r="N30" i="1" s="1"/>
  <c r="R31" i="3" l="1"/>
  <c r="O31" i="3"/>
  <c r="F31" i="3"/>
  <c r="L31" i="3"/>
  <c r="Q31" i="3"/>
  <c r="N31" i="3"/>
  <c r="H31" i="3"/>
  <c r="T31" i="3"/>
  <c r="I31" i="3"/>
  <c r="G31" i="2"/>
  <c r="N31" i="2"/>
  <c r="L31" i="2"/>
  <c r="E31" i="2"/>
  <c r="D31" i="2"/>
  <c r="J31" i="2"/>
  <c r="K31" i="2"/>
  <c r="T31" i="2"/>
  <c r="H31" i="2"/>
  <c r="V29" i="1"/>
  <c r="U30" i="1" s="1"/>
  <c r="V30" i="1" s="1"/>
  <c r="O30" i="1"/>
  <c r="R30" i="1"/>
  <c r="T30" i="1"/>
  <c r="G30" i="1"/>
  <c r="I30" i="1"/>
  <c r="P30" i="1"/>
  <c r="D30" i="1"/>
  <c r="J30" i="1"/>
  <c r="L30" i="1"/>
  <c r="M30" i="1"/>
  <c r="F30" i="1"/>
</calcChain>
</file>

<file path=xl/sharedStrings.xml><?xml version="1.0" encoding="utf-8"?>
<sst xmlns="http://schemas.openxmlformats.org/spreadsheetml/2006/main" count="61" uniqueCount="21">
  <si>
    <r>
      <t>b. </t>
    </r>
    <r>
      <rPr>
        <i/>
        <sz val="11"/>
        <color rgb="FF333333"/>
        <rFont val="Georgia"/>
        <family val="1"/>
      </rPr>
      <t>u</t>
    </r>
    <r>
      <rPr>
        <sz val="11"/>
        <color rgb="FF333333"/>
        <rFont val="Georgia"/>
        <family val="1"/>
      </rPr>
      <t> (</t>
    </r>
    <r>
      <rPr>
        <i/>
        <sz val="11"/>
        <color rgb="FF333333"/>
        <rFont val="Georgia"/>
        <family val="1"/>
      </rPr>
      <t>x</t>
    </r>
    <r>
      <rPr>
        <sz val="11"/>
        <color rgb="FF333333"/>
        <rFont val="Georgia"/>
        <family val="1"/>
      </rPr>
      <t>, 0) = 1; </t>
    </r>
    <r>
      <rPr>
        <i/>
        <sz val="11"/>
        <color rgb="FF333333"/>
        <rFont val="Georgia"/>
        <family val="1"/>
      </rPr>
      <t>u</t>
    </r>
    <r>
      <rPr>
        <sz val="11"/>
        <color rgb="FF333333"/>
        <rFont val="Georgia"/>
        <family val="1"/>
      </rPr>
      <t>(0, </t>
    </r>
    <r>
      <rPr>
        <i/>
        <sz val="11"/>
        <color rgb="FF333333"/>
        <rFont val="Georgia"/>
        <family val="1"/>
      </rPr>
      <t>t</t>
    </r>
    <r>
      <rPr>
        <sz val="11"/>
        <color rgb="FF333333"/>
        <rFont val="Georgia"/>
        <family val="1"/>
      </rPr>
      <t>) = 0; </t>
    </r>
    <r>
      <rPr>
        <i/>
        <sz val="11"/>
        <color rgb="FF333333"/>
        <rFont val="Georgia"/>
        <family val="1"/>
      </rPr>
      <t>du</t>
    </r>
    <r>
      <rPr>
        <sz val="11"/>
        <color rgb="FF333333"/>
        <rFont val="Georgia"/>
        <family val="1"/>
      </rPr>
      <t>(1, </t>
    </r>
    <r>
      <rPr>
        <i/>
        <sz val="11"/>
        <color rgb="FF333333"/>
        <rFont val="Georgia"/>
        <family val="1"/>
      </rPr>
      <t>t</t>
    </r>
    <r>
      <rPr>
        <sz val="11"/>
        <color rgb="FF333333"/>
        <rFont val="Georgia"/>
        <family val="1"/>
      </rPr>
      <t>)/</t>
    </r>
    <r>
      <rPr>
        <i/>
        <sz val="11"/>
        <color rgb="FF333333"/>
        <rFont val="Georgia"/>
        <family val="1"/>
      </rPr>
      <t>dx</t>
    </r>
    <r>
      <rPr>
        <sz val="11"/>
        <color rgb="FF333333"/>
        <rFont val="Georgia"/>
        <family val="1"/>
      </rPr>
      <t> = 0 (right side insulated)</t>
    </r>
  </si>
  <si>
    <r>
      <t>c. </t>
    </r>
    <r>
      <rPr>
        <i/>
        <sz val="11"/>
        <color rgb="FF333333"/>
        <rFont val="Georgia"/>
        <family val="1"/>
      </rPr>
      <t>u</t>
    </r>
    <r>
      <rPr>
        <sz val="11"/>
        <color rgb="FF333333"/>
        <rFont val="Georgia"/>
        <family val="1"/>
      </rPr>
      <t> (</t>
    </r>
    <r>
      <rPr>
        <i/>
        <sz val="11"/>
        <color rgb="FF333333"/>
        <rFont val="Georgia"/>
        <family val="1"/>
      </rPr>
      <t>x</t>
    </r>
    <r>
      <rPr>
        <sz val="11"/>
        <color rgb="FF333333"/>
        <rFont val="Georgia"/>
        <family val="1"/>
      </rPr>
      <t>, 0) = </t>
    </r>
    <r>
      <rPr>
        <i/>
        <sz val="11"/>
        <color rgb="FF333333"/>
        <rFont val="Georgia"/>
        <family val="1"/>
      </rPr>
      <t>x</t>
    </r>
    <r>
      <rPr>
        <sz val="11"/>
        <color rgb="FF333333"/>
        <rFont val="Georgia"/>
        <family val="1"/>
      </rPr>
      <t> (linear initial temperature profile); </t>
    </r>
    <r>
      <rPr>
        <i/>
        <sz val="11"/>
        <color rgb="FF333333"/>
        <rFont val="Georgia"/>
        <family val="1"/>
      </rPr>
      <t>u</t>
    </r>
    <r>
      <rPr>
        <sz val="11"/>
        <color rgb="FF333333"/>
        <rFont val="Georgia"/>
        <family val="1"/>
      </rPr>
      <t> (0, </t>
    </r>
    <r>
      <rPr>
        <i/>
        <sz val="11"/>
        <color rgb="FF333333"/>
        <rFont val="Georgia"/>
        <family val="1"/>
      </rPr>
      <t>t</t>
    </r>
    <r>
      <rPr>
        <sz val="11"/>
        <color rgb="FF333333"/>
        <rFont val="Georgia"/>
        <family val="1"/>
      </rPr>
      <t>) = 1; </t>
    </r>
    <r>
      <rPr>
        <i/>
        <sz val="11"/>
        <color rgb="FF333333"/>
        <rFont val="Georgia"/>
        <family val="1"/>
      </rPr>
      <t>u</t>
    </r>
    <r>
      <rPr>
        <sz val="11"/>
        <color rgb="FF333333"/>
        <rFont val="Georgia"/>
        <family val="1"/>
      </rPr>
      <t> (1, </t>
    </r>
    <r>
      <rPr>
        <i/>
        <sz val="11"/>
        <color rgb="FF333333"/>
        <rFont val="Georgia"/>
        <family val="1"/>
      </rPr>
      <t>t</t>
    </r>
    <r>
      <rPr>
        <sz val="11"/>
        <color rgb="FF333333"/>
        <rFont val="Georgia"/>
        <family val="1"/>
      </rPr>
      <t>) = 0</t>
    </r>
  </si>
  <si>
    <r>
      <t>d. </t>
    </r>
    <r>
      <rPr>
        <i/>
        <sz val="11"/>
        <color rgb="FF333333"/>
        <rFont val="Georgia"/>
        <family val="1"/>
      </rPr>
      <t>u</t>
    </r>
    <r>
      <rPr>
        <sz val="11"/>
        <color rgb="FF333333"/>
        <rFont val="Georgia"/>
        <family val="1"/>
      </rPr>
      <t> (</t>
    </r>
    <r>
      <rPr>
        <i/>
        <sz val="11"/>
        <color rgb="FF333333"/>
        <rFont val="Georgia"/>
        <family val="1"/>
      </rPr>
      <t>x</t>
    </r>
    <r>
      <rPr>
        <sz val="11"/>
        <color rgb="FF333333"/>
        <rFont val="Georgia"/>
        <family val="1"/>
      </rPr>
      <t>, 0) = sin(π</t>
    </r>
    <r>
      <rPr>
        <i/>
        <sz val="11"/>
        <color rgb="FF333333"/>
        <rFont val="Georgia"/>
        <family val="1"/>
      </rPr>
      <t>x</t>
    </r>
    <r>
      <rPr>
        <sz val="11"/>
        <color rgb="FF333333"/>
        <rFont val="Georgia"/>
        <family val="1"/>
      </rPr>
      <t>); </t>
    </r>
    <r>
      <rPr>
        <i/>
        <sz val="11"/>
        <color rgb="FF333333"/>
        <rFont val="Georgia"/>
        <family val="1"/>
      </rPr>
      <t>u</t>
    </r>
    <r>
      <rPr>
        <sz val="11"/>
        <color rgb="FF333333"/>
        <rFont val="Georgia"/>
        <family val="1"/>
      </rPr>
      <t> (0, </t>
    </r>
    <r>
      <rPr>
        <i/>
        <sz val="11"/>
        <color rgb="FF333333"/>
        <rFont val="Georgia"/>
        <family val="1"/>
      </rPr>
      <t>t</t>
    </r>
    <r>
      <rPr>
        <sz val="11"/>
        <color rgb="FF333333"/>
        <rFont val="Georgia"/>
        <family val="1"/>
      </rPr>
      <t>) = </t>
    </r>
    <r>
      <rPr>
        <i/>
        <sz val="11"/>
        <color rgb="FF333333"/>
        <rFont val="Georgia"/>
        <family val="1"/>
      </rPr>
      <t>u</t>
    </r>
    <r>
      <rPr>
        <sz val="11"/>
        <color rgb="FF333333"/>
        <rFont val="Georgia"/>
        <family val="1"/>
      </rPr>
      <t> (1, </t>
    </r>
    <r>
      <rPr>
        <i/>
        <sz val="11"/>
        <color rgb="FF333333"/>
        <rFont val="Georgia"/>
        <family val="1"/>
      </rPr>
      <t>t</t>
    </r>
    <r>
      <rPr>
        <sz val="11"/>
        <color rgb="FF333333"/>
        <rFont val="Georgia"/>
        <family val="1"/>
      </rPr>
      <t>) = 0</t>
    </r>
  </si>
  <si>
    <t>dƟ</t>
  </si>
  <si>
    <t>dx</t>
  </si>
  <si>
    <t>dƟ/dx^2</t>
  </si>
  <si>
    <t>n</t>
  </si>
  <si>
    <t>u(n+1,j)= 4/3(un,j)-1/3(un-1,j)</t>
  </si>
  <si>
    <t>Ɵ</t>
  </si>
  <si>
    <t>x</t>
  </si>
  <si>
    <t>Heat tranfer in a slab</t>
  </si>
  <si>
    <t>Dt=</t>
  </si>
  <si>
    <t>Dx=</t>
  </si>
  <si>
    <t>Tmax</t>
  </si>
  <si>
    <t>Crank-Nicholson</t>
  </si>
  <si>
    <t>Left Boundary at zero</t>
  </si>
  <si>
    <t>Time</t>
  </si>
  <si>
    <t>Distance</t>
  </si>
  <si>
    <t>N</t>
  </si>
  <si>
    <t>DeltaT</t>
  </si>
  <si>
    <t>Deltax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</si>
</sst>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"/>
  </numFmts>
  <fonts count="4" x14ac:knownFonts="1">
    <font>
      <sz val="11"/>
      <color theme="1"/>
      <name val="Calibri"/>
      <family val="2"/>
      <scheme val="minor"/>
    </font>
    <font>
      <sz val="11"/>
      <color rgb="FF333333"/>
      <name val="Georgia"/>
      <family val="1"/>
    </font>
    <font>
      <i/>
      <sz val="11"/>
      <color rgb="FF333333"/>
      <name val="Georgia"/>
      <family val="1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1" xfId="0" applyFont="1" applyBorder="1"/>
    <xf numFmtId="0" fontId="0" fillId="0" borderId="1" xfId="0" applyBorder="1"/>
    <xf numFmtId="0" fontId="3" fillId="0" borderId="2" xfId="0" applyFont="1" applyBorder="1"/>
    <xf numFmtId="0" fontId="0" fillId="0" borderId="3" xfId="0" applyBorder="1"/>
    <xf numFmtId="0" fontId="0" fillId="2" borderId="0" xfId="0" applyFill="1"/>
    <xf numFmtId="0" fontId="0" fillId="0" borderId="4" xfId="0" applyBorder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Fill="1"/>
    <xf numFmtId="0" fontId="0" fillId="3" borderId="0" xfId="0" applyFont="1" applyFill="1"/>
    <xf numFmtId="168" fontId="3" fillId="0" borderId="0" xfId="0" applyNumberFormat="1" applyFont="1"/>
    <xf numFmtId="0" fontId="3" fillId="3" borderId="0" xfId="0" applyFont="1" applyFill="1"/>
    <xf numFmtId="0" fontId="0" fillId="0" borderId="0" xfId="0" applyFont="1"/>
    <xf numFmtId="168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DC00-08B9-4E93-9440-4C1B91D8F30E}">
  <sheetPr codeName="Sheet1"/>
  <dimension ref="A1:V30"/>
  <sheetViews>
    <sheetView topLeftCell="B6" zoomScaleNormal="100" workbookViewId="0">
      <selection activeCell="F20" sqref="F20"/>
    </sheetView>
  </sheetViews>
  <sheetFormatPr defaultRowHeight="15" x14ac:dyDescent="0.25"/>
  <sheetData>
    <row r="1" spans="1:22" x14ac:dyDescent="0.25">
      <c r="A1" s="1" t="s">
        <v>0</v>
      </c>
    </row>
    <row r="3" spans="1:22" x14ac:dyDescent="0.25">
      <c r="A3" s="3" t="s">
        <v>3</v>
      </c>
      <c r="B3" s="4">
        <v>1E-3</v>
      </c>
      <c r="D3" t="s">
        <v>7</v>
      </c>
    </row>
    <row r="4" spans="1:22" x14ac:dyDescent="0.25">
      <c r="A4" s="4" t="s">
        <v>4</v>
      </c>
      <c r="B4" s="4">
        <v>0.05</v>
      </c>
    </row>
    <row r="5" spans="1:22" x14ac:dyDescent="0.25">
      <c r="A5" s="4" t="s">
        <v>5</v>
      </c>
      <c r="B5" s="4">
        <f>B3/B4^2</f>
        <v>0.39999999999999991</v>
      </c>
    </row>
    <row r="6" spans="1:22" x14ac:dyDescent="0.25">
      <c r="A6" s="4" t="s">
        <v>6</v>
      </c>
      <c r="B6" s="4">
        <v>20</v>
      </c>
    </row>
    <row r="7" spans="1:22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 x14ac:dyDescent="0.25">
      <c r="A8" s="7"/>
      <c r="B8" s="6" t="s">
        <v>9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x14ac:dyDescent="0.25">
      <c r="A9" s="5" t="s">
        <v>8</v>
      </c>
      <c r="B9" s="4">
        <v>0</v>
      </c>
      <c r="C9" s="4">
        <f>B9+dx</f>
        <v>0.05</v>
      </c>
      <c r="D9" s="4">
        <f>C9+dx</f>
        <v>0.1</v>
      </c>
      <c r="E9" s="4">
        <f>D9+dx</f>
        <v>0.15000000000000002</v>
      </c>
      <c r="F9" s="4">
        <f>E9+dx</f>
        <v>0.2</v>
      </c>
      <c r="G9" s="4">
        <f>F9+dx</f>
        <v>0.25</v>
      </c>
      <c r="H9" s="4">
        <f>G9+dx</f>
        <v>0.3</v>
      </c>
      <c r="I9" s="4">
        <f>H9+dx</f>
        <v>0.35</v>
      </c>
      <c r="J9" s="4">
        <f>I9+dx</f>
        <v>0.39999999999999997</v>
      </c>
      <c r="K9" s="4">
        <f>J9+dx</f>
        <v>0.44999999999999996</v>
      </c>
      <c r="L9" s="4">
        <f>K9+dx</f>
        <v>0.49999999999999994</v>
      </c>
      <c r="M9" s="4">
        <f>L9+dx</f>
        <v>0.54999999999999993</v>
      </c>
      <c r="N9" s="4">
        <f>M9+dx</f>
        <v>0.6</v>
      </c>
      <c r="O9" s="4">
        <f>N9+dx</f>
        <v>0.65</v>
      </c>
      <c r="P9" s="4">
        <f>O9+dx</f>
        <v>0.70000000000000007</v>
      </c>
      <c r="Q9" s="4">
        <f>P9+dx</f>
        <v>0.75000000000000011</v>
      </c>
      <c r="R9" s="4">
        <f>Q9+dx</f>
        <v>0.80000000000000016</v>
      </c>
      <c r="S9" s="4">
        <f>R9+dx</f>
        <v>0.8500000000000002</v>
      </c>
      <c r="T9" s="4">
        <f>S9+dx</f>
        <v>0.90000000000000024</v>
      </c>
      <c r="U9" s="4">
        <f>T9+dx</f>
        <v>0.95000000000000029</v>
      </c>
      <c r="V9" s="4">
        <f>U9+dx</f>
        <v>1.0000000000000002</v>
      </c>
    </row>
    <row r="10" spans="1:22" x14ac:dyDescent="0.25">
      <c r="A10" s="4">
        <v>0</v>
      </c>
      <c r="B10" s="9">
        <v>0</v>
      </c>
      <c r="C10" s="9">
        <v>1</v>
      </c>
      <c r="D10" s="9">
        <v>1</v>
      </c>
      <c r="E10" s="9">
        <v>1</v>
      </c>
      <c r="F10" s="9">
        <v>1</v>
      </c>
      <c r="G10" s="9">
        <v>1</v>
      </c>
      <c r="H10" s="9">
        <v>1</v>
      </c>
      <c r="I10" s="9">
        <v>1</v>
      </c>
      <c r="J10" s="9">
        <v>1</v>
      </c>
      <c r="K10" s="9">
        <v>1</v>
      </c>
      <c r="L10" s="9">
        <v>1</v>
      </c>
      <c r="M10" s="9">
        <v>1</v>
      </c>
      <c r="N10" s="9">
        <v>1</v>
      </c>
      <c r="O10" s="9">
        <v>1</v>
      </c>
      <c r="P10" s="9">
        <v>1</v>
      </c>
      <c r="Q10" s="9">
        <v>1</v>
      </c>
      <c r="R10" s="9">
        <v>1</v>
      </c>
      <c r="S10" s="9">
        <v>1</v>
      </c>
      <c r="T10" s="9">
        <v>1</v>
      </c>
      <c r="U10" s="9">
        <v>1</v>
      </c>
      <c r="V10" s="9">
        <f>4/3*U10-1/3*T10</f>
        <v>1</v>
      </c>
    </row>
    <row r="11" spans="1:22" x14ac:dyDescent="0.25">
      <c r="A11" s="4">
        <f>A10+dtheta</f>
        <v>1E-3</v>
      </c>
      <c r="B11" s="9">
        <v>0</v>
      </c>
      <c r="C11">
        <f>C10+dtdx*(B10-2*C10+D10)</f>
        <v>0.60000000000000009</v>
      </c>
      <c r="D11">
        <f>D10+dtdx*(C10-2*D10+E10)</f>
        <v>1</v>
      </c>
      <c r="E11">
        <f>E10+dtdx*(D10-2*E10+F10)</f>
        <v>1</v>
      </c>
      <c r="F11">
        <f>F10+dtdx*(E10-2*F10+G10)</f>
        <v>1</v>
      </c>
      <c r="G11">
        <f>G10+dtdx*(F10-2*G10+H10)</f>
        <v>1</v>
      </c>
      <c r="H11">
        <f>H10+dtdx*(G10-2*H10+I10)</f>
        <v>1</v>
      </c>
      <c r="I11">
        <f>I10+dtdx*(H10-2*I10+J10)</f>
        <v>1</v>
      </c>
      <c r="J11">
        <f>J10+dtdx*(I10-2*J10+K10)</f>
        <v>1</v>
      </c>
      <c r="K11">
        <f>K10+dtdx*(J10-2*K10+L10)</f>
        <v>1</v>
      </c>
      <c r="L11">
        <f>L10+dtdx*(K10-2*L10+M10)</f>
        <v>1</v>
      </c>
      <c r="M11">
        <f>M10+dtdx*(L10-2*M10+N10)</f>
        <v>1</v>
      </c>
      <c r="N11">
        <f>N10+dtdx*(M10-2*N10+O10)</f>
        <v>1</v>
      </c>
      <c r="O11">
        <f>O10+dtdx*(N10-2*O10+P10)</f>
        <v>1</v>
      </c>
      <c r="P11">
        <f>P10+dtdx*(O10-2*P10+Q10)</f>
        <v>1</v>
      </c>
      <c r="Q11">
        <f>Q10+dtdx*(P10-2*Q10+R10)</f>
        <v>1</v>
      </c>
      <c r="R11">
        <f>R10+dtdx*(Q10-2*R10+S10)</f>
        <v>1</v>
      </c>
      <c r="S11">
        <f>S10+dtdx*(R10-2*S10+T10)</f>
        <v>1</v>
      </c>
      <c r="T11">
        <f>T10+dtdx*(S10-2*T10+U10)</f>
        <v>1</v>
      </c>
      <c r="U11">
        <f>U10+dtdx*(T10-2*U10+V10)</f>
        <v>1</v>
      </c>
      <c r="V11" s="9">
        <f t="shared" ref="V11:V30" si="0">4/3*U11-1/3*T11</f>
        <v>1</v>
      </c>
    </row>
    <row r="12" spans="1:22" x14ac:dyDescent="0.25">
      <c r="A12" s="4">
        <f>A11+dtheta</f>
        <v>2E-3</v>
      </c>
      <c r="B12" s="9">
        <v>0</v>
      </c>
      <c r="C12">
        <f>C11+dtdx*(B11-2*C11+D11)</f>
        <v>0.52</v>
      </c>
      <c r="D12">
        <f>D11+dtdx*(C11-2*D11+E11)</f>
        <v>0.84000000000000008</v>
      </c>
      <c r="E12">
        <f>E11+dtdx*(D11-2*E11+F11)</f>
        <v>1</v>
      </c>
      <c r="F12">
        <f>F11+dtdx*(E11-2*F11+G11)</f>
        <v>1</v>
      </c>
      <c r="G12">
        <f>G11+dtdx*(F11-2*G11+H11)</f>
        <v>1</v>
      </c>
      <c r="H12">
        <f>H11+dtdx*(G11-2*H11+I11)</f>
        <v>1</v>
      </c>
      <c r="I12">
        <f>I11+dtdx*(H11-2*I11+J11)</f>
        <v>1</v>
      </c>
      <c r="J12">
        <f>J11+dtdx*(I11-2*J11+K11)</f>
        <v>1</v>
      </c>
      <c r="K12">
        <f>K11+dtdx*(J11-2*K11+L11)</f>
        <v>1</v>
      </c>
      <c r="L12">
        <f>L11+dtdx*(K11-2*L11+M11)</f>
        <v>1</v>
      </c>
      <c r="M12">
        <f>M11+dtdx*(L11-2*M11+N11)</f>
        <v>1</v>
      </c>
      <c r="N12">
        <f>N11+dtdx*(M11-2*N11+O11)</f>
        <v>1</v>
      </c>
      <c r="O12">
        <f>O11+dtdx*(N11-2*O11+P11)</f>
        <v>1</v>
      </c>
      <c r="P12">
        <f>P11+dtdx*(O11-2*P11+Q11)</f>
        <v>1</v>
      </c>
      <c r="Q12">
        <f>Q11+dtdx*(P11-2*Q11+R11)</f>
        <v>1</v>
      </c>
      <c r="R12">
        <f>R11+dtdx*(Q11-2*R11+S11)</f>
        <v>1</v>
      </c>
      <c r="S12">
        <f>S11+dtdx*(R11-2*S11+T11)</f>
        <v>1</v>
      </c>
      <c r="T12">
        <f>T11+dtdx*(S11-2*T11+U11)</f>
        <v>1</v>
      </c>
      <c r="U12">
        <f>U11+dtdx*(T11-2*U11+V11)</f>
        <v>1</v>
      </c>
      <c r="V12" s="9">
        <f t="shared" si="0"/>
        <v>1</v>
      </c>
    </row>
    <row r="13" spans="1:22" x14ac:dyDescent="0.25">
      <c r="A13" s="4">
        <f>A12+dtheta</f>
        <v>3.0000000000000001E-3</v>
      </c>
      <c r="B13" s="9">
        <v>0</v>
      </c>
      <c r="C13">
        <f>C12+dtdx*(B12-2*C12+D12)</f>
        <v>0.44000000000000006</v>
      </c>
      <c r="D13">
        <f>D12+dtdx*(C12-2*D12+E12)</f>
        <v>0.77600000000000002</v>
      </c>
      <c r="E13">
        <f>E12+dtdx*(D12-2*E12+F12)</f>
        <v>0.93600000000000005</v>
      </c>
      <c r="F13">
        <f>F12+dtdx*(E12-2*F12+G12)</f>
        <v>1</v>
      </c>
      <c r="G13">
        <f>G12+dtdx*(F12-2*G12+H12)</f>
        <v>1</v>
      </c>
      <c r="H13">
        <f>H12+dtdx*(G12-2*H12+I12)</f>
        <v>1</v>
      </c>
      <c r="I13">
        <f>I12+dtdx*(H12-2*I12+J12)</f>
        <v>1</v>
      </c>
      <c r="J13">
        <f>J12+dtdx*(I12-2*J12+K12)</f>
        <v>1</v>
      </c>
      <c r="K13">
        <f>K12+dtdx*(J12-2*K12+L12)</f>
        <v>1</v>
      </c>
      <c r="L13">
        <f>L12+dtdx*(K12-2*L12+M12)</f>
        <v>1</v>
      </c>
      <c r="M13">
        <f>M12+dtdx*(L12-2*M12+N12)</f>
        <v>1</v>
      </c>
      <c r="N13">
        <f>N12+dtdx*(M12-2*N12+O12)</f>
        <v>1</v>
      </c>
      <c r="O13">
        <f>O12+dtdx*(N12-2*O12+P12)</f>
        <v>1</v>
      </c>
      <c r="P13">
        <f>P12+dtdx*(O12-2*P12+Q12)</f>
        <v>1</v>
      </c>
      <c r="Q13">
        <f>Q12+dtdx*(P12-2*Q12+R12)</f>
        <v>1</v>
      </c>
      <c r="R13">
        <f>R12+dtdx*(Q12-2*R12+S12)</f>
        <v>1</v>
      </c>
      <c r="S13">
        <f>S12+dtdx*(R12-2*S12+T12)</f>
        <v>1</v>
      </c>
      <c r="T13">
        <f>T12+dtdx*(S12-2*T12+U12)</f>
        <v>1</v>
      </c>
      <c r="U13">
        <f>U12+dtdx*(T12-2*U12+V12)</f>
        <v>1</v>
      </c>
      <c r="V13" s="9">
        <f t="shared" si="0"/>
        <v>1</v>
      </c>
    </row>
    <row r="14" spans="1:22" x14ac:dyDescent="0.25">
      <c r="A14" s="4">
        <f>A13+dtheta</f>
        <v>4.0000000000000001E-3</v>
      </c>
      <c r="B14" s="9">
        <v>0</v>
      </c>
      <c r="C14">
        <f>C13+dtdx*(B13-2*C13+D13)</f>
        <v>0.39840000000000003</v>
      </c>
      <c r="D14">
        <f>D13+dtdx*(C13-2*D13+E13)</f>
        <v>0.7056</v>
      </c>
      <c r="E14">
        <f>E13+dtdx*(D13-2*E13+F13)</f>
        <v>0.89760000000000006</v>
      </c>
      <c r="F14">
        <f>F13+dtdx*(E13-2*F13+G13)</f>
        <v>0.97439999999999993</v>
      </c>
      <c r="G14">
        <f>G13+dtdx*(F13-2*G13+H13)</f>
        <v>1</v>
      </c>
      <c r="H14">
        <f>H13+dtdx*(G13-2*H13+I13)</f>
        <v>1</v>
      </c>
      <c r="I14">
        <f>I13+dtdx*(H13-2*I13+J13)</f>
        <v>1</v>
      </c>
      <c r="J14">
        <f>J13+dtdx*(I13-2*J13+K13)</f>
        <v>1</v>
      </c>
      <c r="K14">
        <f>K13+dtdx*(J13-2*K13+L13)</f>
        <v>1</v>
      </c>
      <c r="L14">
        <f>L13+dtdx*(K13-2*L13+M13)</f>
        <v>1</v>
      </c>
      <c r="M14">
        <f>M13+dtdx*(L13-2*M13+N13)</f>
        <v>1</v>
      </c>
      <c r="N14">
        <f>N13+dtdx*(M13-2*N13+O13)</f>
        <v>1</v>
      </c>
      <c r="O14">
        <f>O13+dtdx*(N13-2*O13+P13)</f>
        <v>1</v>
      </c>
      <c r="P14">
        <f>P13+dtdx*(O13-2*P13+Q13)</f>
        <v>1</v>
      </c>
      <c r="Q14">
        <f>Q13+dtdx*(P13-2*Q13+R13)</f>
        <v>1</v>
      </c>
      <c r="R14">
        <f>R13+dtdx*(Q13-2*R13+S13)</f>
        <v>1</v>
      </c>
      <c r="S14">
        <f>S13+dtdx*(R13-2*S13+T13)</f>
        <v>1</v>
      </c>
      <c r="T14">
        <f>T13+dtdx*(S13-2*T13+U13)</f>
        <v>1</v>
      </c>
      <c r="U14">
        <f>U13+dtdx*(T13-2*U13+V13)</f>
        <v>1</v>
      </c>
      <c r="V14" s="9">
        <f t="shared" si="0"/>
        <v>1</v>
      </c>
    </row>
    <row r="15" spans="1:22" x14ac:dyDescent="0.25">
      <c r="A15" s="4">
        <f>A14+dtheta</f>
        <v>5.0000000000000001E-3</v>
      </c>
      <c r="B15" s="9">
        <v>0</v>
      </c>
      <c r="C15">
        <f>C14+dtdx*(B14-2*C14+D14)</f>
        <v>0.36192000000000002</v>
      </c>
      <c r="D15">
        <f>D14+dtdx*(C14-2*D14+E14)</f>
        <v>0.65952000000000011</v>
      </c>
      <c r="E15">
        <f>E14+dtdx*(D14-2*E14+F14)</f>
        <v>0.85152000000000005</v>
      </c>
      <c r="F15">
        <f>F14+dtdx*(E14-2*F14+G14)</f>
        <v>0.9539200000000001</v>
      </c>
      <c r="G15">
        <f>G14+dtdx*(F14-2*G14+H14)</f>
        <v>0.98975999999999997</v>
      </c>
      <c r="H15">
        <f>H14+dtdx*(G14-2*H14+I14)</f>
        <v>1</v>
      </c>
      <c r="I15">
        <f>I14+dtdx*(H14-2*I14+J14)</f>
        <v>1</v>
      </c>
      <c r="J15">
        <f>J14+dtdx*(I14-2*J14+K14)</f>
        <v>1</v>
      </c>
      <c r="K15">
        <f>K14+dtdx*(J14-2*K14+L14)</f>
        <v>1</v>
      </c>
      <c r="L15">
        <f>L14+dtdx*(K14-2*L14+M14)</f>
        <v>1</v>
      </c>
      <c r="M15">
        <f>M14+dtdx*(L14-2*M14+N14)</f>
        <v>1</v>
      </c>
      <c r="N15">
        <f>N14+dtdx*(M14-2*N14+O14)</f>
        <v>1</v>
      </c>
      <c r="O15">
        <f>O14+dtdx*(N14-2*O14+P14)</f>
        <v>1</v>
      </c>
      <c r="P15">
        <f>P14+dtdx*(O14-2*P14+Q14)</f>
        <v>1</v>
      </c>
      <c r="Q15">
        <f>Q14+dtdx*(P14-2*Q14+R14)</f>
        <v>1</v>
      </c>
      <c r="R15">
        <f>R14+dtdx*(Q14-2*R14+S14)</f>
        <v>1</v>
      </c>
      <c r="S15">
        <f>S14+dtdx*(R14-2*S14+T14)</f>
        <v>1</v>
      </c>
      <c r="T15">
        <f>T14+dtdx*(S14-2*T14+U14)</f>
        <v>1</v>
      </c>
      <c r="U15">
        <f>U14+dtdx*(T14-2*U14+V14)</f>
        <v>1</v>
      </c>
      <c r="V15" s="9">
        <f t="shared" si="0"/>
        <v>1</v>
      </c>
    </row>
    <row r="16" spans="1:22" x14ac:dyDescent="0.25">
      <c r="A16" s="4">
        <f>A15+dtheta</f>
        <v>6.0000000000000001E-3</v>
      </c>
      <c r="B16" s="9">
        <v>0</v>
      </c>
      <c r="C16">
        <f>C15+dtdx*(B15-2*C15+D15)</f>
        <v>0.33619200000000005</v>
      </c>
      <c r="D16">
        <f>D15+dtdx*(C15-2*D15+E15)</f>
        <v>0.61728000000000005</v>
      </c>
      <c r="E16">
        <f>E15+dtdx*(D15-2*E15+F15)</f>
        <v>0.81568000000000007</v>
      </c>
      <c r="F16">
        <f>F15+dtdx*(E15-2*F15+G15)</f>
        <v>0.92729600000000001</v>
      </c>
      <c r="G16">
        <f>G15+dtdx*(F15-2*G15+H15)</f>
        <v>0.97952000000000006</v>
      </c>
      <c r="H16">
        <f>H15+dtdx*(G15-2*H15+I15)</f>
        <v>0.99590400000000001</v>
      </c>
      <c r="I16">
        <f>I15+dtdx*(H15-2*I15+J15)</f>
        <v>1</v>
      </c>
      <c r="J16">
        <f>J15+dtdx*(I15-2*J15+K15)</f>
        <v>1</v>
      </c>
      <c r="K16">
        <f>K15+dtdx*(J15-2*K15+L15)</f>
        <v>1</v>
      </c>
      <c r="L16">
        <f>L15+dtdx*(K15-2*L15+M15)</f>
        <v>1</v>
      </c>
      <c r="M16">
        <f>M15+dtdx*(L15-2*M15+N15)</f>
        <v>1</v>
      </c>
      <c r="N16">
        <f>N15+dtdx*(M15-2*N15+O15)</f>
        <v>1</v>
      </c>
      <c r="O16">
        <f>O15+dtdx*(N15-2*O15+P15)</f>
        <v>1</v>
      </c>
      <c r="P16">
        <f>P15+dtdx*(O15-2*P15+Q15)</f>
        <v>1</v>
      </c>
      <c r="Q16">
        <f>Q15+dtdx*(P15-2*Q15+R15)</f>
        <v>1</v>
      </c>
      <c r="R16">
        <f>R15+dtdx*(Q15-2*R15+S15)</f>
        <v>1</v>
      </c>
      <c r="S16">
        <f>S15+dtdx*(R15-2*S15+T15)</f>
        <v>1</v>
      </c>
      <c r="T16">
        <f>T15+dtdx*(S15-2*T15+U15)</f>
        <v>1</v>
      </c>
      <c r="U16">
        <f>U15+dtdx*(T15-2*U15+V15)</f>
        <v>1</v>
      </c>
      <c r="V16" s="9">
        <f t="shared" si="0"/>
        <v>1</v>
      </c>
    </row>
    <row r="17" spans="1:22" x14ac:dyDescent="0.25">
      <c r="A17" s="4">
        <f>A16+dtheta</f>
        <v>7.0000000000000001E-3</v>
      </c>
      <c r="B17" s="9">
        <v>0</v>
      </c>
      <c r="C17">
        <f>C16+dtdx*(B16-2*C16+D16)</f>
        <v>0.31415040000000005</v>
      </c>
      <c r="D17">
        <f>D16+dtdx*(C16-2*D16+E16)</f>
        <v>0.58420480000000008</v>
      </c>
      <c r="E17">
        <f>E16+dtdx*(D16-2*E16+F16)</f>
        <v>0.78096640000000006</v>
      </c>
      <c r="F17">
        <f>F16+dtdx*(E16-2*F16+G16)</f>
        <v>0.9035392000000001</v>
      </c>
      <c r="G17">
        <f>G16+dtdx*(F16-2*G16+H16)</f>
        <v>0.96518399999999993</v>
      </c>
      <c r="H17">
        <f>H16+dtdx*(G16-2*H16+I16)</f>
        <v>0.99098880000000011</v>
      </c>
      <c r="I17">
        <f>I16+dtdx*(H16-2*I16+J16)</f>
        <v>0.99836159999999996</v>
      </c>
      <c r="J17">
        <f>J16+dtdx*(I16-2*J16+K16)</f>
        <v>1</v>
      </c>
      <c r="K17">
        <f>K16+dtdx*(J16-2*K16+L16)</f>
        <v>1</v>
      </c>
      <c r="L17">
        <f>L16+dtdx*(K16-2*L16+M16)</f>
        <v>1</v>
      </c>
      <c r="M17">
        <f>M16+dtdx*(L16-2*M16+N16)</f>
        <v>1</v>
      </c>
      <c r="N17">
        <f>N16+dtdx*(M16-2*N16+O16)</f>
        <v>1</v>
      </c>
      <c r="O17">
        <f>O16+dtdx*(N16-2*O16+P16)</f>
        <v>1</v>
      </c>
      <c r="P17">
        <f>P16+dtdx*(O16-2*P16+Q16)</f>
        <v>1</v>
      </c>
      <c r="Q17">
        <f>Q16+dtdx*(P16-2*Q16+R16)</f>
        <v>1</v>
      </c>
      <c r="R17">
        <f>R16+dtdx*(Q16-2*R16+S16)</f>
        <v>1</v>
      </c>
      <c r="S17">
        <f>S16+dtdx*(R16-2*S16+T16)</f>
        <v>1</v>
      </c>
      <c r="T17">
        <f>T16+dtdx*(S16-2*T16+U16)</f>
        <v>1</v>
      </c>
      <c r="U17">
        <f>U16+dtdx*(T16-2*U16+V16)</f>
        <v>1</v>
      </c>
      <c r="V17" s="9">
        <f t="shared" si="0"/>
        <v>1</v>
      </c>
    </row>
    <row r="18" spans="1:22" x14ac:dyDescent="0.25">
      <c r="A18" s="4">
        <f>A17+dtheta</f>
        <v>8.0000000000000002E-3</v>
      </c>
      <c r="B18" s="9">
        <v>0</v>
      </c>
      <c r="C18">
        <f>C17+dtdx*(B17-2*C17+D17)</f>
        <v>0.29651200000000005</v>
      </c>
      <c r="D18">
        <f>D17+dtdx*(C17-2*D17+E17)</f>
        <v>0.55488768000000011</v>
      </c>
      <c r="E18">
        <f>E17+dtdx*(D17-2*E17+F17)</f>
        <v>0.75129088000000011</v>
      </c>
      <c r="F18">
        <f>F17+dtdx*(E17-2*F17+G17)</f>
        <v>0.87916800000000006</v>
      </c>
      <c r="G18">
        <f>G17+dtdx*(F17-2*G17+H17)</f>
        <v>0.95084800000000014</v>
      </c>
      <c r="H18">
        <f>H17+dtdx*(G17-2*H17+I17)</f>
        <v>0.98361600000000005</v>
      </c>
      <c r="I18">
        <f>I17+dtdx*(H17-2*I17+J17)</f>
        <v>0.99606784000000004</v>
      </c>
      <c r="J18">
        <f>J17+dtdx*(I17-2*J17+K17)</f>
        <v>0.99934464000000001</v>
      </c>
      <c r="K18">
        <f>K17+dtdx*(J17-2*K17+L17)</f>
        <v>1</v>
      </c>
      <c r="L18">
        <f>L17+dtdx*(K17-2*L17+M17)</f>
        <v>1</v>
      </c>
      <c r="M18">
        <f>M17+dtdx*(L17-2*M17+N17)</f>
        <v>1</v>
      </c>
      <c r="N18">
        <f>N17+dtdx*(M17-2*N17+O17)</f>
        <v>1</v>
      </c>
      <c r="O18">
        <f>O17+dtdx*(N17-2*O17+P17)</f>
        <v>1</v>
      </c>
      <c r="P18">
        <f>P17+dtdx*(O17-2*P17+Q17)</f>
        <v>1</v>
      </c>
      <c r="Q18">
        <f>Q17+dtdx*(P17-2*Q17+R17)</f>
        <v>1</v>
      </c>
      <c r="R18">
        <f>R17+dtdx*(Q17-2*R17+S17)</f>
        <v>1</v>
      </c>
      <c r="S18">
        <f>S17+dtdx*(R17-2*S17+T17)</f>
        <v>1</v>
      </c>
      <c r="T18">
        <f>T17+dtdx*(S17-2*T17+U17)</f>
        <v>1</v>
      </c>
      <c r="U18">
        <f>U17+dtdx*(T17-2*U17+V17)</f>
        <v>1</v>
      </c>
      <c r="V18" s="9">
        <f t="shared" si="0"/>
        <v>1</v>
      </c>
    </row>
    <row r="19" spans="1:22" x14ac:dyDescent="0.25">
      <c r="A19" s="4">
        <f>A18+dtheta</f>
        <v>9.0000000000000011E-3</v>
      </c>
      <c r="B19" s="9">
        <v>0</v>
      </c>
      <c r="C19">
        <f>C18+dtdx*(B18-2*C18+D18)</f>
        <v>0.28125747200000006</v>
      </c>
      <c r="D19">
        <f>D18+dtdx*(C18-2*D18+E18)</f>
        <v>0.53009868800000015</v>
      </c>
      <c r="E19">
        <f>E18+dtdx*(D18-2*E18+F18)</f>
        <v>0.72388044800000007</v>
      </c>
      <c r="F19">
        <f>F18+dtdx*(E18-2*F18+G18)</f>
        <v>0.85668915200000018</v>
      </c>
      <c r="G19">
        <f>G18+dtdx*(F18-2*G18+H18)</f>
        <v>0.93528319999999998</v>
      </c>
      <c r="H19">
        <f>H18+dtdx*(G18-2*H18+I18)</f>
        <v>0.9754895360000001</v>
      </c>
      <c r="I19">
        <f>I18+dtdx*(H18-2*I18+J18)</f>
        <v>0.99239782399999998</v>
      </c>
      <c r="J19">
        <f>J18+dtdx*(I18-2*J18+K18)</f>
        <v>0.99829606400000004</v>
      </c>
      <c r="K19">
        <f>K18+dtdx*(J18-2*K18+L18)</f>
        <v>0.99973785599999998</v>
      </c>
      <c r="L19">
        <f>L18+dtdx*(K18-2*L18+M18)</f>
        <v>1</v>
      </c>
      <c r="M19">
        <f>M18+dtdx*(L18-2*M18+N18)</f>
        <v>1</v>
      </c>
      <c r="N19">
        <f>N18+dtdx*(M18-2*N18+O18)</f>
        <v>1</v>
      </c>
      <c r="O19">
        <f>O18+dtdx*(N18-2*O18+P18)</f>
        <v>1</v>
      </c>
      <c r="P19">
        <f>P18+dtdx*(O18-2*P18+Q18)</f>
        <v>1</v>
      </c>
      <c r="Q19">
        <f>Q18+dtdx*(P18-2*Q18+R18)</f>
        <v>1</v>
      </c>
      <c r="R19">
        <f>R18+dtdx*(Q18-2*R18+S18)</f>
        <v>1</v>
      </c>
      <c r="S19">
        <f>S18+dtdx*(R18-2*S18+T18)</f>
        <v>1</v>
      </c>
      <c r="T19">
        <f>T18+dtdx*(S18-2*T18+U18)</f>
        <v>1</v>
      </c>
      <c r="U19">
        <f>U18+dtdx*(T18-2*U18+V18)</f>
        <v>1</v>
      </c>
      <c r="V19" s="9">
        <f t="shared" si="0"/>
        <v>1</v>
      </c>
    </row>
    <row r="20" spans="1:22" x14ac:dyDescent="0.25">
      <c r="A20" s="4">
        <f>A19+dtheta</f>
        <v>1.0000000000000002E-2</v>
      </c>
      <c r="B20" s="9">
        <v>0</v>
      </c>
      <c r="C20">
        <f>C19+dtdx*(B19-2*C19+D19)</f>
        <v>0.2682909696000001</v>
      </c>
      <c r="D20">
        <f>D19+dtdx*(C19-2*D19+E19)</f>
        <v>0.50807490560000013</v>
      </c>
      <c r="E20">
        <f>E19+dtdx*(D19-2*E19+F19)</f>
        <v>0.6994912256000001</v>
      </c>
      <c r="F20">
        <f>F19+dtdx*(E19-2*F19+G19)</f>
        <v>0.83500328960000003</v>
      </c>
      <c r="G20">
        <f>G19+dtdx*(F19-2*G19+H19)</f>
        <v>0.91992811520000006</v>
      </c>
      <c r="H20">
        <f>H19+dtdx*(G19-2*H19+I19)</f>
        <v>0.96617031679999998</v>
      </c>
      <c r="I20">
        <f>I19+dtdx*(H19-2*I19+J19)</f>
        <v>0.98799380479999999</v>
      </c>
      <c r="J20">
        <f>J19+dtdx*(I19-2*J19+K19)</f>
        <v>0.99651348480000002</v>
      </c>
      <c r="K20">
        <f>K19+dtdx*(J19-2*K19+L19)</f>
        <v>0.99926599680000006</v>
      </c>
      <c r="L20">
        <f>L19+dtdx*(K19-2*L19+M19)</f>
        <v>0.99989514239999999</v>
      </c>
      <c r="M20">
        <f>M19+dtdx*(L19-2*M19+N19)</f>
        <v>1</v>
      </c>
      <c r="N20">
        <f>N19+dtdx*(M19-2*N19+O19)</f>
        <v>1</v>
      </c>
      <c r="O20">
        <f>O19+dtdx*(N19-2*O19+P19)</f>
        <v>1</v>
      </c>
      <c r="P20">
        <f>P19+dtdx*(O19-2*P19+Q19)</f>
        <v>1</v>
      </c>
      <c r="Q20">
        <f>Q19+dtdx*(P19-2*Q19+R19)</f>
        <v>1</v>
      </c>
      <c r="R20">
        <f>R19+dtdx*(Q19-2*R19+S19)</f>
        <v>1</v>
      </c>
      <c r="S20">
        <f>S19+dtdx*(R19-2*S19+T19)</f>
        <v>1</v>
      </c>
      <c r="T20">
        <f>T19+dtdx*(S19-2*T19+U19)</f>
        <v>1</v>
      </c>
      <c r="U20">
        <f>U19+dtdx*(T19-2*U19+V19)</f>
        <v>1</v>
      </c>
      <c r="V20" s="9">
        <f t="shared" si="0"/>
        <v>1</v>
      </c>
    </row>
    <row r="21" spans="1:22" x14ac:dyDescent="0.25">
      <c r="A21" s="4">
        <f>A20+dtheta</f>
        <v>1.1000000000000003E-2</v>
      </c>
      <c r="B21" s="9">
        <v>0</v>
      </c>
      <c r="C21">
        <f>C20+dtdx*(B20-2*C20+D20)</f>
        <v>0.25688815616000005</v>
      </c>
      <c r="D21">
        <f>D20+dtdx*(C20-2*D20+E20)</f>
        <v>0.48872785920000011</v>
      </c>
      <c r="E21">
        <f>E20+dtdx*(D20-2*E20+F20)</f>
        <v>0.67712952320000008</v>
      </c>
      <c r="F21">
        <f>F20+dtdx*(E20-2*F20+G20)</f>
        <v>0.81476839424000003</v>
      </c>
      <c r="G21">
        <f>G20+dtdx*(F20-2*G20+H20)</f>
        <v>0.9044550656</v>
      </c>
      <c r="H21">
        <f>H20+dtdx*(G20-2*H20+I20)</f>
        <v>0.95640283136000004</v>
      </c>
      <c r="I21">
        <f>I20+dtdx*(H20-2*I20+J20)</f>
        <v>0.98267228159999997</v>
      </c>
      <c r="J21">
        <f>J20+dtdx*(I20-2*J20+K20)</f>
        <v>0.99420661760000006</v>
      </c>
      <c r="K21">
        <f>K20+dtdx*(J20-2*K20+L20)</f>
        <v>0.99841665024000004</v>
      </c>
      <c r="L21">
        <f>L20+dtdx*(K20-2*L20+M20)</f>
        <v>0.99968542720000009</v>
      </c>
      <c r="M21">
        <f>M20+dtdx*(L20-2*M20+N20)</f>
        <v>0.99995805695999995</v>
      </c>
      <c r="N21">
        <f>N20+dtdx*(M20-2*N20+O20)</f>
        <v>1</v>
      </c>
      <c r="O21">
        <f>O20+dtdx*(N20-2*O20+P20)</f>
        <v>1</v>
      </c>
      <c r="P21">
        <f>P20+dtdx*(O20-2*P20+Q20)</f>
        <v>1</v>
      </c>
      <c r="Q21">
        <f>Q20+dtdx*(P20-2*Q20+R20)</f>
        <v>1</v>
      </c>
      <c r="R21">
        <f>R20+dtdx*(Q20-2*R20+S20)</f>
        <v>1</v>
      </c>
      <c r="S21">
        <f>S20+dtdx*(R20-2*S20+T20)</f>
        <v>1</v>
      </c>
      <c r="T21">
        <f>T20+dtdx*(S20-2*T20+U20)</f>
        <v>1</v>
      </c>
      <c r="U21">
        <f>U20+dtdx*(T20-2*U20+V20)</f>
        <v>1</v>
      </c>
      <c r="V21" s="9">
        <f t="shared" si="0"/>
        <v>1</v>
      </c>
    </row>
    <row r="22" spans="1:22" x14ac:dyDescent="0.25">
      <c r="A22" s="4">
        <f>A21+dtheta</f>
        <v>1.2000000000000004E-2</v>
      </c>
      <c r="B22" s="9">
        <v>0</v>
      </c>
      <c r="C22">
        <f>C21+dtdx*(B21-2*C21+D21)</f>
        <v>0.24686877491200004</v>
      </c>
      <c r="D22">
        <f>D21+dtdx*(C21-2*D21+E21)</f>
        <v>0.47135264358400009</v>
      </c>
      <c r="E22">
        <f>E21+dtdx*(D21-2*E21+F21)</f>
        <v>0.65682440601600012</v>
      </c>
      <c r="F22">
        <f>F21+dtdx*(E21-2*F21+G21)</f>
        <v>0.79558751436800001</v>
      </c>
      <c r="G22">
        <f>G21+dtdx*(F21-2*G21+H21)</f>
        <v>0.88935950336000003</v>
      </c>
      <c r="H22">
        <f>H21+dtdx*(G21-2*H21+I21)</f>
        <v>0.94613150515199995</v>
      </c>
      <c r="I22">
        <f>I21+dtdx*(H21-2*I21+J21)</f>
        <v>0.97677823590400004</v>
      </c>
      <c r="J22">
        <f>J21+dtdx*(I21-2*J21+K21)</f>
        <v>0.99127689625600002</v>
      </c>
      <c r="K22">
        <f>K21+dtdx*(J21-2*K21+L21)</f>
        <v>0.99724014796800009</v>
      </c>
      <c r="L22">
        <f>L21+dtdx*(K21-2*L21+M21)</f>
        <v>0.99928696831999997</v>
      </c>
      <c r="M22">
        <f>M21+dtdx*(L21-2*M21+N21)</f>
        <v>0.99986578227200007</v>
      </c>
      <c r="N22">
        <f>N21+dtdx*(M21-2*N21+O21)</f>
        <v>0.99998322278399998</v>
      </c>
      <c r="O22">
        <f>O21+dtdx*(N21-2*O21+P21)</f>
        <v>1</v>
      </c>
      <c r="P22">
        <f>P21+dtdx*(O21-2*P21+Q21)</f>
        <v>1</v>
      </c>
      <c r="Q22">
        <f>Q21+dtdx*(P21-2*Q21+R21)</f>
        <v>1</v>
      </c>
      <c r="R22">
        <f>R21+dtdx*(Q21-2*R21+S21)</f>
        <v>1</v>
      </c>
      <c r="S22">
        <f>S21+dtdx*(R21-2*S21+T21)</f>
        <v>1</v>
      </c>
      <c r="T22">
        <f>T21+dtdx*(S21-2*T21+U21)</f>
        <v>1</v>
      </c>
      <c r="U22">
        <f>U21+dtdx*(T21-2*U21+V21)</f>
        <v>1</v>
      </c>
      <c r="V22" s="9">
        <f t="shared" si="0"/>
        <v>1</v>
      </c>
    </row>
    <row r="23" spans="1:22" x14ac:dyDescent="0.25">
      <c r="A23" s="4">
        <f>A22+dtheta</f>
        <v>1.3000000000000005E-2</v>
      </c>
      <c r="B23" s="9">
        <v>0</v>
      </c>
      <c r="C23">
        <f>C22+dtdx*(B22-2*C22+D22)</f>
        <v>0.23791481241600004</v>
      </c>
      <c r="D23">
        <f>D22+dtdx*(C22-2*D22+E22)</f>
        <v>0.45574780108800006</v>
      </c>
      <c r="E23">
        <f>E22+dtdx*(D22-2*E22+F22)</f>
        <v>0.63814094438400004</v>
      </c>
      <c r="F23">
        <f>F22+dtdx*(E22-2*F22+G22)</f>
        <v>0.77759106662400002</v>
      </c>
      <c r="G23">
        <f>G22+dtdx*(F22-2*G22+H22)</f>
        <v>0.87455950847999997</v>
      </c>
      <c r="H23">
        <f>H22+dtdx*(G22-2*H22+I22)</f>
        <v>0.93568139673599993</v>
      </c>
      <c r="I23">
        <f>I22+dtdx*(H22-2*I22+J22)</f>
        <v>0.97031900774400004</v>
      </c>
      <c r="J23">
        <f>J22+dtdx*(I22-2*J22+K22)</f>
        <v>0.98786273280000003</v>
      </c>
      <c r="K23">
        <f>K22+dtdx*(J22-2*K22+L22)</f>
        <v>0.99567357542399992</v>
      </c>
      <c r="L23">
        <f>L22+dtdx*(K22-2*L22+M22)</f>
        <v>0.99869976575999997</v>
      </c>
      <c r="M23">
        <f>M22+dtdx*(L22-2*M22+N22)</f>
        <v>0.99968123289599997</v>
      </c>
      <c r="N23">
        <f>N22+dtdx*(M22-2*N22+O22)</f>
        <v>0.99994295746560002</v>
      </c>
      <c r="O23">
        <f>O22+dtdx*(N22-2*O22+P22)</f>
        <v>0.99999328911359997</v>
      </c>
      <c r="P23">
        <f>P22+dtdx*(O22-2*P22+Q22)</f>
        <v>1</v>
      </c>
      <c r="Q23">
        <f>Q22+dtdx*(P22-2*Q22+R22)</f>
        <v>1</v>
      </c>
      <c r="R23">
        <f>R22+dtdx*(Q22-2*R22+S22)</f>
        <v>1</v>
      </c>
      <c r="S23">
        <f>S22+dtdx*(R22-2*S22+T22)</f>
        <v>1</v>
      </c>
      <c r="T23">
        <f>T22+dtdx*(S22-2*T22+U22)</f>
        <v>1</v>
      </c>
      <c r="U23">
        <f>U22+dtdx*(T22-2*U22+V22)</f>
        <v>1</v>
      </c>
      <c r="V23" s="9">
        <f t="shared" si="0"/>
        <v>1</v>
      </c>
    </row>
    <row r="24" spans="1:22" x14ac:dyDescent="0.25">
      <c r="A24" s="4">
        <f>A23+dtheta</f>
        <v>1.4000000000000005E-2</v>
      </c>
      <c r="B24" s="9">
        <v>0</v>
      </c>
      <c r="C24">
        <f>C23+dtdx*(B23-2*C23+D23)</f>
        <v>0.22988208291840004</v>
      </c>
      <c r="D24">
        <f>D23+dtdx*(C23-2*D23+E23)</f>
        <v>0.44157186293760003</v>
      </c>
      <c r="E24">
        <f>E23+dtdx*(D23-2*E23+F23)</f>
        <v>0.62096373596160004</v>
      </c>
      <c r="F24">
        <f>F23+dtdx*(E23-2*F23+G23)</f>
        <v>0.76059839447040001</v>
      </c>
      <c r="G24">
        <f>G23+dtdx*(F23-2*G23+H23)</f>
        <v>0.86022088703999999</v>
      </c>
      <c r="H24">
        <f>H23+dtdx*(G23-2*H23+I23)</f>
        <v>0.92508768583680001</v>
      </c>
      <c r="I24">
        <f>I23+dtdx*(H23-2*I23+J23)</f>
        <v>0.9634814533631999</v>
      </c>
      <c r="J24">
        <f>J23+dtdx*(I23-2*J23+K23)</f>
        <v>0.98396957982720001</v>
      </c>
      <c r="K24">
        <f>K23+dtdx*(J23-2*K23+L23)</f>
        <v>0.99375971450879996</v>
      </c>
      <c r="L24">
        <f>L23+dtdx*(K23-2*L23+M23)</f>
        <v>0.99788187647999993</v>
      </c>
      <c r="M24">
        <f>M23+dtdx*(L23-2*M23+N23)</f>
        <v>0.9993933358694399</v>
      </c>
      <c r="N24">
        <f>N23+dtdx*(M23-2*N23+O23)</f>
        <v>0.99985840029696005</v>
      </c>
      <c r="O24">
        <f>O23+dtdx*(N23-2*O23+P23)</f>
        <v>0.99997584080895996</v>
      </c>
      <c r="P24">
        <f>P23+dtdx*(O23-2*P23+Q23)</f>
        <v>0.99999731564544003</v>
      </c>
      <c r="Q24">
        <f>Q23+dtdx*(P23-2*Q23+R23)</f>
        <v>1</v>
      </c>
      <c r="R24">
        <f>R23+dtdx*(Q23-2*R23+S23)</f>
        <v>1</v>
      </c>
      <c r="S24">
        <f>S23+dtdx*(R23-2*S23+T23)</f>
        <v>1</v>
      </c>
      <c r="T24">
        <f>T23+dtdx*(S23-2*T23+U23)</f>
        <v>1</v>
      </c>
      <c r="U24">
        <f>U23+dtdx*(T23-2*U23+V23)</f>
        <v>1</v>
      </c>
      <c r="V24" s="9">
        <f t="shared" si="0"/>
        <v>1</v>
      </c>
    </row>
    <row r="25" spans="1:22" x14ac:dyDescent="0.25">
      <c r="A25" s="4">
        <f>A24+dtheta</f>
        <v>1.5000000000000006E-2</v>
      </c>
      <c r="B25" s="9">
        <v>0</v>
      </c>
      <c r="C25">
        <f>C24+dtdx*(B24-2*C24+D24)</f>
        <v>0.22260516175872003</v>
      </c>
      <c r="D25">
        <f>D24+dtdx*(C24-2*D24+E24)</f>
        <v>0.42865270013952006</v>
      </c>
      <c r="E25">
        <f>E24+dtdx*(D24-2*E24+F24)</f>
        <v>0.60506085015552002</v>
      </c>
      <c r="F25">
        <f>F24+dtdx*(E24-2*F24+G24)</f>
        <v>0.74459352809472001</v>
      </c>
      <c r="G25">
        <f>G24+dtdx*(F24-2*G24+H24)</f>
        <v>0.84631860953088001</v>
      </c>
      <c r="H25">
        <f>H24+dtdx*(G24-2*H24+I24)</f>
        <v>0.91449847332863998</v>
      </c>
      <c r="I25">
        <f>I24+dtdx*(H24-2*I24+J24)</f>
        <v>0.95631919693823997</v>
      </c>
      <c r="J25">
        <f>J24+dtdx*(I24-2*J24+K24)</f>
        <v>0.97969038311423995</v>
      </c>
      <c r="K25">
        <f>K24+dtdx*(J24-2*K24+L24)</f>
        <v>0.99149252542464006</v>
      </c>
      <c r="L25">
        <f>L24+dtdx*(K24-2*L24+M24)</f>
        <v>0.99683759544729589</v>
      </c>
      <c r="M25">
        <f>M24+dtdx*(L24-2*M24+N24)</f>
        <v>0.99897477788467193</v>
      </c>
      <c r="N25">
        <f>N24+dtdx*(M24-2*N24+O24)</f>
        <v>0.99971935073075202</v>
      </c>
      <c r="O25">
        <f>O24+dtdx*(N24-2*O24+P24)</f>
        <v>0.99993745453875194</v>
      </c>
      <c r="P25">
        <f>P24+dtdx*(O24-2*P24+Q24)</f>
        <v>0.99998979945267197</v>
      </c>
      <c r="Q25">
        <f>Q24+dtdx*(P24-2*Q24+R24)</f>
        <v>0.99999892625817599</v>
      </c>
      <c r="R25">
        <f>R24+dtdx*(Q24-2*R24+S24)</f>
        <v>1</v>
      </c>
      <c r="S25">
        <f>S24+dtdx*(R24-2*S24+T24)</f>
        <v>1</v>
      </c>
      <c r="T25">
        <f>T24+dtdx*(S24-2*T24+U24)</f>
        <v>1</v>
      </c>
      <c r="U25">
        <f>U24+dtdx*(T24-2*U24+V24)</f>
        <v>1</v>
      </c>
      <c r="V25" s="9">
        <f t="shared" si="0"/>
        <v>1</v>
      </c>
    </row>
    <row r="26" spans="1:22" x14ac:dyDescent="0.25">
      <c r="A26" s="4">
        <f>A25+dtheta</f>
        <v>1.6000000000000007E-2</v>
      </c>
      <c r="B26" s="9">
        <v>0</v>
      </c>
      <c r="C26">
        <f>C25+dtdx*(B25-2*C25+D25)</f>
        <v>0.21598211240755202</v>
      </c>
      <c r="D26">
        <f>D25+dtdx*(C25-2*D25+E25)</f>
        <v>0.41679694479360002</v>
      </c>
      <c r="E26">
        <f>E25+dtdx*(D25-2*E25+F25)</f>
        <v>0.59031066132480003</v>
      </c>
      <c r="F26">
        <f>F25+dtdx*(E25-2*F25+G25)</f>
        <v>0.72947048949350402</v>
      </c>
      <c r="G26">
        <f>G25+dtdx*(F25-2*G25+H25)</f>
        <v>0.83290052247552004</v>
      </c>
      <c r="H26">
        <f>H25+dtdx*(G25-2*H25+I25)</f>
        <v>0.90395481725337601</v>
      </c>
      <c r="I26">
        <f>I25+dtdx*(H25-2*I25+J25)</f>
        <v>0.94893938196479999</v>
      </c>
      <c r="J26">
        <f>J25+dtdx*(I25-2*J25+K25)</f>
        <v>0.97506276556799998</v>
      </c>
      <c r="K26">
        <f>K25+dtdx*(J25-2*K25+L25)</f>
        <v>0.98890969650954241</v>
      </c>
      <c r="L26">
        <f>L25+dtdx*(K25-2*L25+M25)</f>
        <v>0.99555444041318397</v>
      </c>
      <c r="M26">
        <f>M25+dtdx*(L25-2*M25+N25)</f>
        <v>0.99841773404815359</v>
      </c>
      <c r="N26">
        <f>N25+dtdx*(M25-2*N25+O25)</f>
        <v>0.99950876311551995</v>
      </c>
      <c r="O26">
        <f>O25+dtdx*(N25-2*O25+P25)</f>
        <v>0.99987115098112</v>
      </c>
      <c r="P26">
        <f>P25+dtdx*(O25-2*P25+Q25)</f>
        <v>0.9999725122093055</v>
      </c>
      <c r="Q26">
        <f>Q25+dtdx*(P25-2*Q25+R25)</f>
        <v>0.99999570503270407</v>
      </c>
      <c r="R26">
        <f>R25+dtdx*(Q25-2*R25+S25)</f>
        <v>0.99999957050327049</v>
      </c>
      <c r="S26">
        <f>S25+dtdx*(R25-2*S25+T25)</f>
        <v>1</v>
      </c>
      <c r="T26">
        <f>T25+dtdx*(S25-2*T25+U25)</f>
        <v>1</v>
      </c>
      <c r="U26">
        <f>U25+dtdx*(T25-2*U25+V25)</f>
        <v>1</v>
      </c>
      <c r="V26" s="9">
        <f t="shared" si="0"/>
        <v>1</v>
      </c>
    </row>
    <row r="27" spans="1:22" x14ac:dyDescent="0.25">
      <c r="A27" s="4">
        <f>A26+dtheta</f>
        <v>1.7000000000000008E-2</v>
      </c>
      <c r="B27" s="9">
        <v>0</v>
      </c>
      <c r="C27">
        <f>C26+dtdx*(B26-2*C26+D26)</f>
        <v>0.20991520039895042</v>
      </c>
      <c r="D27">
        <f>D26+dtdx*(C26-2*D26+E26)</f>
        <v>0.40587649845166085</v>
      </c>
      <c r="E27">
        <f>E26+dtdx*(D26-2*E26+F26)</f>
        <v>0.5765691059798016</v>
      </c>
      <c r="F27">
        <f>F26+dtdx*(E26-2*F26+G26)</f>
        <v>0.71517857141882879</v>
      </c>
      <c r="G27">
        <f>G26+dtdx*(F26-2*G26+H26)</f>
        <v>0.81995022719385602</v>
      </c>
      <c r="H27">
        <f>H26+dtdx*(G26-2*H26+I26)</f>
        <v>0.89352692522680321</v>
      </c>
      <c r="I27">
        <f>I26+dtdx*(H26-2*I26+J26)</f>
        <v>0.94139490952151039</v>
      </c>
      <c r="J27">
        <f>J26+dtdx*(I26-2*J26+K26)</f>
        <v>0.97015218450333696</v>
      </c>
      <c r="K27">
        <f>K26+dtdx*(J26-2*K26+L26)</f>
        <v>0.98602882169438211</v>
      </c>
      <c r="L27">
        <f>L26+dtdx*(K26-2*L26+M26)</f>
        <v>0.99404186030571529</v>
      </c>
      <c r="M27">
        <f>M26+dtdx*(L26-2*M26+N26)</f>
        <v>0.99770882822111229</v>
      </c>
      <c r="N27">
        <f>N26+dtdx*(M26-2*N26+O26)</f>
        <v>0.99921730663481345</v>
      </c>
      <c r="O27">
        <f>O26+dtdx*(N26-2*O26+P26)</f>
        <v>0.9997667403261542</v>
      </c>
      <c r="P27">
        <f>P26+dtdx*(O26-2*P26+Q26)</f>
        <v>0.99994124484739078</v>
      </c>
      <c r="Q27">
        <f>Q26+dtdx*(P26-2*Q26+R26)</f>
        <v>0.99998797409157125</v>
      </c>
      <c r="R27">
        <f>R26+dtdx*(Q26-2*R26+S26)</f>
        <v>0.99999819611373564</v>
      </c>
      <c r="S27">
        <f>S26+dtdx*(R26-2*S26+T26)</f>
        <v>0.99999982820130817</v>
      </c>
      <c r="T27">
        <f>T26+dtdx*(S26-2*T26+U26)</f>
        <v>1</v>
      </c>
      <c r="U27">
        <f>U26+dtdx*(T26-2*U26+V26)</f>
        <v>1</v>
      </c>
      <c r="V27" s="9">
        <f t="shared" si="0"/>
        <v>1</v>
      </c>
    </row>
    <row r="28" spans="1:22" x14ac:dyDescent="0.25">
      <c r="A28" s="4">
        <f>A27+dtheta</f>
        <v>1.8000000000000009E-2</v>
      </c>
      <c r="B28" s="9">
        <v>0</v>
      </c>
      <c r="C28">
        <f>C27+dtdx*(B27-2*C27+D27)</f>
        <v>0.20433363946045444</v>
      </c>
      <c r="D28">
        <f>D27+dtdx*(C27-2*D27+E27)</f>
        <v>0.39576902224183297</v>
      </c>
      <c r="E28">
        <f>E27+dtdx*(D27-2*E27+F27)</f>
        <v>0.5637358491441562</v>
      </c>
      <c r="F28">
        <f>F27+dtdx*(E27-2*F27+G27)</f>
        <v>0.70164344755322883</v>
      </c>
      <c r="G28">
        <f>G27+dtdx*(F27-2*G27+H27)</f>
        <v>0.80747224409702401</v>
      </c>
      <c r="H28">
        <f>H27+dtdx*(G27-2*H27+I27)</f>
        <v>0.88324343973150721</v>
      </c>
      <c r="I28">
        <f>I27+dtdx*(H27-2*I27+J27)</f>
        <v>0.93375062579635815</v>
      </c>
      <c r="J28">
        <f>J27+dtdx*(I27-2*J27+K27)</f>
        <v>0.96499992938702439</v>
      </c>
      <c r="K28">
        <f>K27+dtdx*(J27-2*K27+L27)</f>
        <v>0.98288338226249727</v>
      </c>
      <c r="L28">
        <f>L27+dtdx*(K27-2*L27+M27)</f>
        <v>0.99230343202734073</v>
      </c>
      <c r="M28">
        <f>M27+dtdx*(L27-2*M27+N27)</f>
        <v>0.996845432420434</v>
      </c>
      <c r="N28">
        <f>N27+dtdx*(M27-2*N27+O27)</f>
        <v>0.9988336887458692</v>
      </c>
      <c r="O28">
        <f>O27+dtdx*(N27-2*O27+P27)</f>
        <v>0.99961676865811255</v>
      </c>
      <c r="P28">
        <f>P27+dtdx*(O27-2*P27+Q27)</f>
        <v>0.9998901347365684</v>
      </c>
      <c r="Q28">
        <f>Q27+dtdx*(P27-2*Q27+R27)</f>
        <v>0.99997337120276486</v>
      </c>
      <c r="R28">
        <f>R27+dtdx*(Q27-2*R27+S27)</f>
        <v>0.99999476013989896</v>
      </c>
      <c r="S28">
        <f>S27+dtdx*(R27-2*S27+T27)</f>
        <v>0.99999924408575591</v>
      </c>
      <c r="T28">
        <f>T27+dtdx*(S27-2*T27+U27)</f>
        <v>0.99999993128052334</v>
      </c>
      <c r="U28">
        <f>U27+dtdx*(T27-2*U27+V27)</f>
        <v>1</v>
      </c>
      <c r="V28" s="9">
        <f t="shared" si="0"/>
        <v>1.0000000229064923</v>
      </c>
    </row>
    <row r="29" spans="1:22" x14ac:dyDescent="0.25">
      <c r="A29" s="4">
        <f>A28+dtheta</f>
        <v>1.900000000000001E-2</v>
      </c>
      <c r="B29" s="9">
        <v>0</v>
      </c>
      <c r="C29">
        <f>C28+dtdx*(B28-2*C28+D28)</f>
        <v>0.19917433678882407</v>
      </c>
      <c r="D29">
        <f>D28+dtdx*(C28-2*D28+E28)</f>
        <v>0.38638159989021087</v>
      </c>
      <c r="E29">
        <f>E28+dtdx*(D28-2*E28+F28)</f>
        <v>0.551712157746856</v>
      </c>
      <c r="F29">
        <f>F28+dtdx*(E28-2*F28+G28)</f>
        <v>0.68881192680711789</v>
      </c>
      <c r="G29">
        <f>G28+dtdx*(F28-2*G28+H28)</f>
        <v>0.79544920373329919</v>
      </c>
      <c r="H29">
        <f>H28+dtdx*(G28-2*H28+I28)</f>
        <v>0.87313783590365435</v>
      </c>
      <c r="I29">
        <f>I28+dtdx*(H28-2*I28+J28)</f>
        <v>0.92604747280668431</v>
      </c>
      <c r="J29">
        <f>J28+dtdx*(I28-2*J28+K28)</f>
        <v>0.959653589100947</v>
      </c>
      <c r="K29">
        <f>K28+dtdx*(J28-2*K28+L28)</f>
        <v>0.97949802101824546</v>
      </c>
      <c r="L29">
        <f>L28+dtdx*(K28-2*L28+M28)</f>
        <v>0.99035221227864068</v>
      </c>
      <c r="M29">
        <f>M28+dtdx*(L28-2*M28+N28)</f>
        <v>0.99582393479337072</v>
      </c>
      <c r="N29">
        <f>N28+dtdx*(M28-2*N28+O28)</f>
        <v>0.99835161818059237</v>
      </c>
      <c r="O29">
        <f>O28+dtdx*(N28-2*O28+P28)</f>
        <v>0.99941288312459753</v>
      </c>
      <c r="P29">
        <f>P28+dtdx*(O28-2*P28+Q28)</f>
        <v>0.99981408289166462</v>
      </c>
      <c r="Q29">
        <f>Q28+dtdx*(P28-2*Q28+R28)</f>
        <v>0.99994863219113994</v>
      </c>
      <c r="R29">
        <f>R28+dtdx*(Q28-2*R28+S28)</f>
        <v>0.99998799814338812</v>
      </c>
      <c r="S29">
        <f>S28+dtdx*(R28-2*S28+T28)</f>
        <v>0.99999772538532017</v>
      </c>
      <c r="T29">
        <f>T28+dtdx*(S28-2*T28+U28)</f>
        <v>0.99999968389040705</v>
      </c>
      <c r="U29">
        <f>U28+dtdx*(T28-2*U28+V28)</f>
        <v>0.99999998167480619</v>
      </c>
      <c r="V29" s="9">
        <f t="shared" si="0"/>
        <v>1.0000000809362724</v>
      </c>
    </row>
    <row r="30" spans="1:22" x14ac:dyDescent="0.25">
      <c r="A30" s="4">
        <f>A29+dtheta</f>
        <v>2.0000000000000011E-2</v>
      </c>
      <c r="B30" s="9">
        <v>0</v>
      </c>
      <c r="C30">
        <f>C29+dtdx*(B29-2*C29+D29)</f>
        <v>0.19438750731384916</v>
      </c>
      <c r="D30">
        <f>D29+dtdx*(C29-2*D29+E29)</f>
        <v>0.37763091779231417</v>
      </c>
      <c r="E30">
        <f>E29+dtdx*(D29-2*E29+F29)</f>
        <v>0.54041984222830275</v>
      </c>
      <c r="F30">
        <f>F29+dtdx*(E29-2*F29+G29)</f>
        <v>0.67662692995348561</v>
      </c>
      <c r="G30">
        <f>G29+dtdx*(F29-2*G29+H29)</f>
        <v>0.78386974583096869</v>
      </c>
      <c r="H30">
        <f>H29+dtdx*(G29-2*H29+I29)</f>
        <v>0.86322623779672425</v>
      </c>
      <c r="I30">
        <f>I29+dtdx*(H29-2*I29+J29)</f>
        <v>0.91832606456317745</v>
      </c>
      <c r="J30">
        <f>J29+dtdx*(I29-2*J29+K29)</f>
        <v>0.95414891535016133</v>
      </c>
      <c r="K30">
        <f>K29+dtdx*(J29-2*K29+L29)</f>
        <v>0.97590192475548421</v>
      </c>
      <c r="L30">
        <f>L29+dtdx*(K29-2*L29+M29)</f>
        <v>0.9881992247803747</v>
      </c>
      <c r="M30">
        <f>M29+dtdx*(L29-2*M29+N29)</f>
        <v>0.99464631914236745</v>
      </c>
      <c r="N30">
        <f>N29+dtdx*(M29-2*N29+O29)</f>
        <v>0.99776505080330569</v>
      </c>
      <c r="O30">
        <f>O29+dtdx*(N29-2*O29+P29)</f>
        <v>0.99914885705382228</v>
      </c>
      <c r="P30">
        <f>P29+dtdx*(O29-2*P29+Q29)</f>
        <v>0.99970742270462787</v>
      </c>
      <c r="Q30">
        <f>Q29+dtdx*(P29-2*Q29+R29)</f>
        <v>0.99991055885224911</v>
      </c>
      <c r="R30">
        <f>R29+dtdx*(Q29-2*R29+S29)</f>
        <v>0.99997614265926171</v>
      </c>
      <c r="S30">
        <f>S29+dtdx*(R29-2*S29+T29)</f>
        <v>0.99999461789058208</v>
      </c>
      <c r="T30">
        <f>T29+dtdx*(S29-2*T29+U29)</f>
        <v>0.999999019602132</v>
      </c>
      <c r="U30">
        <f>U29+dtdx*(T29-2*U29+V29)</f>
        <v>0.99999990226563296</v>
      </c>
      <c r="V30" s="9">
        <f t="shared" si="0"/>
        <v>1.0000001964867997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CF66A-E41B-47FC-AF26-C35C2E5BF14E}">
  <sheetPr codeName="Sheet2"/>
  <dimension ref="A1:V31"/>
  <sheetViews>
    <sheetView topLeftCell="E7" zoomScaleNormal="100" workbookViewId="0">
      <selection activeCell="J23" sqref="J23"/>
    </sheetView>
  </sheetViews>
  <sheetFormatPr defaultRowHeight="15" x14ac:dyDescent="0.25"/>
  <sheetData>
    <row r="1" spans="1:22" x14ac:dyDescent="0.25">
      <c r="A1" s="1" t="s">
        <v>1</v>
      </c>
    </row>
    <row r="3" spans="1:22" x14ac:dyDescent="0.25">
      <c r="A3" s="3" t="s">
        <v>3</v>
      </c>
      <c r="B3" s="4">
        <v>1E-3</v>
      </c>
    </row>
    <row r="4" spans="1:22" x14ac:dyDescent="0.25">
      <c r="A4" s="4" t="s">
        <v>4</v>
      </c>
      <c r="B4" s="4">
        <v>0.05</v>
      </c>
    </row>
    <row r="5" spans="1:22" x14ac:dyDescent="0.25">
      <c r="A5" s="4" t="s">
        <v>5</v>
      </c>
      <c r="B5" s="4">
        <f>B3/B4^2</f>
        <v>0.39999999999999991</v>
      </c>
    </row>
    <row r="6" spans="1:22" x14ac:dyDescent="0.25">
      <c r="A6" s="4" t="s">
        <v>6</v>
      </c>
      <c r="B6" s="4">
        <v>20</v>
      </c>
    </row>
    <row r="8" spans="1:22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x14ac:dyDescent="0.25">
      <c r="A9" s="7"/>
      <c r="B9" s="6" t="s">
        <v>9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5">
      <c r="A10" s="5" t="s">
        <v>8</v>
      </c>
      <c r="B10" s="4">
        <v>0</v>
      </c>
      <c r="C10" s="4">
        <f>B10+dx</f>
        <v>0.05</v>
      </c>
      <c r="D10" s="4">
        <f>C10+dx</f>
        <v>0.1</v>
      </c>
      <c r="E10" s="4">
        <f>D10+dx</f>
        <v>0.15000000000000002</v>
      </c>
      <c r="F10" s="4">
        <f>E10+dx</f>
        <v>0.2</v>
      </c>
      <c r="G10" s="4">
        <f>F10+dx</f>
        <v>0.25</v>
      </c>
      <c r="H10" s="4">
        <f>G10+dx</f>
        <v>0.3</v>
      </c>
      <c r="I10" s="4">
        <f>H10+dx</f>
        <v>0.35</v>
      </c>
      <c r="J10" s="4">
        <f>I10+dx</f>
        <v>0.39999999999999997</v>
      </c>
      <c r="K10" s="4">
        <f>J10+dx</f>
        <v>0.44999999999999996</v>
      </c>
      <c r="L10" s="4">
        <f>K10+dx</f>
        <v>0.49999999999999994</v>
      </c>
      <c r="M10" s="4">
        <f>L10+dx</f>
        <v>0.54999999999999993</v>
      </c>
      <c r="N10" s="4">
        <f>M10+dx</f>
        <v>0.6</v>
      </c>
      <c r="O10" s="4">
        <f>N10+dx</f>
        <v>0.65</v>
      </c>
      <c r="P10" s="4">
        <f>O10+dx</f>
        <v>0.70000000000000007</v>
      </c>
      <c r="Q10" s="4">
        <f>P10+dx</f>
        <v>0.75000000000000011</v>
      </c>
      <c r="R10" s="4">
        <f>Q10+dx</f>
        <v>0.80000000000000016</v>
      </c>
      <c r="S10" s="4">
        <f>R10+dx</f>
        <v>0.8500000000000002</v>
      </c>
      <c r="T10" s="4">
        <f>S10+dx</f>
        <v>0.90000000000000024</v>
      </c>
      <c r="U10" s="4">
        <f>T10+dx</f>
        <v>0.95000000000000029</v>
      </c>
      <c r="V10" s="4">
        <f>U10+dx</f>
        <v>1.0000000000000002</v>
      </c>
    </row>
    <row r="11" spans="1:22" x14ac:dyDescent="0.25">
      <c r="A11" s="4">
        <v>0</v>
      </c>
      <c r="B11" s="9">
        <v>1</v>
      </c>
      <c r="C11" s="9">
        <f>C10</f>
        <v>0.05</v>
      </c>
      <c r="D11" s="9">
        <f t="shared" ref="D11:I11" si="0">D10</f>
        <v>0.1</v>
      </c>
      <c r="E11" s="9">
        <f t="shared" si="0"/>
        <v>0.15000000000000002</v>
      </c>
      <c r="F11" s="9">
        <f t="shared" si="0"/>
        <v>0.2</v>
      </c>
      <c r="G11" s="9">
        <f t="shared" si="0"/>
        <v>0.25</v>
      </c>
      <c r="H11" s="9">
        <f t="shared" si="0"/>
        <v>0.3</v>
      </c>
      <c r="I11" s="9">
        <f t="shared" si="0"/>
        <v>0.35</v>
      </c>
      <c r="J11" s="9">
        <f t="shared" ref="J11" si="1">J10</f>
        <v>0.39999999999999997</v>
      </c>
      <c r="K11" s="9">
        <f t="shared" ref="K11" si="2">K10</f>
        <v>0.44999999999999996</v>
      </c>
      <c r="L11" s="9">
        <f t="shared" ref="L11" si="3">L10</f>
        <v>0.49999999999999994</v>
      </c>
      <c r="M11" s="9">
        <f t="shared" ref="M11" si="4">M10</f>
        <v>0.54999999999999993</v>
      </c>
      <c r="N11" s="9">
        <f t="shared" ref="N11:O11" si="5">N10</f>
        <v>0.6</v>
      </c>
      <c r="O11" s="9">
        <f t="shared" si="5"/>
        <v>0.65</v>
      </c>
      <c r="P11" s="9">
        <f t="shared" ref="P11" si="6">P10</f>
        <v>0.70000000000000007</v>
      </c>
      <c r="Q11" s="9">
        <f t="shared" ref="Q11" si="7">Q10</f>
        <v>0.75000000000000011</v>
      </c>
      <c r="R11" s="9">
        <f t="shared" ref="R11" si="8">R10</f>
        <v>0.80000000000000016</v>
      </c>
      <c r="S11" s="9">
        <f t="shared" ref="S11" si="9">S10</f>
        <v>0.8500000000000002</v>
      </c>
      <c r="T11" s="9">
        <f t="shared" ref="T11:U11" si="10">T10</f>
        <v>0.90000000000000024</v>
      </c>
      <c r="U11" s="9">
        <f t="shared" si="10"/>
        <v>0.95000000000000029</v>
      </c>
      <c r="V11" s="9">
        <v>0</v>
      </c>
    </row>
    <row r="12" spans="1:22" x14ac:dyDescent="0.25">
      <c r="A12" s="4">
        <f>A11+dtheta</f>
        <v>1E-3</v>
      </c>
      <c r="B12" s="9">
        <v>1</v>
      </c>
      <c r="C12">
        <f>C11+dtdx*(B11-2*C11+D11)</f>
        <v>0.4499999999999999</v>
      </c>
      <c r="D12">
        <f>D11+dtdx*(C11-2*D11+E11)</f>
        <v>0.1</v>
      </c>
      <c r="E12">
        <f>E11+dtdx*(D11-2*E11+F11)</f>
        <v>0.15000000000000002</v>
      </c>
      <c r="F12">
        <f>F11+dtdx*(E11-2*F11+G11)</f>
        <v>0.2</v>
      </c>
      <c r="G12">
        <f>G11+dtdx*(F11-2*G11+H11)</f>
        <v>0.25</v>
      </c>
      <c r="H12">
        <f>H11+dtdx*(G11-2*H11+I11)</f>
        <v>0.3</v>
      </c>
      <c r="I12">
        <f>I11+dtdx*(H11-2*I11+J11)</f>
        <v>0.35</v>
      </c>
      <c r="J12">
        <f>J11+dtdx*(I11-2*J11+K11)</f>
        <v>0.39999999999999997</v>
      </c>
      <c r="K12">
        <f>K11+dtdx*(J11-2*K11+L11)</f>
        <v>0.44999999999999996</v>
      </c>
      <c r="L12">
        <f>L11+dtdx*(K11-2*L11+M11)</f>
        <v>0.49999999999999994</v>
      </c>
      <c r="M12">
        <f>M11+dtdx*(L11-2*M11+N11)</f>
        <v>0.54999999999999993</v>
      </c>
      <c r="N12">
        <f>N11+dtdx*(M11-2*N11+O11)</f>
        <v>0.6</v>
      </c>
      <c r="O12">
        <f>O11+dtdx*(N11-2*O11+P11)</f>
        <v>0.65</v>
      </c>
      <c r="P12">
        <f>P11+dtdx*(O11-2*P11+Q11)</f>
        <v>0.70000000000000007</v>
      </c>
      <c r="Q12">
        <f>Q11+dtdx*(P11-2*Q11+R11)</f>
        <v>0.75000000000000011</v>
      </c>
      <c r="R12">
        <f>R11+dtdx*(Q11-2*R11+S11)</f>
        <v>0.80000000000000016</v>
      </c>
      <c r="S12">
        <f>S11+dtdx*(R11-2*S11+T11)</f>
        <v>0.8500000000000002</v>
      </c>
      <c r="T12">
        <f>T11+dtdx*(S11-2*T11+U11)</f>
        <v>0.90000000000000024</v>
      </c>
      <c r="U12">
        <f>U11+dtdx*(T11-2*U11+V11)</f>
        <v>0.55000000000000027</v>
      </c>
      <c r="V12" s="9">
        <v>0</v>
      </c>
    </row>
    <row r="13" spans="1:22" x14ac:dyDescent="0.25">
      <c r="A13" s="4">
        <f>A12+dtheta</f>
        <v>2E-3</v>
      </c>
      <c r="B13" s="9">
        <v>1</v>
      </c>
      <c r="C13">
        <f>C12+dtdx*(B12-2*C12+D12)</f>
        <v>0.53</v>
      </c>
      <c r="D13">
        <f>D12+dtdx*(C12-2*D12+E12)</f>
        <v>0.2599999999999999</v>
      </c>
      <c r="E13">
        <f>E12+dtdx*(D12-2*E12+F12)</f>
        <v>0.15000000000000002</v>
      </c>
      <c r="F13">
        <f>F12+dtdx*(E12-2*F12+G12)</f>
        <v>0.2</v>
      </c>
      <c r="G13">
        <f>G12+dtdx*(F12-2*G12+H12)</f>
        <v>0.25</v>
      </c>
      <c r="H13">
        <f>H12+dtdx*(G12-2*H12+I12)</f>
        <v>0.3</v>
      </c>
      <c r="I13">
        <f>I12+dtdx*(H12-2*I12+J12)</f>
        <v>0.35</v>
      </c>
      <c r="J13">
        <f>J12+dtdx*(I12-2*J12+K12)</f>
        <v>0.39999999999999997</v>
      </c>
      <c r="K13">
        <f>K12+dtdx*(J12-2*K12+L12)</f>
        <v>0.44999999999999996</v>
      </c>
      <c r="L13">
        <f>L12+dtdx*(K12-2*L12+M12)</f>
        <v>0.49999999999999994</v>
      </c>
      <c r="M13">
        <f>M12+dtdx*(L12-2*M12+N12)</f>
        <v>0.54999999999999993</v>
      </c>
      <c r="N13">
        <f>N12+dtdx*(M12-2*N12+O12)</f>
        <v>0.6</v>
      </c>
      <c r="O13">
        <f>O12+dtdx*(N12-2*O12+P12)</f>
        <v>0.65</v>
      </c>
      <c r="P13">
        <f>P12+dtdx*(O12-2*P12+Q12)</f>
        <v>0.70000000000000007</v>
      </c>
      <c r="Q13">
        <f>Q12+dtdx*(P12-2*Q12+R12)</f>
        <v>0.75000000000000011</v>
      </c>
      <c r="R13">
        <f>R12+dtdx*(Q12-2*R12+S12)</f>
        <v>0.80000000000000016</v>
      </c>
      <c r="S13">
        <f>S12+dtdx*(R12-2*S12+T12)</f>
        <v>0.8500000000000002</v>
      </c>
      <c r="T13">
        <f>T12+dtdx*(S12-2*T12+U12)</f>
        <v>0.74000000000000021</v>
      </c>
      <c r="U13">
        <f>U12+dtdx*(T12-2*U12+V12)</f>
        <v>0.4700000000000002</v>
      </c>
      <c r="V13" s="9">
        <v>0</v>
      </c>
    </row>
    <row r="14" spans="1:22" x14ac:dyDescent="0.25">
      <c r="A14" s="4">
        <f>A13+dtheta</f>
        <v>3.0000000000000001E-3</v>
      </c>
      <c r="B14" s="9">
        <v>1</v>
      </c>
      <c r="C14">
        <f>C13+dtdx*(B13-2*C13+D13)</f>
        <v>0.61</v>
      </c>
      <c r="D14">
        <f>D13+dtdx*(C13-2*D13+E13)</f>
        <v>0.32399999999999995</v>
      </c>
      <c r="E14">
        <f>E13+dtdx*(D13-2*E13+F13)</f>
        <v>0.21399999999999997</v>
      </c>
      <c r="F14">
        <f>F13+dtdx*(E13-2*F13+G13)</f>
        <v>0.2</v>
      </c>
      <c r="G14">
        <f>G13+dtdx*(F13-2*G13+H13)</f>
        <v>0.25</v>
      </c>
      <c r="H14">
        <f>H13+dtdx*(G13-2*H13+I13)</f>
        <v>0.3</v>
      </c>
      <c r="I14">
        <f>I13+dtdx*(H13-2*I13+J13)</f>
        <v>0.35</v>
      </c>
      <c r="J14">
        <f>J13+dtdx*(I13-2*J13+K13)</f>
        <v>0.39999999999999997</v>
      </c>
      <c r="K14">
        <f>K13+dtdx*(J13-2*K13+L13)</f>
        <v>0.44999999999999996</v>
      </c>
      <c r="L14">
        <f>L13+dtdx*(K13-2*L13+M13)</f>
        <v>0.49999999999999994</v>
      </c>
      <c r="M14">
        <f>M13+dtdx*(L13-2*M13+N13)</f>
        <v>0.54999999999999993</v>
      </c>
      <c r="N14">
        <f>N13+dtdx*(M13-2*N13+O13)</f>
        <v>0.6</v>
      </c>
      <c r="O14">
        <f>O13+dtdx*(N13-2*O13+P13)</f>
        <v>0.65</v>
      </c>
      <c r="P14">
        <f>P13+dtdx*(O13-2*P13+Q13)</f>
        <v>0.70000000000000007</v>
      </c>
      <c r="Q14">
        <f>Q13+dtdx*(P13-2*Q13+R13)</f>
        <v>0.75000000000000011</v>
      </c>
      <c r="R14">
        <f>R13+dtdx*(Q13-2*R13+S13)</f>
        <v>0.80000000000000016</v>
      </c>
      <c r="S14">
        <f>S13+dtdx*(R13-2*S13+T13)</f>
        <v>0.78600000000000025</v>
      </c>
      <c r="T14">
        <f>T13+dtdx*(S13-2*T13+U13)</f>
        <v>0.67600000000000016</v>
      </c>
      <c r="U14">
        <f>U13+dtdx*(T13-2*U13+V13)</f>
        <v>0.39000000000000012</v>
      </c>
      <c r="V14" s="9">
        <v>0</v>
      </c>
    </row>
    <row r="15" spans="1:22" x14ac:dyDescent="0.25">
      <c r="A15" s="4">
        <f>A14+dtheta</f>
        <v>4.0000000000000001E-3</v>
      </c>
      <c r="B15" s="9">
        <v>1</v>
      </c>
      <c r="C15">
        <f>C14+dtdx*(B14-2*C14+D14)</f>
        <v>0.65159999999999996</v>
      </c>
      <c r="D15">
        <f>D14+dtdx*(C14-2*D14+E14)</f>
        <v>0.39439999999999997</v>
      </c>
      <c r="E15">
        <f>E14+dtdx*(D14-2*E14+F14)</f>
        <v>0.25239999999999996</v>
      </c>
      <c r="F15">
        <f>F14+dtdx*(E14-2*F14+G14)</f>
        <v>0.22559999999999999</v>
      </c>
      <c r="G15">
        <f>G14+dtdx*(F14-2*G14+H14)</f>
        <v>0.25</v>
      </c>
      <c r="H15">
        <f>H14+dtdx*(G14-2*H14+I14)</f>
        <v>0.3</v>
      </c>
      <c r="I15">
        <f>I14+dtdx*(H14-2*I14+J14)</f>
        <v>0.35</v>
      </c>
      <c r="J15">
        <f>J14+dtdx*(I14-2*J14+K14)</f>
        <v>0.39999999999999997</v>
      </c>
      <c r="K15">
        <f>K14+dtdx*(J14-2*K14+L14)</f>
        <v>0.44999999999999996</v>
      </c>
      <c r="L15">
        <f>L14+dtdx*(K14-2*L14+M14)</f>
        <v>0.49999999999999994</v>
      </c>
      <c r="M15">
        <f>M14+dtdx*(L14-2*M14+N14)</f>
        <v>0.54999999999999993</v>
      </c>
      <c r="N15">
        <f>N14+dtdx*(M14-2*N14+O14)</f>
        <v>0.6</v>
      </c>
      <c r="O15">
        <f>O14+dtdx*(N14-2*O14+P14)</f>
        <v>0.65</v>
      </c>
      <c r="P15">
        <f>P14+dtdx*(O14-2*P14+Q14)</f>
        <v>0.70000000000000007</v>
      </c>
      <c r="Q15">
        <f>Q14+dtdx*(P14-2*Q14+R14)</f>
        <v>0.75000000000000011</v>
      </c>
      <c r="R15">
        <f>R14+dtdx*(Q14-2*R14+S14)</f>
        <v>0.7744000000000002</v>
      </c>
      <c r="S15">
        <f>S14+dtdx*(R14-2*S14+T14)</f>
        <v>0.74760000000000015</v>
      </c>
      <c r="T15">
        <f>T14+dtdx*(S14-2*T14+U14)</f>
        <v>0.60560000000000014</v>
      </c>
      <c r="U15">
        <f>U14+dtdx*(T14-2*U14+V14)</f>
        <v>0.3484000000000001</v>
      </c>
      <c r="V15" s="9">
        <v>0</v>
      </c>
    </row>
    <row r="16" spans="1:22" x14ac:dyDescent="0.25">
      <c r="A16" s="4">
        <f>A15+dtheta</f>
        <v>5.0000000000000001E-3</v>
      </c>
      <c r="B16" s="9">
        <v>1</v>
      </c>
      <c r="C16">
        <f>C15+dtdx*(B15-2*C15+D15)</f>
        <v>0.68808000000000002</v>
      </c>
      <c r="D16">
        <f>D15+dtdx*(C15-2*D15+E15)</f>
        <v>0.44047999999999993</v>
      </c>
      <c r="E16">
        <f>E15+dtdx*(D15-2*E15+F15)</f>
        <v>0.29847999999999997</v>
      </c>
      <c r="F16">
        <f>F15+dtdx*(E15-2*F15+G15)</f>
        <v>0.24607999999999997</v>
      </c>
      <c r="G16">
        <f>G15+dtdx*(F15-2*G15+H15)</f>
        <v>0.26024000000000003</v>
      </c>
      <c r="H16">
        <f>H15+dtdx*(G15-2*H15+I15)</f>
        <v>0.3</v>
      </c>
      <c r="I16">
        <f>I15+dtdx*(H15-2*I15+J15)</f>
        <v>0.35</v>
      </c>
      <c r="J16">
        <f>J15+dtdx*(I15-2*J15+K15)</f>
        <v>0.39999999999999997</v>
      </c>
      <c r="K16">
        <f>K15+dtdx*(J15-2*K15+L15)</f>
        <v>0.44999999999999996</v>
      </c>
      <c r="L16">
        <f>L15+dtdx*(K15-2*L15+M15)</f>
        <v>0.49999999999999994</v>
      </c>
      <c r="M16">
        <f>M15+dtdx*(L15-2*M15+N15)</f>
        <v>0.54999999999999993</v>
      </c>
      <c r="N16">
        <f>N15+dtdx*(M15-2*N15+O15)</f>
        <v>0.6</v>
      </c>
      <c r="O16">
        <f>O15+dtdx*(N15-2*O15+P15)</f>
        <v>0.65</v>
      </c>
      <c r="P16">
        <f>P15+dtdx*(O15-2*P15+Q15)</f>
        <v>0.70000000000000007</v>
      </c>
      <c r="Q16">
        <f>Q15+dtdx*(P15-2*Q15+R15)</f>
        <v>0.73976000000000008</v>
      </c>
      <c r="R16">
        <f>R15+dtdx*(Q15-2*R15+S15)</f>
        <v>0.75392000000000015</v>
      </c>
      <c r="S16">
        <f>S15+dtdx*(R15-2*S15+T15)</f>
        <v>0.70152000000000014</v>
      </c>
      <c r="T16">
        <f>T15+dtdx*(S15-2*T15+U15)</f>
        <v>0.55952000000000013</v>
      </c>
      <c r="U16">
        <f>U15+dtdx*(T15-2*U15+V15)</f>
        <v>0.31192000000000009</v>
      </c>
      <c r="V16" s="9">
        <v>0</v>
      </c>
    </row>
    <row r="17" spans="1:22" x14ac:dyDescent="0.25">
      <c r="A17" s="4">
        <f>A16+dtheta</f>
        <v>6.0000000000000001E-3</v>
      </c>
      <c r="B17" s="9">
        <v>1</v>
      </c>
      <c r="C17">
        <f>C16+dtdx*(B16-2*C16+D16)</f>
        <v>0.713808</v>
      </c>
      <c r="D17">
        <f>D16+dtdx*(C16-2*D16+E16)</f>
        <v>0.48271999999999998</v>
      </c>
      <c r="E17">
        <f>E16+dtdx*(D16-2*E16+F16)</f>
        <v>0.33431999999999995</v>
      </c>
      <c r="F17">
        <f>F16+dtdx*(E16-2*F16+G16)</f>
        <v>0.272704</v>
      </c>
      <c r="G17">
        <f>G16+dtdx*(F16-2*G16+H16)</f>
        <v>0.27048</v>
      </c>
      <c r="H17">
        <f>H16+dtdx*(G16-2*H16+I16)</f>
        <v>0.30409599999999998</v>
      </c>
      <c r="I17">
        <f>I16+dtdx*(H16-2*I16+J16)</f>
        <v>0.35</v>
      </c>
      <c r="J17">
        <f>J16+dtdx*(I16-2*J16+K16)</f>
        <v>0.39999999999999997</v>
      </c>
      <c r="K17">
        <f>K16+dtdx*(J16-2*K16+L16)</f>
        <v>0.44999999999999996</v>
      </c>
      <c r="L17">
        <f>L16+dtdx*(K16-2*L16+M16)</f>
        <v>0.49999999999999994</v>
      </c>
      <c r="M17">
        <f>M16+dtdx*(L16-2*M16+N16)</f>
        <v>0.54999999999999993</v>
      </c>
      <c r="N17">
        <f>N16+dtdx*(M16-2*N16+O16)</f>
        <v>0.6</v>
      </c>
      <c r="O17">
        <f>O16+dtdx*(N16-2*O16+P16)</f>
        <v>0.65</v>
      </c>
      <c r="P17">
        <f>P16+dtdx*(O16-2*P16+Q16)</f>
        <v>0.69590400000000008</v>
      </c>
      <c r="Q17">
        <f>Q16+dtdx*(P16-2*Q16+R16)</f>
        <v>0.72952000000000006</v>
      </c>
      <c r="R17">
        <f>R16+dtdx*(Q16-2*R16+S16)</f>
        <v>0.72729600000000016</v>
      </c>
      <c r="S17">
        <f>S16+dtdx*(R16-2*S16+T16)</f>
        <v>0.66568000000000016</v>
      </c>
      <c r="T17">
        <f>T16+dtdx*(S16-2*T16+U16)</f>
        <v>0.51728000000000018</v>
      </c>
      <c r="U17">
        <f>U16+dtdx*(T16-2*U16+V16)</f>
        <v>0.28619200000000006</v>
      </c>
      <c r="V17" s="9">
        <v>0</v>
      </c>
    </row>
    <row r="18" spans="1:22" x14ac:dyDescent="0.25">
      <c r="A18" s="4">
        <f>A17+dtheta</f>
        <v>7.0000000000000001E-3</v>
      </c>
      <c r="B18" s="9">
        <v>1</v>
      </c>
      <c r="C18">
        <f>C17+dtdx*(B17-2*C17+D17)</f>
        <v>0.73584959999999999</v>
      </c>
      <c r="D18">
        <f>D17+dtdx*(C17-2*D17+E17)</f>
        <v>0.51579520000000001</v>
      </c>
      <c r="E18">
        <f>E17+dtdx*(D17-2*E17+F17)</f>
        <v>0.36903359999999996</v>
      </c>
      <c r="F18">
        <f>F17+dtdx*(E17-2*F17+G17)</f>
        <v>0.29646079999999997</v>
      </c>
      <c r="G18">
        <f>G17+dtdx*(F17-2*G17+H17)</f>
        <v>0.28481600000000001</v>
      </c>
      <c r="H18">
        <f>H17+dtdx*(G17-2*H17+I17)</f>
        <v>0.30901119999999999</v>
      </c>
      <c r="I18">
        <f>I17+dtdx*(H17-2*I17+J17)</f>
        <v>0.35163839999999996</v>
      </c>
      <c r="J18">
        <f>J17+dtdx*(I17-2*J17+K17)</f>
        <v>0.39999999999999997</v>
      </c>
      <c r="K18">
        <f>K17+dtdx*(J17-2*K17+L17)</f>
        <v>0.44999999999999996</v>
      </c>
      <c r="L18">
        <f>L17+dtdx*(K17-2*L17+M17)</f>
        <v>0.49999999999999994</v>
      </c>
      <c r="M18">
        <f>M17+dtdx*(L17-2*M17+N17)</f>
        <v>0.54999999999999993</v>
      </c>
      <c r="N18">
        <f>N17+dtdx*(M17-2*N17+O17)</f>
        <v>0.6</v>
      </c>
      <c r="O18">
        <f>O17+dtdx*(N17-2*O17+P17)</f>
        <v>0.64836159999999998</v>
      </c>
      <c r="P18">
        <f>P17+dtdx*(O17-2*P17+Q17)</f>
        <v>0.69098880000000007</v>
      </c>
      <c r="Q18">
        <f>Q17+dtdx*(P17-2*Q17+R17)</f>
        <v>0.71518400000000015</v>
      </c>
      <c r="R18">
        <f>R17+dtdx*(Q17-2*R17+S17)</f>
        <v>0.70353920000000014</v>
      </c>
      <c r="S18">
        <f>S17+dtdx*(R17-2*S17+T17)</f>
        <v>0.63096640000000015</v>
      </c>
      <c r="T18">
        <f>T17+dtdx*(S17-2*T17+U17)</f>
        <v>0.4842048000000001</v>
      </c>
      <c r="U18">
        <f>U17+dtdx*(T17-2*U17+V17)</f>
        <v>0.26415040000000012</v>
      </c>
      <c r="V18" s="9">
        <v>0</v>
      </c>
    </row>
    <row r="19" spans="1:22" x14ac:dyDescent="0.25">
      <c r="A19" s="4">
        <f>A18+dtheta</f>
        <v>8.0000000000000002E-3</v>
      </c>
      <c r="B19" s="9">
        <v>1</v>
      </c>
      <c r="C19">
        <f>C18+dtdx*(B18-2*C18+D18)</f>
        <v>0.75348800000000005</v>
      </c>
      <c r="D19">
        <f>D18+dtdx*(C18-2*D18+E18)</f>
        <v>0.54511231999999998</v>
      </c>
      <c r="E19">
        <f>E18+dtdx*(D18-2*E18+F18)</f>
        <v>0.39870911999999997</v>
      </c>
      <c r="F19">
        <f>F18+dtdx*(E18-2*F18+G18)</f>
        <v>0.32083200000000001</v>
      </c>
      <c r="G19">
        <f>G18+dtdx*(F18-2*G18+H18)</f>
        <v>0.29915199999999997</v>
      </c>
      <c r="H19">
        <f>H18+dtdx*(G18-2*H18+I18)</f>
        <v>0.316384</v>
      </c>
      <c r="I19">
        <f>I18+dtdx*(H18-2*I18+J18)</f>
        <v>0.35393216</v>
      </c>
      <c r="J19">
        <f>J18+dtdx*(I18-2*J18+K18)</f>
        <v>0.40065535999999996</v>
      </c>
      <c r="K19">
        <f>K18+dtdx*(J18-2*K18+L18)</f>
        <v>0.44999999999999996</v>
      </c>
      <c r="L19">
        <f>L18+dtdx*(K18-2*L18+M18)</f>
        <v>0.49999999999999994</v>
      </c>
      <c r="M19">
        <f>M18+dtdx*(L18-2*M18+N18)</f>
        <v>0.54999999999999993</v>
      </c>
      <c r="N19">
        <f>N18+dtdx*(M18-2*N18+O18)</f>
        <v>0.59934463999999998</v>
      </c>
      <c r="O19">
        <f>O18+dtdx*(N18-2*O18+P18)</f>
        <v>0.64606784000000006</v>
      </c>
      <c r="P19">
        <f>P18+dtdx*(O18-2*P18+Q18)</f>
        <v>0.68361600000000011</v>
      </c>
      <c r="Q19">
        <f>Q18+dtdx*(P18-2*Q18+R18)</f>
        <v>0.70084800000000014</v>
      </c>
      <c r="R19">
        <f>R18+dtdx*(Q18-2*R18+S18)</f>
        <v>0.6791680000000001</v>
      </c>
      <c r="S19">
        <f>S18+dtdx*(R18-2*S18+T18)</f>
        <v>0.60129088000000008</v>
      </c>
      <c r="T19">
        <f>T18+dtdx*(S18-2*T18+U18)</f>
        <v>0.45488768000000013</v>
      </c>
      <c r="U19">
        <f>U18+dtdx*(T18-2*U18+V18)</f>
        <v>0.24651200000000006</v>
      </c>
      <c r="V19" s="9">
        <v>0</v>
      </c>
    </row>
    <row r="20" spans="1:22" x14ac:dyDescent="0.25">
      <c r="A20" s="4">
        <f>A19+dtheta</f>
        <v>9.0000000000000011E-3</v>
      </c>
      <c r="B20" s="9">
        <v>1</v>
      </c>
      <c r="C20">
        <f>C19+dtdx*(B19-2*C19+D19)</f>
        <v>0.76874252799999998</v>
      </c>
      <c r="D20">
        <f>D19+dtdx*(C19-2*D19+E19)</f>
        <v>0.56990131200000005</v>
      </c>
      <c r="E20">
        <f>E19+dtdx*(D19-2*E19+F19)</f>
        <v>0.42611955199999996</v>
      </c>
      <c r="F20">
        <f>F19+dtdx*(E19-2*F19+G19)</f>
        <v>0.343310848</v>
      </c>
      <c r="G20">
        <f>G19+dtdx*(F19-2*G19+H19)</f>
        <v>0.31471680000000002</v>
      </c>
      <c r="H20">
        <f>H19+dtdx*(G19-2*H19+I19)</f>
        <v>0.324510464</v>
      </c>
      <c r="I20">
        <f>I19+dtdx*(H19-2*I19+J19)</f>
        <v>0.35760217599999999</v>
      </c>
      <c r="J20">
        <f>J19+dtdx*(I19-2*J19+K19)</f>
        <v>0.40170393599999998</v>
      </c>
      <c r="K20">
        <f>K19+dtdx*(J19-2*K19+L19)</f>
        <v>0.45026214399999998</v>
      </c>
      <c r="L20">
        <f>L19+dtdx*(K19-2*L19+M19)</f>
        <v>0.49999999999999994</v>
      </c>
      <c r="M20">
        <f>M19+dtdx*(L19-2*M19+N19)</f>
        <v>0.54973785600000002</v>
      </c>
      <c r="N20">
        <f>N19+dtdx*(M19-2*N19+O19)</f>
        <v>0.59829606400000002</v>
      </c>
      <c r="O20">
        <f>O19+dtdx*(N19-2*O19+P19)</f>
        <v>0.64239782400000001</v>
      </c>
      <c r="P20">
        <f>P19+dtdx*(O19-2*P19+Q19)</f>
        <v>0.67548953600000006</v>
      </c>
      <c r="Q20">
        <f>Q19+dtdx*(P19-2*Q19+R19)</f>
        <v>0.68528320000000009</v>
      </c>
      <c r="R20">
        <f>R19+dtdx*(Q19-2*R19+S19)</f>
        <v>0.65668915200000011</v>
      </c>
      <c r="S20">
        <f>S19+dtdx*(R19-2*S19+T19)</f>
        <v>0.57388044800000015</v>
      </c>
      <c r="T20">
        <f>T19+dtdx*(S19-2*T19+U19)</f>
        <v>0.43009868800000006</v>
      </c>
      <c r="U20">
        <f>U19+dtdx*(T19-2*U19+V19)</f>
        <v>0.23125747200000007</v>
      </c>
      <c r="V20" s="9">
        <v>0</v>
      </c>
    </row>
    <row r="21" spans="1:22" x14ac:dyDescent="0.25">
      <c r="A21" s="4">
        <f>A20+dtheta</f>
        <v>1.0000000000000002E-2</v>
      </c>
      <c r="B21" s="9">
        <v>1</v>
      </c>
      <c r="C21">
        <f>C20+dtdx*(B20-2*C20+D20)</f>
        <v>0.78170903040000006</v>
      </c>
      <c r="D21">
        <f>D20+dtdx*(C20-2*D20+E20)</f>
        <v>0.59192509439999996</v>
      </c>
      <c r="E21">
        <f>E20+dtdx*(D20-2*E20+F20)</f>
        <v>0.45050877440000003</v>
      </c>
      <c r="F21">
        <f>F20+dtdx*(E20-2*F20+G20)</f>
        <v>0.36499671039999998</v>
      </c>
      <c r="G21">
        <f>G20+dtdx*(F20-2*G20+H20)</f>
        <v>0.33007188479999999</v>
      </c>
      <c r="H21">
        <f>H20+dtdx*(G20-2*H20+I20)</f>
        <v>0.3338296832</v>
      </c>
      <c r="I21">
        <f>I20+dtdx*(H20-2*I20+J20)</f>
        <v>0.36200619519999999</v>
      </c>
      <c r="J21">
        <f>J20+dtdx*(I20-2*J20+K20)</f>
        <v>0.40348651520000001</v>
      </c>
      <c r="K21">
        <f>K20+dtdx*(J20-2*K20+L20)</f>
        <v>0.45073400319999996</v>
      </c>
      <c r="L21">
        <f>L20+dtdx*(K20-2*L20+M20)</f>
        <v>0.5</v>
      </c>
      <c r="M21">
        <f>M20+dtdx*(L20-2*M20+N20)</f>
        <v>0.54926599679999999</v>
      </c>
      <c r="N21">
        <f>N20+dtdx*(M20-2*N20+O20)</f>
        <v>0.59651348479999999</v>
      </c>
      <c r="O21">
        <f>O20+dtdx*(N20-2*O20+P20)</f>
        <v>0.63799380480000001</v>
      </c>
      <c r="P21">
        <f>P20+dtdx*(O20-2*P20+Q20)</f>
        <v>0.66617031680000005</v>
      </c>
      <c r="Q21">
        <f>Q20+dtdx*(P20-2*Q20+R20)</f>
        <v>0.66992811520000006</v>
      </c>
      <c r="R21">
        <f>R20+dtdx*(Q20-2*R20+S20)</f>
        <v>0.63500328960000008</v>
      </c>
      <c r="S21">
        <f>S20+dtdx*(R20-2*S20+T20)</f>
        <v>0.54949122560000008</v>
      </c>
      <c r="T21">
        <f>T20+dtdx*(S20-2*T20+U20)</f>
        <v>0.40807490560000009</v>
      </c>
      <c r="U21">
        <f>U20+dtdx*(T20-2*U20+V20)</f>
        <v>0.21829096960000005</v>
      </c>
      <c r="V21" s="9">
        <v>0</v>
      </c>
    </row>
    <row r="22" spans="1:22" x14ac:dyDescent="0.25">
      <c r="A22" s="4">
        <f>A21+dtheta</f>
        <v>1.1000000000000003E-2</v>
      </c>
      <c r="B22" s="9">
        <v>1</v>
      </c>
      <c r="C22">
        <f>C21+dtdx*(B21-2*C21+D21)</f>
        <v>0.79311184384</v>
      </c>
      <c r="D22">
        <f>D21+dtdx*(C21-2*D21+E21)</f>
        <v>0.61127214080000003</v>
      </c>
      <c r="E22">
        <f>E21+dtdx*(D21-2*E21+F21)</f>
        <v>0.47287047679999999</v>
      </c>
      <c r="F22">
        <f>F21+dtdx*(E21-2*F21+G21)</f>
        <v>0.38523160575999998</v>
      </c>
      <c r="G22">
        <f>G21+dtdx*(F21-2*G21+H21)</f>
        <v>0.3455449344</v>
      </c>
      <c r="H22">
        <f>H21+dtdx*(G21-2*H21+I21)</f>
        <v>0.34359716864000001</v>
      </c>
      <c r="I22">
        <f>I21+dtdx*(H21-2*I21+J21)</f>
        <v>0.3673277184</v>
      </c>
      <c r="J22">
        <f>J21+dtdx*(I21-2*J21+K21)</f>
        <v>0.40579338239999996</v>
      </c>
      <c r="K22">
        <f>K21+dtdx*(J21-2*K21+L21)</f>
        <v>0.45154140671999998</v>
      </c>
      <c r="L22">
        <f>L21+dtdx*(K21-2*L21+M21)</f>
        <v>0.5</v>
      </c>
      <c r="M22">
        <f>M21+dtdx*(L21-2*M21+N21)</f>
        <v>0.54845859328000002</v>
      </c>
      <c r="N22">
        <f>N21+dtdx*(M21-2*N21+O21)</f>
        <v>0.59420661760000004</v>
      </c>
      <c r="O22">
        <f>O21+dtdx*(N21-2*O21+P21)</f>
        <v>0.6326722816</v>
      </c>
      <c r="P22">
        <f>P21+dtdx*(O21-2*P21+Q21)</f>
        <v>0.65640283135999999</v>
      </c>
      <c r="Q22">
        <f>Q21+dtdx*(P21-2*Q21+R21)</f>
        <v>0.65445506560000011</v>
      </c>
      <c r="R22">
        <f>R21+dtdx*(Q21-2*R21+S21)</f>
        <v>0.61476839424000007</v>
      </c>
      <c r="S22">
        <f>S21+dtdx*(R21-2*S21+T21)</f>
        <v>0.52712952320000006</v>
      </c>
      <c r="T22">
        <f>T21+dtdx*(S21-2*T21+U21)</f>
        <v>0.38872785920000008</v>
      </c>
      <c r="U22">
        <f>U21+dtdx*(T21-2*U21+V21)</f>
        <v>0.20688815616000006</v>
      </c>
      <c r="V22" s="9">
        <v>0</v>
      </c>
    </row>
    <row r="23" spans="1:22" x14ac:dyDescent="0.25">
      <c r="A23" s="4">
        <f>A22+dtheta</f>
        <v>1.2000000000000004E-2</v>
      </c>
      <c r="B23" s="9">
        <v>1</v>
      </c>
      <c r="C23">
        <f>C22+dtdx*(B22-2*C22+D22)</f>
        <v>0.80313122508800006</v>
      </c>
      <c r="D23">
        <f>D22+dtdx*(C22-2*D22+E22)</f>
        <v>0.628647356416</v>
      </c>
      <c r="E23">
        <f>E22+dtdx*(D22-2*E22+F22)</f>
        <v>0.49317559398400002</v>
      </c>
      <c r="F23">
        <f>F22+dtdx*(E22-2*F22+G22)</f>
        <v>0.404412485632</v>
      </c>
      <c r="G23">
        <f>G22+dtdx*(F22-2*G22+H22)</f>
        <v>0.36064049663999997</v>
      </c>
      <c r="H23">
        <f>H22+dtdx*(G22-2*H22+I22)</f>
        <v>0.35386849484799998</v>
      </c>
      <c r="I23">
        <f>I22+dtdx*(H22-2*I22+J22)</f>
        <v>0.373221764096</v>
      </c>
      <c r="J23">
        <f>J22+dtdx*(I22-2*J22+K22)</f>
        <v>0.40870632652799999</v>
      </c>
      <c r="K23">
        <f>K22+dtdx*(J22-2*K22+L22)</f>
        <v>0.45262563430399999</v>
      </c>
      <c r="L23">
        <f>L22+dtdx*(K22-2*L22+M22)</f>
        <v>0.5</v>
      </c>
      <c r="M23">
        <f>M22+dtdx*(L22-2*M22+N22)</f>
        <v>0.54737436569600006</v>
      </c>
      <c r="N23">
        <f>N22+dtdx*(M22-2*N22+O22)</f>
        <v>0.59129367347200001</v>
      </c>
      <c r="O23">
        <f>O22+dtdx*(N22-2*O22+P22)</f>
        <v>0.62677823590400006</v>
      </c>
      <c r="P23">
        <f>P22+dtdx*(O22-2*P22+Q22)</f>
        <v>0.64613150515200002</v>
      </c>
      <c r="Q23">
        <f>Q22+dtdx*(P22-2*Q22+R22)</f>
        <v>0.63935950336000003</v>
      </c>
      <c r="R23">
        <f>R22+dtdx*(Q22-2*R22+S22)</f>
        <v>0.59558751436800006</v>
      </c>
      <c r="S23">
        <f>S22+dtdx*(R22-2*S22+T22)</f>
        <v>0.5068244060160001</v>
      </c>
      <c r="T23">
        <f>T22+dtdx*(S22-2*T22+U22)</f>
        <v>0.37135264358400005</v>
      </c>
      <c r="U23">
        <f>U22+dtdx*(T22-2*U22+V22)</f>
        <v>0.19686877491200006</v>
      </c>
      <c r="V23" s="9">
        <v>0</v>
      </c>
    </row>
    <row r="24" spans="1:22" x14ac:dyDescent="0.25">
      <c r="A24" s="4">
        <f>A23+dtheta</f>
        <v>1.3000000000000005E-2</v>
      </c>
      <c r="B24" s="9">
        <v>1</v>
      </c>
      <c r="C24">
        <f>C23+dtdx*(B23-2*C23+D23)</f>
        <v>0.81208518758400006</v>
      </c>
      <c r="D24">
        <f>D23+dtdx*(C23-2*D23+E23)</f>
        <v>0.64425219891200003</v>
      </c>
      <c r="E24">
        <f>E23+dtdx*(D23-2*E23+F23)</f>
        <v>0.51185905561599998</v>
      </c>
      <c r="F24">
        <f>F23+dtdx*(E23-2*F23+G23)</f>
        <v>0.422408933376</v>
      </c>
      <c r="G24">
        <f>G23+dtdx*(F23-2*G23+H23)</f>
        <v>0.37544049151999997</v>
      </c>
      <c r="H24">
        <f>H23+dtdx*(G23-2*H23+I23)</f>
        <v>0.36431860326400001</v>
      </c>
      <c r="I24">
        <f>I23+dtdx*(H23-2*I23+J23)</f>
        <v>0.37967428136959996</v>
      </c>
      <c r="J24">
        <f>J23+dtdx*(I23-2*J23+K23)</f>
        <v>0.41208022466560001</v>
      </c>
      <c r="K24">
        <f>K23+dtdx*(J23-2*K23+L23)</f>
        <v>0.454007657472</v>
      </c>
      <c r="L24">
        <f>L23+dtdx*(K23-2*L23+M23)</f>
        <v>0.5</v>
      </c>
      <c r="M24">
        <f>M23+dtdx*(L23-2*M23+N23)</f>
        <v>0.545992342528</v>
      </c>
      <c r="N24">
        <f>N23+dtdx*(M23-2*N23+O23)</f>
        <v>0.5879197753344001</v>
      </c>
      <c r="O24">
        <f>O23+dtdx*(N23-2*O23+P23)</f>
        <v>0.62032571863039998</v>
      </c>
      <c r="P24">
        <f>P23+dtdx*(O23-2*P23+Q23)</f>
        <v>0.63568139673599999</v>
      </c>
      <c r="Q24">
        <f>Q23+dtdx*(P23-2*Q23+R23)</f>
        <v>0.62455950848000008</v>
      </c>
      <c r="R24">
        <f>R23+dtdx*(Q23-2*R23+S23)</f>
        <v>0.57759106662400006</v>
      </c>
      <c r="S24">
        <f>S23+dtdx*(R23-2*S23+T23)</f>
        <v>0.48814094438400008</v>
      </c>
      <c r="T24">
        <f>T23+dtdx*(S23-2*T23+U23)</f>
        <v>0.35574780108800008</v>
      </c>
      <c r="U24">
        <f>U23+dtdx*(T23-2*U23+V23)</f>
        <v>0.18791481241600003</v>
      </c>
      <c r="V24" s="9">
        <v>0</v>
      </c>
    </row>
    <row r="25" spans="1:22" x14ac:dyDescent="0.25">
      <c r="A25" s="4">
        <f>A24+dtheta</f>
        <v>1.4000000000000005E-2</v>
      </c>
      <c r="B25" s="9">
        <v>1</v>
      </c>
      <c r="C25">
        <f>C24+dtdx*(B24-2*C24+D24)</f>
        <v>0.82011791708159998</v>
      </c>
      <c r="D25">
        <f>D24+dtdx*(C24-2*D24+E24)</f>
        <v>0.6584281370624</v>
      </c>
      <c r="E25">
        <f>E24+dtdx*(D24-2*E24+F24)</f>
        <v>0.52903626403839998</v>
      </c>
      <c r="F25">
        <f>F24+dtdx*(E24-2*F24+G24)</f>
        <v>0.4394016055296</v>
      </c>
      <c r="G25">
        <f>G24+dtdx*(F24-2*G24+H24)</f>
        <v>0.38977911296000001</v>
      </c>
      <c r="H25">
        <f>H24+dtdx*(G24-2*H24+I24)</f>
        <v>0.37490962980863995</v>
      </c>
      <c r="I25">
        <f>I24+dtdx*(H24-2*I24+J24)</f>
        <v>0.38649438744575998</v>
      </c>
      <c r="J25">
        <f>J24+dtdx*(I24-2*J24+K24)</f>
        <v>0.41588882046976</v>
      </c>
      <c r="K25">
        <f>K24+dtdx*(J24-2*K24+L24)</f>
        <v>0.45563362136064001</v>
      </c>
      <c r="L25">
        <f>L24+dtdx*(K24-2*L24+M24)</f>
        <v>0.5</v>
      </c>
      <c r="M25">
        <f>M24+dtdx*(L24-2*M24+N24)</f>
        <v>0.54436637863935999</v>
      </c>
      <c r="N25">
        <f>N24+dtdx*(M24-2*N24+O24)</f>
        <v>0.58411117953024005</v>
      </c>
      <c r="O25">
        <f>O24+dtdx*(N24-2*O24+P24)</f>
        <v>0.61350561255424008</v>
      </c>
      <c r="P25">
        <f>P24+dtdx*(O24-2*P24+Q24)</f>
        <v>0.62509037019136005</v>
      </c>
      <c r="Q25">
        <f>Q24+dtdx*(P24-2*Q24+R24)</f>
        <v>0.61022088703999999</v>
      </c>
      <c r="R25">
        <f>R24+dtdx*(Q24-2*R24+S24)</f>
        <v>0.56059839447040005</v>
      </c>
      <c r="S25">
        <f>S24+dtdx*(R24-2*S24+T24)</f>
        <v>0.47096373596160007</v>
      </c>
      <c r="T25">
        <f>T24+dtdx*(S24-2*T24+U24)</f>
        <v>0.34157186293760006</v>
      </c>
      <c r="U25">
        <f>U24+dtdx*(T24-2*U24+V24)</f>
        <v>0.17988208291840005</v>
      </c>
      <c r="V25" s="9">
        <v>0</v>
      </c>
    </row>
    <row r="26" spans="1:22" x14ac:dyDescent="0.25">
      <c r="A26" s="4">
        <f>A25+dtheta</f>
        <v>1.5000000000000006E-2</v>
      </c>
      <c r="B26" s="9">
        <v>1</v>
      </c>
      <c r="C26">
        <f>C25+dtdx*(B25-2*C25+D25)</f>
        <v>0.82739483824128002</v>
      </c>
      <c r="D26">
        <f>D25+dtdx*(C25-2*D25+E25)</f>
        <v>0.67134729986048003</v>
      </c>
      <c r="E26">
        <f>E25+dtdx*(D25-2*E25+F25)</f>
        <v>0.54493914984448</v>
      </c>
      <c r="F26">
        <f>F25+dtdx*(E25-2*F25+G25)</f>
        <v>0.45540647190528</v>
      </c>
      <c r="G26">
        <f>G25+dtdx*(F25-2*G25+H25)</f>
        <v>0.40368031672729598</v>
      </c>
      <c r="H26">
        <f>H25+dtdx*(G25-2*H25+I25)</f>
        <v>0.38549132612403197</v>
      </c>
      <c r="I26">
        <f>I25+dtdx*(H25-2*I25+J25)</f>
        <v>0.393618257600512</v>
      </c>
      <c r="J26">
        <f>J25+dtdx*(I25-2*J25+K25)</f>
        <v>0.42002896761651198</v>
      </c>
      <c r="K26">
        <f>K25+dtdx*(J25-2*K25+L25)</f>
        <v>0.45748225246003199</v>
      </c>
      <c r="L26">
        <f>L25+dtdx*(K25-2*L25+M25)</f>
        <v>0.5</v>
      </c>
      <c r="M26">
        <f>M25+dtdx*(L25-2*M25+N25)</f>
        <v>0.54251774753996806</v>
      </c>
      <c r="N26">
        <f>N25+dtdx*(M25-2*N25+O25)</f>
        <v>0.57997103238348802</v>
      </c>
      <c r="O26">
        <f>O25+dtdx*(N25-2*O25+P25)</f>
        <v>0.60638174239948806</v>
      </c>
      <c r="P26">
        <f>P25+dtdx*(O25-2*P25+Q25)</f>
        <v>0.61450867387596808</v>
      </c>
      <c r="Q26">
        <f>Q25+dtdx*(P25-2*Q25+R25)</f>
        <v>0.59631968327270402</v>
      </c>
      <c r="R26">
        <f>R25+dtdx*(Q25-2*R25+S25)</f>
        <v>0.54459352809472006</v>
      </c>
      <c r="S26">
        <f>S25+dtdx*(R25-2*S25+T25)</f>
        <v>0.45506085015552006</v>
      </c>
      <c r="T26">
        <f>T25+dtdx*(S25-2*T25+U25)</f>
        <v>0.32865270013952008</v>
      </c>
      <c r="U26">
        <f>U25+dtdx*(T25-2*U25+V25)</f>
        <v>0.17260516175872004</v>
      </c>
      <c r="V26" s="9">
        <v>0</v>
      </c>
    </row>
    <row r="27" spans="1:22" x14ac:dyDescent="0.25">
      <c r="A27" s="4">
        <f>A26+dtheta</f>
        <v>1.6000000000000007E-2</v>
      </c>
      <c r="B27" s="9">
        <v>1</v>
      </c>
      <c r="C27">
        <f>C26+dtdx*(B26-2*C26+D26)</f>
        <v>0.83401788759244799</v>
      </c>
      <c r="D27">
        <f>D26+dtdx*(C26-2*D26+E26)</f>
        <v>0.68320305520640001</v>
      </c>
      <c r="E27">
        <f>E26+dtdx*(D26-2*E26+F26)</f>
        <v>0.55968933867519999</v>
      </c>
      <c r="F27">
        <f>F26+dtdx*(E26-2*F26+G26)</f>
        <v>0.47052908100976637</v>
      </c>
      <c r="G27">
        <f>G26+dtdx*(F26-2*G26+H26)</f>
        <v>0.41709518255718397</v>
      </c>
      <c r="H27">
        <f>H26+dtdx*(G26-2*H26+I26)</f>
        <v>0.39601769495592959</v>
      </c>
      <c r="I27">
        <f>I26+dtdx*(H26-2*I26+J26)</f>
        <v>0.40093176901631999</v>
      </c>
      <c r="J27">
        <f>J26+dtdx*(I26-2*J26+K26)</f>
        <v>0.42444599754751999</v>
      </c>
      <c r="K27">
        <f>K26+dtdx*(J26-2*K26+L26)</f>
        <v>0.45950803753861119</v>
      </c>
      <c r="L27">
        <f>L26+dtdx*(K26-2*L26+M26)</f>
        <v>0.5</v>
      </c>
      <c r="M27">
        <f>M26+dtdx*(L26-2*M26+N26)</f>
        <v>0.54049196246138886</v>
      </c>
      <c r="N27">
        <f>N26+dtdx*(M26-2*N26+O26)</f>
        <v>0.57555400245248001</v>
      </c>
      <c r="O27">
        <f>O26+dtdx*(N26-2*O26+P26)</f>
        <v>0.59906823098368001</v>
      </c>
      <c r="P27">
        <f>P26+dtdx*(O26-2*P26+Q26)</f>
        <v>0.60398230504407047</v>
      </c>
      <c r="Q27">
        <f>Q26+dtdx*(P26-2*Q26+R26)</f>
        <v>0.58290481744281608</v>
      </c>
      <c r="R27">
        <f>R26+dtdx*(Q26-2*R26+S26)</f>
        <v>0.52947091899023369</v>
      </c>
      <c r="S27">
        <f>S26+dtdx*(R26-2*S26+T26)</f>
        <v>0.44031066132480007</v>
      </c>
      <c r="T27">
        <f>T26+dtdx*(S26-2*T26+U26)</f>
        <v>0.31679694479360004</v>
      </c>
      <c r="U27">
        <f>U26+dtdx*(T26-2*U26+V26)</f>
        <v>0.16598211240755203</v>
      </c>
      <c r="V27" s="9">
        <v>0</v>
      </c>
    </row>
    <row r="28" spans="1:22" x14ac:dyDescent="0.25">
      <c r="A28" s="4">
        <f>A27+dtheta</f>
        <v>1.7000000000000008E-2</v>
      </c>
      <c r="B28" s="9">
        <v>1</v>
      </c>
      <c r="C28">
        <f>C27+dtdx*(B27-2*C27+D27)</f>
        <v>0.84008479960104965</v>
      </c>
      <c r="D28">
        <f>D27+dtdx*(C27-2*D27+E27)</f>
        <v>0.69412350154833924</v>
      </c>
      <c r="E28">
        <f>E27+dtdx*(D27-2*E27+F27)</f>
        <v>0.57343072222150659</v>
      </c>
      <c r="F28">
        <f>F27+dtdx*(E27-2*F27+G27)</f>
        <v>0.48481962469490686</v>
      </c>
      <c r="G28">
        <f>G27+dtdx*(F27-2*G27+H27)</f>
        <v>0.43003774689771518</v>
      </c>
      <c r="H28">
        <f>H27+dtdx*(G27-2*H27+I27)</f>
        <v>0.40641431962058749</v>
      </c>
      <c r="I28">
        <f>I27+dtdx*(H27-2*I27+J27)</f>
        <v>0.40837183080464384</v>
      </c>
      <c r="J28">
        <f>J27+dtdx*(I27-2*J27+K27)</f>
        <v>0.42906512213147646</v>
      </c>
      <c r="K28">
        <f>K27+dtdx*(J27-2*K27+L27)</f>
        <v>0.46168000652673025</v>
      </c>
      <c r="L28">
        <f>L27+dtdx*(K27-2*L27+M27)</f>
        <v>0.5</v>
      </c>
      <c r="M28">
        <f>M27+dtdx*(L27-2*M27+N27)</f>
        <v>0.53831999347326975</v>
      </c>
      <c r="N28">
        <f>N27+dtdx*(M27-2*N27+O27)</f>
        <v>0.57093487786852359</v>
      </c>
      <c r="O28">
        <f>O27+dtdx*(N27-2*O27+P27)</f>
        <v>0.59162816919535621</v>
      </c>
      <c r="P28">
        <f>P27+dtdx*(O27-2*P27+Q27)</f>
        <v>0.59358568037941251</v>
      </c>
      <c r="Q28">
        <f>Q27+dtdx*(P27-2*Q27+R27)</f>
        <v>0.56996225310228488</v>
      </c>
      <c r="R28">
        <f>R27+dtdx*(Q27-2*R27+S27)</f>
        <v>0.5151803753050932</v>
      </c>
      <c r="S28">
        <f>S27+dtdx*(R27-2*S27+T27)</f>
        <v>0.42656927777849352</v>
      </c>
      <c r="T28">
        <f>T27+dtdx*(S27-2*T27+U27)</f>
        <v>0.30587649845166087</v>
      </c>
      <c r="U28">
        <f>U27+dtdx*(T27-2*U27+V27)</f>
        <v>0.15991520039895044</v>
      </c>
      <c r="V28" s="9">
        <v>0</v>
      </c>
    </row>
    <row r="29" spans="1:22" x14ac:dyDescent="0.25">
      <c r="A29" s="4">
        <f>A28+dtheta</f>
        <v>1.8000000000000009E-2</v>
      </c>
      <c r="B29" s="9">
        <v>1</v>
      </c>
      <c r="C29">
        <f>C28+dtdx*(B28-2*C28+D28)</f>
        <v>0.84566636053954558</v>
      </c>
      <c r="D29">
        <f>D28+dtdx*(C28-2*D28+E28)</f>
        <v>0.70423090903869034</v>
      </c>
      <c r="E29">
        <f>E28+dtdx*(D28-2*E28+F28)</f>
        <v>0.58626339494159974</v>
      </c>
      <c r="F29">
        <f>F28+dtdx*(E28-2*F28+G28)</f>
        <v>0.49835131258667009</v>
      </c>
      <c r="G29">
        <f>G28+dtdx*(F28-2*G28+H28)</f>
        <v>0.4425011271057408</v>
      </c>
      <c r="H29">
        <f>H28+dtdx*(G28-2*H28+I28)</f>
        <v>0.41664669500506113</v>
      </c>
      <c r="I29">
        <f>I28+dtdx*(H28-2*I28+J28)</f>
        <v>0.41586614286175433</v>
      </c>
      <c r="J29">
        <f>J28+dtdx*(I28-2*J28+K28)</f>
        <v>0.43383375935884494</v>
      </c>
      <c r="K29">
        <f>K28+dtdx*(J28-2*K28+L28)</f>
        <v>0.46396205015793662</v>
      </c>
      <c r="L29">
        <f>L28+dtdx*(K28-2*L28+M28)</f>
        <v>0.5</v>
      </c>
      <c r="M29">
        <f>M28+dtdx*(L28-2*M28+N28)</f>
        <v>0.53603794984206343</v>
      </c>
      <c r="N29">
        <f>N28+dtdx*(M28-2*N28+O28)</f>
        <v>0.56616624064115506</v>
      </c>
      <c r="O29">
        <f>O28+dtdx*(N28-2*O28+P28)</f>
        <v>0.58413385713824573</v>
      </c>
      <c r="P29">
        <f>P28+dtdx*(O28-2*P28+Q28)</f>
        <v>0.58335330499493898</v>
      </c>
      <c r="Q29">
        <f>Q28+dtdx*(P28-2*Q28+R28)</f>
        <v>0.55749887289425926</v>
      </c>
      <c r="R29">
        <f>R28+dtdx*(Q28-2*R28+S28)</f>
        <v>0.50164868741333002</v>
      </c>
      <c r="S29">
        <f>S28+dtdx*(R28-2*S28+T28)</f>
        <v>0.41373660505840032</v>
      </c>
      <c r="T29">
        <f>T28+dtdx*(S28-2*T28+U28)</f>
        <v>0.29576909096130977</v>
      </c>
      <c r="U29">
        <f>U28+dtdx*(T28-2*U28+V28)</f>
        <v>0.15433363946045445</v>
      </c>
      <c r="V29" s="9">
        <v>0</v>
      </c>
    </row>
    <row r="30" spans="1:22" x14ac:dyDescent="0.25">
      <c r="A30" s="4">
        <f>A29+dtheta</f>
        <v>1.900000000000001E-2</v>
      </c>
      <c r="B30" s="9">
        <v>1</v>
      </c>
      <c r="C30">
        <f>C29+dtdx*(B29-2*C29+D29)</f>
        <v>0.85082563572338521</v>
      </c>
      <c r="D30">
        <f>D29+dtdx*(C29-2*D29+E29)</f>
        <v>0.71361808400019622</v>
      </c>
      <c r="E30">
        <f>E29+dtdx*(D29-2*E29+F29)</f>
        <v>0.59828556763846408</v>
      </c>
      <c r="F30">
        <f>F29+dtdx*(E29-2*F29+G29)</f>
        <v>0.51117607133627019</v>
      </c>
      <c r="G30">
        <f>G29+dtdx*(F29-2*G29+H29)</f>
        <v>0.45449942845784064</v>
      </c>
      <c r="H30">
        <f>H29+dtdx*(G29-2*H29+I29)</f>
        <v>0.42667624698801027</v>
      </c>
      <c r="I30">
        <f>I29+dtdx*(H29-2*I29+J29)</f>
        <v>0.4233654103179133</v>
      </c>
      <c r="J30">
        <f>J29+dtdx*(I29-2*J29+K29)</f>
        <v>0.43869802907964539</v>
      </c>
      <c r="K30">
        <f>K29+dtdx*(J29-2*K29+L29)</f>
        <v>0.46632591377512528</v>
      </c>
      <c r="L30">
        <f>L29+dtdx*(K29-2*L29+M29)</f>
        <v>0.5</v>
      </c>
      <c r="M30">
        <f>M29+dtdx*(L29-2*M29+N29)</f>
        <v>0.53367408622487467</v>
      </c>
      <c r="N30">
        <f>N29+dtdx*(M29-2*N29+O29)</f>
        <v>0.56130197092035472</v>
      </c>
      <c r="O30">
        <f>O29+dtdx*(N29-2*O29+P29)</f>
        <v>0.57663458968208681</v>
      </c>
      <c r="P30">
        <f>P29+dtdx*(O29-2*P29+Q29)</f>
        <v>0.57332375301198979</v>
      </c>
      <c r="Q30">
        <f>Q29+dtdx*(P29-2*Q29+R29)</f>
        <v>0.54550057154215947</v>
      </c>
      <c r="R30">
        <f>R29+dtdx*(Q29-2*R29+S29)</f>
        <v>0.48882392866372981</v>
      </c>
      <c r="S30">
        <f>S29+dtdx*(R29-2*S29+T29)</f>
        <v>0.40171443236153598</v>
      </c>
      <c r="T30">
        <f>T29+dtdx*(S29-2*T29+U29)</f>
        <v>0.28638191599980384</v>
      </c>
      <c r="U30">
        <f>U29+dtdx*(T29-2*U29+V29)</f>
        <v>0.14917436427661479</v>
      </c>
      <c r="V30" s="9">
        <v>0</v>
      </c>
    </row>
    <row r="31" spans="1:22" x14ac:dyDescent="0.25">
      <c r="A31" s="4">
        <f>A30+dtheta</f>
        <v>2.0000000000000011E-2</v>
      </c>
      <c r="B31" s="9">
        <v>1</v>
      </c>
      <c r="C31">
        <f>C30+dtdx*(B30-2*C30+D30)</f>
        <v>0.85561236074475555</v>
      </c>
      <c r="D31">
        <f>D30+dtdx*(C30-2*D30+E30)</f>
        <v>0.72236809814477898</v>
      </c>
      <c r="E31">
        <f>E30+dtdx*(D30-2*E30+F30)</f>
        <v>0.60957477566227936</v>
      </c>
      <c r="F31">
        <f>F30+dtdx*(E30-2*F30+G30)</f>
        <v>0.52334921270577595</v>
      </c>
      <c r="G31">
        <f>G30+dtdx*(F30-2*G30+H30)</f>
        <v>0.46604081302128031</v>
      </c>
      <c r="H31">
        <f>H30+dtdx*(G30-2*H30+I30)</f>
        <v>0.43648118490790361</v>
      </c>
      <c r="I31">
        <f>I30+dtdx*(H30-2*I30+J30)</f>
        <v>0.43082279249064492</v>
      </c>
      <c r="J31">
        <f>J30+dtdx*(I30-2*J30+K30)</f>
        <v>0.44361613545314449</v>
      </c>
      <c r="K31">
        <f>K30+dtdx*(J30-2*K30+L30)</f>
        <v>0.4687443943868832</v>
      </c>
      <c r="L31">
        <f>L30+dtdx*(K30-2*L30+M30)</f>
        <v>0.49999999999999994</v>
      </c>
      <c r="M31">
        <f>M30+dtdx*(L30-2*M30+N30)</f>
        <v>0.5312556056131168</v>
      </c>
      <c r="N31">
        <f>N30+dtdx*(M30-2*N30+O30)</f>
        <v>0.55638386454685551</v>
      </c>
      <c r="O31">
        <f>O30+dtdx*(N30-2*O30+P30)</f>
        <v>0.56917720750935519</v>
      </c>
      <c r="P31">
        <f>P30+dtdx*(O30-2*P30+Q30)</f>
        <v>0.56351881509209645</v>
      </c>
      <c r="Q31">
        <f>Q30+dtdx*(P30-2*Q30+R30)</f>
        <v>0.53395918697871969</v>
      </c>
      <c r="R31">
        <f>R30+dtdx*(Q30-2*R30+S30)</f>
        <v>0.47665078729422417</v>
      </c>
      <c r="S31">
        <f>S30+dtdx*(R30-2*S30+T30)</f>
        <v>0.39042522433772064</v>
      </c>
      <c r="T31">
        <f>T30+dtdx*(S30-2*T30+U30)</f>
        <v>0.27763190185522107</v>
      </c>
      <c r="U31">
        <f>U30+dtdx*(T30-2*U30+V30)</f>
        <v>0.1443876392552445</v>
      </c>
      <c r="V31" s="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BDE7-C4A1-40ED-8451-5562AFAA5596}">
  <sheetPr codeName="Sheet3"/>
  <dimension ref="A1:V31"/>
  <sheetViews>
    <sheetView topLeftCell="A7" zoomScaleNormal="100" workbookViewId="0">
      <selection activeCell="T17" sqref="T17"/>
    </sheetView>
  </sheetViews>
  <sheetFormatPr defaultRowHeight="15" x14ac:dyDescent="0.25"/>
  <sheetData>
    <row r="1" spans="1:22" x14ac:dyDescent="0.25">
      <c r="A1" s="1" t="s">
        <v>2</v>
      </c>
    </row>
    <row r="3" spans="1:22" x14ac:dyDescent="0.25">
      <c r="A3" s="3" t="s">
        <v>3</v>
      </c>
      <c r="B3" s="4">
        <v>1E-3</v>
      </c>
    </row>
    <row r="4" spans="1:22" x14ac:dyDescent="0.25">
      <c r="A4" s="4" t="s">
        <v>4</v>
      </c>
      <c r="B4" s="4">
        <v>0.05</v>
      </c>
    </row>
    <row r="5" spans="1:22" x14ac:dyDescent="0.25">
      <c r="A5" s="4" t="s">
        <v>5</v>
      </c>
      <c r="B5" s="4">
        <f>B3/B4^2</f>
        <v>0.39999999999999991</v>
      </c>
    </row>
    <row r="6" spans="1:22" x14ac:dyDescent="0.25">
      <c r="A6" s="4" t="s">
        <v>6</v>
      </c>
      <c r="B6" s="4">
        <v>20</v>
      </c>
    </row>
    <row r="8" spans="1:22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x14ac:dyDescent="0.25">
      <c r="A9" s="7"/>
      <c r="B9" s="6" t="s">
        <v>9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5">
      <c r="A10" s="3" t="s">
        <v>8</v>
      </c>
      <c r="B10" s="8">
        <v>0</v>
      </c>
      <c r="C10" s="4">
        <f>B10+dx</f>
        <v>0.05</v>
      </c>
      <c r="D10" s="4">
        <f>C10+dx</f>
        <v>0.1</v>
      </c>
      <c r="E10" s="4">
        <f>D10+dx</f>
        <v>0.15000000000000002</v>
      </c>
      <c r="F10" s="4">
        <f>E10+dx</f>
        <v>0.2</v>
      </c>
      <c r="G10" s="4">
        <f>F10+dx</f>
        <v>0.25</v>
      </c>
      <c r="H10" s="4">
        <f>G10+dx</f>
        <v>0.3</v>
      </c>
      <c r="I10" s="4">
        <f>H10+dx</f>
        <v>0.35</v>
      </c>
      <c r="J10" s="4">
        <f>I10+dx</f>
        <v>0.39999999999999997</v>
      </c>
      <c r="K10" s="4">
        <f>J10+dx</f>
        <v>0.44999999999999996</v>
      </c>
      <c r="L10" s="4">
        <f>K10+dx</f>
        <v>0.49999999999999994</v>
      </c>
      <c r="M10" s="4">
        <f>L10+dx</f>
        <v>0.54999999999999993</v>
      </c>
      <c r="N10" s="4">
        <f>M10+dx</f>
        <v>0.6</v>
      </c>
      <c r="O10" s="4">
        <f>N10+dx</f>
        <v>0.65</v>
      </c>
      <c r="P10" s="4">
        <f>O10+dx</f>
        <v>0.70000000000000007</v>
      </c>
      <c r="Q10" s="4">
        <f>P10+dx</f>
        <v>0.75000000000000011</v>
      </c>
      <c r="R10" s="4">
        <f>Q10+dx</f>
        <v>0.80000000000000016</v>
      </c>
      <c r="S10" s="4">
        <f>R10+dx</f>
        <v>0.8500000000000002</v>
      </c>
      <c r="T10" s="4">
        <f>S10+dx</f>
        <v>0.90000000000000024</v>
      </c>
      <c r="U10" s="4">
        <f>T10+dx</f>
        <v>0.95000000000000029</v>
      </c>
      <c r="V10" s="4">
        <f>U10+dx</f>
        <v>1.0000000000000002</v>
      </c>
    </row>
    <row r="11" spans="1:22" x14ac:dyDescent="0.25">
      <c r="A11" s="4">
        <v>0</v>
      </c>
      <c r="B11" s="9">
        <v>0</v>
      </c>
      <c r="C11" s="9">
        <f>SIN(PI()*C10)</f>
        <v>0.15643446504023087</v>
      </c>
      <c r="D11" s="9">
        <f t="shared" ref="D11:U11" si="0">SIN(PI()*D10)</f>
        <v>0.3090169943749474</v>
      </c>
      <c r="E11" s="9">
        <f t="shared" si="0"/>
        <v>0.4539904997395468</v>
      </c>
      <c r="F11" s="9">
        <f t="shared" si="0"/>
        <v>0.58778525229247314</v>
      </c>
      <c r="G11" s="9">
        <f t="shared" si="0"/>
        <v>0.70710678118654746</v>
      </c>
      <c r="H11" s="9">
        <f t="shared" si="0"/>
        <v>0.80901699437494745</v>
      </c>
      <c r="I11" s="9">
        <f t="shared" si="0"/>
        <v>0.89100652418836779</v>
      </c>
      <c r="J11" s="9">
        <f t="shared" si="0"/>
        <v>0.95105651629515353</v>
      </c>
      <c r="K11" s="9">
        <f t="shared" si="0"/>
        <v>0.98768834059513766</v>
      </c>
      <c r="L11" s="9">
        <f t="shared" si="0"/>
        <v>1</v>
      </c>
      <c r="M11" s="9">
        <f t="shared" si="0"/>
        <v>0.98768834059513777</v>
      </c>
      <c r="N11" s="9">
        <f t="shared" si="0"/>
        <v>0.95105651629515364</v>
      </c>
      <c r="O11" s="9">
        <f t="shared" si="0"/>
        <v>0.8910065241883679</v>
      </c>
      <c r="P11" s="9">
        <f t="shared" si="0"/>
        <v>0.80901699437494745</v>
      </c>
      <c r="Q11" s="9">
        <f t="shared" si="0"/>
        <v>0.70710678118654724</v>
      </c>
      <c r="R11" s="9">
        <f t="shared" si="0"/>
        <v>0.5877852522924728</v>
      </c>
      <c r="S11" s="9">
        <f t="shared" si="0"/>
        <v>0.45399049973954647</v>
      </c>
      <c r="T11" s="9">
        <f t="shared" si="0"/>
        <v>0.30901699437494667</v>
      </c>
      <c r="U11" s="9">
        <f t="shared" si="0"/>
        <v>0.15643446504023012</v>
      </c>
      <c r="V11" s="9">
        <v>0</v>
      </c>
    </row>
    <row r="12" spans="1:22" x14ac:dyDescent="0.25">
      <c r="A12" s="4">
        <f>A11+dtheta</f>
        <v>1E-3</v>
      </c>
      <c r="B12" s="9">
        <v>0</v>
      </c>
      <c r="C12">
        <f>C11+dtdx*(B11-2*C11+D11)</f>
        <v>0.15489369075802514</v>
      </c>
      <c r="D12">
        <f>D11+dtdx*(C11-2*D11+E11)</f>
        <v>0.30597338478690056</v>
      </c>
      <c r="E12">
        <f>E11+dtdx*(D11-2*E11+F11)</f>
        <v>0.44951899861487754</v>
      </c>
      <c r="F12">
        <f>F11+dtdx*(E11-2*F11+G11)</f>
        <v>0.58199596282893229</v>
      </c>
      <c r="G12">
        <f>G11+dtdx*(F11-2*G11+H11)</f>
        <v>0.70014225490427773</v>
      </c>
      <c r="H12">
        <f>H11+dtdx*(G11-2*H11+I11)</f>
        <v>0.80104872102495561</v>
      </c>
      <c r="I12">
        <f>I11+dtdx*(H11-2*I11+J11)</f>
        <v>0.88223070910571399</v>
      </c>
      <c r="J12">
        <f>J11+dtdx*(I11-2*J11+K11)</f>
        <v>0.94168924917243291</v>
      </c>
      <c r="K12">
        <f>K11+dtdx*(J11-2*K11+L11)</f>
        <v>0.9779602746370889</v>
      </c>
      <c r="L12">
        <f>L11+dtdx*(K11-2*L11+M11)</f>
        <v>0.99015067247611022</v>
      </c>
      <c r="M12">
        <f>M11+dtdx*(L11-2*M11+N11)</f>
        <v>0.97796027463708901</v>
      </c>
      <c r="N12">
        <f>N11+dtdx*(M11-2*N11+O11)</f>
        <v>0.94168924917243302</v>
      </c>
      <c r="O12">
        <f>O11+dtdx*(N11-2*O11+P11)</f>
        <v>0.88223070910571399</v>
      </c>
      <c r="P12">
        <f>P11+dtdx*(O11-2*P11+Q11)</f>
        <v>0.8010487210249555</v>
      </c>
      <c r="Q12">
        <f>Q11+dtdx*(P11-2*Q11+R11)</f>
        <v>0.70014225490427751</v>
      </c>
      <c r="R12">
        <f>R11+dtdx*(Q11-2*R11+S11)</f>
        <v>0.58199596282893207</v>
      </c>
      <c r="S12">
        <f>S11+dtdx*(R11-2*S11+T11)</f>
        <v>0.4495189986148771</v>
      </c>
      <c r="T12">
        <f>T11+dtdx*(S11-2*T11+U11)</f>
        <v>0.30597338478689995</v>
      </c>
      <c r="U12">
        <f>U11+dtdx*(T11-2*U11+V11)</f>
        <v>0.1548936907580247</v>
      </c>
      <c r="V12" s="9">
        <v>0</v>
      </c>
    </row>
    <row r="13" spans="1:22" x14ac:dyDescent="0.25">
      <c r="A13" s="4">
        <f>A12+dtheta</f>
        <v>2E-3</v>
      </c>
      <c r="B13" s="9">
        <v>0</v>
      </c>
      <c r="C13">
        <f>C12+dtdx*(B12-2*C12+D12)</f>
        <v>0.15336809206636526</v>
      </c>
      <c r="D13">
        <f>D12+dtdx*(C12-2*D12+E12)</f>
        <v>0.30295975270654119</v>
      </c>
      <c r="E13">
        <f>E12+dtdx*(D12-2*E12+F12)</f>
        <v>0.44509153876930868</v>
      </c>
      <c r="F13">
        <f>F12+dtdx*(E12-2*F12+G12)</f>
        <v>0.57626369397344857</v>
      </c>
      <c r="G13">
        <f>G12+dtdx*(F12-2*G12+H12)</f>
        <v>0.69324632452241075</v>
      </c>
      <c r="H13">
        <f>H12+dtdx*(G12-2*H12+I12)</f>
        <v>0.79315892980898783</v>
      </c>
      <c r="I13">
        <f>I12+dtdx*(H12-2*I12+J12)</f>
        <v>0.87354132990009825</v>
      </c>
      <c r="J13">
        <f>J12+dtdx*(I12-2*J12+K12)</f>
        <v>0.93241424333160772</v>
      </c>
      <c r="K13">
        <f>K12+dtdx*(J12-2*K12+L12)</f>
        <v>0.96832802358683501</v>
      </c>
      <c r="L13">
        <f>L12+dtdx*(K12-2*L12+M12)</f>
        <v>0.9803983542048933</v>
      </c>
      <c r="M13">
        <f>M12+dtdx*(L12-2*M12+N12)</f>
        <v>0.96832802358683512</v>
      </c>
      <c r="N13">
        <f>N12+dtdx*(M12-2*N12+O12)</f>
        <v>0.93241424333160783</v>
      </c>
      <c r="O13">
        <f>O12+dtdx*(N12-2*O12+P12)</f>
        <v>0.87354132990009825</v>
      </c>
      <c r="P13">
        <f>P12+dtdx*(O12-2*P12+Q12)</f>
        <v>0.79315892980898772</v>
      </c>
      <c r="Q13">
        <f>Q12+dtdx*(P12-2*Q12+R12)</f>
        <v>0.69324632452241053</v>
      </c>
      <c r="R13">
        <f>R12+dtdx*(Q12-2*R12+S12)</f>
        <v>0.57626369397344823</v>
      </c>
      <c r="S13">
        <f>S12+dtdx*(R12-2*S12+T12)</f>
        <v>0.44509153876930824</v>
      </c>
      <c r="T13">
        <f>T12+dtdx*(S12-2*T12+U12)</f>
        <v>0.30295975270654069</v>
      </c>
      <c r="U13">
        <f>U12+dtdx*(T12-2*U12+V12)</f>
        <v>0.15336809206636492</v>
      </c>
      <c r="V13" s="9">
        <v>0</v>
      </c>
    </row>
    <row r="14" spans="1:22" x14ac:dyDescent="0.25">
      <c r="A14" s="4">
        <f>A13+dtheta</f>
        <v>3.0000000000000001E-3</v>
      </c>
      <c r="B14" s="9">
        <v>0</v>
      </c>
      <c r="C14">
        <f>C13+dtdx*(B13-2*C13+D13)</f>
        <v>0.15185751949588952</v>
      </c>
      <c r="D14">
        <f>D13+dtdx*(C13-2*D13+E13)</f>
        <v>0.29997580287557779</v>
      </c>
      <c r="E14">
        <f>E13+dtdx*(D13-2*E13+F13)</f>
        <v>0.44070768642585761</v>
      </c>
      <c r="F14">
        <f>F13+dtdx*(E13-2*F13+G13)</f>
        <v>0.57058788411137751</v>
      </c>
      <c r="G14">
        <f>G13+dtdx*(F13-2*G13+H13)</f>
        <v>0.68641831441745671</v>
      </c>
      <c r="H14">
        <f>H13+dtdx*(G13-2*H13+I13)</f>
        <v>0.78534684773080121</v>
      </c>
      <c r="I14">
        <f>I13+dtdx*(H13-2*I13+J13)</f>
        <v>0.86493753523625783</v>
      </c>
      <c r="J14">
        <f>J13+dtdx*(I13-2*J13+K13)</f>
        <v>0.92323059006109487</v>
      </c>
      <c r="K14">
        <f>K13+dtdx*(J13-2*K13+L13)</f>
        <v>0.95879064373196743</v>
      </c>
      <c r="L14">
        <f>L13+dtdx*(K13-2*L13+M13)</f>
        <v>0.97074208971044673</v>
      </c>
      <c r="M14">
        <f>M13+dtdx*(L13-2*M13+N13)</f>
        <v>0.95879064373196743</v>
      </c>
      <c r="N14">
        <f>N13+dtdx*(M13-2*N13+O13)</f>
        <v>0.92323059006109487</v>
      </c>
      <c r="O14">
        <f>O13+dtdx*(N13-2*O13+P13)</f>
        <v>0.86493753523625783</v>
      </c>
      <c r="P14">
        <f>P13+dtdx*(O13-2*P13+Q13)</f>
        <v>0.7853468477308011</v>
      </c>
      <c r="Q14">
        <f>Q13+dtdx*(P13-2*Q13+R13)</f>
        <v>0.68641831441745649</v>
      </c>
      <c r="R14">
        <f>R13+dtdx*(Q13-2*R13+S13)</f>
        <v>0.57058788411137717</v>
      </c>
      <c r="S14">
        <f>S13+dtdx*(R13-2*S13+T13)</f>
        <v>0.44070768642585723</v>
      </c>
      <c r="T14">
        <f>T13+dtdx*(S13-2*T13+U13)</f>
        <v>0.2999758028755774</v>
      </c>
      <c r="U14">
        <f>U13+dtdx*(T13-2*U13+V13)</f>
        <v>0.15185751949588927</v>
      </c>
      <c r="V14" s="9">
        <v>0</v>
      </c>
    </row>
    <row r="15" spans="1:22" x14ac:dyDescent="0.25">
      <c r="A15" s="4">
        <f>A14+dtheta</f>
        <v>4.0000000000000001E-3</v>
      </c>
      <c r="B15" s="9">
        <v>0</v>
      </c>
      <c r="C15">
        <f>C14+dtdx*(B14-2*C14+D14)</f>
        <v>0.15036182504940901</v>
      </c>
      <c r="D15">
        <f>D14+dtdx*(C14-2*D14+E14)</f>
        <v>0.29702124294381443</v>
      </c>
      <c r="E15">
        <f>E14+dtdx*(D14-2*E14+F14)</f>
        <v>0.43636701207995365</v>
      </c>
      <c r="F15">
        <f>F14+dtdx*(E14-2*F14+G14)</f>
        <v>0.56496797715960123</v>
      </c>
      <c r="G15">
        <f>G14+dtdx*(F14-2*G14+H14)</f>
        <v>0.67965755562036279</v>
      </c>
      <c r="H15">
        <f>H14+dtdx*(G14-2*H14+I14)</f>
        <v>0.77761170940764601</v>
      </c>
      <c r="I15">
        <f>I14+dtdx*(H14-2*I14+J14)</f>
        <v>0.85641848216400995</v>
      </c>
      <c r="J15">
        <f>J14+dtdx*(I14-2*J14+K14)</f>
        <v>0.91413738959950908</v>
      </c>
      <c r="K15">
        <f>K14+dtdx*(J14-2*K14+L14)</f>
        <v>0.9493472006550101</v>
      </c>
      <c r="L15">
        <f>L14+dtdx*(K14-2*L14+M14)</f>
        <v>0.96118093292766327</v>
      </c>
      <c r="M15">
        <f>M14+dtdx*(L14-2*M14+N14)</f>
        <v>0.9493472006550101</v>
      </c>
      <c r="N15">
        <f>N14+dtdx*(M14-2*N14+O14)</f>
        <v>0.91413738959950908</v>
      </c>
      <c r="O15">
        <f>O14+dtdx*(N14-2*O14+P14)</f>
        <v>0.85641848216400995</v>
      </c>
      <c r="P15">
        <f>P14+dtdx*(O14-2*P14+Q14)</f>
        <v>0.7776117094076459</v>
      </c>
      <c r="Q15">
        <f>Q14+dtdx*(P14-2*Q14+R14)</f>
        <v>0.67965755562036256</v>
      </c>
      <c r="R15">
        <f>R14+dtdx*(Q14-2*R14+S14)</f>
        <v>0.5649679771596009</v>
      </c>
      <c r="S15">
        <f>S14+dtdx*(R14-2*S14+T14)</f>
        <v>0.43636701207995326</v>
      </c>
      <c r="T15">
        <f>T14+dtdx*(S14-2*T14+U14)</f>
        <v>0.2970212429438141</v>
      </c>
      <c r="U15">
        <f>U14+dtdx*(T14-2*U14+V14)</f>
        <v>0.15036182504940881</v>
      </c>
      <c r="V15" s="9">
        <v>0</v>
      </c>
    </row>
    <row r="16" spans="1:22" x14ac:dyDescent="0.25">
      <c r="A16" s="4">
        <f>A15+dtheta</f>
        <v>5.0000000000000001E-3</v>
      </c>
      <c r="B16" s="9">
        <v>0</v>
      </c>
      <c r="C16">
        <f>C15+dtdx*(B15-2*C15+D15)</f>
        <v>0.14888086218740756</v>
      </c>
      <c r="D16">
        <f>D15+dtdx*(C15-2*D15+E15)</f>
        <v>0.29409578344050796</v>
      </c>
      <c r="E16">
        <f>E15+dtdx*(D15-2*E15+F15)</f>
        <v>0.43206909045735697</v>
      </c>
      <c r="F16">
        <f>F15+dtdx*(E15-2*F15+G15)</f>
        <v>0.55940342251204678</v>
      </c>
      <c r="G16">
        <f>G15+dtdx*(F15-2*G15+H15)</f>
        <v>0.67296338575097148</v>
      </c>
      <c r="H16">
        <f>H15+dtdx*(G15-2*H15+I15)</f>
        <v>0.76995275699527832</v>
      </c>
      <c r="I16">
        <f>I15+dtdx*(H15-2*I15+J15)</f>
        <v>0.847983336035664</v>
      </c>
      <c r="J16">
        <f>J15+dtdx*(I15-2*J15+K15)</f>
        <v>0.90513375104750982</v>
      </c>
      <c r="K16">
        <f>K15+dtdx*(J15-2*K15+L15)</f>
        <v>0.93999676914187091</v>
      </c>
      <c r="L16">
        <f>L15+dtdx*(K15-2*L15+M15)</f>
        <v>0.95171394710954071</v>
      </c>
      <c r="M16">
        <f>M15+dtdx*(L15-2*M15+N15)</f>
        <v>0.93999676914187091</v>
      </c>
      <c r="N16">
        <f>N15+dtdx*(M15-2*N15+O15)</f>
        <v>0.90513375104750982</v>
      </c>
      <c r="O16">
        <f>O15+dtdx*(N15-2*O15+P15)</f>
        <v>0.847983336035664</v>
      </c>
      <c r="P16">
        <f>P15+dtdx*(O15-2*P15+Q15)</f>
        <v>0.76995275699527821</v>
      </c>
      <c r="Q16">
        <f>Q15+dtdx*(P15-2*Q15+R15)</f>
        <v>0.67296338575097125</v>
      </c>
      <c r="R16">
        <f>R15+dtdx*(Q15-2*R15+S15)</f>
        <v>0.55940342251204656</v>
      </c>
      <c r="S16">
        <f>S15+dtdx*(R15-2*S15+T15)</f>
        <v>0.43206909045735664</v>
      </c>
      <c r="T16">
        <f>T15+dtdx*(S15-2*T15+U15)</f>
        <v>0.29409578344050763</v>
      </c>
      <c r="U16">
        <f>U15+dtdx*(T15-2*U15+V15)</f>
        <v>0.1488808621874074</v>
      </c>
      <c r="V16" s="9">
        <v>0</v>
      </c>
    </row>
    <row r="17" spans="1:22" x14ac:dyDescent="0.25">
      <c r="A17" s="4">
        <f>A16+dtheta</f>
        <v>6.0000000000000001E-3</v>
      </c>
      <c r="B17" s="9">
        <v>0</v>
      </c>
      <c r="C17">
        <f>C16+dtdx*(B16-2*C16+D16)</f>
        <v>0.14741448581368469</v>
      </c>
      <c r="D17">
        <f>D16+dtdx*(C16-2*D16+E16)</f>
        <v>0.29119913774600742</v>
      </c>
      <c r="E17">
        <f>E16+dtdx*(D16-2*E16+F16)</f>
        <v>0.42781350047249334</v>
      </c>
      <c r="F17">
        <f>F16+dtdx*(E16-2*F16+G16)</f>
        <v>0.55389367498574071</v>
      </c>
      <c r="G17">
        <f>G16+dtdx*(F16-2*G16+H16)</f>
        <v>0.66633514895312429</v>
      </c>
      <c r="H17">
        <f>H16+dtdx*(G16-2*H16+I16)</f>
        <v>0.76236924011370988</v>
      </c>
      <c r="I17">
        <f>I16+dtdx*(H16-2*I16+J16)</f>
        <v>0.83963127042424801</v>
      </c>
      <c r="J17">
        <f>J16+dtdx*(I16-2*J16+K16)</f>
        <v>0.89621879228051593</v>
      </c>
      <c r="K17">
        <f>K16+dtdx*(J16-2*K16+L16)</f>
        <v>0.93073843309119442</v>
      </c>
      <c r="L17">
        <f>L16+dtdx*(K16-2*L16+M16)</f>
        <v>0.94234020473540492</v>
      </c>
      <c r="M17">
        <f>M16+dtdx*(L16-2*M16+N16)</f>
        <v>0.93073843309119442</v>
      </c>
      <c r="N17">
        <f>N16+dtdx*(M16-2*N16+O16)</f>
        <v>0.89621879228051593</v>
      </c>
      <c r="O17">
        <f>O16+dtdx*(N16-2*O16+P16)</f>
        <v>0.83963127042424801</v>
      </c>
      <c r="P17">
        <f>P16+dtdx*(O16-2*P16+Q16)</f>
        <v>0.76236924011370977</v>
      </c>
      <c r="Q17">
        <f>Q16+dtdx*(P16-2*Q16+R16)</f>
        <v>0.66633514895312418</v>
      </c>
      <c r="R17">
        <f>R16+dtdx*(Q16-2*R16+S16)</f>
        <v>0.55389367498574049</v>
      </c>
      <c r="S17">
        <f>S16+dtdx*(R16-2*S16+T16)</f>
        <v>0.427813500472493</v>
      </c>
      <c r="T17">
        <f>T16+dtdx*(S16-2*T16+U16)</f>
        <v>0.29119913774600714</v>
      </c>
      <c r="U17">
        <f>U16+dtdx*(T16-2*U16+V16)</f>
        <v>0.14741448581368452</v>
      </c>
      <c r="V17" s="9">
        <v>0</v>
      </c>
    </row>
    <row r="18" spans="1:22" x14ac:dyDescent="0.25">
      <c r="A18" s="4">
        <f>A17+dtheta</f>
        <v>7.0000000000000001E-3</v>
      </c>
      <c r="B18" s="9">
        <v>0</v>
      </c>
      <c r="C18">
        <f>C17+dtdx*(B17-2*C17+D17)</f>
        <v>0.14596255226113991</v>
      </c>
      <c r="D18">
        <f>D17+dtdx*(C17-2*D17+E17)</f>
        <v>0.28833102206367267</v>
      </c>
      <c r="E18">
        <f>E17+dtdx*(D17-2*E17+F17)</f>
        <v>0.42359982518719796</v>
      </c>
      <c r="F18">
        <f>F17+dtdx*(E17-2*F17+G17)</f>
        <v>0.54843819476739519</v>
      </c>
      <c r="G18">
        <f>G17+dtdx*(F17-2*G17+H17)</f>
        <v>0.65977219583040514</v>
      </c>
      <c r="H18">
        <f>H17+dtdx*(G17-2*H17+I17)</f>
        <v>0.7548604157736909</v>
      </c>
      <c r="I18">
        <f>I17+dtdx*(H17-2*I17+J17)</f>
        <v>0.83136146704253988</v>
      </c>
      <c r="J18">
        <f>J17+dtdx*(I17-2*J17+K17)</f>
        <v>0.8873916398622802</v>
      </c>
      <c r="K18">
        <f>K17+dtdx*(J17-2*K17+L17)</f>
        <v>0.9215712854246072</v>
      </c>
      <c r="L18">
        <f>L17+dtdx*(K17-2*L17+M17)</f>
        <v>0.93305878742003656</v>
      </c>
      <c r="M18">
        <f>M17+dtdx*(L17-2*M17+N17)</f>
        <v>0.9215712854246072</v>
      </c>
      <c r="N18">
        <f>N17+dtdx*(M17-2*N17+O17)</f>
        <v>0.8873916398622802</v>
      </c>
      <c r="O18">
        <f>O17+dtdx*(N17-2*O17+P17)</f>
        <v>0.83136146704253988</v>
      </c>
      <c r="P18">
        <f>P17+dtdx*(O17-2*P17+Q17)</f>
        <v>0.75486041577369078</v>
      </c>
      <c r="Q18">
        <f>Q17+dtdx*(P17-2*Q17+R17)</f>
        <v>0.65977219583040492</v>
      </c>
      <c r="R18">
        <f>R17+dtdx*(Q17-2*R17+S17)</f>
        <v>0.54843819476739497</v>
      </c>
      <c r="S18">
        <f>S17+dtdx*(R17-2*S17+T17)</f>
        <v>0.42359982518719763</v>
      </c>
      <c r="T18">
        <f>T17+dtdx*(S17-2*T17+U17)</f>
        <v>0.28833102206367245</v>
      </c>
      <c r="U18">
        <f>U17+dtdx*(T17-2*U17+V17)</f>
        <v>0.14596255226113977</v>
      </c>
      <c r="V18" s="9">
        <v>0</v>
      </c>
    </row>
    <row r="19" spans="1:22" x14ac:dyDescent="0.25">
      <c r="A19" s="4">
        <f>A18+dtheta</f>
        <v>8.0000000000000002E-3</v>
      </c>
      <c r="B19" s="9">
        <v>0</v>
      </c>
      <c r="C19">
        <f>C18+dtdx*(B18-2*C18+D18)</f>
        <v>0.14452491927769706</v>
      </c>
      <c r="D19">
        <f>D18+dtdx*(C18-2*D18+E18)</f>
        <v>0.28549115539206971</v>
      </c>
      <c r="E19">
        <f>E18+dtdx*(D18-2*E18+F18)</f>
        <v>0.41942765176986674</v>
      </c>
      <c r="F19">
        <f>F18+dtdx*(E18-2*F18+G18)</f>
        <v>0.54303644736052026</v>
      </c>
      <c r="G19">
        <f>G18+dtdx*(F18-2*G18+H18)</f>
        <v>0.65327388338251546</v>
      </c>
      <c r="H19">
        <f>H18+dtdx*(G18-2*H18+I18)</f>
        <v>0.74742554830391617</v>
      </c>
      <c r="I19">
        <f>I18+dtdx*(H18-2*I18+J18)</f>
        <v>0.82317311566289642</v>
      </c>
      <c r="J19">
        <f>J18+dtdx*(I18-2*J18+K18)</f>
        <v>0.87865142895931492</v>
      </c>
      <c r="K19">
        <f>K18+dtdx*(J18-2*K18+L18)</f>
        <v>0.91249442799784819</v>
      </c>
      <c r="L19">
        <f>L18+dtdx*(K18-2*L18+M18)</f>
        <v>0.92386878582369303</v>
      </c>
      <c r="M19">
        <f>M18+dtdx*(L18-2*M18+N18)</f>
        <v>0.91249442799784819</v>
      </c>
      <c r="N19">
        <f>N18+dtdx*(M18-2*N18+O18)</f>
        <v>0.87865142895931492</v>
      </c>
      <c r="O19">
        <f>O18+dtdx*(N18-2*O18+P18)</f>
        <v>0.82317311566289642</v>
      </c>
      <c r="P19">
        <f>P18+dtdx*(O18-2*P18+Q18)</f>
        <v>0.74742554830391605</v>
      </c>
      <c r="Q19">
        <f>Q18+dtdx*(P18-2*Q18+R18)</f>
        <v>0.65327388338251524</v>
      </c>
      <c r="R19">
        <f>R18+dtdx*(Q18-2*R18+S18)</f>
        <v>0.54303644736052004</v>
      </c>
      <c r="S19">
        <f>S18+dtdx*(R18-2*S18+T18)</f>
        <v>0.41942765176986652</v>
      </c>
      <c r="T19">
        <f>T18+dtdx*(S18-2*T18+U18)</f>
        <v>0.28549115539206943</v>
      </c>
      <c r="U19">
        <f>U18+dtdx*(T18-2*U18+V18)</f>
        <v>0.14452491927769692</v>
      </c>
      <c r="V19" s="9">
        <v>0</v>
      </c>
    </row>
    <row r="20" spans="1:22" x14ac:dyDescent="0.25">
      <c r="A20" s="4">
        <f>A19+dtheta</f>
        <v>9.0000000000000011E-3</v>
      </c>
      <c r="B20" s="9">
        <v>0</v>
      </c>
      <c r="C20">
        <f>C19+dtdx*(B19-2*C19+D19)</f>
        <v>0.14310144601236729</v>
      </c>
      <c r="D20">
        <f>D19+dtdx*(C19-2*D19+E19)</f>
        <v>0.28267925949743944</v>
      </c>
      <c r="E20">
        <f>E19+dtdx*(D19-2*E19+F19)</f>
        <v>0.41529657145500931</v>
      </c>
      <c r="F20">
        <f>F19+dtdx*(E19-2*F19+G19)</f>
        <v>0.53768790353305695</v>
      </c>
      <c r="G20">
        <f>G19+dtdx*(F19-2*G19+H19)</f>
        <v>0.64683957494227762</v>
      </c>
      <c r="H20">
        <f>H19+dtdx*(G19-2*H19+I19)</f>
        <v>0.74006390927894794</v>
      </c>
      <c r="I20">
        <f>I19+dtdx*(H19-2*I19+J19)</f>
        <v>0.81506541403787169</v>
      </c>
      <c r="J20">
        <f>J19+dtdx*(I19-2*J19+K19)</f>
        <v>0.86999730325616087</v>
      </c>
      <c r="K20">
        <f>K19+dtdx*(J19-2*K19+L19)</f>
        <v>0.90350697151277282</v>
      </c>
      <c r="L20">
        <f>L19+dtdx*(K19-2*L19+M19)</f>
        <v>0.91476929956301711</v>
      </c>
      <c r="M20">
        <f>M19+dtdx*(L19-2*M19+N19)</f>
        <v>0.90350697151277282</v>
      </c>
      <c r="N20">
        <f>N19+dtdx*(M19-2*N19+O19)</f>
        <v>0.86999730325616087</v>
      </c>
      <c r="O20">
        <f>O19+dtdx*(N19-2*O19+P19)</f>
        <v>0.81506541403787169</v>
      </c>
      <c r="P20">
        <f>P19+dtdx*(O19-2*P19+Q19)</f>
        <v>0.74006390927894783</v>
      </c>
      <c r="Q20">
        <f>Q19+dtdx*(P19-2*Q19+R19)</f>
        <v>0.64683957494227751</v>
      </c>
      <c r="R20">
        <f>R19+dtdx*(Q19-2*R19+S19)</f>
        <v>0.53768790353305673</v>
      </c>
      <c r="S20">
        <f>S19+dtdx*(R19-2*S19+T19)</f>
        <v>0.41529657145500909</v>
      </c>
      <c r="T20">
        <f>T19+dtdx*(S19-2*T19+U19)</f>
        <v>0.28267925949743927</v>
      </c>
      <c r="U20">
        <f>U19+dtdx*(T19-2*U19+V19)</f>
        <v>0.14310144601236716</v>
      </c>
      <c r="V20" s="9">
        <v>0</v>
      </c>
    </row>
    <row r="21" spans="1:22" x14ac:dyDescent="0.25">
      <c r="A21" s="4">
        <f>A20+dtheta</f>
        <v>1.0000000000000002E-2</v>
      </c>
      <c r="B21" s="9">
        <v>0</v>
      </c>
      <c r="C21">
        <f>C20+dtdx*(B20-2*C20+D20)</f>
        <v>0.14169199300144925</v>
      </c>
      <c r="D21">
        <f>D20+dtdx*(C20-2*D20+E20)</f>
        <v>0.27989505888643851</v>
      </c>
      <c r="E21">
        <f>E20+dtdx*(D20-2*E20+F20)</f>
        <v>0.41120617950320043</v>
      </c>
      <c r="F21">
        <f>F20+dtdx*(E20-2*F20+G20)</f>
        <v>0.53239203926552614</v>
      </c>
      <c r="G21">
        <f>G20+dtdx*(F20-2*G20+H20)</f>
        <v>0.64046864011325744</v>
      </c>
      <c r="H21">
        <f>H20+dtdx*(G20-2*H20+I20)</f>
        <v>0.73277477744784936</v>
      </c>
      <c r="I21">
        <f>I20+dtdx*(H20-2*I20+J20)</f>
        <v>0.80703756782161784</v>
      </c>
      <c r="J21">
        <f>J20+dtdx*(I20-2*J20+K20)</f>
        <v>0.86142841487149002</v>
      </c>
      <c r="K21">
        <f>K20+dtdx*(J20-2*K20+L20)</f>
        <v>0.89460803543022571</v>
      </c>
      <c r="L21">
        <f>L20+dtdx*(K20-2*L20+M20)</f>
        <v>0.9057594371228217</v>
      </c>
      <c r="M21">
        <f>M20+dtdx*(L20-2*M20+N20)</f>
        <v>0.89460803543022571</v>
      </c>
      <c r="N21">
        <f>N20+dtdx*(M20-2*N20+O20)</f>
        <v>0.86142841487149002</v>
      </c>
      <c r="O21">
        <f>O20+dtdx*(N20-2*O20+P20)</f>
        <v>0.80703756782161784</v>
      </c>
      <c r="P21">
        <f>P20+dtdx*(O20-2*P20+Q20)</f>
        <v>0.73277477744784925</v>
      </c>
      <c r="Q21">
        <f>Q20+dtdx*(P20-2*Q20+R20)</f>
        <v>0.64046864011325733</v>
      </c>
      <c r="R21">
        <f>R20+dtdx*(Q20-2*R20+S20)</f>
        <v>0.53239203926552603</v>
      </c>
      <c r="S21">
        <f>S20+dtdx*(R20-2*S20+T20)</f>
        <v>0.41120617950320021</v>
      </c>
      <c r="T21">
        <f>T20+dtdx*(S20-2*T20+U20)</f>
        <v>0.27989505888643834</v>
      </c>
      <c r="U21">
        <f>U20+dtdx*(T20-2*U20+V20)</f>
        <v>0.14169199300144913</v>
      </c>
      <c r="V21" s="9">
        <v>0</v>
      </c>
    </row>
    <row r="22" spans="1:22" x14ac:dyDescent="0.25">
      <c r="A22" s="4">
        <f>A21+dtheta</f>
        <v>1.1000000000000003E-2</v>
      </c>
      <c r="B22" s="9">
        <v>0</v>
      </c>
      <c r="C22">
        <f>C21+dtdx*(B21-2*C21+D21)</f>
        <v>0.14029642215486526</v>
      </c>
      <c r="D22">
        <f>D21+dtdx*(C21-2*D21+E21)</f>
        <v>0.27713828077914759</v>
      </c>
      <c r="E22">
        <f>E21+dtdx*(D21-2*E21+F21)</f>
        <v>0.40715607516142593</v>
      </c>
      <c r="F22">
        <f>F21+dtdx*(E21-2*F21+G21)</f>
        <v>0.52714833569968844</v>
      </c>
      <c r="G22">
        <f>G21+dtdx*(F21-2*G21+H21)</f>
        <v>0.63416045470800164</v>
      </c>
      <c r="H22">
        <f>H21+dtdx*(G21-2*H21+I21)</f>
        <v>0.72555743866351996</v>
      </c>
      <c r="I22">
        <f>I21+dtdx*(H21-2*I21+J21)</f>
        <v>0.79908879049205928</v>
      </c>
      <c r="J22">
        <f>J21+dtdx*(I21-2*J21+K21)</f>
        <v>0.8529439242750354</v>
      </c>
      <c r="K22">
        <f>K21+dtdx*(J21-2*K21+L21)</f>
        <v>0.88579674788376983</v>
      </c>
      <c r="L22">
        <f>L21+dtdx*(K21-2*L21+M21)</f>
        <v>0.89683831576874495</v>
      </c>
      <c r="M22">
        <f>M21+dtdx*(L21-2*M21+N21)</f>
        <v>0.88579674788376983</v>
      </c>
      <c r="N22">
        <f>N21+dtdx*(M21-2*N21+O21)</f>
        <v>0.8529439242750354</v>
      </c>
      <c r="O22">
        <f>O21+dtdx*(N21-2*O21+P21)</f>
        <v>0.79908879049205928</v>
      </c>
      <c r="P22">
        <f>P21+dtdx*(O21-2*P21+Q21)</f>
        <v>0.72555743866351996</v>
      </c>
      <c r="Q22">
        <f>Q21+dtdx*(P21-2*Q21+R21)</f>
        <v>0.63416045470800153</v>
      </c>
      <c r="R22">
        <f>R21+dtdx*(Q21-2*R21+S21)</f>
        <v>0.52714833569968822</v>
      </c>
      <c r="S22">
        <f>S21+dtdx*(R21-2*S21+T21)</f>
        <v>0.40715607516142577</v>
      </c>
      <c r="T22">
        <f>T21+dtdx*(S21-2*T21+U21)</f>
        <v>0.27713828077914743</v>
      </c>
      <c r="U22">
        <f>U21+dtdx*(T21-2*U21+V21)</f>
        <v>0.14029642215486515</v>
      </c>
      <c r="V22" s="9">
        <v>0</v>
      </c>
    </row>
    <row r="23" spans="1:22" x14ac:dyDescent="0.25">
      <c r="A23" s="4">
        <f>A22+dtheta</f>
        <v>1.2000000000000004E-2</v>
      </c>
      <c r="B23" s="9">
        <v>0</v>
      </c>
      <c r="C23">
        <f>C22+dtdx*(B22-2*C22+D22)</f>
        <v>0.1389145967426321</v>
      </c>
      <c r="D23">
        <f>D22+dtdx*(C22-2*D22+E22)</f>
        <v>0.27440865508234602</v>
      </c>
      <c r="E23">
        <f>E22+dtdx*(D22-2*E22+F22)</f>
        <v>0.4031458616238196</v>
      </c>
      <c r="F23">
        <f>F22+dtdx*(E22-2*F22+G22)</f>
        <v>0.5219562790877087</v>
      </c>
      <c r="G23">
        <f>G22+dtdx*(F22-2*G22+H22)</f>
        <v>0.62791440068688364</v>
      </c>
      <c r="H23">
        <f>H22+dtdx*(G22-2*H22+I22)</f>
        <v>0.71841118581272834</v>
      </c>
      <c r="I23">
        <f>I22+dtdx*(H22-2*I22+J22)</f>
        <v>0.79121830327383402</v>
      </c>
      <c r="J23">
        <f>J22+dtdx*(I22-2*J22+K22)</f>
        <v>0.84454300020533868</v>
      </c>
      <c r="K23">
        <f>K22+dtdx*(J22-2*K22+L22)</f>
        <v>0.87707224559426611</v>
      </c>
      <c r="L23">
        <f>L22+dtdx*(K22-2*L22+M22)</f>
        <v>0.88800506146076486</v>
      </c>
      <c r="M23">
        <f>M22+dtdx*(L22-2*M22+N22)</f>
        <v>0.87707224559426611</v>
      </c>
      <c r="N23">
        <f>N22+dtdx*(M22-2*N22+O22)</f>
        <v>0.84454300020533868</v>
      </c>
      <c r="O23">
        <f>O22+dtdx*(N22-2*O22+P22)</f>
        <v>0.79121830327383402</v>
      </c>
      <c r="P23">
        <f>P22+dtdx*(O22-2*P22+Q22)</f>
        <v>0.71841118581272834</v>
      </c>
      <c r="Q23">
        <f>Q22+dtdx*(P22-2*Q22+R22)</f>
        <v>0.62791440068688353</v>
      </c>
      <c r="R23">
        <f>R22+dtdx*(Q22-2*R22+S22)</f>
        <v>0.52195627908770859</v>
      </c>
      <c r="S23">
        <f>S22+dtdx*(R22-2*S22+T22)</f>
        <v>0.40314586162381943</v>
      </c>
      <c r="T23">
        <f>T22+dtdx*(S22-2*T22+U22)</f>
        <v>0.27440865508234585</v>
      </c>
      <c r="U23">
        <f>U22+dtdx*(T22-2*U22+V22)</f>
        <v>0.13891459674263201</v>
      </c>
      <c r="V23" s="9">
        <v>0</v>
      </c>
    </row>
    <row r="24" spans="1:22" x14ac:dyDescent="0.25">
      <c r="A24" s="4">
        <f>A23+dtheta</f>
        <v>1.3000000000000005E-2</v>
      </c>
      <c r="B24" s="9">
        <v>0</v>
      </c>
      <c r="C24">
        <f>C23+dtdx*(B23-2*C23+D23)</f>
        <v>0.13754638138146483</v>
      </c>
      <c r="D24">
        <f>D23+dtdx*(C23-2*D23+E23)</f>
        <v>0.27170591436304986</v>
      </c>
      <c r="E24">
        <f>E23+dtdx*(D23-2*E23+F23)</f>
        <v>0.39917514599278581</v>
      </c>
      <c r="F24">
        <f>F23+dtdx*(E23-2*F23+G23)</f>
        <v>0.51681536074182299</v>
      </c>
      <c r="G24">
        <f>G23+dtdx*(F23-2*G23+H23)</f>
        <v>0.62172986609755154</v>
      </c>
      <c r="H24">
        <f>H23+dtdx*(G23-2*H23+I23)</f>
        <v>0.71133531874683276</v>
      </c>
      <c r="I24">
        <f>I23+dtdx*(H23-2*I23+J23)</f>
        <v>0.78342533506199363</v>
      </c>
      <c r="J24">
        <f>J23+dtdx*(I23-2*J23+K23)</f>
        <v>0.83622481958830774</v>
      </c>
      <c r="K24">
        <f>K23+dtdx*(J23-2*K23+L23)</f>
        <v>0.86843367378529468</v>
      </c>
      <c r="L24">
        <f>L23+dtdx*(K23-2*L23+M23)</f>
        <v>0.8792588087675659</v>
      </c>
      <c r="M24">
        <f>M23+dtdx*(L23-2*M23+N23)</f>
        <v>0.86843367378529468</v>
      </c>
      <c r="N24">
        <f>N23+dtdx*(M23-2*N23+O23)</f>
        <v>0.83622481958830774</v>
      </c>
      <c r="O24">
        <f>O23+dtdx*(N23-2*O23+P23)</f>
        <v>0.78342533506199363</v>
      </c>
      <c r="P24">
        <f>P23+dtdx*(O23-2*P23+Q23)</f>
        <v>0.71133531874683265</v>
      </c>
      <c r="Q24">
        <f>Q23+dtdx*(P23-2*Q23+R23)</f>
        <v>0.62172986609755143</v>
      </c>
      <c r="R24">
        <f>R23+dtdx*(Q23-2*R23+S23)</f>
        <v>0.51681536074182288</v>
      </c>
      <c r="S24">
        <f>S23+dtdx*(R23-2*S23+T23)</f>
        <v>0.39917514599278564</v>
      </c>
      <c r="T24">
        <f>T23+dtdx*(S23-2*T23+U23)</f>
        <v>0.27170591436304975</v>
      </c>
      <c r="U24">
        <f>U23+dtdx*(T23-2*U23+V23)</f>
        <v>0.13754638138146474</v>
      </c>
      <c r="V24" s="9">
        <v>0</v>
      </c>
    </row>
    <row r="25" spans="1:22" x14ac:dyDescent="0.25">
      <c r="A25" s="4">
        <f>A24+dtheta</f>
        <v>1.4000000000000005E-2</v>
      </c>
      <c r="B25" s="9">
        <v>0</v>
      </c>
      <c r="C25">
        <f>C24+dtdx*(B24-2*C24+D24)</f>
        <v>0.1361916420215129</v>
      </c>
      <c r="D25">
        <f>D24+dtdx*(C24-2*D24+E24)</f>
        <v>0.26902979382231024</v>
      </c>
      <c r="E25">
        <f>E24+dtdx*(D24-2*E24+F24)</f>
        <v>0.39524353924050626</v>
      </c>
      <c r="F25">
        <f>F24+dtdx*(E24-2*F24+G24)</f>
        <v>0.51172507698449954</v>
      </c>
      <c r="G25">
        <f>G24+dtdx*(F24-2*G24+H24)</f>
        <v>0.61560624501497263</v>
      </c>
      <c r="H25">
        <f>H24+dtdx*(G24-2*H24+I24)</f>
        <v>0.7043291442131846</v>
      </c>
      <c r="I25">
        <f>I24+dtdx*(H24-2*I24+J24)</f>
        <v>0.77570912234645495</v>
      </c>
      <c r="J25">
        <f>J24+dtdx*(I24-2*J24+K24)</f>
        <v>0.8279885674565769</v>
      </c>
      <c r="K25">
        <f>K24+dtdx*(J24-2*K24+L24)</f>
        <v>0.85988018609940842</v>
      </c>
      <c r="L25">
        <f>L24+dtdx*(K24-2*L24+M24)</f>
        <v>0.87059870078174895</v>
      </c>
      <c r="M25">
        <f>M24+dtdx*(L24-2*M24+N24)</f>
        <v>0.85988018609940842</v>
      </c>
      <c r="N25">
        <f>N24+dtdx*(M24-2*N24+O24)</f>
        <v>0.8279885674565769</v>
      </c>
      <c r="O25">
        <f>O24+dtdx*(N24-2*O24+P24)</f>
        <v>0.77570912234645484</v>
      </c>
      <c r="P25">
        <f>P24+dtdx*(O24-2*P24+Q24)</f>
        <v>0.7043291442131846</v>
      </c>
      <c r="Q25">
        <f>Q24+dtdx*(P24-2*Q24+R24)</f>
        <v>0.61560624501497252</v>
      </c>
      <c r="R25">
        <f>R24+dtdx*(Q24-2*R24+S24)</f>
        <v>0.51172507698449943</v>
      </c>
      <c r="S25">
        <f>S24+dtdx*(R24-2*S24+T24)</f>
        <v>0.3952435392405062</v>
      </c>
      <c r="T25">
        <f>T24+dtdx*(S24-2*T24+U24)</f>
        <v>0.26902979382231013</v>
      </c>
      <c r="U25">
        <f>U24+dtdx*(T24-2*U24+V24)</f>
        <v>0.13619164202151285</v>
      </c>
      <c r="V25" s="9">
        <v>0</v>
      </c>
    </row>
    <row r="26" spans="1:22" x14ac:dyDescent="0.25">
      <c r="A26" s="4">
        <f>A25+dtheta</f>
        <v>1.5000000000000006E-2</v>
      </c>
      <c r="B26" s="9">
        <v>0</v>
      </c>
      <c r="C26">
        <f>C25+dtdx*(B25-2*C25+D25)</f>
        <v>0.13485024593322667</v>
      </c>
      <c r="D26">
        <f>D25+dtdx*(C25-2*D25+E25)</f>
        <v>0.26638003126926973</v>
      </c>
      <c r="E26">
        <f>E25+dtdx*(D25-2*E25+F25)</f>
        <v>0.39135065617082521</v>
      </c>
      <c r="F26">
        <f>F25+dtdx*(E25-2*F25+G25)</f>
        <v>0.50668492909909146</v>
      </c>
      <c r="G26">
        <f>G25+dtdx*(F25-2*G25+H25)</f>
        <v>0.60954293748206823</v>
      </c>
      <c r="H26">
        <f>H25+dtdx*(G25-2*H25+I25)</f>
        <v>0.69739197578720791</v>
      </c>
      <c r="I26">
        <f>I25+dtdx*(H25-2*I25+J25)</f>
        <v>0.76806890913719561</v>
      </c>
      <c r="J26">
        <f>J25+dtdx*(I25-2*J25+K25)</f>
        <v>0.8198334368696607</v>
      </c>
      <c r="K26">
        <f>K25+dtdx*(J25-2*K25+L25)</f>
        <v>0.85141094451521204</v>
      </c>
      <c r="L26">
        <f>L25+dtdx*(K25-2*L25+M25)</f>
        <v>0.86202388903587657</v>
      </c>
      <c r="M26">
        <f>M25+dtdx*(L25-2*M25+N25)</f>
        <v>0.85141094451521204</v>
      </c>
      <c r="N26">
        <f>N25+dtdx*(M25-2*N25+O25)</f>
        <v>0.8198334368696607</v>
      </c>
      <c r="O26">
        <f>O25+dtdx*(N25-2*O25+P25)</f>
        <v>0.76806890913719561</v>
      </c>
      <c r="P26">
        <f>P25+dtdx*(O25-2*P25+Q25)</f>
        <v>0.69739197578720791</v>
      </c>
      <c r="Q26">
        <f>Q25+dtdx*(P25-2*Q25+R25)</f>
        <v>0.60954293748206811</v>
      </c>
      <c r="R26">
        <f>R25+dtdx*(Q25-2*R25+S25)</f>
        <v>0.50668492909909135</v>
      </c>
      <c r="S26">
        <f>S25+dtdx*(R25-2*S25+T25)</f>
        <v>0.39135065617082504</v>
      </c>
      <c r="T26">
        <f>T25+dtdx*(S25-2*T25+U25)</f>
        <v>0.26638003126926962</v>
      </c>
      <c r="U26">
        <f>U25+dtdx*(T25-2*U25+V25)</f>
        <v>0.13485024593322661</v>
      </c>
      <c r="V26" s="9">
        <v>0</v>
      </c>
    </row>
    <row r="27" spans="1:22" x14ac:dyDescent="0.25">
      <c r="A27" s="4">
        <f>A26+dtheta</f>
        <v>1.6000000000000007E-2</v>
      </c>
      <c r="B27" s="9">
        <v>0</v>
      </c>
      <c r="C27">
        <f>C26+dtdx*(B26-2*C26+D26)</f>
        <v>0.13352206169435324</v>
      </c>
      <c r="D27">
        <f>D26+dtdx*(C26-2*D26+E26)</f>
        <v>0.26375636709547473</v>
      </c>
      <c r="E27">
        <f>E26+dtdx*(D26-2*E26+F26)</f>
        <v>0.38749611538150952</v>
      </c>
      <c r="F27">
        <f>F26+dtdx*(E26-2*F26+G26)</f>
        <v>0.50169442328097569</v>
      </c>
      <c r="G27">
        <f>G26+dtdx*(F26-2*G26+H26)</f>
        <v>0.60353934945093335</v>
      </c>
      <c r="H27">
        <f>H26+dtdx*(G26-2*H26+I26)</f>
        <v>0.69052313380514707</v>
      </c>
      <c r="I27">
        <f>I26+dtdx*(H26-2*I26+J26)</f>
        <v>0.76050394689018652</v>
      </c>
      <c r="J27">
        <f>J26+dtdx*(I26-2*J26+K26)</f>
        <v>0.81175862883489525</v>
      </c>
      <c r="K27">
        <f>K26+dtdx*(J26-2*K26+L26)</f>
        <v>0.84302511926525736</v>
      </c>
      <c r="L27">
        <f>L26+dtdx*(K26-2*L26+M26)</f>
        <v>0.8535335334193449</v>
      </c>
      <c r="M27">
        <f>M26+dtdx*(L26-2*M26+N26)</f>
        <v>0.84302511926525736</v>
      </c>
      <c r="N27">
        <f>N26+dtdx*(M26-2*N26+O26)</f>
        <v>0.81175862883489525</v>
      </c>
      <c r="O27">
        <f>O26+dtdx*(N26-2*O26+P26)</f>
        <v>0.76050394689018652</v>
      </c>
      <c r="P27">
        <f>P26+dtdx*(O26-2*P26+Q26)</f>
        <v>0.69052313380514707</v>
      </c>
      <c r="Q27">
        <f>Q26+dtdx*(P26-2*Q26+R26)</f>
        <v>0.60353934945093335</v>
      </c>
      <c r="R27">
        <f>R26+dtdx*(Q26-2*R26+S26)</f>
        <v>0.50169442328097558</v>
      </c>
      <c r="S27">
        <f>S26+dtdx*(R26-2*S26+T26)</f>
        <v>0.38749611538150941</v>
      </c>
      <c r="T27">
        <f>T26+dtdx*(S26-2*T26+U26)</f>
        <v>0.26375636709547456</v>
      </c>
      <c r="U27">
        <f>U26+dtdx*(T26-2*U26+V26)</f>
        <v>0.13352206169435318</v>
      </c>
      <c r="V27" s="9">
        <v>0</v>
      </c>
    </row>
    <row r="28" spans="1:22" x14ac:dyDescent="0.25">
      <c r="A28" s="4">
        <f>A27+dtheta</f>
        <v>1.7000000000000008E-2</v>
      </c>
      <c r="B28" s="9">
        <v>0</v>
      </c>
      <c r="C28">
        <f>C27+dtdx*(B27-2*C27+D27)</f>
        <v>0.13220695917706055</v>
      </c>
      <c r="D28">
        <f>D27+dtdx*(C27-2*D27+E27)</f>
        <v>0.26115854424944002</v>
      </c>
      <c r="E28">
        <f>E27+dtdx*(D27-2*E27+F27)</f>
        <v>0.38367953922688208</v>
      </c>
      <c r="F28">
        <f>F27+dtdx*(E27-2*F27+G27)</f>
        <v>0.49675307058917229</v>
      </c>
      <c r="G28">
        <f>G27+dtdx*(F27-2*G27+H27)</f>
        <v>0.59759489272463573</v>
      </c>
      <c r="H28">
        <f>H27+dtdx*(G27-2*H27+I27)</f>
        <v>0.68372194529747732</v>
      </c>
      <c r="I28">
        <f>I27+dtdx*(H27-2*I27+J27)</f>
        <v>0.75301349443405419</v>
      </c>
      <c r="J28">
        <f>J27+dtdx*(I27-2*J27+K27)</f>
        <v>0.80376335222915662</v>
      </c>
      <c r="K28">
        <f>K27+dtdx*(J27-2*K27+L27)</f>
        <v>0.83472188875474751</v>
      </c>
      <c r="L28">
        <f>L27+dtdx*(K27-2*L27+M27)</f>
        <v>0.84512680209607483</v>
      </c>
      <c r="M28">
        <f>M27+dtdx*(L27-2*M27+N27)</f>
        <v>0.83472188875474751</v>
      </c>
      <c r="N28">
        <f>N27+dtdx*(M27-2*N27+O27)</f>
        <v>0.80376335222915662</v>
      </c>
      <c r="O28">
        <f>O27+dtdx*(N27-2*O27+P27)</f>
        <v>0.75301349443405419</v>
      </c>
      <c r="P28">
        <f>P27+dtdx*(O27-2*P27+Q27)</f>
        <v>0.68372194529747732</v>
      </c>
      <c r="Q28">
        <f>Q27+dtdx*(P27-2*Q27+R27)</f>
        <v>0.59759489272463573</v>
      </c>
      <c r="R28">
        <f>R27+dtdx*(Q27-2*R27+S27)</f>
        <v>0.49675307058917223</v>
      </c>
      <c r="S28">
        <f>S27+dtdx*(R27-2*S27+T27)</f>
        <v>0.38367953922688192</v>
      </c>
      <c r="T28">
        <f>T27+dtdx*(S27-2*T27+U27)</f>
        <v>0.26115854424943996</v>
      </c>
      <c r="U28">
        <f>U27+dtdx*(T27-2*U27+V27)</f>
        <v>0.13220695917706046</v>
      </c>
      <c r="V28" s="9">
        <v>0</v>
      </c>
    </row>
    <row r="29" spans="1:22" x14ac:dyDescent="0.25">
      <c r="A29" s="4">
        <f>A28+dtheta</f>
        <v>1.8000000000000009E-2</v>
      </c>
      <c r="B29" s="9">
        <v>0</v>
      </c>
      <c r="C29">
        <f>C28+dtdx*(B28-2*C28+D28)</f>
        <v>0.13090480953518813</v>
      </c>
      <c r="D29">
        <f>D28+dtdx*(C28-2*D28+E28)</f>
        <v>0.25858630821146505</v>
      </c>
      <c r="E29">
        <f>E28+dtdx*(D28-2*E28+F28)</f>
        <v>0.37990055378082138</v>
      </c>
      <c r="F29">
        <f>F28+dtdx*(E28-2*F28+G28)</f>
        <v>0.49186038689844158</v>
      </c>
      <c r="G29">
        <f>G28+dtdx*(F28-2*G28+H28)</f>
        <v>0.59170898489958701</v>
      </c>
      <c r="H29">
        <f>H28+dtdx*(G28-2*H28+I28)</f>
        <v>0.67698774392297145</v>
      </c>
      <c r="I29">
        <f>I28+dtdx*(H28-2*I28+J28)</f>
        <v>0.74559681789746446</v>
      </c>
      <c r="J29">
        <f>J28+dtdx*(I28-2*J28+K28)</f>
        <v>0.79584682372135196</v>
      </c>
      <c r="K29">
        <f>K28+dtdx*(J28-2*K28+L28)</f>
        <v>0.82650043948104213</v>
      </c>
      <c r="L29">
        <f>L28+dtdx*(K28-2*L28+M28)</f>
        <v>0.83680287142301302</v>
      </c>
      <c r="M29">
        <f>M28+dtdx*(L28-2*M28+N28)</f>
        <v>0.82650043948104213</v>
      </c>
      <c r="N29">
        <f>N28+dtdx*(M28-2*N28+O28)</f>
        <v>0.79584682372135196</v>
      </c>
      <c r="O29">
        <f>O28+dtdx*(N28-2*O28+P28)</f>
        <v>0.74559681789746446</v>
      </c>
      <c r="P29">
        <f>P28+dtdx*(O28-2*P28+Q28)</f>
        <v>0.67698774392297145</v>
      </c>
      <c r="Q29">
        <f>Q28+dtdx*(P28-2*Q28+R28)</f>
        <v>0.59170898489958701</v>
      </c>
      <c r="R29">
        <f>R28+dtdx*(Q28-2*R28+S28)</f>
        <v>0.49186038689844153</v>
      </c>
      <c r="S29">
        <f>S28+dtdx*(R28-2*S28+T28)</f>
        <v>0.37990055378082127</v>
      </c>
      <c r="T29">
        <f>T28+dtdx*(S28-2*T28+U28)</f>
        <v>0.25858630821146494</v>
      </c>
      <c r="U29">
        <f>U28+dtdx*(T28-2*U28+V28)</f>
        <v>0.13090480953518807</v>
      </c>
      <c r="V29" s="9">
        <v>0</v>
      </c>
    </row>
    <row r="30" spans="1:22" x14ac:dyDescent="0.25">
      <c r="A30" s="4">
        <f>A29+dtheta</f>
        <v>1.900000000000001E-2</v>
      </c>
      <c r="B30" s="9">
        <v>0</v>
      </c>
      <c r="C30">
        <f>C29+dtdx*(B29-2*C29+D29)</f>
        <v>0.12961548519162364</v>
      </c>
      <c r="D30">
        <f>D29+dtdx*(C29-2*D29+E29)</f>
        <v>0.25603940696869681</v>
      </c>
      <c r="E30">
        <f>E29+dtdx*(D29-2*E29+F29)</f>
        <v>0.37615878880012693</v>
      </c>
      <c r="F30">
        <f>F29+dtdx*(E29-2*F29+G29)</f>
        <v>0.48701589285185165</v>
      </c>
      <c r="G30">
        <f>G29+dtdx*(F29-2*G29+H29)</f>
        <v>0.58588104930848262</v>
      </c>
      <c r="H30">
        <f>H29+dtdx*(G29-2*H29+I29)</f>
        <v>0.67031986990341486</v>
      </c>
      <c r="I30">
        <f>I29+dtdx*(H29-2*I29+J29)</f>
        <v>0.73825319063722228</v>
      </c>
      <c r="J30">
        <f>J29+dtdx*(I29-2*J29+K29)</f>
        <v>0.788008267695673</v>
      </c>
      <c r="K30">
        <f>K29+dtdx*(J29-2*K29+L29)</f>
        <v>0.81835996595395444</v>
      </c>
      <c r="L30">
        <f>L29+dtdx*(K29-2*L29+M29)</f>
        <v>0.8285609258694363</v>
      </c>
      <c r="M30">
        <f>M29+dtdx*(L29-2*M29+N29)</f>
        <v>0.81835996595395444</v>
      </c>
      <c r="N30">
        <f>N29+dtdx*(M29-2*N29+O29)</f>
        <v>0.788008267695673</v>
      </c>
      <c r="O30">
        <f>O29+dtdx*(N29-2*O29+P29)</f>
        <v>0.73825319063722228</v>
      </c>
      <c r="P30">
        <f>P29+dtdx*(O29-2*P29+Q29)</f>
        <v>0.67031986990341486</v>
      </c>
      <c r="Q30">
        <f>Q29+dtdx*(P29-2*Q29+R29)</f>
        <v>0.58588104930848262</v>
      </c>
      <c r="R30">
        <f>R29+dtdx*(Q29-2*R29+S29)</f>
        <v>0.4870158928518516</v>
      </c>
      <c r="S30">
        <f>S29+dtdx*(R29-2*S29+T29)</f>
        <v>0.37615878880012682</v>
      </c>
      <c r="T30">
        <f>T29+dtdx*(S29-2*T29+U29)</f>
        <v>0.2560394069686967</v>
      </c>
      <c r="U30">
        <f>U29+dtdx*(T29-2*U29+V29)</f>
        <v>0.12961548519162358</v>
      </c>
      <c r="V30" s="9">
        <v>0</v>
      </c>
    </row>
    <row r="31" spans="1:22" x14ac:dyDescent="0.25">
      <c r="A31" s="4">
        <f>A30+dtheta</f>
        <v>2.0000000000000011E-2</v>
      </c>
      <c r="B31" s="9">
        <v>0</v>
      </c>
      <c r="C31">
        <f>C30+dtdx*(B30-2*C30+D30)</f>
        <v>0.12833885982580345</v>
      </c>
      <c r="D31">
        <f>D30+dtdx*(C30-2*D30+E30)</f>
        <v>0.25351759099043958</v>
      </c>
      <c r="E31">
        <f>E30+dtdx*(D30-2*E30+F30)</f>
        <v>0.37245387768824478</v>
      </c>
      <c r="F31">
        <f>F30+dtdx*(E30-2*F30+G30)</f>
        <v>0.48221911381381416</v>
      </c>
      <c r="G31">
        <f>G30+dtdx*(F30-2*G30+H30)</f>
        <v>0.58011051496380317</v>
      </c>
      <c r="H31">
        <f>H30+dtdx*(G30-2*H30+I30)</f>
        <v>0.66371766995896497</v>
      </c>
      <c r="I31">
        <f>I30+dtdx*(H30-2*I30+J30)</f>
        <v>0.73098189316707962</v>
      </c>
      <c r="J31">
        <f>J30+dtdx*(I30-2*J30+K30)</f>
        <v>0.78024691617560527</v>
      </c>
      <c r="K31">
        <f>K30+dtdx*(J30-2*K30+L30)</f>
        <v>0.81029967061683461</v>
      </c>
      <c r="L31">
        <f>L30+dtdx*(K30-2*L30+M30)</f>
        <v>0.82040015793705079</v>
      </c>
      <c r="M31">
        <f>M30+dtdx*(L30-2*M30+N30)</f>
        <v>0.81029967061683461</v>
      </c>
      <c r="N31">
        <f>N30+dtdx*(M30-2*N30+O30)</f>
        <v>0.78024691617560527</v>
      </c>
      <c r="O31">
        <f>O30+dtdx*(N30-2*O30+P30)</f>
        <v>0.73098189316707962</v>
      </c>
      <c r="P31">
        <f>P30+dtdx*(O30-2*P30+Q30)</f>
        <v>0.66371766995896497</v>
      </c>
      <c r="Q31">
        <f>Q30+dtdx*(P30-2*Q30+R30)</f>
        <v>0.58011051496380306</v>
      </c>
      <c r="R31">
        <f>R30+dtdx*(Q30-2*R30+S30)</f>
        <v>0.4822191138138141</v>
      </c>
      <c r="S31">
        <f>S30+dtdx*(R30-2*S30+T30)</f>
        <v>0.37245387768824467</v>
      </c>
      <c r="T31">
        <f>T30+dtdx*(S30-2*T30+U30)</f>
        <v>0.25351759099043952</v>
      </c>
      <c r="U31">
        <f>U30+dtdx*(T30-2*U30+V30)</f>
        <v>0.1283388598258034</v>
      </c>
      <c r="V31" s="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CAC5D-C1D0-4C0D-A368-33F858D3ACD0}">
  <sheetPr codeName="Sheet4"/>
  <dimension ref="A1:V26"/>
  <sheetViews>
    <sheetView topLeftCell="B3" zoomScaleNormal="100" workbookViewId="0">
      <selection activeCell="D10" sqref="D10"/>
    </sheetView>
  </sheetViews>
  <sheetFormatPr defaultRowHeight="15" x14ac:dyDescent="0.25"/>
  <sheetData>
    <row r="1" spans="1:22" x14ac:dyDescent="0.25">
      <c r="A1" t="s">
        <v>10</v>
      </c>
      <c r="G1" t="s">
        <v>14</v>
      </c>
      <c r="K1" t="s">
        <v>15</v>
      </c>
    </row>
    <row r="2" spans="1:22" x14ac:dyDescent="0.25">
      <c r="B2" t="s">
        <v>11</v>
      </c>
      <c r="C2">
        <v>1E-3</v>
      </c>
      <c r="D2" t="s">
        <v>13</v>
      </c>
      <c r="E2">
        <v>0.02</v>
      </c>
      <c r="K2">
        <f>C3*C3/0.01</f>
        <v>0.25000000000000006</v>
      </c>
    </row>
    <row r="3" spans="1:22" x14ac:dyDescent="0.25">
      <c r="B3" t="s">
        <v>12</v>
      </c>
      <c r="C3">
        <v>0.05</v>
      </c>
    </row>
    <row r="4" spans="1:22" x14ac:dyDescent="0.25">
      <c r="A4" s="10" t="s">
        <v>17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</row>
    <row r="5" spans="1:22" x14ac:dyDescent="0.25">
      <c r="A5" s="4" t="s">
        <v>16</v>
      </c>
      <c r="B5" s="4">
        <v>0</v>
      </c>
      <c r="C5" s="4">
        <f>B5+$C$3</f>
        <v>0.05</v>
      </c>
      <c r="D5" s="4">
        <f t="shared" ref="D5:V5" si="0">C5+$C$3</f>
        <v>0.1</v>
      </c>
      <c r="E5" s="4">
        <f t="shared" si="0"/>
        <v>0.15000000000000002</v>
      </c>
      <c r="F5" s="4">
        <f t="shared" si="0"/>
        <v>0.2</v>
      </c>
      <c r="G5" s="4">
        <f t="shared" si="0"/>
        <v>0.25</v>
      </c>
      <c r="H5" s="4">
        <f t="shared" si="0"/>
        <v>0.3</v>
      </c>
      <c r="I5" s="4">
        <f t="shared" si="0"/>
        <v>0.35</v>
      </c>
      <c r="J5" s="4">
        <f t="shared" si="0"/>
        <v>0.39999999999999997</v>
      </c>
      <c r="K5" s="4">
        <f t="shared" si="0"/>
        <v>0.44999999999999996</v>
      </c>
      <c r="L5" s="4">
        <f t="shared" si="0"/>
        <v>0.49999999999999994</v>
      </c>
      <c r="M5" s="4">
        <f t="shared" si="0"/>
        <v>0.54999999999999993</v>
      </c>
      <c r="N5" s="4">
        <f t="shared" si="0"/>
        <v>0.6</v>
      </c>
      <c r="O5" s="4">
        <f t="shared" si="0"/>
        <v>0.65</v>
      </c>
      <c r="P5" s="4">
        <f>O5+$C$3</f>
        <v>0.70000000000000007</v>
      </c>
      <c r="Q5" s="4">
        <f t="shared" si="0"/>
        <v>0.75000000000000011</v>
      </c>
      <c r="R5" s="4">
        <f t="shared" si="0"/>
        <v>0.80000000000000016</v>
      </c>
      <c r="S5" s="4">
        <f t="shared" si="0"/>
        <v>0.8500000000000002</v>
      </c>
      <c r="T5" s="4">
        <f>S5+$C$3</f>
        <v>0.90000000000000024</v>
      </c>
      <c r="U5" s="4">
        <f t="shared" si="0"/>
        <v>0.95000000000000029</v>
      </c>
      <c r="V5" s="4">
        <f t="shared" si="0"/>
        <v>1.0000000000000002</v>
      </c>
    </row>
    <row r="6" spans="1:22" x14ac:dyDescent="0.25">
      <c r="A6" s="4">
        <v>0</v>
      </c>
      <c r="B6" s="9">
        <v>0</v>
      </c>
      <c r="C6" s="9">
        <v>1</v>
      </c>
      <c r="D6" s="9">
        <v>1</v>
      </c>
      <c r="E6" s="9">
        <v>1</v>
      </c>
      <c r="F6" s="9">
        <v>1</v>
      </c>
      <c r="G6" s="9">
        <v>1</v>
      </c>
      <c r="H6" s="9">
        <v>1</v>
      </c>
      <c r="I6" s="9">
        <v>1</v>
      </c>
      <c r="J6" s="9">
        <v>1</v>
      </c>
      <c r="K6" s="9">
        <v>1</v>
      </c>
      <c r="L6" s="9">
        <v>1</v>
      </c>
      <c r="M6" s="9">
        <v>1</v>
      </c>
      <c r="N6" s="9">
        <v>1</v>
      </c>
      <c r="O6" s="9">
        <v>1</v>
      </c>
      <c r="P6" s="9">
        <v>1</v>
      </c>
      <c r="Q6" s="9">
        <v>1</v>
      </c>
      <c r="R6" s="9">
        <v>1</v>
      </c>
      <c r="S6" s="9">
        <v>1</v>
      </c>
      <c r="T6" s="9">
        <v>1</v>
      </c>
      <c r="U6" s="9">
        <v>1</v>
      </c>
      <c r="V6" s="9">
        <v>1</v>
      </c>
    </row>
    <row r="7" spans="1:22" x14ac:dyDescent="0.25">
      <c r="A7" s="4">
        <v>1E-3</v>
      </c>
      <c r="B7" s="9">
        <v>0</v>
      </c>
      <c r="C7">
        <v>0.70820393249936919</v>
      </c>
      <c r="D7">
        <v>0.95742752749558357</v>
      </c>
      <c r="E7">
        <v>0.99378875996971627</v>
      </c>
      <c r="F7">
        <v>0.99909379229243034</v>
      </c>
      <c r="G7">
        <v>0.99986778607729621</v>
      </c>
      <c r="H7">
        <v>0.99998071024864299</v>
      </c>
      <c r="I7">
        <v>0.9999971856632055</v>
      </c>
      <c r="J7">
        <v>0.99999958939379541</v>
      </c>
      <c r="K7">
        <v>0.99999994009336213</v>
      </c>
      <c r="L7">
        <v>0.99999999125973926</v>
      </c>
      <c r="M7">
        <v>0.99999999872481315</v>
      </c>
      <c r="N7">
        <v>0.99999999981395282</v>
      </c>
      <c r="O7">
        <v>0.99999999997285605</v>
      </c>
      <c r="P7">
        <v>0.99999999999603972</v>
      </c>
      <c r="Q7">
        <v>0.99999999999942224</v>
      </c>
      <c r="R7">
        <v>0.99999999999991562</v>
      </c>
      <c r="S7">
        <v>0.99999999999998768</v>
      </c>
      <c r="T7">
        <v>0.99999999999999811</v>
      </c>
      <c r="U7">
        <v>0.99999999999999978</v>
      </c>
      <c r="V7" s="9">
        <v>1</v>
      </c>
    </row>
    <row r="8" spans="1:22" x14ac:dyDescent="0.25">
      <c r="A8" s="4">
        <v>2E-3</v>
      </c>
      <c r="B8" s="9">
        <v>0</v>
      </c>
      <c r="C8">
        <v>0.56501610500098154</v>
      </c>
      <c r="D8">
        <v>0.87307341001317906</v>
      </c>
      <c r="E8">
        <v>0.97222249013543549</v>
      </c>
      <c r="F8">
        <v>0.99459642123770675</v>
      </c>
      <c r="G8">
        <v>0.99901453560420805</v>
      </c>
      <c r="H8">
        <v>0.99982746721878746</v>
      </c>
      <c r="I8">
        <v>0.99997063244087414</v>
      </c>
      <c r="J8">
        <v>0.99999510323527718</v>
      </c>
      <c r="K8">
        <v>0.99999919626811207</v>
      </c>
      <c r="L8">
        <v>0.99999986970788646</v>
      </c>
      <c r="M8">
        <v>0.99999997908970051</v>
      </c>
      <c r="N8">
        <v>0.99999999667188555</v>
      </c>
      <c r="O8">
        <v>0.99999999947397089</v>
      </c>
      <c r="P8">
        <v>0.99999999991734967</v>
      </c>
      <c r="Q8">
        <v>0.99999999998708011</v>
      </c>
      <c r="R8">
        <v>0.99999999999798939</v>
      </c>
      <c r="S8">
        <v>0.99999999999968825</v>
      </c>
      <c r="T8">
        <v>0.99999999999995182</v>
      </c>
      <c r="U8">
        <v>0.99999999999999278</v>
      </c>
      <c r="V8" s="9">
        <v>1</v>
      </c>
    </row>
    <row r="9" spans="1:22" x14ac:dyDescent="0.25">
      <c r="A9" s="4">
        <v>3.0000000000000001E-3</v>
      </c>
      <c r="B9" s="9">
        <v>0</v>
      </c>
      <c r="C9">
        <v>0.48064916749845005</v>
      </c>
      <c r="D9">
        <v>0.79642244747302682</v>
      </c>
      <c r="E9">
        <v>0.9378491396367824</v>
      </c>
      <c r="F9">
        <v>0.98418422832725738</v>
      </c>
      <c r="G9">
        <v>0.9964141692012557</v>
      </c>
      <c r="H9">
        <v>0.99924746081241422</v>
      </c>
      <c r="I9">
        <v>0.9998504867841993</v>
      </c>
      <c r="J9">
        <v>0.99997147890029348</v>
      </c>
      <c r="K9">
        <v>0.99999472710303705</v>
      </c>
      <c r="L9">
        <v>0.99999904907346682</v>
      </c>
      <c r="M9">
        <v>0.99999983192975905</v>
      </c>
      <c r="N9">
        <v>0.99999997078597302</v>
      </c>
      <c r="O9">
        <v>0.99999999499272485</v>
      </c>
      <c r="P9">
        <v>0.99999999915195281</v>
      </c>
      <c r="Q9">
        <v>0.99999999985784527</v>
      </c>
      <c r="R9">
        <v>0.99999999997638411</v>
      </c>
      <c r="S9">
        <v>0.99999999999610767</v>
      </c>
      <c r="T9">
        <v>0.9999999999993634</v>
      </c>
      <c r="U9">
        <v>0.99999999999989986</v>
      </c>
      <c r="V9" s="9">
        <v>1</v>
      </c>
    </row>
    <row r="10" spans="1:22" x14ac:dyDescent="0.25">
      <c r="A10" s="4">
        <v>4.0000000000000001E-3</v>
      </c>
      <c r="B10" s="9">
        <v>0</v>
      </c>
      <c r="C10">
        <v>0.42449383666860191</v>
      </c>
      <c r="D10">
        <v>0.73308690671183618</v>
      </c>
      <c r="E10">
        <v>0.89934886075993847</v>
      </c>
      <c r="F10">
        <v>0.96820102389710239</v>
      </c>
      <c r="G10">
        <v>0.99124231269996887</v>
      </c>
      <c r="H10">
        <v>0.99782096825924038</v>
      </c>
      <c r="I10">
        <v>0.99949742669201591</v>
      </c>
      <c r="J10">
        <v>0.99989061851956551</v>
      </c>
      <c r="K10">
        <v>0.99997725235682533</v>
      </c>
      <c r="L10">
        <v>0.99999543869534013</v>
      </c>
      <c r="M10">
        <v>0.99999911225735882</v>
      </c>
      <c r="N10">
        <v>0.99999983145745486</v>
      </c>
      <c r="O10">
        <v>0.99999996866442242</v>
      </c>
      <c r="P10">
        <v>0.99999999427740149</v>
      </c>
      <c r="Q10">
        <v>0.99999999897095881</v>
      </c>
      <c r="R10">
        <v>0.99999999981743681</v>
      </c>
      <c r="S10">
        <v>0.99999999996799438</v>
      </c>
      <c r="T10">
        <v>0.99999999999445399</v>
      </c>
      <c r="U10">
        <v>0.99999999999908518</v>
      </c>
      <c r="V10" s="9">
        <v>1</v>
      </c>
    </row>
    <row r="11" spans="1:22" x14ac:dyDescent="0.25">
      <c r="A11" s="4">
        <v>5.0000000000000001E-3</v>
      </c>
      <c r="B11" s="9">
        <v>0</v>
      </c>
      <c r="C11">
        <v>0.38396623657159273</v>
      </c>
      <c r="D11">
        <v>0.68119523928350723</v>
      </c>
      <c r="E11">
        <v>0.86129702084890813</v>
      </c>
      <c r="F11">
        <v>0.94854939377009495</v>
      </c>
      <c r="G11">
        <v>0.98335449039054279</v>
      </c>
      <c r="H11">
        <v>0.99518310870745508</v>
      </c>
      <c r="I11">
        <v>0.99872462639193715</v>
      </c>
      <c r="J11">
        <v>0.99968540918125193</v>
      </c>
      <c r="K11">
        <v>0.99992670326928912</v>
      </c>
      <c r="L11">
        <v>0.99998369941839049</v>
      </c>
      <c r="M11">
        <v>0.99999651195923978</v>
      </c>
      <c r="N11">
        <v>0.99999927737141769</v>
      </c>
      <c r="O11">
        <v>0.99999985434653793</v>
      </c>
      <c r="P11">
        <v>0.99999997132622442</v>
      </c>
      <c r="Q11">
        <v>0.99999999446944665</v>
      </c>
      <c r="R11">
        <v>0.99999999895218661</v>
      </c>
      <c r="S11">
        <v>0.99999999980459675</v>
      </c>
      <c r="T11">
        <v>0.9999999999641167</v>
      </c>
      <c r="U11">
        <v>0.99999999999377931</v>
      </c>
      <c r="V11" s="9">
        <v>1</v>
      </c>
    </row>
    <row r="12" spans="1:22" x14ac:dyDescent="0.25">
      <c r="A12" s="4">
        <v>6.0000000000000001E-3</v>
      </c>
      <c r="B12" s="9">
        <v>0</v>
      </c>
      <c r="C12">
        <v>0.35304281409753269</v>
      </c>
      <c r="D12">
        <v>0.6382057496844431</v>
      </c>
      <c r="E12">
        <v>0.82554845842254687</v>
      </c>
      <c r="F12">
        <v>0.92699776367305864</v>
      </c>
      <c r="G12">
        <v>0.97313619473912794</v>
      </c>
      <c r="H12">
        <v>0.99115962585165929</v>
      </c>
      <c r="I12">
        <v>0.99735274331764356</v>
      </c>
      <c r="J12">
        <v>0.99926718030732653</v>
      </c>
      <c r="K12">
        <v>0.9998099616286602</v>
      </c>
      <c r="L12">
        <v>0.99995333268578479</v>
      </c>
      <c r="M12">
        <v>0.99998905368813218</v>
      </c>
      <c r="N12">
        <v>0.99999753046361262</v>
      </c>
      <c r="O12">
        <v>0.99999946113712634</v>
      </c>
      <c r="P12">
        <v>0.99999988575901599</v>
      </c>
      <c r="Q12">
        <v>0.99999997638132765</v>
      </c>
      <c r="R12">
        <v>0.99999999522352723</v>
      </c>
      <c r="S12">
        <v>0.99999999905275994</v>
      </c>
      <c r="T12">
        <v>0.99999999981569843</v>
      </c>
      <c r="U12">
        <v>0.99999999996640276</v>
      </c>
      <c r="V12" s="9">
        <v>1</v>
      </c>
    </row>
    <row r="13" spans="1:22" x14ac:dyDescent="0.25">
      <c r="A13" s="4">
        <v>7.0000000000000001E-3</v>
      </c>
      <c r="B13" s="9">
        <v>0</v>
      </c>
      <c r="C13">
        <v>0.32848369785323628</v>
      </c>
      <c r="D13">
        <v>0.60205169299561301</v>
      </c>
      <c r="E13">
        <v>0.79266963154264536</v>
      </c>
      <c r="F13">
        <v>0.90478683917776259</v>
      </c>
      <c r="G13">
        <v>0.96116029852084239</v>
      </c>
      <c r="H13">
        <v>0.98576927672603221</v>
      </c>
      <c r="I13">
        <v>0.99525682294963436</v>
      </c>
      <c r="J13">
        <v>0.99854344780949111</v>
      </c>
      <c r="K13">
        <v>0.99958306584851941</v>
      </c>
      <c r="L13">
        <v>0.99988761525105274</v>
      </c>
      <c r="M13">
        <v>0.9999712275347038</v>
      </c>
      <c r="N13">
        <v>0.99999295327808035</v>
      </c>
      <c r="O13">
        <v>0.99999833919576209</v>
      </c>
      <c r="P13">
        <v>0.99999962145824595</v>
      </c>
      <c r="Q13">
        <v>0.99999991621645778</v>
      </c>
      <c r="R13">
        <v>0.99999998193043305</v>
      </c>
      <c r="S13">
        <v>0.99999999619190383</v>
      </c>
      <c r="T13">
        <v>0.99999999921538896</v>
      </c>
      <c r="U13">
        <v>0.99999999984956178</v>
      </c>
      <c r="V13" s="9">
        <v>1</v>
      </c>
    </row>
    <row r="14" spans="1:22" x14ac:dyDescent="0.25">
      <c r="A14" s="4">
        <v>8.0000000000000002E-3</v>
      </c>
      <c r="B14" s="9">
        <v>0</v>
      </c>
      <c r="C14">
        <v>0.30838551064244929</v>
      </c>
      <c r="D14">
        <v>0.57119578794182313</v>
      </c>
      <c r="E14">
        <v>0.76267659656759168</v>
      </c>
      <c r="F14">
        <v>0.88269296123000751</v>
      </c>
      <c r="G14">
        <v>0.94798368444568493</v>
      </c>
      <c r="H14">
        <v>0.97915581842346544</v>
      </c>
      <c r="I14">
        <v>0.99238209286999957</v>
      </c>
      <c r="J14">
        <v>0.99743563828210469</v>
      </c>
      <c r="K14">
        <v>0.99919714287810502</v>
      </c>
      <c r="L14">
        <v>0.99976410125852833</v>
      </c>
      <c r="M14">
        <v>0.99993442679521105</v>
      </c>
      <c r="N14">
        <v>0.99998263517470409</v>
      </c>
      <c r="O14">
        <v>0.99999559286301132</v>
      </c>
      <c r="P14">
        <v>0.99999892254276301</v>
      </c>
      <c r="Q14">
        <v>0.99999974514937229</v>
      </c>
      <c r="R14">
        <v>0.9999999414647911</v>
      </c>
      <c r="S14">
        <v>0.99999998690450465</v>
      </c>
      <c r="T14">
        <v>0.99999999714520804</v>
      </c>
      <c r="U14">
        <v>0.99999999942431927</v>
      </c>
      <c r="V14" s="9">
        <v>1</v>
      </c>
    </row>
    <row r="15" spans="1:22" x14ac:dyDescent="0.25">
      <c r="A15" s="4">
        <v>9.0000000000000011E-3</v>
      </c>
      <c r="B15" s="9">
        <v>0</v>
      </c>
      <c r="C15">
        <v>0.29155180776906331</v>
      </c>
      <c r="D15">
        <v>0.544510334514272</v>
      </c>
      <c r="E15">
        <v>0.73537106279533004</v>
      </c>
      <c r="F15">
        <v>0.86116856617843363</v>
      </c>
      <c r="G15">
        <v>0.93406973575040653</v>
      </c>
      <c r="H15">
        <v>0.97151975108388466</v>
      </c>
      <c r="I15">
        <v>0.98873528925070564</v>
      </c>
      <c r="J15">
        <v>0.99588953835548566</v>
      </c>
      <c r="K15">
        <v>0.99860532864327456</v>
      </c>
      <c r="L15">
        <v>0.99955659397248886</v>
      </c>
      <c r="M15">
        <v>0.99986695571524709</v>
      </c>
      <c r="N15">
        <v>0.99996207921537539</v>
      </c>
      <c r="O15">
        <v>0.99998967361004532</v>
      </c>
      <c r="P15">
        <v>0.99999729974844098</v>
      </c>
      <c r="Q15">
        <v>0.99999931898836869</v>
      </c>
      <c r="R15">
        <v>0.99999983371446977</v>
      </c>
      <c r="S15">
        <v>0.99999996056467022</v>
      </c>
      <c r="T15">
        <v>0.99999999091470859</v>
      </c>
      <c r="U15">
        <v>0.99999999807384243</v>
      </c>
      <c r="V15" s="9">
        <v>1</v>
      </c>
    </row>
    <row r="16" spans="1:22" x14ac:dyDescent="0.25">
      <c r="A16" s="4">
        <v>1.0000000000000002E-2</v>
      </c>
      <c r="B16" s="9">
        <v>0</v>
      </c>
      <c r="C16">
        <v>0.27718961724015823</v>
      </c>
      <c r="D16">
        <v>0.52116156285964566</v>
      </c>
      <c r="E16">
        <v>0.71048744867015212</v>
      </c>
      <c r="F16">
        <v>0.84045848875272355</v>
      </c>
      <c r="G16">
        <v>0.91977547551787542</v>
      </c>
      <c r="H16">
        <v>0.96307231535886606</v>
      </c>
      <c r="I16">
        <v>0.98436645374142195</v>
      </c>
      <c r="J16">
        <v>0.99387770363960048</v>
      </c>
      <c r="K16">
        <v>0.99776823877534382</v>
      </c>
      <c r="L16">
        <v>0.99923784953000916</v>
      </c>
      <c r="M16">
        <v>0.99975464165873151</v>
      </c>
      <c r="N16">
        <v>0.99992510174750593</v>
      </c>
      <c r="O16">
        <v>0.99997820360239142</v>
      </c>
      <c r="P16">
        <v>0.99999392367528295</v>
      </c>
      <c r="Q16">
        <v>0.9999983702808527</v>
      </c>
      <c r="R16">
        <v>0.99999957786266958</v>
      </c>
      <c r="S16">
        <v>0.99999989406138645</v>
      </c>
      <c r="T16">
        <v>0.99999997424384646</v>
      </c>
      <c r="U16">
        <v>0.99999999426290032</v>
      </c>
      <c r="V16" s="9">
        <v>1</v>
      </c>
    </row>
    <row r="17" spans="1:22" x14ac:dyDescent="0.25">
      <c r="A17" s="4">
        <v>1.1000000000000003E-2</v>
      </c>
      <c r="B17" s="9">
        <v>0</v>
      </c>
      <c r="C17">
        <v>0.26475062070941374</v>
      </c>
      <c r="D17">
        <v>0.50052393038577592</v>
      </c>
      <c r="E17">
        <v>0.6877551375017702</v>
      </c>
      <c r="F17">
        <v>0.82067963450378967</v>
      </c>
      <c r="G17">
        <v>0.90536391357855972</v>
      </c>
      <c r="H17">
        <v>0.95401052988091206</v>
      </c>
      <c r="I17">
        <v>0.97935092025192905</v>
      </c>
      <c r="J17">
        <v>0.99139653165985897</v>
      </c>
      <c r="K17">
        <v>0.9966569979315163</v>
      </c>
      <c r="L17">
        <v>0.99878218436511434</v>
      </c>
      <c r="M17">
        <v>0.9995818636001812</v>
      </c>
      <c r="N17">
        <v>0.99986398458244408</v>
      </c>
      <c r="O17">
        <v>0.9999578779732865</v>
      </c>
      <c r="P17">
        <v>0.99998752500059918</v>
      </c>
      <c r="Q17">
        <v>0.99999645212181465</v>
      </c>
      <c r="R17">
        <v>0.99999902747159208</v>
      </c>
      <c r="S17">
        <v>0.99999974224908228</v>
      </c>
      <c r="T17">
        <v>0.99999993398130882</v>
      </c>
      <c r="U17">
        <v>0.99999998456425343</v>
      </c>
      <c r="V17" s="9">
        <v>1</v>
      </c>
    </row>
    <row r="18" spans="1:22" x14ac:dyDescent="0.25">
      <c r="A18" s="4">
        <v>1.2000000000000004E-2</v>
      </c>
      <c r="B18" s="9">
        <v>0</v>
      </c>
      <c r="C18">
        <v>0.25384231565341742</v>
      </c>
      <c r="D18">
        <v>0.4821204170599046</v>
      </c>
      <c r="E18">
        <v>0.66692305439740307</v>
      </c>
      <c r="F18">
        <v>0.80187198632704115</v>
      </c>
      <c r="G18">
        <v>0.89102289530018719</v>
      </c>
      <c r="H18">
        <v>0.94450637565388917</v>
      </c>
      <c r="I18">
        <v>0.97377531080381297</v>
      </c>
      <c r="J18">
        <v>0.98846097767624297</v>
      </c>
      <c r="K18">
        <v>0.99525401976686501</v>
      </c>
      <c r="L18">
        <v>0.99816745087229064</v>
      </c>
      <c r="M18">
        <v>0.99933272171212861</v>
      </c>
      <c r="N18">
        <v>0.99976984136450775</v>
      </c>
      <c r="O18">
        <v>0.99992447251862593</v>
      </c>
      <c r="P18">
        <v>0.99997632276297144</v>
      </c>
      <c r="Q18">
        <v>0.99999288172527567</v>
      </c>
      <c r="R18">
        <v>0.9999979404763234</v>
      </c>
      <c r="S18">
        <v>0.99999942482331539</v>
      </c>
      <c r="T18">
        <v>0.99999984508673634</v>
      </c>
      <c r="U18">
        <v>0.99999996202657715</v>
      </c>
      <c r="V18" s="9">
        <v>1</v>
      </c>
    </row>
    <row r="19" spans="1:22" x14ac:dyDescent="0.25">
      <c r="A19" s="4">
        <v>1.3000000000000005E-2</v>
      </c>
      <c r="B19" s="9">
        <v>0</v>
      </c>
      <c r="C19">
        <v>0.24417553726177016</v>
      </c>
      <c r="D19">
        <v>0.46558139681223409</v>
      </c>
      <c r="E19">
        <v>0.64776761919333359</v>
      </c>
      <c r="F19">
        <v>0.78403037096194617</v>
      </c>
      <c r="G19">
        <v>0.87688306886157563</v>
      </c>
      <c r="H19">
        <v>0.93470406318759092</v>
      </c>
      <c r="I19">
        <v>0.96772804038589311</v>
      </c>
      <c r="J19">
        <v>0.98509893377209001</v>
      </c>
      <c r="K19">
        <v>0.99355223241932922</v>
      </c>
      <c r="L19">
        <v>0.997376205314086</v>
      </c>
      <c r="M19">
        <v>0.99899211068340732</v>
      </c>
      <c r="N19">
        <v>0.99963311209658146</v>
      </c>
      <c r="O19">
        <v>0.99987295566838563</v>
      </c>
      <c r="P19">
        <v>0.99995799589876078</v>
      </c>
      <c r="Q19">
        <v>0.99998669309012367</v>
      </c>
      <c r="R19">
        <v>0.99999594731698283</v>
      </c>
      <c r="S19">
        <v>0.99999881015119485</v>
      </c>
      <c r="T19">
        <v>0.99999966370837645</v>
      </c>
      <c r="U19">
        <v>0.99999991369733821</v>
      </c>
      <c r="V19" s="9">
        <v>1</v>
      </c>
    </row>
    <row r="20" spans="1:22" x14ac:dyDescent="0.25">
      <c r="A20" s="4">
        <v>1.4000000000000005E-2</v>
      </c>
      <c r="B20" s="9">
        <v>0</v>
      </c>
      <c r="C20">
        <v>0.235532019678067</v>
      </c>
      <c r="D20">
        <v>0.45061612914892424</v>
      </c>
      <c r="E20">
        <v>0.63009353747259678</v>
      </c>
      <c r="F20">
        <v>0.76712400780507262</v>
      </c>
      <c r="G20">
        <v>0.86303271622216393</v>
      </c>
      <c r="H20">
        <v>0.92472136501581104</v>
      </c>
      <c r="I20">
        <v>0.96129354007827195</v>
      </c>
      <c r="J20">
        <v>0.98134629741473312</v>
      </c>
      <c r="K20">
        <v>0.99155346770336705</v>
      </c>
      <c r="L20">
        <v>0.99639614016467393</v>
      </c>
      <c r="M20">
        <v>0.99854655440435613</v>
      </c>
      <c r="N20">
        <v>0.9994440912049305</v>
      </c>
      <c r="O20">
        <v>0.99979768138862102</v>
      </c>
      <c r="P20">
        <v>0.99992970351491794</v>
      </c>
      <c r="Q20">
        <v>0.99997660676101296</v>
      </c>
      <c r="R20">
        <v>0.9999925213260582</v>
      </c>
      <c r="S20">
        <v>0.99999769732912802</v>
      </c>
      <c r="T20">
        <v>0.99999931849889401</v>
      </c>
      <c r="U20">
        <v>0.99999981718946818</v>
      </c>
      <c r="V20" s="9">
        <v>1</v>
      </c>
    </row>
    <row r="21" spans="1:22" x14ac:dyDescent="0.25">
      <c r="A21" s="4">
        <v>1.5000000000000006E-2</v>
      </c>
      <c r="B21" s="9">
        <v>0</v>
      </c>
      <c r="C21">
        <v>0.22774356186810446</v>
      </c>
      <c r="D21">
        <v>0.43699274489360601</v>
      </c>
      <c r="E21">
        <v>0.61373170778970143</v>
      </c>
      <c r="F21">
        <v>0.75110846026251699</v>
      </c>
      <c r="G21">
        <v>0.84952923693793969</v>
      </c>
      <c r="H21">
        <v>0.91465267681568574</v>
      </c>
      <c r="I21">
        <v>0.95454914942399127</v>
      </c>
      <c r="J21">
        <v>0.97724308648689273</v>
      </c>
      <c r="K21">
        <v>0.98926655595841895</v>
      </c>
      <c r="L21">
        <v>0.99521996453253225</v>
      </c>
      <c r="M21">
        <v>0.99798475316756241</v>
      </c>
      <c r="N21">
        <v>0.99919341305773179</v>
      </c>
      <c r="O21">
        <v>0.99969262882879251</v>
      </c>
      <c r="P21">
        <v>0.99988814985810437</v>
      </c>
      <c r="Q21">
        <v>0.99996102148354959</v>
      </c>
      <c r="R21">
        <v>0.99998695540272708</v>
      </c>
      <c r="S21">
        <v>0.99999579826722473</v>
      </c>
      <c r="T21">
        <v>0.99999870065551</v>
      </c>
      <c r="U21">
        <v>0.99999963630606681</v>
      </c>
      <c r="V21" s="9">
        <v>1</v>
      </c>
    </row>
    <row r="22" spans="1:22" x14ac:dyDescent="0.25">
      <c r="A22" s="4">
        <v>1.6000000000000007E-2</v>
      </c>
      <c r="B22" s="9">
        <v>0</v>
      </c>
      <c r="C22">
        <v>0.22067820187364928</v>
      </c>
      <c r="D22">
        <v>0.42452398261762564</v>
      </c>
      <c r="E22">
        <v>0.59853617211110632</v>
      </c>
      <c r="F22">
        <v>0.73593289363489156</v>
      </c>
      <c r="G22">
        <v>0.8364077578179423</v>
      </c>
      <c r="H22">
        <v>0.90457256319868218</v>
      </c>
      <c r="I22">
        <v>0.94756376776384599</v>
      </c>
      <c r="J22">
        <v>0.972830599573687</v>
      </c>
      <c r="K22">
        <v>0.9867054644088743</v>
      </c>
      <c r="L22">
        <v>0.99384493239375149</v>
      </c>
      <c r="M22">
        <v>0.99729785962380846</v>
      </c>
      <c r="N22">
        <v>0.99887244787995721</v>
      </c>
      <c r="O22">
        <v>0.9995516543663423</v>
      </c>
      <c r="P22">
        <v>0.99982968328222466</v>
      </c>
      <c r="Q22">
        <v>0.99993802872257487</v>
      </c>
      <c r="R22">
        <v>0.99997834806431984</v>
      </c>
      <c r="S22">
        <v>0.99999272176870857</v>
      </c>
      <c r="T22">
        <v>0.9999976534567292</v>
      </c>
      <c r="U22">
        <v>0.99999931588857494</v>
      </c>
      <c r="V22" s="9">
        <v>1</v>
      </c>
    </row>
    <row r="23" spans="1:22" x14ac:dyDescent="0.25">
      <c r="A23" s="4">
        <v>1.7000000000000008E-2</v>
      </c>
      <c r="B23" s="9">
        <v>0</v>
      </c>
      <c r="C23">
        <v>0.21423077907582158</v>
      </c>
      <c r="D23">
        <v>0.41305686529217756</v>
      </c>
      <c r="E23">
        <v>0.58438095613178886</v>
      </c>
      <c r="F23">
        <v>0.72154443504450816</v>
      </c>
      <c r="G23">
        <v>0.8236874783460455</v>
      </c>
      <c r="H23">
        <v>0.89453918309040947</v>
      </c>
      <c r="I23">
        <v>0.94039758810898633</v>
      </c>
      <c r="J23">
        <v>0.96814946760858778</v>
      </c>
      <c r="K23">
        <v>0.98388765425734714</v>
      </c>
      <c r="L23">
        <v>0.99227218699878095</v>
      </c>
      <c r="M23">
        <v>0.99647953352018226</v>
      </c>
      <c r="N23">
        <v>0.9984735884973609</v>
      </c>
      <c r="O23">
        <v>0.99936872833132195</v>
      </c>
      <c r="P23">
        <v>0.99975041556068467</v>
      </c>
      <c r="Q23">
        <v>0.9999054476578797</v>
      </c>
      <c r="R23">
        <v>0.999965600530204</v>
      </c>
      <c r="S23">
        <v>0.99998796136930546</v>
      </c>
      <c r="T23">
        <v>0.99999596222775855</v>
      </c>
      <c r="U23">
        <v>0.99999877619753363</v>
      </c>
      <c r="V23" s="9">
        <v>1</v>
      </c>
    </row>
    <row r="24" spans="1:22" x14ac:dyDescent="0.25">
      <c r="A24" s="4">
        <v>1.8000000000000009E-2</v>
      </c>
      <c r="B24" s="9">
        <v>0</v>
      </c>
      <c r="C24">
        <v>0.20831633115145232</v>
      </c>
      <c r="D24">
        <v>0.40246511554052411</v>
      </c>
      <c r="E24">
        <v>0.5711571465480727</v>
      </c>
      <c r="F24">
        <v>0.70789074156393217</v>
      </c>
      <c r="G24">
        <v>0.81137630478809375</v>
      </c>
      <c r="H24">
        <v>0.88459733877967062</v>
      </c>
      <c r="I24">
        <v>0.93310245094334032</v>
      </c>
      <c r="J24">
        <v>0.96323840279775486</v>
      </c>
      <c r="K24">
        <v>0.9808327234488472</v>
      </c>
      <c r="L24">
        <v>0.99050604396476638</v>
      </c>
      <c r="M24">
        <v>0.99552583553064555</v>
      </c>
      <c r="N24">
        <v>0.99799042869306487</v>
      </c>
      <c r="O24">
        <v>0.99913813797722251</v>
      </c>
      <c r="P24">
        <v>0.99964634809548103</v>
      </c>
      <c r="Q24">
        <v>0.99986087601988849</v>
      </c>
      <c r="R24">
        <v>0.99994742497921019</v>
      </c>
      <c r="S24">
        <v>0.99998088821678677</v>
      </c>
      <c r="T24">
        <v>0.99999334567241926</v>
      </c>
      <c r="U24">
        <v>0.99999790724003379</v>
      </c>
      <c r="V24" s="9">
        <v>1</v>
      </c>
    </row>
    <row r="25" spans="1:22" x14ac:dyDescent="0.25">
      <c r="A25" s="4">
        <v>1.900000000000001E-2</v>
      </c>
      <c r="B25" s="9">
        <v>0</v>
      </c>
      <c r="C25">
        <v>0.20286537312555772</v>
      </c>
      <c r="D25">
        <v>0.39264350288402294</v>
      </c>
      <c r="E25">
        <v>0.55877032274150529</v>
      </c>
      <c r="F25">
        <v>0.6949214595578399</v>
      </c>
      <c r="G25">
        <v>0.79947421813541164</v>
      </c>
      <c r="H25">
        <v>0.87478107268215799</v>
      </c>
      <c r="I25">
        <v>0.92572251856924903</v>
      </c>
      <c r="J25">
        <v>0.95813346289513857</v>
      </c>
      <c r="K25">
        <v>0.97756133891126917</v>
      </c>
      <c r="L25">
        <v>0.98855329237468303</v>
      </c>
      <c r="M25">
        <v>0.99443501683772095</v>
      </c>
      <c r="N25">
        <v>0.99741784623959673</v>
      </c>
      <c r="O25">
        <v>0.99885464725239426</v>
      </c>
      <c r="P25">
        <v>0.99951349380695031</v>
      </c>
      <c r="Q25">
        <v>0.99980175111270464</v>
      </c>
      <c r="R25">
        <v>0.99992236284762548</v>
      </c>
      <c r="S25">
        <v>0.99997074964636823</v>
      </c>
      <c r="T25">
        <v>0.99998944937496281</v>
      </c>
      <c r="U25">
        <v>0.99999656350429356</v>
      </c>
      <c r="V25" s="9">
        <v>1</v>
      </c>
    </row>
    <row r="26" spans="1:22" x14ac:dyDescent="0.25">
      <c r="A26" s="4">
        <v>2.0000000000000011E-2</v>
      </c>
      <c r="B26" s="9">
        <v>0</v>
      </c>
      <c r="C26">
        <v>0.19782045662540654</v>
      </c>
      <c r="D26">
        <v>0.38350357411714975</v>
      </c>
      <c r="E26">
        <v>0.54713835767550956</v>
      </c>
      <c r="F26">
        <v>0.6825889989450391</v>
      </c>
      <c r="G26">
        <v>0.78797571538932787</v>
      </c>
      <c r="H26">
        <v>0.86511582213402349</v>
      </c>
      <c r="I26">
        <v>0.9182950847977025</v>
      </c>
      <c r="J26">
        <v>0.9528676801648488</v>
      </c>
      <c r="K26">
        <v>0.97409443019030428</v>
      </c>
      <c r="L26">
        <v>0.98642255916365207</v>
      </c>
      <c r="M26">
        <v>0.99320725108221986</v>
      </c>
      <c r="N26">
        <v>0.99675200928444452</v>
      </c>
      <c r="O26">
        <v>0.99851361109998571</v>
      </c>
      <c r="P26">
        <v>0.99934798661172519</v>
      </c>
      <c r="Q26">
        <v>0.99972541539614113</v>
      </c>
      <c r="R26">
        <v>0.99988881116857231</v>
      </c>
      <c r="S26">
        <v>0.9999566734819153</v>
      </c>
      <c r="T26">
        <v>0.99998384204314239</v>
      </c>
      <c r="U26">
        <v>0.99999455954453187</v>
      </c>
      <c r="V26" s="9">
        <v>1</v>
      </c>
    </row>
  </sheetData>
  <mergeCells count="1">
    <mergeCell ref="A4:V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A710A-A9FC-4AB2-BA0E-45F573298EFD}">
  <sheetPr codeName="Sheet5"/>
  <dimension ref="A1:V26"/>
  <sheetViews>
    <sheetView topLeftCell="A3" zoomScaleNormal="100" workbookViewId="0">
      <selection activeCell="A7" sqref="A7"/>
    </sheetView>
  </sheetViews>
  <sheetFormatPr defaultRowHeight="15" x14ac:dyDescent="0.25"/>
  <sheetData>
    <row r="1" spans="1:22" x14ac:dyDescent="0.25">
      <c r="A1" t="s">
        <v>10</v>
      </c>
      <c r="G1" t="s">
        <v>14</v>
      </c>
      <c r="K1" t="s">
        <v>15</v>
      </c>
    </row>
    <row r="2" spans="1:22" x14ac:dyDescent="0.25">
      <c r="B2" t="s">
        <v>11</v>
      </c>
      <c r="C2">
        <v>1E-3</v>
      </c>
      <c r="D2" t="s">
        <v>13</v>
      </c>
      <c r="E2">
        <v>0.02</v>
      </c>
      <c r="K2">
        <f>C3*C3/0.01</f>
        <v>0.25000000000000006</v>
      </c>
    </row>
    <row r="3" spans="1:22" x14ac:dyDescent="0.25">
      <c r="B3" t="s">
        <v>12</v>
      </c>
      <c r="C3">
        <v>0.05</v>
      </c>
    </row>
    <row r="4" spans="1:22" x14ac:dyDescent="0.25">
      <c r="A4" s="10" t="s">
        <v>17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</row>
    <row r="5" spans="1:22" x14ac:dyDescent="0.25">
      <c r="A5" t="s">
        <v>16</v>
      </c>
      <c r="B5">
        <v>0</v>
      </c>
      <c r="C5">
        <f>B5+$C$3</f>
        <v>0.05</v>
      </c>
      <c r="D5">
        <f t="shared" ref="D5:V6" si="0">C5+$C$3</f>
        <v>0.1</v>
      </c>
      <c r="E5">
        <f t="shared" si="0"/>
        <v>0.15000000000000002</v>
      </c>
      <c r="F5">
        <f t="shared" si="0"/>
        <v>0.2</v>
      </c>
      <c r="G5">
        <f t="shared" si="0"/>
        <v>0.25</v>
      </c>
      <c r="H5">
        <f t="shared" si="0"/>
        <v>0.3</v>
      </c>
      <c r="I5">
        <f t="shared" si="0"/>
        <v>0.35</v>
      </c>
      <c r="J5">
        <f t="shared" si="0"/>
        <v>0.39999999999999997</v>
      </c>
      <c r="K5">
        <f t="shared" si="0"/>
        <v>0.44999999999999996</v>
      </c>
      <c r="L5">
        <f t="shared" si="0"/>
        <v>0.49999999999999994</v>
      </c>
      <c r="M5">
        <f t="shared" si="0"/>
        <v>0.54999999999999993</v>
      </c>
      <c r="N5">
        <f t="shared" si="0"/>
        <v>0.6</v>
      </c>
      <c r="O5">
        <f t="shared" si="0"/>
        <v>0.65</v>
      </c>
      <c r="P5">
        <f>O5+$C$3</f>
        <v>0.70000000000000007</v>
      </c>
      <c r="Q5">
        <f t="shared" si="0"/>
        <v>0.75000000000000011</v>
      </c>
      <c r="R5">
        <f t="shared" si="0"/>
        <v>0.80000000000000016</v>
      </c>
      <c r="S5">
        <f t="shared" si="0"/>
        <v>0.8500000000000002</v>
      </c>
      <c r="T5">
        <f>S5+$C$3</f>
        <v>0.90000000000000024</v>
      </c>
      <c r="U5">
        <f t="shared" si="0"/>
        <v>0.95000000000000029</v>
      </c>
      <c r="V5">
        <f t="shared" si="0"/>
        <v>1.0000000000000002</v>
      </c>
    </row>
    <row r="6" spans="1:22" x14ac:dyDescent="0.25">
      <c r="A6">
        <v>0</v>
      </c>
      <c r="B6" s="9">
        <v>1</v>
      </c>
      <c r="C6" s="9">
        <v>0.05</v>
      </c>
      <c r="D6" s="9">
        <v>0.1</v>
      </c>
      <c r="E6" s="9">
        <v>0.15000000000000002</v>
      </c>
      <c r="F6" s="9">
        <v>0.2</v>
      </c>
      <c r="G6" s="9">
        <v>0.25</v>
      </c>
      <c r="H6" s="9">
        <v>0.3</v>
      </c>
      <c r="I6" s="9">
        <v>0.35</v>
      </c>
      <c r="J6" s="9">
        <v>0.39999999999999997</v>
      </c>
      <c r="K6" s="9">
        <v>0.44999999999999996</v>
      </c>
      <c r="L6" s="9">
        <v>0.49999999999999994</v>
      </c>
      <c r="M6" s="9">
        <v>0.54999999999999993</v>
      </c>
      <c r="N6" s="9">
        <v>0.6</v>
      </c>
      <c r="O6" s="9">
        <v>0.65</v>
      </c>
      <c r="P6" s="9">
        <v>0.70000000000000007</v>
      </c>
      <c r="Q6" s="9">
        <v>0.75000000000000011</v>
      </c>
      <c r="R6" s="9">
        <v>0.80000000000000016</v>
      </c>
      <c r="S6" s="9">
        <v>0.8500000000000002</v>
      </c>
      <c r="T6" s="9">
        <v>0.90000000000000024</v>
      </c>
      <c r="U6" s="9">
        <v>0.95000000000000029</v>
      </c>
      <c r="V6" s="9">
        <v>0</v>
      </c>
    </row>
    <row r="7" spans="1:22" x14ac:dyDescent="0.25">
      <c r="A7">
        <v>1E-3</v>
      </c>
      <c r="B7" s="9">
        <v>1</v>
      </c>
      <c r="C7">
        <v>0.34179606750063063</v>
      </c>
      <c r="D7">
        <v>0.14257247250441457</v>
      </c>
      <c r="E7">
        <v>0.1562112400302714</v>
      </c>
      <c r="F7">
        <v>0.20090620770748532</v>
      </c>
      <c r="G7">
        <v>0.25013221392212598</v>
      </c>
      <c r="H7">
        <v>0.30001928974739661</v>
      </c>
      <c r="I7">
        <v>0.35000281430965052</v>
      </c>
      <c r="J7">
        <v>0.40000041042015733</v>
      </c>
      <c r="K7">
        <v>0.45000005863145098</v>
      </c>
      <c r="L7">
        <v>0.49999999999999989</v>
      </c>
      <c r="M7">
        <v>0.54999994136854891</v>
      </c>
      <c r="N7">
        <v>0.59999958957984267</v>
      </c>
      <c r="O7">
        <v>0.64999718569034948</v>
      </c>
      <c r="P7">
        <v>0.69998071025260344</v>
      </c>
      <c r="Q7">
        <v>0.74986778607787419</v>
      </c>
      <c r="R7">
        <v>0.79909379229251476</v>
      </c>
      <c r="S7">
        <v>0.84378875996972869</v>
      </c>
      <c r="T7">
        <v>0.8574275274955856</v>
      </c>
      <c r="U7">
        <v>0.65820393249936959</v>
      </c>
      <c r="V7" s="9">
        <v>0</v>
      </c>
    </row>
    <row r="8" spans="1:22" x14ac:dyDescent="0.25">
      <c r="A8">
        <v>2E-3</v>
      </c>
      <c r="B8" s="9">
        <v>1</v>
      </c>
      <c r="C8">
        <v>0.48498389499901134</v>
      </c>
      <c r="D8">
        <v>0.22692658998677284</v>
      </c>
      <c r="E8">
        <v>0.17777750986425278</v>
      </c>
      <c r="F8">
        <v>0.20540357876028262</v>
      </c>
      <c r="G8">
        <v>0.25098546438287206</v>
      </c>
      <c r="H8">
        <v>0.30017253269856214</v>
      </c>
      <c r="I8">
        <v>0.35002936703309656</v>
      </c>
      <c r="J8">
        <v>0.40000489343660828</v>
      </c>
      <c r="K8">
        <v>0.45000078282158834</v>
      </c>
      <c r="L8">
        <v>0.49999999999999989</v>
      </c>
      <c r="M8">
        <v>0.54999921717841149</v>
      </c>
      <c r="N8">
        <v>0.5999951065633915</v>
      </c>
      <c r="O8">
        <v>0.64997063296690349</v>
      </c>
      <c r="P8">
        <v>0.69982746730143786</v>
      </c>
      <c r="Q8">
        <v>0.74901453561712805</v>
      </c>
      <c r="R8">
        <v>0.79459642123971752</v>
      </c>
      <c r="S8">
        <v>0.82222249013574733</v>
      </c>
      <c r="T8">
        <v>0.77307341001322727</v>
      </c>
      <c r="U8">
        <v>0.51501610500098882</v>
      </c>
      <c r="V8" s="9">
        <v>0</v>
      </c>
    </row>
    <row r="9" spans="1:22" x14ac:dyDescent="0.25">
      <c r="A9">
        <v>3.0000000000000001E-3</v>
      </c>
      <c r="B9" s="9">
        <v>1</v>
      </c>
      <c r="C9">
        <v>0.56935083250144902</v>
      </c>
      <c r="D9">
        <v>0.30357755252633672</v>
      </c>
      <c r="E9">
        <v>0.21215086035932534</v>
      </c>
      <c r="F9">
        <v>0.21581577164912677</v>
      </c>
      <c r="G9">
        <v>0.25358583065658946</v>
      </c>
      <c r="H9">
        <v>0.30075253833953852</v>
      </c>
      <c r="I9">
        <v>0.35014950820852553</v>
      </c>
      <c r="J9">
        <v>0.40002849188567957</v>
      </c>
      <c r="K9">
        <v>0.45000510482672179</v>
      </c>
      <c r="L9">
        <v>0.49999999999999994</v>
      </c>
      <c r="M9">
        <v>0.54999489517327804</v>
      </c>
      <c r="N9">
        <v>0.59997150811432032</v>
      </c>
      <c r="O9">
        <v>0.64985049179147458</v>
      </c>
      <c r="P9">
        <v>0.69924746166046137</v>
      </c>
      <c r="Q9">
        <v>0.74641416934341054</v>
      </c>
      <c r="R9">
        <v>0.78418422835087331</v>
      </c>
      <c r="S9">
        <v>0.78784913964067482</v>
      </c>
      <c r="T9">
        <v>0.69642244747366344</v>
      </c>
      <c r="U9">
        <v>0.43064916749855109</v>
      </c>
      <c r="V9" s="9">
        <v>0</v>
      </c>
    </row>
    <row r="10" spans="1:22" x14ac:dyDescent="0.25">
      <c r="A10">
        <v>4.0000000000000001E-3</v>
      </c>
      <c r="B10" s="9">
        <v>1</v>
      </c>
      <c r="C10">
        <v>0.62550616333047127</v>
      </c>
      <c r="D10">
        <v>0.36691309328261595</v>
      </c>
      <c r="E10">
        <v>0.25065113920805565</v>
      </c>
      <c r="F10">
        <v>0.23179897592033435</v>
      </c>
      <c r="G10">
        <v>0.25875768627098983</v>
      </c>
      <c r="H10">
        <v>0.30217902601816099</v>
      </c>
      <c r="I10">
        <v>0.35050254197240643</v>
      </c>
      <c r="J10">
        <v>0.40010921293788937</v>
      </c>
      <c r="K10">
        <v>0.45002185990053345</v>
      </c>
      <c r="L10">
        <v>0.49999999999999989</v>
      </c>
      <c r="M10">
        <v>0.54997814009946644</v>
      </c>
      <c r="N10">
        <v>0.59989078706211052</v>
      </c>
      <c r="O10">
        <v>0.64949745802759351</v>
      </c>
      <c r="P10">
        <v>0.69782097398183895</v>
      </c>
      <c r="Q10">
        <v>0.74124231372901006</v>
      </c>
      <c r="R10">
        <v>0.76820102407966573</v>
      </c>
      <c r="S10">
        <v>0.7493488607919444</v>
      </c>
      <c r="T10">
        <v>0.63308690671738421</v>
      </c>
      <c r="U10">
        <v>0.37449383666952868</v>
      </c>
      <c r="V10" s="9">
        <v>0</v>
      </c>
    </row>
    <row r="11" spans="1:22" x14ac:dyDescent="0.25">
      <c r="A11">
        <v>5.0000000000000001E-3</v>
      </c>
      <c r="B11" s="9">
        <v>1</v>
      </c>
      <c r="C11">
        <v>0.66603376342208898</v>
      </c>
      <c r="D11">
        <v>0.41880476068059286</v>
      </c>
      <c r="E11">
        <v>0.28870297895568586</v>
      </c>
      <c r="F11">
        <v>0.25145060518209111</v>
      </c>
      <c r="G11">
        <v>0.26664550407890358</v>
      </c>
      <c r="H11">
        <v>0.30481686261876906</v>
      </c>
      <c r="I11">
        <v>0.35127522795460064</v>
      </c>
      <c r="J11">
        <v>0.40031386819016568</v>
      </c>
      <c r="K11">
        <v>0.45006980868995072</v>
      </c>
      <c r="L11">
        <v>0.49999999999999989</v>
      </c>
      <c r="M11">
        <v>0.54993019131004917</v>
      </c>
      <c r="N11">
        <v>0.59968613180983432</v>
      </c>
      <c r="O11">
        <v>0.64872477204539925</v>
      </c>
      <c r="P11">
        <v>0.69518313738123083</v>
      </c>
      <c r="Q11">
        <v>0.73335449592109625</v>
      </c>
      <c r="R11">
        <v>0.74854939481790883</v>
      </c>
      <c r="S11">
        <v>0.71129702104431414</v>
      </c>
      <c r="T11">
        <v>0.5811952393194072</v>
      </c>
      <c r="U11">
        <v>0.33396623657791108</v>
      </c>
      <c r="V11" s="9">
        <v>0</v>
      </c>
    </row>
    <row r="12" spans="1:22" x14ac:dyDescent="0.25">
      <c r="A12">
        <v>6.0000000000000001E-3</v>
      </c>
      <c r="B12" s="9">
        <v>1</v>
      </c>
      <c r="C12">
        <v>0.6969571858682867</v>
      </c>
      <c r="D12">
        <v>0.46179425013114767</v>
      </c>
      <c r="E12">
        <v>0.32445154063019344</v>
      </c>
      <c r="F12">
        <v>0.27300223155046499</v>
      </c>
      <c r="G12">
        <v>0.27686378164219883</v>
      </c>
      <c r="H12">
        <v>0.30884025990735609</v>
      </c>
      <c r="I12">
        <v>0.3526467178194827</v>
      </c>
      <c r="J12">
        <v>0.40073035015628616</v>
      </c>
      <c r="K12">
        <v>0.45017909205947193</v>
      </c>
      <c r="L12">
        <v>0.49999999999999989</v>
      </c>
      <c r="M12">
        <v>0.54982090794052785</v>
      </c>
      <c r="N12">
        <v>0.59926964984371378</v>
      </c>
      <c r="O12">
        <v>0.64735328218051724</v>
      </c>
      <c r="P12">
        <v>0.69115974009264369</v>
      </c>
      <c r="Q12">
        <v>0.72313621835780106</v>
      </c>
      <c r="R12">
        <v>0.7269977684495349</v>
      </c>
      <c r="S12">
        <v>0.67554845936980656</v>
      </c>
      <c r="T12">
        <v>0.53820574986885239</v>
      </c>
      <c r="U12">
        <v>0.3030428141317133</v>
      </c>
      <c r="V12" s="9">
        <v>0</v>
      </c>
    </row>
    <row r="13" spans="1:22" x14ac:dyDescent="0.25">
      <c r="A13">
        <v>7.0000000000000001E-3</v>
      </c>
      <c r="B13" s="9">
        <v>1</v>
      </c>
      <c r="C13">
        <v>0.72151630199360706</v>
      </c>
      <c r="D13">
        <v>0.49794830621924069</v>
      </c>
      <c r="E13">
        <v>0.35733036464915485</v>
      </c>
      <c r="F13">
        <v>0.29521314275265054</v>
      </c>
      <c r="G13">
        <v>0.28883961769561151</v>
      </c>
      <c r="H13">
        <v>0.31423034473221262</v>
      </c>
      <c r="I13">
        <v>0.35474151624612749</v>
      </c>
      <c r="J13">
        <v>0.40144950546858932</v>
      </c>
      <c r="K13">
        <v>0.45038816168618445</v>
      </c>
      <c r="L13">
        <v>0.49999999999999989</v>
      </c>
      <c r="M13">
        <v>0.54961183831381533</v>
      </c>
      <c r="N13">
        <v>0.59855049453141063</v>
      </c>
      <c r="O13">
        <v>0.6452584837538724</v>
      </c>
      <c r="P13">
        <v>0.68576965526778721</v>
      </c>
      <c r="Q13">
        <v>0.71116038230438838</v>
      </c>
      <c r="R13">
        <v>0.70478685724734935</v>
      </c>
      <c r="S13">
        <v>0.64266963535084509</v>
      </c>
      <c r="T13">
        <v>0.50205169378075931</v>
      </c>
      <c r="U13">
        <v>0.27848369800639305</v>
      </c>
      <c r="V13" s="9">
        <v>0</v>
      </c>
    </row>
    <row r="14" spans="1:22" x14ac:dyDescent="0.25">
      <c r="A14">
        <v>8.0000000000000002E-3</v>
      </c>
      <c r="B14" s="9">
        <v>1</v>
      </c>
      <c r="C14">
        <v>0.74161448877161207</v>
      </c>
      <c r="D14">
        <v>0.5288042092012234</v>
      </c>
      <c r="E14">
        <v>0.38732339033646745</v>
      </c>
      <c r="F14">
        <v>0.31730698023469356</v>
      </c>
      <c r="G14">
        <v>0.30201606070366932</v>
      </c>
      <c r="H14">
        <v>0.3208431041192939</v>
      </c>
      <c r="I14">
        <v>0.35761349999301112</v>
      </c>
      <c r="J14">
        <v>0.40254699689259954</v>
      </c>
      <c r="K14">
        <v>0.45073728391710599</v>
      </c>
      <c r="L14">
        <v>0.49999999999999989</v>
      </c>
      <c r="M14">
        <v>0.54926271608289379</v>
      </c>
      <c r="N14">
        <v>0.59745300310740024</v>
      </c>
      <c r="O14">
        <v>0.64238650000698871</v>
      </c>
      <c r="P14">
        <v>0.67915689588070594</v>
      </c>
      <c r="Q14">
        <v>0.69798393929633062</v>
      </c>
      <c r="R14">
        <v>0.68269301976530639</v>
      </c>
      <c r="S14">
        <v>0.61267660966353232</v>
      </c>
      <c r="T14">
        <v>0.4711957907987766</v>
      </c>
      <c r="U14">
        <v>0.25838551122838788</v>
      </c>
      <c r="V14" s="9">
        <v>0</v>
      </c>
    </row>
    <row r="15" spans="1:22" x14ac:dyDescent="0.25">
      <c r="A15">
        <v>9.0000000000000011E-3</v>
      </c>
      <c r="B15" s="9">
        <v>1</v>
      </c>
      <c r="C15">
        <v>0.75844819027274801</v>
      </c>
      <c r="D15">
        <v>0.55548965639317704</v>
      </c>
      <c r="E15">
        <v>0.41462889776774126</v>
      </c>
      <c r="F15">
        <v>0.33883126753569259</v>
      </c>
      <c r="G15">
        <v>0.31592958323788989</v>
      </c>
      <c r="H15">
        <v>0.32847754866454126</v>
      </c>
      <c r="I15">
        <v>0.36125438435933677</v>
      </c>
      <c r="J15">
        <v>0.40407254085988925</v>
      </c>
      <c r="K15">
        <v>0.45126162707197232</v>
      </c>
      <c r="L15">
        <v>0.49999999999999989</v>
      </c>
      <c r="M15">
        <v>0.54873837292802741</v>
      </c>
      <c r="N15">
        <v>0.59592745914011047</v>
      </c>
      <c r="O15">
        <v>0.63874561564066312</v>
      </c>
      <c r="P15">
        <v>0.67152245133545863</v>
      </c>
      <c r="Q15">
        <v>0.68407041676211</v>
      </c>
      <c r="R15">
        <v>0.6611687324643073</v>
      </c>
      <c r="S15">
        <v>0.58537110223225863</v>
      </c>
      <c r="T15">
        <v>0.44451034360682296</v>
      </c>
      <c r="U15">
        <v>0.2415518097272519</v>
      </c>
      <c r="V15" s="9">
        <v>0</v>
      </c>
    </row>
    <row r="16" spans="1:22" x14ac:dyDescent="0.25">
      <c r="A16">
        <v>1.0000000000000002E-2</v>
      </c>
      <c r="B16" s="9">
        <v>1</v>
      </c>
      <c r="C16">
        <v>0.77281037693929877</v>
      </c>
      <c r="D16">
        <v>0.57883841136367009</v>
      </c>
      <c r="E16">
        <v>0.43951244538637041</v>
      </c>
      <c r="F16">
        <v>0.35954108910882959</v>
      </c>
      <c r="G16">
        <v>0.33022289476272787</v>
      </c>
      <c r="H16">
        <v>0.33692160831636231</v>
      </c>
      <c r="I16">
        <v>0.36561174986095801</v>
      </c>
      <c r="J16">
        <v>0.40604739810790313</v>
      </c>
      <c r="K16">
        <v>0.45198640288338698</v>
      </c>
      <c r="L16">
        <v>0.49999999999999989</v>
      </c>
      <c r="M16">
        <v>0.54801359711661279</v>
      </c>
      <c r="N16">
        <v>0.59395260189209664</v>
      </c>
      <c r="O16">
        <v>0.63438825013904188</v>
      </c>
      <c r="P16">
        <v>0.66307839168363747</v>
      </c>
      <c r="Q16">
        <v>0.66977710523727196</v>
      </c>
      <c r="R16">
        <v>0.64045891089117024</v>
      </c>
      <c r="S16">
        <v>0.56048755461362942</v>
      </c>
      <c r="T16">
        <v>0.42116158863633002</v>
      </c>
      <c r="U16">
        <v>0.22718962306070126</v>
      </c>
      <c r="V16" s="9">
        <v>0</v>
      </c>
    </row>
    <row r="17" spans="1:22" x14ac:dyDescent="0.25">
      <c r="A17">
        <v>1.1000000000000003E-2</v>
      </c>
      <c r="B17" s="9">
        <v>1</v>
      </c>
      <c r="C17">
        <v>0.78524936367546583</v>
      </c>
      <c r="D17">
        <v>0.59947600354669406</v>
      </c>
      <c r="E17">
        <v>0.46224460473471318</v>
      </c>
      <c r="F17">
        <v>0.37931939296468731</v>
      </c>
      <c r="G17">
        <v>0.34463253854251102</v>
      </c>
      <c r="H17">
        <v>0.34597699511951463</v>
      </c>
      <c r="I17">
        <v>0.37060695772131869</v>
      </c>
      <c r="J17">
        <v>0.40846745292257658</v>
      </c>
      <c r="K17">
        <v>0.45292486566866291</v>
      </c>
      <c r="L17">
        <v>0.49999999999999989</v>
      </c>
      <c r="M17">
        <v>0.54707513433133681</v>
      </c>
      <c r="N17">
        <v>0.5915325470774232</v>
      </c>
      <c r="O17">
        <v>0.6293930422786812</v>
      </c>
      <c r="P17">
        <v>0.65402300488048515</v>
      </c>
      <c r="Q17">
        <v>0.6553674614574887</v>
      </c>
      <c r="R17">
        <v>0.62068060703531258</v>
      </c>
      <c r="S17">
        <v>0.53775539526528671</v>
      </c>
      <c r="T17">
        <v>0.40052399645330594</v>
      </c>
      <c r="U17">
        <v>0.21475063632453426</v>
      </c>
      <c r="V17" s="9">
        <v>0</v>
      </c>
    </row>
    <row r="18" spans="1:22" x14ac:dyDescent="0.25">
      <c r="A18">
        <v>1.2000000000000004E-2</v>
      </c>
      <c r="B18" s="9">
        <v>1</v>
      </c>
      <c r="C18">
        <v>0.79615764607208983</v>
      </c>
      <c r="D18">
        <v>0.61787942793153783</v>
      </c>
      <c r="E18">
        <v>0.48307637039841389</v>
      </c>
      <c r="F18">
        <v>0.39812595414183832</v>
      </c>
      <c r="G18">
        <v>0.35896998642316841</v>
      </c>
      <c r="H18">
        <v>0.3554699471086058</v>
      </c>
      <c r="I18">
        <v>0.37614916171469875</v>
      </c>
      <c r="J18">
        <v>0.41130886368823827</v>
      </c>
      <c r="K18">
        <v>0.45407870194525762</v>
      </c>
      <c r="L18">
        <v>0.49999999999999989</v>
      </c>
      <c r="M18">
        <v>0.5459212980547421</v>
      </c>
      <c r="N18">
        <v>0.58869113631176151</v>
      </c>
      <c r="O18">
        <v>0.62385083828530108</v>
      </c>
      <c r="P18">
        <v>0.64453005289139387</v>
      </c>
      <c r="Q18">
        <v>0.6410300135768312</v>
      </c>
      <c r="R18">
        <v>0.6018740458581614</v>
      </c>
      <c r="S18">
        <v>0.516923629601586</v>
      </c>
      <c r="T18">
        <v>0.38212057206846206</v>
      </c>
      <c r="U18">
        <v>0.20384235392791009</v>
      </c>
      <c r="V18" s="9">
        <v>0</v>
      </c>
    </row>
    <row r="19" spans="1:22" x14ac:dyDescent="0.25">
      <c r="A19">
        <v>1.3000000000000005E-2</v>
      </c>
      <c r="B19" s="9">
        <v>1</v>
      </c>
      <c r="C19">
        <v>0.80582437612935953</v>
      </c>
      <c r="D19">
        <v>0.63441826675771007</v>
      </c>
      <c r="E19">
        <v>0.50223119090949353</v>
      </c>
      <c r="F19">
        <v>0.41596557634012721</v>
      </c>
      <c r="G19">
        <v>0.37310362422430032</v>
      </c>
      <c r="H19">
        <v>0.3652539327100261</v>
      </c>
      <c r="I19">
        <v>0.38214491528219791</v>
      </c>
      <c r="J19">
        <v>0.41453417832441863</v>
      </c>
      <c r="K19">
        <v>0.4554398782640614</v>
      </c>
      <c r="L19">
        <v>0.49999999999999994</v>
      </c>
      <c r="M19">
        <v>0.54456012173593837</v>
      </c>
      <c r="N19">
        <v>0.58546582167558114</v>
      </c>
      <c r="O19">
        <v>0.61785508471780193</v>
      </c>
      <c r="P19">
        <v>0.63474606728997363</v>
      </c>
      <c r="Q19">
        <v>0.62689637577569923</v>
      </c>
      <c r="R19">
        <v>0.58403442365987235</v>
      </c>
      <c r="S19">
        <v>0.49776880909050619</v>
      </c>
      <c r="T19">
        <v>0.36558173324228982</v>
      </c>
      <c r="U19">
        <v>0.1941756238706403</v>
      </c>
      <c r="V19" s="9">
        <v>0</v>
      </c>
    </row>
    <row r="20" spans="1:22" x14ac:dyDescent="0.25">
      <c r="A20">
        <v>1.4000000000000005E-2</v>
      </c>
      <c r="B20" s="9">
        <v>1</v>
      </c>
      <c r="C20">
        <v>0.81446779777357392</v>
      </c>
      <c r="D20">
        <v>0.64938318926922867</v>
      </c>
      <c r="E20">
        <v>0.51990415979904336</v>
      </c>
      <c r="F20">
        <v>0.43286851349775729</v>
      </c>
      <c r="G20">
        <v>0.38694389053108219</v>
      </c>
      <c r="H20">
        <v>0.37520833849676394</v>
      </c>
      <c r="I20">
        <v>0.38850414130968913</v>
      </c>
      <c r="J20">
        <v>0.41809779379002149</v>
      </c>
      <c r="K20">
        <v>0.45699308670094635</v>
      </c>
      <c r="L20">
        <v>0.49999999999999989</v>
      </c>
      <c r="M20">
        <v>0.54300691329905348</v>
      </c>
      <c r="N20">
        <v>0.58190220620997823</v>
      </c>
      <c r="O20">
        <v>0.61149585869031053</v>
      </c>
      <c r="P20">
        <v>0.62479166150323573</v>
      </c>
      <c r="Q20">
        <v>0.61305610946891742</v>
      </c>
      <c r="R20">
        <v>0.56713148650224232</v>
      </c>
      <c r="S20">
        <v>0.48009584020095636</v>
      </c>
      <c r="T20">
        <v>0.35061681073077117</v>
      </c>
      <c r="U20">
        <v>0.185532202226426</v>
      </c>
      <c r="V20" s="9">
        <v>0</v>
      </c>
    </row>
    <row r="21" spans="1:22" x14ac:dyDescent="0.25">
      <c r="A21">
        <v>1.5000000000000006E-2</v>
      </c>
      <c r="B21" s="9">
        <v>1</v>
      </c>
      <c r="C21">
        <v>0.82225607695825076</v>
      </c>
      <c r="D21">
        <v>0.66300595611780577</v>
      </c>
      <c r="E21">
        <v>0.53626409048608614</v>
      </c>
      <c r="F21">
        <v>0.44887849512068145</v>
      </c>
      <c r="G21">
        <v>0.40043178453528672</v>
      </c>
      <c r="H21">
        <v>0.38523547303855776</v>
      </c>
      <c r="I21">
        <v>0.39514347940355465</v>
      </c>
      <c r="J21">
        <v>0.42195032657047171</v>
      </c>
      <c r="K21">
        <v>0.45871819720904738</v>
      </c>
      <c r="L21">
        <v>0.49999999999999994</v>
      </c>
      <c r="M21">
        <v>0.54128180279095228</v>
      </c>
      <c r="N21">
        <v>0.57804967342952807</v>
      </c>
      <c r="O21">
        <v>0.60485652059644512</v>
      </c>
      <c r="P21">
        <v>0.6147645269614419</v>
      </c>
      <c r="Q21">
        <v>0.59956821546471295</v>
      </c>
      <c r="R21">
        <v>0.55112150487931821</v>
      </c>
      <c r="S21">
        <v>0.46373590951391358</v>
      </c>
      <c r="T21">
        <v>0.33699404388219406</v>
      </c>
      <c r="U21">
        <v>0.17774392304174905</v>
      </c>
      <c r="V21" s="9">
        <v>0</v>
      </c>
    </row>
    <row r="22" spans="1:22" x14ac:dyDescent="0.25">
      <c r="A22">
        <v>1.6000000000000007E-2</v>
      </c>
      <c r="B22" s="9">
        <v>1</v>
      </c>
      <c r="C22">
        <v>0.82932112280665449</v>
      </c>
      <c r="D22">
        <v>0.67547367265402336</v>
      </c>
      <c r="E22">
        <v>0.55145654997375515</v>
      </c>
      <c r="F22">
        <v>0.46404545446551726</v>
      </c>
      <c r="G22">
        <v>0.41353027090144839</v>
      </c>
      <c r="H22">
        <v>0.39525712007952229</v>
      </c>
      <c r="I22">
        <v>0.40198788660069329</v>
      </c>
      <c r="J22">
        <v>0.42604184830563718</v>
      </c>
      <c r="K22">
        <v>0.46059239521475015</v>
      </c>
      <c r="L22">
        <v>0.49999999999999983</v>
      </c>
      <c r="M22">
        <v>0.53940760478524952</v>
      </c>
      <c r="N22">
        <v>0.57395815169436248</v>
      </c>
      <c r="O22">
        <v>0.59801211339930649</v>
      </c>
      <c r="P22">
        <v>0.60474287992047726</v>
      </c>
      <c r="Q22">
        <v>0.58646972909855122</v>
      </c>
      <c r="R22">
        <v>0.53595454553448241</v>
      </c>
      <c r="S22">
        <v>0.44854345002624457</v>
      </c>
      <c r="T22">
        <v>0.32452632734597642</v>
      </c>
      <c r="U22">
        <v>0.17067887719334537</v>
      </c>
      <c r="V22" s="9">
        <v>0</v>
      </c>
    </row>
    <row r="23" spans="1:22" x14ac:dyDescent="0.25">
      <c r="A23">
        <v>1.7000000000000008E-2</v>
      </c>
      <c r="B23" s="9">
        <v>1</v>
      </c>
      <c r="C23">
        <v>0.83576802051524968</v>
      </c>
      <c r="D23">
        <v>0.68693910253276125</v>
      </c>
      <c r="E23">
        <v>0.56560700647159889</v>
      </c>
      <c r="F23">
        <v>0.47842116572762489</v>
      </c>
      <c r="G23">
        <v>0.42621796935002032</v>
      </c>
      <c r="H23">
        <v>0.40521123247313234</v>
      </c>
      <c r="I23">
        <v>0.40897114022119824</v>
      </c>
      <c r="J23">
        <v>0.43032412088801586</v>
      </c>
      <c r="K23">
        <v>0.46259187926255763</v>
      </c>
      <c r="L23">
        <v>0.49999999999999978</v>
      </c>
      <c r="M23">
        <v>0.53740812073744204</v>
      </c>
      <c r="N23">
        <v>0.56967587911198381</v>
      </c>
      <c r="O23">
        <v>0.59102885977880137</v>
      </c>
      <c r="P23">
        <v>0.59478876752686727</v>
      </c>
      <c r="Q23">
        <v>0.57378203064997935</v>
      </c>
      <c r="R23">
        <v>0.52157883427237473</v>
      </c>
      <c r="S23">
        <v>0.43439299352840077</v>
      </c>
      <c r="T23">
        <v>0.31306089746723859</v>
      </c>
      <c r="U23">
        <v>0.16423197948475018</v>
      </c>
      <c r="V23" s="9">
        <v>0</v>
      </c>
    </row>
    <row r="24" spans="1:22" x14ac:dyDescent="0.25">
      <c r="A24">
        <v>1.8000000000000009E-2</v>
      </c>
      <c r="B24" s="9">
        <v>1</v>
      </c>
      <c r="C24">
        <v>0.84168162975611982</v>
      </c>
      <c r="D24">
        <v>0.69752824421432835</v>
      </c>
      <c r="E24">
        <v>0.57882374515904622</v>
      </c>
      <c r="F24">
        <v>0.49205668422381299</v>
      </c>
      <c r="G24">
        <v>0.43848457140315111</v>
      </c>
      <c r="H24">
        <v>0.41504900934742667</v>
      </c>
      <c r="I24">
        <v>0.41603568703822025</v>
      </c>
      <c r="J24">
        <v>0.43475202589537199</v>
      </c>
      <c r="K24">
        <v>0.46469311208158004</v>
      </c>
      <c r="L24">
        <v>0.49999999999999983</v>
      </c>
      <c r="M24">
        <v>0.53530688791841952</v>
      </c>
      <c r="N24">
        <v>0.56524797410462768</v>
      </c>
      <c r="O24">
        <v>0.58396431296177942</v>
      </c>
      <c r="P24">
        <v>0.58495099065257294</v>
      </c>
      <c r="Q24">
        <v>0.56151542859684855</v>
      </c>
      <c r="R24">
        <v>0.50794331577618657</v>
      </c>
      <c r="S24">
        <v>0.42117625484095333</v>
      </c>
      <c r="T24">
        <v>0.30247175578567148</v>
      </c>
      <c r="U24">
        <v>0.15831837024388007</v>
      </c>
      <c r="V24" s="9">
        <v>0</v>
      </c>
    </row>
    <row r="25" spans="1:22" x14ac:dyDescent="0.25">
      <c r="A25">
        <v>1.900000000000001E-2</v>
      </c>
      <c r="B25" s="9">
        <v>1</v>
      </c>
      <c r="C25">
        <v>0.8471313016091927</v>
      </c>
      <c r="D25">
        <v>0.70734597778166131</v>
      </c>
      <c r="E25">
        <v>0.59120043530428523</v>
      </c>
      <c r="F25">
        <v>0.50500090543305576</v>
      </c>
      <c r="G25">
        <v>0.45032753349346949</v>
      </c>
      <c r="H25">
        <v>0.42473242124053762</v>
      </c>
      <c r="I25">
        <v>0.42313212870664252</v>
      </c>
      <c r="J25">
        <v>0.43928438334850051</v>
      </c>
      <c r="K25">
        <v>0.46687367792694456</v>
      </c>
      <c r="L25">
        <v>0.49999999999999983</v>
      </c>
      <c r="M25">
        <v>0.53312632207305499</v>
      </c>
      <c r="N25">
        <v>0.56071561665149916</v>
      </c>
      <c r="O25">
        <v>0.57686787129335704</v>
      </c>
      <c r="P25">
        <v>0.57526757875946199</v>
      </c>
      <c r="Q25">
        <v>0.54967246650653012</v>
      </c>
      <c r="R25">
        <v>0.49499909456694369</v>
      </c>
      <c r="S25">
        <v>0.40879956469571432</v>
      </c>
      <c r="T25">
        <v>0.29265402221833847</v>
      </c>
      <c r="U25">
        <v>0.15286869839080716</v>
      </c>
      <c r="V25" s="9">
        <v>0</v>
      </c>
    </row>
    <row r="26" spans="1:22" x14ac:dyDescent="0.25">
      <c r="A26">
        <v>2.0000000000000011E-2</v>
      </c>
      <c r="B26" s="9">
        <v>1</v>
      </c>
      <c r="C26">
        <v>0.8521743163020592</v>
      </c>
      <c r="D26">
        <v>0.71648033150517454</v>
      </c>
      <c r="E26">
        <v>0.60281833397570006</v>
      </c>
      <c r="F26">
        <v>0.51729981719715368</v>
      </c>
      <c r="G26">
        <v>0.46174970130745446</v>
      </c>
      <c r="H26">
        <v>0.43423216480102583</v>
      </c>
      <c r="I26">
        <v>0.43021852637800168</v>
      </c>
      <c r="J26">
        <v>0.44388432913602011</v>
      </c>
      <c r="K26">
        <v>0.46911282089505058</v>
      </c>
      <c r="L26">
        <v>0.49999999999999983</v>
      </c>
      <c r="M26">
        <v>0.53088717910494909</v>
      </c>
      <c r="N26">
        <v>0.55611567086397939</v>
      </c>
      <c r="O26">
        <v>0.56978147362199794</v>
      </c>
      <c r="P26">
        <v>0.56576783519897367</v>
      </c>
      <c r="Q26">
        <v>0.53825029869254504</v>
      </c>
      <c r="R26">
        <v>0.48270018280284566</v>
      </c>
      <c r="S26">
        <v>0.39718166602429944</v>
      </c>
      <c r="T26">
        <v>0.28351966849482529</v>
      </c>
      <c r="U26">
        <v>0.14782568369794075</v>
      </c>
      <c r="V26" s="9">
        <v>0</v>
      </c>
    </row>
  </sheetData>
  <mergeCells count="1">
    <mergeCell ref="A4:V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0D199-66E8-4FB7-A30F-DF3D76C22EAA}">
  <sheetPr codeName="Sheet6"/>
  <dimension ref="A1:V26"/>
  <sheetViews>
    <sheetView topLeftCell="B3" zoomScaleNormal="100" workbookViewId="0">
      <selection activeCell="E11" sqref="E11"/>
    </sheetView>
  </sheetViews>
  <sheetFormatPr defaultRowHeight="15" x14ac:dyDescent="0.25"/>
  <sheetData>
    <row r="1" spans="1:22" x14ac:dyDescent="0.25">
      <c r="A1" t="s">
        <v>10</v>
      </c>
      <c r="G1" t="s">
        <v>14</v>
      </c>
      <c r="K1" t="s">
        <v>15</v>
      </c>
    </row>
    <row r="2" spans="1:22" x14ac:dyDescent="0.25">
      <c r="B2" t="s">
        <v>11</v>
      </c>
      <c r="C2">
        <v>1E-3</v>
      </c>
      <c r="D2" t="s">
        <v>13</v>
      </c>
      <c r="E2">
        <v>0.02</v>
      </c>
      <c r="K2">
        <f>C3*C3/0.01</f>
        <v>0.25000000000000006</v>
      </c>
    </row>
    <row r="3" spans="1:22" x14ac:dyDescent="0.25">
      <c r="B3" t="s">
        <v>12</v>
      </c>
      <c r="C3">
        <v>0.05</v>
      </c>
    </row>
    <row r="4" spans="1:22" x14ac:dyDescent="0.25">
      <c r="A4" s="10" t="s">
        <v>17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</row>
    <row r="5" spans="1:22" x14ac:dyDescent="0.25">
      <c r="A5" t="s">
        <v>16</v>
      </c>
      <c r="B5">
        <v>0</v>
      </c>
      <c r="C5">
        <f>B5+$C$3</f>
        <v>0.05</v>
      </c>
      <c r="D5">
        <f t="shared" ref="D5:V5" si="0">C5+$C$3</f>
        <v>0.1</v>
      </c>
      <c r="E5">
        <f t="shared" si="0"/>
        <v>0.15000000000000002</v>
      </c>
      <c r="F5">
        <f t="shared" si="0"/>
        <v>0.2</v>
      </c>
      <c r="G5">
        <f t="shared" si="0"/>
        <v>0.25</v>
      </c>
      <c r="H5">
        <f t="shared" si="0"/>
        <v>0.3</v>
      </c>
      <c r="I5">
        <f t="shared" si="0"/>
        <v>0.35</v>
      </c>
      <c r="J5">
        <f t="shared" si="0"/>
        <v>0.39999999999999997</v>
      </c>
      <c r="K5">
        <f t="shared" si="0"/>
        <v>0.44999999999999996</v>
      </c>
      <c r="L5">
        <f t="shared" si="0"/>
        <v>0.49999999999999994</v>
      </c>
      <c r="M5">
        <f t="shared" si="0"/>
        <v>0.54999999999999993</v>
      </c>
      <c r="N5">
        <f t="shared" si="0"/>
        <v>0.6</v>
      </c>
      <c r="O5">
        <f t="shared" si="0"/>
        <v>0.65</v>
      </c>
      <c r="P5">
        <f>O5+$C$3</f>
        <v>0.70000000000000007</v>
      </c>
      <c r="Q5">
        <f t="shared" si="0"/>
        <v>0.75000000000000011</v>
      </c>
      <c r="R5">
        <f t="shared" si="0"/>
        <v>0.80000000000000016</v>
      </c>
      <c r="S5">
        <f t="shared" si="0"/>
        <v>0.8500000000000002</v>
      </c>
      <c r="T5">
        <f>S5+$C$3</f>
        <v>0.90000000000000024</v>
      </c>
      <c r="U5">
        <f t="shared" si="0"/>
        <v>0.95000000000000029</v>
      </c>
      <c r="V5">
        <f t="shared" si="0"/>
        <v>1.0000000000000002</v>
      </c>
    </row>
    <row r="6" spans="1:22" x14ac:dyDescent="0.25">
      <c r="A6">
        <v>0</v>
      </c>
      <c r="B6" s="9">
        <v>0</v>
      </c>
      <c r="C6" s="9">
        <f>SIN(PI()*C5)</f>
        <v>0.15643446504023087</v>
      </c>
      <c r="D6" s="9">
        <f t="shared" ref="D6:U6" si="1">SIN(PI()*D5)</f>
        <v>0.3090169943749474</v>
      </c>
      <c r="E6" s="9">
        <f t="shared" si="1"/>
        <v>0.4539904997395468</v>
      </c>
      <c r="F6" s="9">
        <f t="shared" si="1"/>
        <v>0.58778525229247314</v>
      </c>
      <c r="G6" s="9">
        <f t="shared" si="1"/>
        <v>0.70710678118654746</v>
      </c>
      <c r="H6" s="9">
        <f t="shared" si="1"/>
        <v>0.80901699437494745</v>
      </c>
      <c r="I6" s="9">
        <f t="shared" si="1"/>
        <v>0.89100652418836779</v>
      </c>
      <c r="J6" s="9">
        <f t="shared" si="1"/>
        <v>0.95105651629515353</v>
      </c>
      <c r="K6" s="9">
        <f t="shared" si="1"/>
        <v>0.98768834059513766</v>
      </c>
      <c r="L6" s="9">
        <f t="shared" si="1"/>
        <v>1</v>
      </c>
      <c r="M6" s="9">
        <f t="shared" si="1"/>
        <v>0.98768834059513777</v>
      </c>
      <c r="N6" s="9">
        <f t="shared" si="1"/>
        <v>0.95105651629515364</v>
      </c>
      <c r="O6" s="9">
        <f t="shared" si="1"/>
        <v>0.8910065241883679</v>
      </c>
      <c r="P6" s="9">
        <f t="shared" si="1"/>
        <v>0.80901699437494745</v>
      </c>
      <c r="Q6" s="9">
        <f t="shared" si="1"/>
        <v>0.70710678118654724</v>
      </c>
      <c r="R6" s="9">
        <f t="shared" si="1"/>
        <v>0.5877852522924728</v>
      </c>
      <c r="S6" s="9">
        <f t="shared" si="1"/>
        <v>0.45399049973954647</v>
      </c>
      <c r="T6" s="9">
        <f t="shared" si="1"/>
        <v>0.30901699437494667</v>
      </c>
      <c r="U6" s="9">
        <f t="shared" si="1"/>
        <v>0.15643446504023012</v>
      </c>
      <c r="V6" s="9">
        <v>0</v>
      </c>
    </row>
    <row r="7" spans="1:22" x14ac:dyDescent="0.25">
      <c r="A7">
        <v>1E-3</v>
      </c>
      <c r="B7" s="9">
        <v>0</v>
      </c>
      <c r="C7">
        <v>0.15490124136907746</v>
      </c>
      <c r="D7">
        <v>0.30598830008790201</v>
      </c>
      <c r="E7">
        <v>0.44954091134161644</v>
      </c>
      <c r="F7">
        <v>0.58202433341735216</v>
      </c>
      <c r="G7">
        <v>0.70017638477633493</v>
      </c>
      <c r="H7">
        <v>0.80108776978992968</v>
      </c>
      <c r="I7">
        <v>0.8822737152534158</v>
      </c>
      <c r="J7">
        <v>0.94173515374877692</v>
      </c>
      <c r="K7">
        <v>0.97800794731905694</v>
      </c>
      <c r="L7">
        <v>0.99019893940405568</v>
      </c>
      <c r="M7">
        <v>0.97800794731905705</v>
      </c>
      <c r="N7">
        <v>0.94173515374877703</v>
      </c>
      <c r="O7">
        <v>0.88227371525341602</v>
      </c>
      <c r="P7">
        <v>0.80108776978992979</v>
      </c>
      <c r="Q7">
        <v>0.7001763847763347</v>
      </c>
      <c r="R7">
        <v>0.58202433341735171</v>
      </c>
      <c r="S7">
        <v>0.44954091134161595</v>
      </c>
      <c r="T7">
        <v>0.30598830008790134</v>
      </c>
      <c r="U7">
        <v>0.15490124136907693</v>
      </c>
      <c r="V7" s="9">
        <v>0</v>
      </c>
    </row>
    <row r="8" spans="1:22" x14ac:dyDescent="0.25">
      <c r="A8">
        <v>2E-3</v>
      </c>
      <c r="B8" s="9">
        <v>0</v>
      </c>
      <c r="C8">
        <v>0.15338304491603214</v>
      </c>
      <c r="D8">
        <v>0.30298929021709053</v>
      </c>
      <c r="E8">
        <v>0.4451349336292012</v>
      </c>
      <c r="F8">
        <v>0.57631987765721449</v>
      </c>
      <c r="G8">
        <v>0.69331391360129291</v>
      </c>
      <c r="H8">
        <v>0.79323626001554859</v>
      </c>
      <c r="I8">
        <v>0.8736264971080081</v>
      </c>
      <c r="J8">
        <v>0.93250515044155413</v>
      </c>
      <c r="K8">
        <v>0.96842243216406765</v>
      </c>
      <c r="L8">
        <v>0.98049393959691655</v>
      </c>
      <c r="M8">
        <v>0.96842243216406776</v>
      </c>
      <c r="N8">
        <v>0.93250515044155435</v>
      </c>
      <c r="O8">
        <v>0.87362649710800833</v>
      </c>
      <c r="P8">
        <v>0.7932362600155487</v>
      </c>
      <c r="Q8">
        <v>0.69331391360129269</v>
      </c>
      <c r="R8">
        <v>0.57631987765721415</v>
      </c>
      <c r="S8">
        <v>0.44513493362920065</v>
      </c>
      <c r="T8">
        <v>0.30298929021708987</v>
      </c>
      <c r="U8">
        <v>0.15338304491603172</v>
      </c>
      <c r="V8" s="9">
        <v>0</v>
      </c>
    </row>
    <row r="9" spans="1:22" x14ac:dyDescent="0.25">
      <c r="A9">
        <v>3.0000000000000001E-3</v>
      </c>
      <c r="B9" s="9">
        <v>0</v>
      </c>
      <c r="C9">
        <v>0.15187972839841965</v>
      </c>
      <c r="D9">
        <v>0.30001967382375067</v>
      </c>
      <c r="E9">
        <v>0.44077213917132974</v>
      </c>
      <c r="F9">
        <v>0.57067133161364891</v>
      </c>
      <c r="G9">
        <v>0.68651870192207531</v>
      </c>
      <c r="H9">
        <v>0.78546170336423593</v>
      </c>
      <c r="I9">
        <v>0.86506403087162997</v>
      </c>
      <c r="J9">
        <v>0.92336561095604619</v>
      </c>
      <c r="K9">
        <v>0.95893086522395588</v>
      </c>
      <c r="L9">
        <v>0.97088405908097108</v>
      </c>
      <c r="M9">
        <v>0.95893086522395599</v>
      </c>
      <c r="N9">
        <v>0.92336561095604641</v>
      </c>
      <c r="O9">
        <v>0.86506403087162997</v>
      </c>
      <c r="P9">
        <v>0.78546170336423604</v>
      </c>
      <c r="Q9">
        <v>0.68651870192207509</v>
      </c>
      <c r="R9">
        <v>0.57067133161364858</v>
      </c>
      <c r="S9">
        <v>0.44077213917132918</v>
      </c>
      <c r="T9">
        <v>0.30001967382375005</v>
      </c>
      <c r="U9">
        <v>0.15187972839841929</v>
      </c>
      <c r="V9" s="9">
        <v>0</v>
      </c>
    </row>
    <row r="10" spans="1:22" x14ac:dyDescent="0.25">
      <c r="A10">
        <v>4.0000000000000001E-3</v>
      </c>
      <c r="B10" s="9">
        <v>0</v>
      </c>
      <c r="C10">
        <v>0.15039114597709116</v>
      </c>
      <c r="D10">
        <v>0.29707916282062857</v>
      </c>
      <c r="E10">
        <v>0.43645210472630752</v>
      </c>
      <c r="F10">
        <v>0.56507814731213524</v>
      </c>
      <c r="G10">
        <v>0.67979009052428796</v>
      </c>
      <c r="H10">
        <v>0.77776334561376936</v>
      </c>
      <c r="I10">
        <v>0.85658548588568539</v>
      </c>
      <c r="J10">
        <v>0.91431564865085491</v>
      </c>
      <c r="K10">
        <v>0.94953232570657453</v>
      </c>
      <c r="L10">
        <v>0.96136836558628203</v>
      </c>
      <c r="M10">
        <v>0.94953232570657464</v>
      </c>
      <c r="N10">
        <v>0.91431564865085513</v>
      </c>
      <c r="O10">
        <v>0.85658548588568528</v>
      </c>
      <c r="P10">
        <v>0.77776334561376936</v>
      </c>
      <c r="Q10">
        <v>0.67979009052428774</v>
      </c>
      <c r="R10">
        <v>0.56507814731213502</v>
      </c>
      <c r="S10">
        <v>0.43645210472630702</v>
      </c>
      <c r="T10">
        <v>0.29707916282062807</v>
      </c>
      <c r="U10">
        <v>0.15039114597709086</v>
      </c>
      <c r="V10" s="9">
        <v>0</v>
      </c>
    </row>
    <row r="11" spans="1:22" x14ac:dyDescent="0.25">
      <c r="A11">
        <v>5.0000000000000001E-3</v>
      </c>
      <c r="B11" s="9">
        <v>0</v>
      </c>
      <c r="C11">
        <v>0.14891715324227617</v>
      </c>
      <c r="D11">
        <v>0.29416747194403114</v>
      </c>
      <c r="E11">
        <v>0.43217441120065747</v>
      </c>
      <c r="F11">
        <v>0.559539782148885</v>
      </c>
      <c r="G11">
        <v>0.67312742665453684</v>
      </c>
      <c r="H11">
        <v>0.77014043993410441</v>
      </c>
      <c r="I11">
        <v>0.84819003963291317</v>
      </c>
      <c r="J11">
        <v>0.90535438557460779</v>
      </c>
      <c r="K11">
        <v>0.94022590184451649</v>
      </c>
      <c r="L11">
        <v>0.95194593598014698</v>
      </c>
      <c r="M11">
        <v>0.94022590184451649</v>
      </c>
      <c r="N11">
        <v>0.90535438557460779</v>
      </c>
      <c r="O11">
        <v>0.84819003963291306</v>
      </c>
      <c r="P11">
        <v>0.7701404399341043</v>
      </c>
      <c r="Q11">
        <v>0.67312742665453662</v>
      </c>
      <c r="R11">
        <v>0.55953978214888478</v>
      </c>
      <c r="S11">
        <v>0.43217441120065708</v>
      </c>
      <c r="T11">
        <v>0.2941674719440307</v>
      </c>
      <c r="U11">
        <v>0.14891715324227589</v>
      </c>
      <c r="V11" s="9">
        <v>0</v>
      </c>
    </row>
    <row r="12" spans="1:22" x14ac:dyDescent="0.25">
      <c r="A12">
        <v>6.0000000000000001E-3</v>
      </c>
      <c r="B12" s="9">
        <v>0</v>
      </c>
      <c r="C12">
        <v>0.14745760719957307</v>
      </c>
      <c r="D12">
        <v>0.2912843187261519</v>
      </c>
      <c r="E12">
        <v>0.42793864360846323</v>
      </c>
      <c r="F12">
        <v>0.55405569883820227</v>
      </c>
      <c r="G12">
        <v>0.66653006395710357</v>
      </c>
      <c r="H12">
        <v>0.76259224681492299</v>
      </c>
      <c r="I12">
        <v>0.83987687765759467</v>
      </c>
      <c r="J12">
        <v>0.89648095238078718</v>
      </c>
      <c r="K12">
        <v>0.93101069080666199</v>
      </c>
      <c r="L12">
        <v>0.9426158561775424</v>
      </c>
      <c r="M12">
        <v>0.93101069080666199</v>
      </c>
      <c r="N12">
        <v>0.89648095238078707</v>
      </c>
      <c r="O12">
        <v>0.83987687765759445</v>
      </c>
      <c r="P12">
        <v>0.76259224681492299</v>
      </c>
      <c r="Q12">
        <v>0.66653006395710335</v>
      </c>
      <c r="R12">
        <v>0.55405569883820205</v>
      </c>
      <c r="S12">
        <v>0.4279386436084629</v>
      </c>
      <c r="T12">
        <v>0.29128431872615157</v>
      </c>
      <c r="U12">
        <v>0.14745760719957288</v>
      </c>
      <c r="V12" s="9">
        <v>0</v>
      </c>
    </row>
    <row r="13" spans="1:22" x14ac:dyDescent="0.25">
      <c r="A13">
        <v>7.0000000000000001E-3</v>
      </c>
      <c r="B13" s="9">
        <v>0</v>
      </c>
      <c r="C13">
        <v>0.14601236625607711</v>
      </c>
      <c r="D13">
        <v>0.28842942346766853</v>
      </c>
      <c r="E13">
        <v>0.4237443910311105</v>
      </c>
      <c r="F13">
        <v>0.54862536536036077</v>
      </c>
      <c r="G13">
        <v>0.6599973624112413</v>
      </c>
      <c r="H13">
        <v>0.75511803399389255</v>
      </c>
      <c r="I13">
        <v>0.83164519348653998</v>
      </c>
      <c r="J13">
        <v>0.88769448824339314</v>
      </c>
      <c r="K13">
        <v>0.92188579861059383</v>
      </c>
      <c r="L13">
        <v>0.93337722105244836</v>
      </c>
      <c r="M13">
        <v>0.92188579861059372</v>
      </c>
      <c r="N13">
        <v>0.88769448824339303</v>
      </c>
      <c r="O13">
        <v>0.83164519348653965</v>
      </c>
      <c r="P13">
        <v>0.75511803399389255</v>
      </c>
      <c r="Q13">
        <v>0.65999736241124118</v>
      </c>
      <c r="R13">
        <v>0.54862536536036055</v>
      </c>
      <c r="S13">
        <v>0.42374439103111017</v>
      </c>
      <c r="T13">
        <v>0.28842942346766826</v>
      </c>
      <c r="U13">
        <v>0.14601236625607691</v>
      </c>
      <c r="V13" s="9">
        <v>0</v>
      </c>
    </row>
    <row r="14" spans="1:22" x14ac:dyDescent="0.25">
      <c r="A14">
        <v>8.0000000000000002E-3</v>
      </c>
      <c r="B14" s="9">
        <v>0</v>
      </c>
      <c r="C14">
        <v>0.14458129020664406</v>
      </c>
      <c r="D14">
        <v>0.28560250921060865</v>
      </c>
      <c r="E14">
        <v>0.41959124657742303</v>
      </c>
      <c r="F14">
        <v>0.54324825490999173</v>
      </c>
      <c r="G14">
        <v>0.65352868826908539</v>
      </c>
      <c r="H14">
        <v>0.74771707638562812</v>
      </c>
      <c r="I14">
        <v>0.82349418855085244</v>
      </c>
      <c r="J14">
        <v>0.87899414077343374</v>
      </c>
      <c r="K14">
        <v>0.91285034003587073</v>
      </c>
      <c r="L14">
        <v>0.92422913435003928</v>
      </c>
      <c r="M14">
        <v>0.91285034003587073</v>
      </c>
      <c r="N14">
        <v>0.87899414077343352</v>
      </c>
      <c r="O14">
        <v>0.82349418855085232</v>
      </c>
      <c r="P14">
        <v>0.74771707638562801</v>
      </c>
      <c r="Q14">
        <v>0.65352868826908517</v>
      </c>
      <c r="R14">
        <v>0.54324825490999151</v>
      </c>
      <c r="S14">
        <v>0.41959124657742269</v>
      </c>
      <c r="T14">
        <v>0.28560250921060831</v>
      </c>
      <c r="U14">
        <v>0.1445812902066439</v>
      </c>
      <c r="V14" s="9">
        <v>0</v>
      </c>
    </row>
    <row r="15" spans="1:22" x14ac:dyDescent="0.25">
      <c r="A15">
        <v>9.0000000000000011E-3</v>
      </c>
      <c r="B15" s="9">
        <v>0</v>
      </c>
      <c r="C15">
        <v>0.14316424022028892</v>
      </c>
      <c r="D15">
        <v>0.28280330171148166</v>
      </c>
      <c r="E15">
        <v>0.4154788073441899</v>
      </c>
      <c r="F15">
        <v>0.53792384584497788</v>
      </c>
      <c r="G15">
        <v>0.64712341399417195</v>
      </c>
      <c r="H15">
        <v>0.74038865601135018</v>
      </c>
      <c r="I15">
        <v>0.81542307210845755</v>
      </c>
      <c r="J15">
        <v>0.87037906593623338</v>
      </c>
      <c r="K15">
        <v>0.90390343853815081</v>
      </c>
      <c r="L15">
        <v>0.91517070859973737</v>
      </c>
      <c r="M15">
        <v>0.90390343853815081</v>
      </c>
      <c r="N15">
        <v>0.87037906593623315</v>
      </c>
      <c r="O15">
        <v>0.81542307210845733</v>
      </c>
      <c r="P15">
        <v>0.74038865601135007</v>
      </c>
      <c r="Q15">
        <v>0.64712341399417184</v>
      </c>
      <c r="R15">
        <v>0.53792384584497765</v>
      </c>
      <c r="S15">
        <v>0.41547880734418957</v>
      </c>
      <c r="T15">
        <v>0.28280330171148144</v>
      </c>
      <c r="U15">
        <v>0.14316424022028879</v>
      </c>
      <c r="V15" s="9">
        <v>0</v>
      </c>
    </row>
    <row r="16" spans="1:22" x14ac:dyDescent="0.25">
      <c r="A16">
        <v>1.0000000000000002E-2</v>
      </c>
      <c r="B16" s="9">
        <v>0</v>
      </c>
      <c r="C16">
        <v>0.14176107882671754</v>
      </c>
      <c r="D16">
        <v>0.28003152941467435</v>
      </c>
      <c r="E16">
        <v>0.41140667437707878</v>
      </c>
      <c r="F16">
        <v>0.53265162163584789</v>
      </c>
      <c r="G16">
        <v>0.64078091820056071</v>
      </c>
      <c r="H16">
        <v>0.73313206192923319</v>
      </c>
      <c r="I16">
        <v>0.80743106116739161</v>
      </c>
      <c r="J16">
        <v>0.86184842796955097</v>
      </c>
      <c r="K16">
        <v>0.89504422616415602</v>
      </c>
      <c r="L16">
        <v>0.9062010650291179</v>
      </c>
      <c r="M16">
        <v>0.89504422616415591</v>
      </c>
      <c r="N16">
        <v>0.86184842796955075</v>
      </c>
      <c r="O16">
        <v>0.80743106116739138</v>
      </c>
      <c r="P16">
        <v>0.73313206192923308</v>
      </c>
      <c r="Q16">
        <v>0.6407809182005606</v>
      </c>
      <c r="R16">
        <v>0.53265162163584767</v>
      </c>
      <c r="S16">
        <v>0.41140667437707851</v>
      </c>
      <c r="T16">
        <v>0.28003152941467407</v>
      </c>
      <c r="U16">
        <v>0.1417610788267174</v>
      </c>
      <c r="V16" s="9">
        <v>0</v>
      </c>
    </row>
    <row r="17" spans="1:22" x14ac:dyDescent="0.25">
      <c r="A17">
        <v>1.1000000000000003E-2</v>
      </c>
      <c r="B17" s="9">
        <v>0</v>
      </c>
      <c r="C17">
        <v>0.14037166990299044</v>
      </c>
      <c r="D17">
        <v>0.27728692342610617</v>
      </c>
      <c r="E17">
        <v>0.40737445263193311</v>
      </c>
      <c r="F17">
        <v>0.52743107081566698</v>
      </c>
      <c r="G17">
        <v>0.63450058559255218</v>
      </c>
      <c r="H17">
        <v>0.72594659016543528</v>
      </c>
      <c r="I17">
        <v>0.79951738040984222</v>
      </c>
      <c r="J17">
        <v>0.85340139930250203</v>
      </c>
      <c r="K17">
        <v>0.88627184346747101</v>
      </c>
      <c r="L17">
        <v>0.89731933347865822</v>
      </c>
      <c r="M17">
        <v>0.88627184346747079</v>
      </c>
      <c r="N17">
        <v>0.8534013993025017</v>
      </c>
      <c r="O17">
        <v>0.79951738040984199</v>
      </c>
      <c r="P17">
        <v>0.72594659016543506</v>
      </c>
      <c r="Q17">
        <v>0.63450058559255207</v>
      </c>
      <c r="R17">
        <v>0.52743107081566665</v>
      </c>
      <c r="S17">
        <v>0.40737445263193284</v>
      </c>
      <c r="T17">
        <v>0.27728692342610589</v>
      </c>
      <c r="U17">
        <v>0.14037166990299033</v>
      </c>
      <c r="V17" s="9">
        <v>0</v>
      </c>
    </row>
    <row r="18" spans="1:22" x14ac:dyDescent="0.25">
      <c r="A18">
        <v>1.2000000000000004E-2</v>
      </c>
      <c r="B18" s="9">
        <v>0</v>
      </c>
      <c r="C18">
        <v>0.13899587866031735</v>
      </c>
      <c r="D18">
        <v>0.27456921748714391</v>
      </c>
      <c r="E18">
        <v>0.4033817509364479</v>
      </c>
      <c r="F18">
        <v>0.52226168693041874</v>
      </c>
      <c r="G18">
        <v>0.62828180690499746</v>
      </c>
      <c r="H18">
        <v>0.7188315436458047</v>
      </c>
      <c r="I18">
        <v>0.79168126211693479</v>
      </c>
      <c r="J18">
        <v>0.84503716047527444</v>
      </c>
      <c r="K18">
        <v>0.87758543942516687</v>
      </c>
      <c r="L18">
        <v>0.88852465231732136</v>
      </c>
      <c r="M18">
        <v>0.87758543942516687</v>
      </c>
      <c r="N18">
        <v>0.84503716047527422</v>
      </c>
      <c r="O18">
        <v>0.79168126211693446</v>
      </c>
      <c r="P18">
        <v>0.71883154364580437</v>
      </c>
      <c r="Q18">
        <v>0.62828180690499724</v>
      </c>
      <c r="R18">
        <v>0.52226168693041852</v>
      </c>
      <c r="S18">
        <v>0.40338175093644757</v>
      </c>
      <c r="T18">
        <v>0.27456921748714369</v>
      </c>
      <c r="U18">
        <v>0.13899587866031723</v>
      </c>
      <c r="V18" s="9">
        <v>0</v>
      </c>
    </row>
    <row r="19" spans="1:22" x14ac:dyDescent="0.25">
      <c r="A19">
        <v>1.3000000000000005E-2</v>
      </c>
      <c r="B19" s="9">
        <v>0</v>
      </c>
      <c r="C19">
        <v>0.13763357163098106</v>
      </c>
      <c r="D19">
        <v>0.27187814794877141</v>
      </c>
      <c r="E19">
        <v>0.39942818195222163</v>
      </c>
      <c r="F19">
        <v>0.51714296848987362</v>
      </c>
      <c r="G19">
        <v>0.62212397884419213</v>
      </c>
      <c r="H19">
        <v>0.71178623212825598</v>
      </c>
      <c r="I19">
        <v>0.78392194609425303</v>
      </c>
      <c r="J19">
        <v>0.83675490005963149</v>
      </c>
      <c r="K19">
        <v>0.86898417135524242</v>
      </c>
      <c r="L19">
        <v>0.87981616835896892</v>
      </c>
      <c r="M19">
        <v>0.86898417135524231</v>
      </c>
      <c r="N19">
        <v>0.83675490005963127</v>
      </c>
      <c r="O19">
        <v>0.78392194609425281</v>
      </c>
      <c r="P19">
        <v>0.71178623212825576</v>
      </c>
      <c r="Q19">
        <v>0.62212397884419202</v>
      </c>
      <c r="R19">
        <v>0.5171429684898734</v>
      </c>
      <c r="S19">
        <v>0.39942818195222135</v>
      </c>
      <c r="T19">
        <v>0.27187814794877119</v>
      </c>
      <c r="U19">
        <v>0.13763357163098092</v>
      </c>
      <c r="V19" s="9">
        <v>0</v>
      </c>
    </row>
    <row r="20" spans="1:22" x14ac:dyDescent="0.25">
      <c r="A20">
        <v>1.4000000000000005E-2</v>
      </c>
      <c r="B20" s="9">
        <v>0</v>
      </c>
      <c r="C20">
        <v>0.13628461665538957</v>
      </c>
      <c r="D20">
        <v>0.26921345374601235</v>
      </c>
      <c r="E20">
        <v>0.39551336213717997</v>
      </c>
      <c r="F20">
        <v>0.51207441891893779</v>
      </c>
      <c r="G20">
        <v>0.61602650402935022</v>
      </c>
      <c r="H20">
        <v>0.70480997213580787</v>
      </c>
      <c r="I20">
        <v>0.77623867959809267</v>
      </c>
      <c r="J20">
        <v>0.82855381458019373</v>
      </c>
      <c r="K20">
        <v>0.86046720483487316</v>
      </c>
      <c r="L20">
        <v>0.87119303677959115</v>
      </c>
      <c r="M20">
        <v>0.86046720483487305</v>
      </c>
      <c r="N20">
        <v>0.82855381458019361</v>
      </c>
      <c r="O20">
        <v>0.77623867959809245</v>
      </c>
      <c r="P20">
        <v>0.70480997213580787</v>
      </c>
      <c r="Q20">
        <v>0.61602650402935011</v>
      </c>
      <c r="R20">
        <v>0.51207441891893757</v>
      </c>
      <c r="S20">
        <v>0.39551336213717975</v>
      </c>
      <c r="T20">
        <v>0.26921345374601208</v>
      </c>
      <c r="U20">
        <v>0.13628461665538943</v>
      </c>
      <c r="V20" s="9">
        <v>0</v>
      </c>
    </row>
    <row r="21" spans="1:22" x14ac:dyDescent="0.25">
      <c r="A21">
        <v>1.5000000000000006E-2</v>
      </c>
      <c r="B21" s="9">
        <v>0</v>
      </c>
      <c r="C21">
        <v>0.13494888286925505</v>
      </c>
      <c r="D21">
        <v>0.26657487637260424</v>
      </c>
      <c r="E21">
        <v>0.39163691170836784</v>
      </c>
      <c r="F21">
        <v>0.50705554650948037</v>
      </c>
      <c r="G21">
        <v>0.60998879093465064</v>
      </c>
      <c r="H21">
        <v>0.69790208689027888</v>
      </c>
      <c r="I21">
        <v>0.76863071726243581</v>
      </c>
      <c r="J21">
        <v>0.82043310843649242</v>
      </c>
      <c r="K21">
        <v>0.85203371361946356</v>
      </c>
      <c r="L21">
        <v>0.86265442103534962</v>
      </c>
      <c r="M21">
        <v>0.85203371361946356</v>
      </c>
      <c r="N21">
        <v>0.8204331084364922</v>
      </c>
      <c r="O21">
        <v>0.76863071726243581</v>
      </c>
      <c r="P21">
        <v>0.69790208689027888</v>
      </c>
      <c r="Q21">
        <v>0.60998879093465064</v>
      </c>
      <c r="R21">
        <v>0.50705554650948004</v>
      </c>
      <c r="S21">
        <v>0.39163691170836751</v>
      </c>
      <c r="T21">
        <v>0.26657487637260396</v>
      </c>
      <c r="U21">
        <v>0.13494888286925491</v>
      </c>
      <c r="V21" s="9">
        <v>0</v>
      </c>
    </row>
    <row r="22" spans="1:22" x14ac:dyDescent="0.25">
      <c r="A22">
        <v>1.6000000000000007E-2</v>
      </c>
      <c r="B22" s="9">
        <v>0</v>
      </c>
      <c r="C22">
        <v>0.13362624069089848</v>
      </c>
      <c r="D22">
        <v>0.26396215985591998</v>
      </c>
      <c r="E22">
        <v>0.38779845460510559</v>
      </c>
      <c r="F22">
        <v>0.50208586437263125</v>
      </c>
      <c r="G22">
        <v>0.60401025383185336</v>
      </c>
      <c r="H22">
        <v>0.69106190624663133</v>
      </c>
      <c r="I22">
        <v>0.76109732102664251</v>
      </c>
      <c r="J22">
        <v>0.81239199382578731</v>
      </c>
      <c r="K22">
        <v>0.84368287956249177</v>
      </c>
      <c r="L22">
        <v>0.85419949278142271</v>
      </c>
      <c r="M22">
        <v>0.84368287956249177</v>
      </c>
      <c r="N22">
        <v>0.8123919938257872</v>
      </c>
      <c r="O22">
        <v>0.7610973210266424</v>
      </c>
      <c r="P22">
        <v>0.69106190624663133</v>
      </c>
      <c r="Q22">
        <v>0.60401025383185325</v>
      </c>
      <c r="R22">
        <v>0.50208586437263092</v>
      </c>
      <c r="S22">
        <v>0.38779845460510537</v>
      </c>
      <c r="T22">
        <v>0.2639621598559197</v>
      </c>
      <c r="U22">
        <v>0.13362624069089835</v>
      </c>
      <c r="V22" s="9">
        <v>0</v>
      </c>
    </row>
    <row r="23" spans="1:22" x14ac:dyDescent="0.25">
      <c r="A23">
        <v>1.7000000000000008E-2</v>
      </c>
      <c r="B23" s="9">
        <v>0</v>
      </c>
      <c r="C23">
        <v>0.13231656180867873</v>
      </c>
      <c r="D23">
        <v>0.26137505073213574</v>
      </c>
      <c r="E23">
        <v>0.38399761845250741</v>
      </c>
      <c r="F23">
        <v>0.49716489039154793</v>
      </c>
      <c r="G23">
        <v>0.59809031273347568</v>
      </c>
      <c r="H23">
        <v>0.68428876662795912</v>
      </c>
      <c r="I23">
        <v>0.75363776006384942</v>
      </c>
      <c r="J23">
        <v>0.80442969066664072</v>
      </c>
      <c r="K23">
        <v>0.83541389253613896</v>
      </c>
      <c r="L23">
        <v>0.84582743179164721</v>
      </c>
      <c r="M23">
        <v>0.83541389253613896</v>
      </c>
      <c r="N23">
        <v>0.80442969066664061</v>
      </c>
      <c r="O23">
        <v>0.75363776006384942</v>
      </c>
      <c r="P23">
        <v>0.68428876662795923</v>
      </c>
      <c r="Q23">
        <v>0.59809031273347546</v>
      </c>
      <c r="R23">
        <v>0.49716489039154776</v>
      </c>
      <c r="S23">
        <v>0.38399761845250713</v>
      </c>
      <c r="T23">
        <v>0.26137505073213552</v>
      </c>
      <c r="U23">
        <v>0.13231656180867862</v>
      </c>
      <c r="V23" s="9">
        <v>0</v>
      </c>
    </row>
    <row r="24" spans="1:22" x14ac:dyDescent="0.25">
      <c r="A24">
        <v>1.8000000000000009E-2</v>
      </c>
      <c r="B24" s="9">
        <v>0</v>
      </c>
      <c r="C24">
        <v>0.13101971916854485</v>
      </c>
      <c r="D24">
        <v>0.25881329802164205</v>
      </c>
      <c r="E24">
        <v>0.38023403452535603</v>
      </c>
      <c r="F24">
        <v>0.49229214717464431</v>
      </c>
      <c r="G24">
        <v>0.59222839333652755</v>
      </c>
      <c r="H24">
        <v>0.67758201096111448</v>
      </c>
      <c r="I24">
        <v>0.74625131071007189</v>
      </c>
      <c r="J24">
        <v>0.79654542652324012</v>
      </c>
      <c r="K24">
        <v>0.82722595035269852</v>
      </c>
      <c r="L24">
        <v>0.8375374258789452</v>
      </c>
      <c r="M24">
        <v>0.82722595035269852</v>
      </c>
      <c r="N24">
        <v>0.79654542652324001</v>
      </c>
      <c r="O24">
        <v>0.74625131071007189</v>
      </c>
      <c r="P24">
        <v>0.67758201096111437</v>
      </c>
      <c r="Q24">
        <v>0.59222839333652733</v>
      </c>
      <c r="R24">
        <v>0.49229214717464415</v>
      </c>
      <c r="S24">
        <v>0.38023403452535581</v>
      </c>
      <c r="T24">
        <v>0.25881329802164182</v>
      </c>
      <c r="U24">
        <v>0.13101971916854477</v>
      </c>
      <c r="V24" s="9">
        <v>0</v>
      </c>
    </row>
    <row r="25" spans="1:22" x14ac:dyDescent="0.25">
      <c r="A25">
        <v>1.900000000000001E-2</v>
      </c>
      <c r="B25" s="9">
        <v>0</v>
      </c>
      <c r="C25" s="11">
        <v>0.12973558696171034</v>
      </c>
      <c r="D25" s="11">
        <v>0.25627665320469573</v>
      </c>
      <c r="E25" s="11">
        <v>0.37650733771233258</v>
      </c>
      <c r="F25" s="11">
        <v>0.48746716200927809</v>
      </c>
      <c r="G25" s="11">
        <v>0.58642392696679746</v>
      </c>
      <c r="H25" s="11">
        <v>0.67094098861296281</v>
      </c>
      <c r="I25" s="11">
        <v>0.73893725639399954</v>
      </c>
      <c r="J25" s="11">
        <v>0.7887384365304636</v>
      </c>
      <c r="K25" s="11">
        <v>0.81911825868675414</v>
      </c>
      <c r="L25" s="11">
        <v>0.82932867081653439</v>
      </c>
      <c r="M25" s="11">
        <v>0.81911825868675425</v>
      </c>
      <c r="N25" s="11">
        <v>0.78873843653046349</v>
      </c>
      <c r="O25" s="11">
        <v>0.73893725639399943</v>
      </c>
      <c r="P25" s="11">
        <v>0.6709409886129627</v>
      </c>
      <c r="Q25" s="11">
        <v>0.58642392696679735</v>
      </c>
      <c r="R25" s="11">
        <v>0.48746716200927787</v>
      </c>
      <c r="S25" s="11">
        <v>0.37650733771233241</v>
      </c>
      <c r="T25" s="11">
        <v>0.2562766532046955</v>
      </c>
      <c r="U25" s="11">
        <v>0.12973558696171023</v>
      </c>
      <c r="V25" s="9">
        <v>0</v>
      </c>
    </row>
    <row r="26" spans="1:22" x14ac:dyDescent="0.25">
      <c r="A26">
        <v>2.0000000000000011E-2</v>
      </c>
      <c r="B26" s="9">
        <v>0</v>
      </c>
      <c r="C26">
        <v>0.1284640406124482</v>
      </c>
      <c r="D26">
        <v>0.25376487019731064</v>
      </c>
      <c r="E26">
        <v>0.37281716648059626</v>
      </c>
      <c r="F26">
        <v>0.48268946681589203</v>
      </c>
      <c r="G26">
        <v>0.58067635052368427</v>
      </c>
      <c r="H26">
        <v>0.66436505532726442</v>
      </c>
      <c r="I26">
        <v>0.73169488756748113</v>
      </c>
      <c r="J26">
        <v>0.78100796331967814</v>
      </c>
      <c r="K26">
        <v>0.81109003099812083</v>
      </c>
      <c r="L26">
        <v>0.82120037025990755</v>
      </c>
      <c r="M26">
        <v>0.81109003099812083</v>
      </c>
      <c r="N26">
        <v>0.78100796331967803</v>
      </c>
      <c r="O26">
        <v>0.73169488756748091</v>
      </c>
      <c r="P26">
        <v>0.66436505532726431</v>
      </c>
      <c r="Q26">
        <v>0.58067635052368405</v>
      </c>
      <c r="R26">
        <v>0.48268946681589192</v>
      </c>
      <c r="S26">
        <v>0.37281716648059615</v>
      </c>
      <c r="T26">
        <v>0.25376487019731048</v>
      </c>
      <c r="U26">
        <v>0.12846404061244809</v>
      </c>
      <c r="V26" s="9">
        <v>0</v>
      </c>
    </row>
  </sheetData>
  <mergeCells count="1">
    <mergeCell ref="A4:V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E33CD-552F-4583-A0E9-5AD475D08D7A}">
  <sheetPr codeName="Sheet7"/>
  <dimension ref="A1:V23"/>
  <sheetViews>
    <sheetView topLeftCell="B2" zoomScaleNormal="100" workbookViewId="0">
      <selection activeCell="D9" sqref="D9"/>
    </sheetView>
  </sheetViews>
  <sheetFormatPr defaultRowHeight="15" x14ac:dyDescent="0.25"/>
  <cols>
    <col min="1" max="1" width="9.140625" style="13"/>
    <col min="2" max="16384" width="9.140625" style="2"/>
  </cols>
  <sheetData>
    <row r="1" spans="1:22" x14ac:dyDescent="0.25">
      <c r="A1" s="13">
        <v>19</v>
      </c>
      <c r="B1" s="2" t="s">
        <v>18</v>
      </c>
      <c r="C1" s="2">
        <v>1E-3</v>
      </c>
      <c r="D1" s="2" t="s">
        <v>19</v>
      </c>
      <c r="E1" s="2">
        <v>0.02</v>
      </c>
      <c r="F1" s="2" t="s">
        <v>13</v>
      </c>
      <c r="H1" s="2">
        <v>0.05</v>
      </c>
      <c r="I1" s="2" t="s">
        <v>20</v>
      </c>
    </row>
    <row r="2" spans="1:22" x14ac:dyDescent="0.25">
      <c r="A2" s="13" t="s">
        <v>16</v>
      </c>
      <c r="B2" s="2">
        <v>0</v>
      </c>
      <c r="C2" s="2">
        <f>B2+$H$1</f>
        <v>0.05</v>
      </c>
      <c r="D2" s="2">
        <f t="shared" ref="D2:Z2" si="0">C2+$H$1</f>
        <v>0.1</v>
      </c>
      <c r="E2" s="2">
        <f t="shared" si="0"/>
        <v>0.15000000000000002</v>
      </c>
      <c r="F2" s="2">
        <f t="shared" si="0"/>
        <v>0.2</v>
      </c>
      <c r="G2" s="2">
        <f t="shared" si="0"/>
        <v>0.25</v>
      </c>
      <c r="H2" s="2">
        <f t="shared" si="0"/>
        <v>0.3</v>
      </c>
      <c r="I2" s="2">
        <f t="shared" si="0"/>
        <v>0.35</v>
      </c>
      <c r="J2" s="2">
        <f t="shared" si="0"/>
        <v>0.39999999999999997</v>
      </c>
      <c r="K2" s="2">
        <f t="shared" si="0"/>
        <v>0.44999999999999996</v>
      </c>
      <c r="L2" s="2">
        <f t="shared" si="0"/>
        <v>0.49999999999999994</v>
      </c>
      <c r="M2" s="2">
        <f t="shared" si="0"/>
        <v>0.54999999999999993</v>
      </c>
      <c r="N2" s="2">
        <f t="shared" si="0"/>
        <v>0.6</v>
      </c>
      <c r="O2" s="2">
        <f t="shared" si="0"/>
        <v>0.65</v>
      </c>
      <c r="P2" s="2">
        <f t="shared" si="0"/>
        <v>0.70000000000000007</v>
      </c>
      <c r="Q2" s="2">
        <f t="shared" si="0"/>
        <v>0.75000000000000011</v>
      </c>
      <c r="R2" s="2">
        <f t="shared" si="0"/>
        <v>0.80000000000000016</v>
      </c>
      <c r="S2" s="2">
        <f t="shared" si="0"/>
        <v>0.8500000000000002</v>
      </c>
      <c r="T2" s="2">
        <f t="shared" si="0"/>
        <v>0.90000000000000024</v>
      </c>
      <c r="U2" s="2">
        <f t="shared" si="0"/>
        <v>0.95000000000000029</v>
      </c>
      <c r="V2" s="2">
        <f t="shared" si="0"/>
        <v>1.0000000000000002</v>
      </c>
    </row>
    <row r="3" spans="1:22" x14ac:dyDescent="0.25">
      <c r="A3" s="13">
        <v>0</v>
      </c>
      <c r="B3" s="12">
        <v>0</v>
      </c>
      <c r="C3" s="12">
        <v>1</v>
      </c>
      <c r="D3" s="12">
        <v>1</v>
      </c>
      <c r="E3" s="12">
        <v>1</v>
      </c>
      <c r="F3" s="12">
        <v>1</v>
      </c>
      <c r="G3" s="12">
        <v>1</v>
      </c>
      <c r="H3" s="12">
        <v>1</v>
      </c>
      <c r="I3" s="12">
        <v>1</v>
      </c>
      <c r="J3" s="12">
        <v>1</v>
      </c>
      <c r="K3" s="12">
        <v>1</v>
      </c>
      <c r="L3" s="12">
        <v>1</v>
      </c>
      <c r="M3" s="12">
        <v>1</v>
      </c>
      <c r="N3" s="12">
        <v>1</v>
      </c>
      <c r="O3" s="12">
        <v>1</v>
      </c>
      <c r="P3" s="12">
        <v>1</v>
      </c>
      <c r="Q3" s="12">
        <v>1</v>
      </c>
      <c r="R3" s="12">
        <v>1</v>
      </c>
      <c r="S3" s="12">
        <v>1</v>
      </c>
      <c r="T3" s="12">
        <v>1</v>
      </c>
      <c r="U3" s="12">
        <v>1</v>
      </c>
      <c r="V3" s="12">
        <v>1</v>
      </c>
    </row>
    <row r="4" spans="1:22" x14ac:dyDescent="0.25">
      <c r="A4" s="13">
        <v>1E-3</v>
      </c>
      <c r="B4" s="12">
        <v>0</v>
      </c>
      <c r="C4" s="2">
        <v>0.60000000000000009</v>
      </c>
      <c r="D4" s="2">
        <v>1</v>
      </c>
      <c r="E4" s="2">
        <v>1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  <c r="P4" s="2">
        <v>1</v>
      </c>
      <c r="Q4" s="2">
        <v>1</v>
      </c>
      <c r="R4" s="2">
        <v>1</v>
      </c>
      <c r="S4" s="2">
        <v>1</v>
      </c>
      <c r="T4" s="2">
        <v>1</v>
      </c>
      <c r="U4" s="2">
        <v>1</v>
      </c>
      <c r="V4" s="12">
        <v>1</v>
      </c>
    </row>
    <row r="5" spans="1:22" x14ac:dyDescent="0.25">
      <c r="A5" s="13">
        <v>2E-3</v>
      </c>
      <c r="B5" s="12">
        <v>0</v>
      </c>
      <c r="C5" s="2">
        <v>0.52</v>
      </c>
      <c r="D5" s="2">
        <v>0.84000000000000008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  <c r="Q5" s="2">
        <v>1</v>
      </c>
      <c r="R5" s="2">
        <v>1</v>
      </c>
      <c r="S5" s="2">
        <v>1</v>
      </c>
      <c r="T5" s="2">
        <v>1</v>
      </c>
      <c r="U5" s="2">
        <v>1</v>
      </c>
      <c r="V5" s="12">
        <v>1</v>
      </c>
    </row>
    <row r="6" spans="1:22" x14ac:dyDescent="0.25">
      <c r="A6" s="13">
        <v>3.0000000000000001E-3</v>
      </c>
      <c r="B6" s="12">
        <v>0</v>
      </c>
      <c r="C6" s="2">
        <v>0.44000000000000006</v>
      </c>
      <c r="D6" s="2">
        <v>0.77600000000000002</v>
      </c>
      <c r="E6" s="2">
        <v>0.93600000000000005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>
        <v>1</v>
      </c>
      <c r="L6" s="2">
        <v>1</v>
      </c>
      <c r="M6" s="2">
        <v>1</v>
      </c>
      <c r="N6" s="2">
        <v>1</v>
      </c>
      <c r="O6" s="2">
        <v>1</v>
      </c>
      <c r="P6" s="2">
        <v>1</v>
      </c>
      <c r="Q6" s="2">
        <v>1</v>
      </c>
      <c r="R6" s="2">
        <v>1</v>
      </c>
      <c r="S6" s="2">
        <v>1</v>
      </c>
      <c r="T6" s="2">
        <v>1</v>
      </c>
      <c r="U6" s="2">
        <v>1</v>
      </c>
      <c r="V6" s="12">
        <v>1</v>
      </c>
    </row>
    <row r="7" spans="1:22" x14ac:dyDescent="0.25">
      <c r="A7" s="13">
        <v>4.0000000000000001E-3</v>
      </c>
      <c r="B7" s="12">
        <v>0</v>
      </c>
      <c r="C7" s="2">
        <v>0.39840000000000003</v>
      </c>
      <c r="D7" s="2">
        <v>0.7056</v>
      </c>
      <c r="E7" s="2">
        <v>0.89760000000000006</v>
      </c>
      <c r="F7" s="2">
        <v>0.97439999999999993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  <c r="P7" s="2">
        <v>1</v>
      </c>
      <c r="Q7" s="2">
        <v>1</v>
      </c>
      <c r="R7" s="2">
        <v>1</v>
      </c>
      <c r="S7" s="2">
        <v>1</v>
      </c>
      <c r="T7" s="2">
        <v>1</v>
      </c>
      <c r="U7" s="2">
        <v>1</v>
      </c>
      <c r="V7" s="12">
        <v>1</v>
      </c>
    </row>
    <row r="8" spans="1:22" x14ac:dyDescent="0.25">
      <c r="A8" s="13">
        <v>5.0000000000000001E-3</v>
      </c>
      <c r="B8" s="12">
        <v>0</v>
      </c>
      <c r="C8" s="2">
        <v>0.36192000000000002</v>
      </c>
      <c r="D8" s="2">
        <v>0.65952000000000011</v>
      </c>
      <c r="E8" s="2">
        <v>0.85151999999999994</v>
      </c>
      <c r="F8" s="2">
        <v>0.9539200000000001</v>
      </c>
      <c r="G8" s="2">
        <v>0.98975999999999997</v>
      </c>
      <c r="H8" s="2">
        <v>1</v>
      </c>
      <c r="I8" s="2">
        <v>1</v>
      </c>
      <c r="J8" s="2">
        <v>1</v>
      </c>
      <c r="K8" s="2">
        <v>1</v>
      </c>
      <c r="L8" s="2">
        <v>1</v>
      </c>
      <c r="M8" s="2">
        <v>1</v>
      </c>
      <c r="N8" s="2">
        <v>1</v>
      </c>
      <c r="O8" s="2">
        <v>1</v>
      </c>
      <c r="P8" s="2">
        <v>1</v>
      </c>
      <c r="Q8" s="2">
        <v>1</v>
      </c>
      <c r="R8" s="2">
        <v>1</v>
      </c>
      <c r="S8" s="2">
        <v>1</v>
      </c>
      <c r="T8" s="2">
        <v>1</v>
      </c>
      <c r="U8" s="2">
        <v>1</v>
      </c>
      <c r="V8" s="12">
        <v>1</v>
      </c>
    </row>
    <row r="9" spans="1:22" x14ac:dyDescent="0.25">
      <c r="A9" s="13">
        <v>6.0000000000000001E-3</v>
      </c>
      <c r="B9" s="12">
        <v>0</v>
      </c>
      <c r="C9" s="2">
        <v>0.33619200000000005</v>
      </c>
      <c r="D9" s="2">
        <v>0.61728000000000005</v>
      </c>
      <c r="E9" s="2">
        <v>0.81568000000000007</v>
      </c>
      <c r="F9" s="2">
        <v>0.9272959999999999</v>
      </c>
      <c r="G9" s="2">
        <v>0.97952000000000006</v>
      </c>
      <c r="H9" s="2">
        <v>0.99590400000000001</v>
      </c>
      <c r="I9" s="2">
        <v>1</v>
      </c>
      <c r="J9" s="2">
        <v>1</v>
      </c>
      <c r="K9" s="2">
        <v>1</v>
      </c>
      <c r="L9" s="2">
        <v>1</v>
      </c>
      <c r="M9" s="2">
        <v>1</v>
      </c>
      <c r="N9" s="2">
        <v>1</v>
      </c>
      <c r="O9" s="2">
        <v>1</v>
      </c>
      <c r="P9" s="2">
        <v>1</v>
      </c>
      <c r="Q9" s="2">
        <v>1</v>
      </c>
      <c r="R9" s="2">
        <v>1</v>
      </c>
      <c r="S9" s="2">
        <v>1</v>
      </c>
      <c r="T9" s="2">
        <v>1</v>
      </c>
      <c r="U9" s="2">
        <v>1</v>
      </c>
      <c r="V9" s="12">
        <v>1</v>
      </c>
    </row>
    <row r="10" spans="1:22" x14ac:dyDescent="0.25">
      <c r="A10" s="13">
        <v>7.0000000000000001E-3</v>
      </c>
      <c r="B10" s="12">
        <v>0</v>
      </c>
      <c r="C10" s="2">
        <v>0.31415040000000005</v>
      </c>
      <c r="D10" s="2">
        <v>0.58420480000000008</v>
      </c>
      <c r="E10" s="2">
        <v>0.78096639999999995</v>
      </c>
      <c r="F10" s="2">
        <v>0.90353919999999999</v>
      </c>
      <c r="G10" s="2">
        <v>0.96518399999999993</v>
      </c>
      <c r="H10" s="2">
        <v>0.99098880000000011</v>
      </c>
      <c r="I10" s="2">
        <v>0.99836159999999996</v>
      </c>
      <c r="J10" s="2">
        <v>1</v>
      </c>
      <c r="K10" s="2">
        <v>1</v>
      </c>
      <c r="L10" s="2">
        <v>1</v>
      </c>
      <c r="M10" s="2">
        <v>1</v>
      </c>
      <c r="N10" s="2">
        <v>1</v>
      </c>
      <c r="O10" s="2">
        <v>1</v>
      </c>
      <c r="P10" s="2">
        <v>1</v>
      </c>
      <c r="Q10" s="2">
        <v>1</v>
      </c>
      <c r="R10" s="2">
        <v>1</v>
      </c>
      <c r="S10" s="2">
        <v>1</v>
      </c>
      <c r="T10" s="2">
        <v>1</v>
      </c>
      <c r="U10" s="2">
        <v>1</v>
      </c>
      <c r="V10" s="12">
        <v>1</v>
      </c>
    </row>
    <row r="11" spans="1:22" x14ac:dyDescent="0.25">
      <c r="A11" s="13">
        <v>8.0000000000000002E-3</v>
      </c>
      <c r="B11" s="12">
        <v>0</v>
      </c>
      <c r="C11" s="2">
        <v>0.29651200000000005</v>
      </c>
      <c r="D11" s="2">
        <v>0.55488767999999999</v>
      </c>
      <c r="E11" s="2">
        <v>0.75129087999999999</v>
      </c>
      <c r="F11" s="2">
        <v>0.87916799999999995</v>
      </c>
      <c r="G11" s="2">
        <v>0.95084800000000003</v>
      </c>
      <c r="H11" s="2">
        <v>0.98361600000000005</v>
      </c>
      <c r="I11" s="2">
        <v>0.99606784000000004</v>
      </c>
      <c r="J11" s="2">
        <v>0.99934464000000001</v>
      </c>
      <c r="K11" s="2">
        <v>1</v>
      </c>
      <c r="L11" s="2">
        <v>1</v>
      </c>
      <c r="M11" s="2">
        <v>1</v>
      </c>
      <c r="N11" s="2">
        <v>1</v>
      </c>
      <c r="O11" s="2">
        <v>1</v>
      </c>
      <c r="P11" s="2">
        <v>1</v>
      </c>
      <c r="Q11" s="2">
        <v>1</v>
      </c>
      <c r="R11" s="2">
        <v>1</v>
      </c>
      <c r="S11" s="2">
        <v>1</v>
      </c>
      <c r="T11" s="2">
        <v>1</v>
      </c>
      <c r="U11" s="2">
        <v>1</v>
      </c>
      <c r="V11" s="12">
        <v>1</v>
      </c>
    </row>
    <row r="12" spans="1:22" x14ac:dyDescent="0.25">
      <c r="A12" s="13">
        <v>9.0000000000000011E-3</v>
      </c>
      <c r="B12" s="12">
        <v>0</v>
      </c>
      <c r="C12" s="2">
        <v>0.28125747200000001</v>
      </c>
      <c r="D12" s="2">
        <v>0.53009868800000004</v>
      </c>
      <c r="E12" s="2">
        <v>0.72388044799999995</v>
      </c>
      <c r="F12" s="2">
        <v>0.85668915199999995</v>
      </c>
      <c r="G12" s="2">
        <v>0.93528319999999998</v>
      </c>
      <c r="H12" s="2">
        <v>0.9754895360000001</v>
      </c>
      <c r="I12" s="2">
        <v>0.99239782399999998</v>
      </c>
      <c r="J12" s="2">
        <v>0.99829606400000004</v>
      </c>
      <c r="K12" s="2">
        <v>0.99973785599999998</v>
      </c>
      <c r="L12" s="2">
        <v>1</v>
      </c>
      <c r="M12" s="2">
        <v>1</v>
      </c>
      <c r="N12" s="2">
        <v>1</v>
      </c>
      <c r="O12" s="2">
        <v>1</v>
      </c>
      <c r="P12" s="2">
        <v>1</v>
      </c>
      <c r="Q12" s="2">
        <v>1</v>
      </c>
      <c r="R12" s="2">
        <v>1</v>
      </c>
      <c r="S12" s="2">
        <v>1</v>
      </c>
      <c r="T12" s="2">
        <v>1</v>
      </c>
      <c r="U12" s="2">
        <v>1</v>
      </c>
      <c r="V12" s="12">
        <v>1</v>
      </c>
    </row>
    <row r="13" spans="1:22" x14ac:dyDescent="0.25">
      <c r="A13" s="13">
        <v>1.0000000000000002E-2</v>
      </c>
      <c r="B13" s="12">
        <v>0</v>
      </c>
      <c r="C13" s="2">
        <v>0.26829096960000004</v>
      </c>
      <c r="D13" s="2">
        <v>0.50807490560000002</v>
      </c>
      <c r="E13" s="2">
        <v>0.69949122559999999</v>
      </c>
      <c r="F13" s="2">
        <v>0.83500328959999992</v>
      </c>
      <c r="G13" s="2">
        <v>0.91992811520000006</v>
      </c>
      <c r="H13" s="2">
        <v>0.96617031679999998</v>
      </c>
      <c r="I13" s="2">
        <v>0.98799380479999999</v>
      </c>
      <c r="J13" s="2">
        <v>0.99651348480000002</v>
      </c>
      <c r="K13" s="2">
        <v>0.99926599680000006</v>
      </c>
      <c r="L13" s="2">
        <v>0.99989514239999999</v>
      </c>
      <c r="M13" s="2">
        <v>1</v>
      </c>
      <c r="N13" s="2">
        <v>1</v>
      </c>
      <c r="O13" s="2">
        <v>1</v>
      </c>
      <c r="P13" s="2">
        <v>1</v>
      </c>
      <c r="Q13" s="2">
        <v>1</v>
      </c>
      <c r="R13" s="2">
        <v>1</v>
      </c>
      <c r="S13" s="2">
        <v>1</v>
      </c>
      <c r="T13" s="2">
        <v>1</v>
      </c>
      <c r="U13" s="2">
        <v>1</v>
      </c>
      <c r="V13" s="12">
        <v>1</v>
      </c>
    </row>
    <row r="14" spans="1:22" x14ac:dyDescent="0.25">
      <c r="A14" s="13">
        <v>1.1000000000000003E-2</v>
      </c>
      <c r="B14" s="12">
        <v>0</v>
      </c>
      <c r="C14" s="2">
        <v>0.25688815615999999</v>
      </c>
      <c r="D14" s="2">
        <v>0.4887278592</v>
      </c>
      <c r="E14" s="2">
        <v>0.67712952319999997</v>
      </c>
      <c r="F14" s="2">
        <v>0.81476839424000003</v>
      </c>
      <c r="G14" s="2">
        <v>0.9044550656</v>
      </c>
      <c r="H14" s="2">
        <v>0.95640283136000004</v>
      </c>
      <c r="I14" s="2">
        <v>0.98267228159999997</v>
      </c>
      <c r="J14" s="2">
        <v>0.99420661760000006</v>
      </c>
      <c r="K14" s="2">
        <v>0.99841665024000004</v>
      </c>
      <c r="L14" s="2">
        <v>0.99968542720000009</v>
      </c>
      <c r="M14" s="2">
        <v>0.99995805695999995</v>
      </c>
      <c r="N14" s="2">
        <v>1</v>
      </c>
      <c r="O14" s="2">
        <v>1</v>
      </c>
      <c r="P14" s="2">
        <v>1</v>
      </c>
      <c r="Q14" s="2">
        <v>1</v>
      </c>
      <c r="R14" s="2">
        <v>1</v>
      </c>
      <c r="S14" s="2">
        <v>1</v>
      </c>
      <c r="T14" s="2">
        <v>1</v>
      </c>
      <c r="U14" s="2">
        <v>1</v>
      </c>
      <c r="V14" s="12">
        <v>1</v>
      </c>
    </row>
    <row r="15" spans="1:22" x14ac:dyDescent="0.25">
      <c r="A15" s="13">
        <v>1.2000000000000004E-2</v>
      </c>
      <c r="B15" s="12">
        <v>0</v>
      </c>
      <c r="C15" s="2">
        <v>0.24686877491199999</v>
      </c>
      <c r="D15" s="2">
        <v>0.47135264358399998</v>
      </c>
      <c r="E15" s="2">
        <v>0.65682440601600001</v>
      </c>
      <c r="F15" s="2">
        <v>0.79558751436800001</v>
      </c>
      <c r="G15" s="2">
        <v>0.88935950336000003</v>
      </c>
      <c r="H15" s="2">
        <v>0.94613150515199995</v>
      </c>
      <c r="I15" s="2">
        <v>0.97677823590400004</v>
      </c>
      <c r="J15" s="2">
        <v>0.99127689625600002</v>
      </c>
      <c r="K15" s="2">
        <v>0.99724014796800009</v>
      </c>
      <c r="L15" s="2">
        <v>0.99928696831999997</v>
      </c>
      <c r="M15" s="2">
        <v>0.99986578227200007</v>
      </c>
      <c r="N15" s="2">
        <v>0.99998322278399998</v>
      </c>
      <c r="O15" s="2">
        <v>1</v>
      </c>
      <c r="P15" s="2">
        <v>1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12">
        <v>1</v>
      </c>
    </row>
    <row r="16" spans="1:22" x14ac:dyDescent="0.25">
      <c r="A16" s="13">
        <v>1.3000000000000005E-2</v>
      </c>
      <c r="B16" s="12">
        <v>0</v>
      </c>
      <c r="C16" s="2">
        <v>0.23791481241599999</v>
      </c>
      <c r="D16" s="2">
        <v>0.455747801088</v>
      </c>
      <c r="E16" s="2">
        <v>0.63814094438400004</v>
      </c>
      <c r="F16" s="2">
        <v>0.77759106662400002</v>
      </c>
      <c r="G16" s="2">
        <v>0.87455950847999997</v>
      </c>
      <c r="H16" s="2">
        <v>0.93568139673599993</v>
      </c>
      <c r="I16" s="2">
        <v>0.97031900774400004</v>
      </c>
      <c r="J16" s="2">
        <v>0.98786273280000003</v>
      </c>
      <c r="K16" s="2">
        <v>0.99567357542399992</v>
      </c>
      <c r="L16" s="2">
        <v>0.99869976575999997</v>
      </c>
      <c r="M16" s="2">
        <v>0.99968123289599997</v>
      </c>
      <c r="N16" s="2">
        <v>0.99994295746560002</v>
      </c>
      <c r="O16" s="2">
        <v>0.99999328911359997</v>
      </c>
      <c r="P16" s="2">
        <v>1</v>
      </c>
      <c r="Q16" s="2">
        <v>1</v>
      </c>
      <c r="R16" s="2">
        <v>1</v>
      </c>
      <c r="S16" s="2">
        <v>1</v>
      </c>
      <c r="T16" s="2">
        <v>1</v>
      </c>
      <c r="U16" s="2">
        <v>1</v>
      </c>
      <c r="V16" s="12">
        <v>1</v>
      </c>
    </row>
    <row r="17" spans="1:22" x14ac:dyDescent="0.25">
      <c r="A17" s="13">
        <v>1.4000000000000005E-2</v>
      </c>
      <c r="B17" s="12">
        <v>0</v>
      </c>
      <c r="C17" s="2">
        <v>0.22988208291840001</v>
      </c>
      <c r="D17" s="2">
        <v>0.44157186293760003</v>
      </c>
      <c r="E17" s="2">
        <v>0.62096373596160004</v>
      </c>
      <c r="F17" s="2">
        <v>0.76059839447040001</v>
      </c>
      <c r="G17" s="2">
        <v>0.86022088703999999</v>
      </c>
      <c r="H17" s="2">
        <v>0.92508768583680001</v>
      </c>
      <c r="I17" s="2">
        <v>0.9634814533631999</v>
      </c>
      <c r="J17" s="2">
        <v>0.98396957982720001</v>
      </c>
      <c r="K17" s="2">
        <v>0.99375971450879996</v>
      </c>
      <c r="L17" s="2">
        <v>0.99788187647999993</v>
      </c>
      <c r="M17" s="2">
        <v>0.9993933358694399</v>
      </c>
      <c r="N17" s="2">
        <v>0.99985840029696005</v>
      </c>
      <c r="O17" s="2">
        <v>0.99997584080895996</v>
      </c>
      <c r="P17" s="2">
        <v>0.99999731564544003</v>
      </c>
      <c r="Q17" s="2">
        <v>1</v>
      </c>
      <c r="R17" s="2">
        <v>1</v>
      </c>
      <c r="S17" s="2">
        <v>1</v>
      </c>
      <c r="T17" s="2">
        <v>1</v>
      </c>
      <c r="U17" s="2">
        <v>1</v>
      </c>
      <c r="V17" s="12">
        <v>1</v>
      </c>
    </row>
    <row r="18" spans="1:22" x14ac:dyDescent="0.25">
      <c r="A18" s="13">
        <v>1.5000000000000006E-2</v>
      </c>
      <c r="B18" s="12">
        <v>0</v>
      </c>
      <c r="C18" s="2">
        <v>0.22260516175872003</v>
      </c>
      <c r="D18" s="2">
        <v>0.42865270013952</v>
      </c>
      <c r="E18" s="2">
        <v>0.60506085015552002</v>
      </c>
      <c r="F18" s="2">
        <v>0.74459352809472001</v>
      </c>
      <c r="G18" s="2">
        <v>0.84631860953088001</v>
      </c>
      <c r="H18" s="2">
        <v>0.91449847332863998</v>
      </c>
      <c r="I18" s="2">
        <v>0.95631919693823997</v>
      </c>
      <c r="J18" s="2">
        <v>0.97969038311423995</v>
      </c>
      <c r="K18" s="2">
        <v>0.99149252542464006</v>
      </c>
      <c r="L18" s="2">
        <v>0.99683759544729589</v>
      </c>
      <c r="M18" s="2">
        <v>0.99897477788467193</v>
      </c>
      <c r="N18" s="2">
        <v>0.99971935073075202</v>
      </c>
      <c r="O18" s="2">
        <v>0.99993745453875194</v>
      </c>
      <c r="P18" s="2">
        <v>0.99998979945267197</v>
      </c>
      <c r="Q18" s="2">
        <v>0.99999892625817599</v>
      </c>
      <c r="R18" s="2">
        <v>1</v>
      </c>
      <c r="S18" s="2">
        <v>1</v>
      </c>
      <c r="T18" s="2">
        <v>1</v>
      </c>
      <c r="U18" s="2">
        <v>1</v>
      </c>
      <c r="V18" s="12">
        <v>1</v>
      </c>
    </row>
    <row r="19" spans="1:22" x14ac:dyDescent="0.25">
      <c r="A19" s="13">
        <v>1.6000000000000007E-2</v>
      </c>
      <c r="B19" s="12">
        <v>0</v>
      </c>
      <c r="C19" s="2">
        <v>0.215982112407552</v>
      </c>
      <c r="D19" s="2">
        <v>0.41679694479360002</v>
      </c>
      <c r="E19" s="2">
        <v>0.59031066132480003</v>
      </c>
      <c r="F19" s="2">
        <v>0.72947048949350402</v>
      </c>
      <c r="G19" s="2">
        <v>0.83290052247552004</v>
      </c>
      <c r="H19" s="2">
        <v>0.90395481725337601</v>
      </c>
      <c r="I19" s="2">
        <v>0.94893938196479999</v>
      </c>
      <c r="J19" s="2">
        <v>0.97506276556799998</v>
      </c>
      <c r="K19" s="2">
        <v>0.98890969650954241</v>
      </c>
      <c r="L19" s="2">
        <v>0.99555444041318397</v>
      </c>
      <c r="M19" s="2">
        <v>0.99841773404815359</v>
      </c>
      <c r="N19" s="2">
        <v>0.99950876311551995</v>
      </c>
      <c r="O19" s="2">
        <v>0.99987115098112</v>
      </c>
      <c r="P19" s="2">
        <v>0.9999725122093055</v>
      </c>
      <c r="Q19" s="2">
        <v>0.99999570503270407</v>
      </c>
      <c r="R19" s="2">
        <v>0.99999957050327049</v>
      </c>
      <c r="S19" s="2">
        <v>1</v>
      </c>
      <c r="T19" s="2">
        <v>1</v>
      </c>
      <c r="U19" s="2">
        <v>1</v>
      </c>
      <c r="V19" s="12">
        <v>1</v>
      </c>
    </row>
    <row r="20" spans="1:22" x14ac:dyDescent="0.25">
      <c r="A20" s="13">
        <v>1.7000000000000008E-2</v>
      </c>
      <c r="B20" s="12">
        <v>0</v>
      </c>
      <c r="C20" s="2">
        <v>0.2099152003989504</v>
      </c>
      <c r="D20" s="2">
        <v>0.40587649845166079</v>
      </c>
      <c r="E20" s="2">
        <v>0.5765691059798016</v>
      </c>
      <c r="F20" s="2">
        <v>0.71517857141882879</v>
      </c>
      <c r="G20" s="2">
        <v>0.81995022719385602</v>
      </c>
      <c r="H20" s="2">
        <v>0.89352692522680321</v>
      </c>
      <c r="I20" s="2">
        <v>0.94139490952151039</v>
      </c>
      <c r="J20" s="2">
        <v>0.97015218450333696</v>
      </c>
      <c r="K20" s="2">
        <v>0.98602882169438211</v>
      </c>
      <c r="L20" s="2">
        <v>0.99404186030571529</v>
      </c>
      <c r="M20" s="2">
        <v>0.99770882822111229</v>
      </c>
      <c r="N20" s="2">
        <v>0.99921730663481345</v>
      </c>
      <c r="O20" s="2">
        <v>0.9997667403261542</v>
      </c>
      <c r="P20" s="2">
        <v>0.99994124484739078</v>
      </c>
      <c r="Q20" s="2">
        <v>0.99998797409157125</v>
      </c>
      <c r="R20" s="2">
        <v>0.99999819611373564</v>
      </c>
      <c r="S20" s="2">
        <v>0.99999982820130817</v>
      </c>
      <c r="T20" s="2">
        <v>1</v>
      </c>
      <c r="U20" s="2">
        <v>1</v>
      </c>
      <c r="V20" s="12">
        <v>1</v>
      </c>
    </row>
    <row r="21" spans="1:22" x14ac:dyDescent="0.25">
      <c r="A21" s="13">
        <v>1.8000000000000009E-2</v>
      </c>
      <c r="B21" s="12">
        <v>0</v>
      </c>
      <c r="C21" s="2">
        <v>0.20433363946045441</v>
      </c>
      <c r="D21" s="2">
        <v>0.39576902224183297</v>
      </c>
      <c r="E21" s="2">
        <v>0.56373584914415609</v>
      </c>
      <c r="F21" s="2">
        <v>0.70164344755322883</v>
      </c>
      <c r="G21" s="2">
        <v>0.80747224409702401</v>
      </c>
      <c r="H21" s="2">
        <v>0.88324343973150721</v>
      </c>
      <c r="I21" s="2">
        <v>0.93375062579635815</v>
      </c>
      <c r="J21" s="2">
        <v>0.96499992938702439</v>
      </c>
      <c r="K21" s="2">
        <v>0.98288338226249727</v>
      </c>
      <c r="L21" s="2">
        <v>0.99230343202734073</v>
      </c>
      <c r="M21" s="2">
        <v>0.996845432420434</v>
      </c>
      <c r="N21" s="2">
        <v>0.9988336887458692</v>
      </c>
      <c r="O21" s="2">
        <v>0.99961676865811255</v>
      </c>
      <c r="P21" s="2">
        <v>0.9998901347365684</v>
      </c>
      <c r="Q21" s="2">
        <v>0.99997337120276486</v>
      </c>
      <c r="R21" s="2">
        <v>0.99999476013989896</v>
      </c>
      <c r="S21" s="2">
        <v>0.99999924408575591</v>
      </c>
      <c r="T21" s="2">
        <v>0.99999993128052334</v>
      </c>
      <c r="U21" s="2">
        <v>1</v>
      </c>
      <c r="V21" s="12">
        <v>1</v>
      </c>
    </row>
    <row r="22" spans="1:22" x14ac:dyDescent="0.25">
      <c r="A22" s="13">
        <v>1.900000000000001E-2</v>
      </c>
      <c r="B22" s="12">
        <v>0</v>
      </c>
      <c r="C22" s="2">
        <v>0.19917433678882407</v>
      </c>
      <c r="D22" s="2">
        <v>0.38638159989021081</v>
      </c>
      <c r="E22" s="2">
        <v>0.55171215774685589</v>
      </c>
      <c r="F22" s="2">
        <v>0.68881192680711778</v>
      </c>
      <c r="G22" s="2">
        <v>0.79544920373329919</v>
      </c>
      <c r="H22" s="2">
        <v>0.87313783590365435</v>
      </c>
      <c r="I22" s="2">
        <v>0.92604747280668431</v>
      </c>
      <c r="J22" s="2">
        <v>0.959653589100947</v>
      </c>
      <c r="K22" s="2">
        <v>0.97949802101824546</v>
      </c>
      <c r="L22" s="2">
        <v>0.99035221227864068</v>
      </c>
      <c r="M22" s="2">
        <v>0.99582393479337072</v>
      </c>
      <c r="N22" s="2">
        <v>0.99835161818059237</v>
      </c>
      <c r="O22" s="2">
        <v>0.99941288312459753</v>
      </c>
      <c r="P22" s="2">
        <v>0.99981408289166462</v>
      </c>
      <c r="Q22" s="2">
        <v>0.99994863219113994</v>
      </c>
      <c r="R22" s="2">
        <v>0.99998799814338812</v>
      </c>
      <c r="S22" s="2">
        <v>0.99999772538532017</v>
      </c>
      <c r="T22" s="2">
        <v>0.99999968389040705</v>
      </c>
      <c r="U22" s="2">
        <v>0.99999998167480619</v>
      </c>
      <c r="V22" s="12">
        <v>1</v>
      </c>
    </row>
    <row r="23" spans="1:22" x14ac:dyDescent="0.25">
      <c r="A23" s="13">
        <v>2.0000000000000011E-2</v>
      </c>
      <c r="B23" s="12">
        <v>0</v>
      </c>
      <c r="C23" s="2">
        <v>0.19438750731384913</v>
      </c>
      <c r="D23" s="2">
        <v>0.37763091779231417</v>
      </c>
      <c r="E23" s="2">
        <v>0.54041984222830264</v>
      </c>
      <c r="F23" s="2">
        <v>0.67662692995348561</v>
      </c>
      <c r="G23" s="2">
        <v>0.78386974583096869</v>
      </c>
      <c r="H23" s="2">
        <v>0.86322623779672425</v>
      </c>
      <c r="I23" s="2">
        <v>0.91832606456317745</v>
      </c>
      <c r="J23" s="2">
        <v>0.95414891535016133</v>
      </c>
      <c r="K23" s="2">
        <v>0.97590192475548421</v>
      </c>
      <c r="L23" s="2">
        <v>0.9881992247803747</v>
      </c>
      <c r="M23" s="2">
        <v>0.99464631914236745</v>
      </c>
      <c r="N23" s="2">
        <v>0.99776505080330569</v>
      </c>
      <c r="O23" s="2">
        <v>0.99914885705382228</v>
      </c>
      <c r="P23" s="2">
        <v>0.99970742270462787</v>
      </c>
      <c r="Q23" s="2">
        <v>0.99991055885224911</v>
      </c>
      <c r="R23" s="2">
        <v>0.99997614265926171</v>
      </c>
      <c r="S23" s="2">
        <v>0.99999461789058208</v>
      </c>
      <c r="T23" s="2">
        <v>0.999999019602132</v>
      </c>
      <c r="U23" s="2">
        <v>0.99999990226563307</v>
      </c>
      <c r="V23" s="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90735-F191-47E0-BB8B-55DBA87B9330}">
  <sheetPr codeName="Sheet8"/>
  <dimension ref="A1:V23"/>
  <sheetViews>
    <sheetView topLeftCell="A2" zoomScaleNormal="100" workbookViewId="0">
      <selection activeCell="A4" sqref="A4"/>
    </sheetView>
  </sheetViews>
  <sheetFormatPr defaultRowHeight="15" x14ac:dyDescent="0.25"/>
  <cols>
    <col min="1" max="1" width="9.140625" style="13"/>
    <col min="2" max="16384" width="9.140625" style="2"/>
  </cols>
  <sheetData>
    <row r="1" spans="1:22" x14ac:dyDescent="0.25">
      <c r="A1" s="13">
        <v>19</v>
      </c>
      <c r="B1" s="2" t="s">
        <v>18</v>
      </c>
      <c r="C1" s="2">
        <v>1E-3</v>
      </c>
      <c r="D1" s="2" t="s">
        <v>19</v>
      </c>
      <c r="E1" s="2">
        <v>0.02</v>
      </c>
      <c r="F1" s="2" t="s">
        <v>13</v>
      </c>
      <c r="H1" s="2">
        <v>0.05</v>
      </c>
      <c r="I1" s="2" t="s">
        <v>20</v>
      </c>
    </row>
    <row r="2" spans="1:22" x14ac:dyDescent="0.25">
      <c r="A2" s="13" t="s">
        <v>16</v>
      </c>
      <c r="B2" s="2">
        <v>0</v>
      </c>
      <c r="C2" s="2">
        <f>B2+$H$1</f>
        <v>0.05</v>
      </c>
      <c r="D2" s="2">
        <f t="shared" ref="D2:V3" si="0">C2+$H$1</f>
        <v>0.1</v>
      </c>
      <c r="E2" s="2">
        <f t="shared" si="0"/>
        <v>0.15000000000000002</v>
      </c>
      <c r="F2" s="2">
        <f t="shared" si="0"/>
        <v>0.2</v>
      </c>
      <c r="G2" s="2">
        <f t="shared" si="0"/>
        <v>0.25</v>
      </c>
      <c r="H2" s="2">
        <f t="shared" si="0"/>
        <v>0.3</v>
      </c>
      <c r="I2" s="2">
        <f t="shared" si="0"/>
        <v>0.35</v>
      </c>
      <c r="J2" s="2">
        <f t="shared" si="0"/>
        <v>0.39999999999999997</v>
      </c>
      <c r="K2" s="2">
        <f t="shared" si="0"/>
        <v>0.44999999999999996</v>
      </c>
      <c r="L2" s="2">
        <f t="shared" si="0"/>
        <v>0.49999999999999994</v>
      </c>
      <c r="M2" s="2">
        <f t="shared" si="0"/>
        <v>0.54999999999999993</v>
      </c>
      <c r="N2" s="2">
        <f t="shared" si="0"/>
        <v>0.6</v>
      </c>
      <c r="O2" s="2">
        <f t="shared" si="0"/>
        <v>0.65</v>
      </c>
      <c r="P2" s="2">
        <f t="shared" si="0"/>
        <v>0.70000000000000007</v>
      </c>
      <c r="Q2" s="2">
        <f t="shared" si="0"/>
        <v>0.75000000000000011</v>
      </c>
      <c r="R2" s="2">
        <f t="shared" si="0"/>
        <v>0.80000000000000016</v>
      </c>
      <c r="S2" s="2">
        <f t="shared" si="0"/>
        <v>0.8500000000000002</v>
      </c>
      <c r="T2" s="2">
        <f t="shared" si="0"/>
        <v>0.90000000000000024</v>
      </c>
      <c r="U2" s="2">
        <f t="shared" si="0"/>
        <v>0.95000000000000029</v>
      </c>
      <c r="V2" s="2">
        <f t="shared" si="0"/>
        <v>1.0000000000000002</v>
      </c>
    </row>
    <row r="3" spans="1:22" x14ac:dyDescent="0.25">
      <c r="A3" s="13">
        <v>0</v>
      </c>
      <c r="B3" s="12">
        <v>1</v>
      </c>
      <c r="C3" s="14">
        <v>0.05</v>
      </c>
      <c r="D3" s="14">
        <v>0.1</v>
      </c>
      <c r="E3" s="14">
        <v>0.15000000000000002</v>
      </c>
      <c r="F3" s="14">
        <v>0.2</v>
      </c>
      <c r="G3" s="14">
        <v>0.25</v>
      </c>
      <c r="H3" s="14">
        <v>0.3</v>
      </c>
      <c r="I3" s="14">
        <v>0.35</v>
      </c>
      <c r="J3" s="14">
        <v>0.39999999999999997</v>
      </c>
      <c r="K3" s="14">
        <v>0.44999999999999996</v>
      </c>
      <c r="L3" s="14">
        <v>0.49999999999999994</v>
      </c>
      <c r="M3" s="14">
        <v>0.54999999999999993</v>
      </c>
      <c r="N3" s="14">
        <v>0.6</v>
      </c>
      <c r="O3" s="14">
        <v>0.65</v>
      </c>
      <c r="P3" s="14">
        <v>0.70000000000000007</v>
      </c>
      <c r="Q3" s="14">
        <v>0.75000000000000011</v>
      </c>
      <c r="R3" s="14">
        <v>0.80000000000000016</v>
      </c>
      <c r="S3" s="14">
        <v>0.8500000000000002</v>
      </c>
      <c r="T3" s="14">
        <v>0.90000000000000024</v>
      </c>
      <c r="U3" s="14">
        <v>0.95000000000000029</v>
      </c>
      <c r="V3" s="14">
        <v>0</v>
      </c>
    </row>
    <row r="4" spans="1:22" x14ac:dyDescent="0.25">
      <c r="A4" s="13">
        <v>1E-3</v>
      </c>
      <c r="B4" s="12">
        <v>1</v>
      </c>
      <c r="C4" s="2">
        <v>0.44999999999999996</v>
      </c>
      <c r="D4" s="2">
        <v>0.1</v>
      </c>
      <c r="E4" s="2">
        <v>0.15000000000000002</v>
      </c>
      <c r="F4" s="2">
        <v>0.2</v>
      </c>
      <c r="G4" s="2">
        <v>0.25</v>
      </c>
      <c r="H4" s="2">
        <v>0.3</v>
      </c>
      <c r="I4" s="2">
        <v>0.35</v>
      </c>
      <c r="J4" s="2">
        <v>0.39999999999999997</v>
      </c>
      <c r="K4" s="2">
        <v>0.44999999999999996</v>
      </c>
      <c r="L4" s="2">
        <v>0.49999999999999994</v>
      </c>
      <c r="M4" s="2">
        <v>0.54999999999999993</v>
      </c>
      <c r="N4" s="2">
        <v>0.6</v>
      </c>
      <c r="O4" s="2">
        <v>0.65</v>
      </c>
      <c r="P4" s="2">
        <v>0.70000000000000007</v>
      </c>
      <c r="Q4" s="2">
        <v>0.75000000000000011</v>
      </c>
      <c r="R4" s="2">
        <v>0.80000000000000016</v>
      </c>
      <c r="S4" s="2">
        <v>0.8500000000000002</v>
      </c>
      <c r="T4" s="2">
        <v>0.90000000000000024</v>
      </c>
      <c r="U4" s="2">
        <v>0.55000000000000016</v>
      </c>
      <c r="V4" s="14">
        <v>0</v>
      </c>
    </row>
    <row r="5" spans="1:22" x14ac:dyDescent="0.25">
      <c r="A5" s="13">
        <v>2E-3</v>
      </c>
      <c r="B5" s="12">
        <v>1</v>
      </c>
      <c r="C5" s="2">
        <v>0.53</v>
      </c>
      <c r="D5" s="2">
        <v>0.25999999999999995</v>
      </c>
      <c r="E5" s="2">
        <v>0.15000000000000002</v>
      </c>
      <c r="F5" s="2">
        <v>0.2</v>
      </c>
      <c r="G5" s="2">
        <v>0.25</v>
      </c>
      <c r="H5" s="2">
        <v>0.3</v>
      </c>
      <c r="I5" s="2">
        <v>0.35</v>
      </c>
      <c r="J5" s="2">
        <v>0.39999999999999997</v>
      </c>
      <c r="K5" s="2">
        <v>0.44999999999999996</v>
      </c>
      <c r="L5" s="2">
        <v>0.49999999999999994</v>
      </c>
      <c r="M5" s="2">
        <v>0.54999999999999993</v>
      </c>
      <c r="N5" s="2">
        <v>0.6</v>
      </c>
      <c r="O5" s="2">
        <v>0.65</v>
      </c>
      <c r="P5" s="2">
        <v>0.70000000000000007</v>
      </c>
      <c r="Q5" s="2">
        <v>0.75000000000000011</v>
      </c>
      <c r="R5" s="2">
        <v>0.80000000000000016</v>
      </c>
      <c r="S5" s="2">
        <v>0.8500000000000002</v>
      </c>
      <c r="T5" s="2">
        <v>0.74000000000000021</v>
      </c>
      <c r="U5" s="2">
        <v>0.47000000000000014</v>
      </c>
      <c r="V5" s="14">
        <v>0</v>
      </c>
    </row>
    <row r="6" spans="1:22" x14ac:dyDescent="0.25">
      <c r="A6" s="13">
        <v>3.0000000000000001E-3</v>
      </c>
      <c r="B6" s="12">
        <v>1</v>
      </c>
      <c r="C6" s="2">
        <v>0.61</v>
      </c>
      <c r="D6" s="2">
        <v>0.32400000000000001</v>
      </c>
      <c r="E6" s="2">
        <v>0.21399999999999997</v>
      </c>
      <c r="F6" s="2">
        <v>0.2</v>
      </c>
      <c r="G6" s="2">
        <v>0.25</v>
      </c>
      <c r="H6" s="2">
        <v>0.3</v>
      </c>
      <c r="I6" s="2">
        <v>0.35</v>
      </c>
      <c r="J6" s="2">
        <v>0.39999999999999997</v>
      </c>
      <c r="K6" s="2">
        <v>0.44999999999999996</v>
      </c>
      <c r="L6" s="2">
        <v>0.49999999999999994</v>
      </c>
      <c r="M6" s="2">
        <v>0.54999999999999993</v>
      </c>
      <c r="N6" s="2">
        <v>0.6</v>
      </c>
      <c r="O6" s="2">
        <v>0.65</v>
      </c>
      <c r="P6" s="2">
        <v>0.70000000000000007</v>
      </c>
      <c r="Q6" s="2">
        <v>0.75000000000000011</v>
      </c>
      <c r="R6" s="2">
        <v>0.80000000000000016</v>
      </c>
      <c r="S6" s="2">
        <v>0.78600000000000025</v>
      </c>
      <c r="T6" s="2">
        <v>0.67600000000000016</v>
      </c>
      <c r="U6" s="2">
        <v>0.39000000000000012</v>
      </c>
      <c r="V6" s="14">
        <v>0</v>
      </c>
    </row>
    <row r="7" spans="1:22" x14ac:dyDescent="0.25">
      <c r="A7" s="13">
        <v>4.0000000000000001E-3</v>
      </c>
      <c r="B7" s="12">
        <v>1</v>
      </c>
      <c r="C7" s="2">
        <v>0.65159999999999996</v>
      </c>
      <c r="D7" s="2">
        <v>0.39439999999999997</v>
      </c>
      <c r="E7" s="2">
        <v>0.25240000000000001</v>
      </c>
      <c r="F7" s="2">
        <v>0.22559999999999999</v>
      </c>
      <c r="G7" s="2">
        <v>0.25</v>
      </c>
      <c r="H7" s="2">
        <v>0.3</v>
      </c>
      <c r="I7" s="2">
        <v>0.35</v>
      </c>
      <c r="J7" s="2">
        <v>0.39999999999999997</v>
      </c>
      <c r="K7" s="2">
        <v>0.44999999999999996</v>
      </c>
      <c r="L7" s="2">
        <v>0.49999999999999994</v>
      </c>
      <c r="M7" s="2">
        <v>0.54999999999999993</v>
      </c>
      <c r="N7" s="2">
        <v>0.6</v>
      </c>
      <c r="O7" s="2">
        <v>0.65</v>
      </c>
      <c r="P7" s="2">
        <v>0.70000000000000007</v>
      </c>
      <c r="Q7" s="2">
        <v>0.75000000000000011</v>
      </c>
      <c r="R7" s="2">
        <v>0.7744000000000002</v>
      </c>
      <c r="S7" s="2">
        <v>0.74760000000000015</v>
      </c>
      <c r="T7" s="2">
        <v>0.60560000000000014</v>
      </c>
      <c r="U7" s="2">
        <v>0.3484000000000001</v>
      </c>
      <c r="V7" s="14">
        <v>0</v>
      </c>
    </row>
    <row r="8" spans="1:22" x14ac:dyDescent="0.25">
      <c r="A8" s="13">
        <v>5.0000000000000001E-3</v>
      </c>
      <c r="B8" s="12">
        <v>1</v>
      </c>
      <c r="C8" s="2">
        <v>0.68808000000000002</v>
      </c>
      <c r="D8" s="2">
        <v>0.44047999999999998</v>
      </c>
      <c r="E8" s="2">
        <v>0.29847999999999997</v>
      </c>
      <c r="F8" s="2">
        <v>0.24607999999999999</v>
      </c>
      <c r="G8" s="2">
        <v>0.26024000000000003</v>
      </c>
      <c r="H8" s="2">
        <v>0.3</v>
      </c>
      <c r="I8" s="2">
        <v>0.35</v>
      </c>
      <c r="J8" s="2">
        <v>0.39999999999999997</v>
      </c>
      <c r="K8" s="2">
        <v>0.44999999999999996</v>
      </c>
      <c r="L8" s="2">
        <v>0.49999999999999994</v>
      </c>
      <c r="M8" s="2">
        <v>0.54999999999999993</v>
      </c>
      <c r="N8" s="2">
        <v>0.6</v>
      </c>
      <c r="O8" s="2">
        <v>0.65</v>
      </c>
      <c r="P8" s="2">
        <v>0.70000000000000007</v>
      </c>
      <c r="Q8" s="2">
        <v>0.73976000000000008</v>
      </c>
      <c r="R8" s="2">
        <v>0.75392000000000015</v>
      </c>
      <c r="S8" s="2">
        <v>0.70152000000000014</v>
      </c>
      <c r="T8" s="2">
        <v>0.55952000000000013</v>
      </c>
      <c r="U8" s="2">
        <v>0.31192000000000009</v>
      </c>
      <c r="V8" s="14">
        <v>0</v>
      </c>
    </row>
    <row r="9" spans="1:22" x14ac:dyDescent="0.25">
      <c r="A9" s="13">
        <v>6.0000000000000001E-3</v>
      </c>
      <c r="B9" s="12">
        <v>1</v>
      </c>
      <c r="C9" s="2">
        <v>0.713808</v>
      </c>
      <c r="D9" s="2">
        <v>0.48271999999999998</v>
      </c>
      <c r="E9" s="2">
        <v>0.33432000000000001</v>
      </c>
      <c r="F9" s="2">
        <v>0.272704</v>
      </c>
      <c r="G9" s="2">
        <v>0.27048</v>
      </c>
      <c r="H9" s="2">
        <v>0.30409599999999998</v>
      </c>
      <c r="I9" s="2">
        <v>0.35</v>
      </c>
      <c r="J9" s="2">
        <v>0.39999999999999997</v>
      </c>
      <c r="K9" s="2">
        <v>0.44999999999999996</v>
      </c>
      <c r="L9" s="2">
        <v>0.49999999999999994</v>
      </c>
      <c r="M9" s="2">
        <v>0.54999999999999993</v>
      </c>
      <c r="N9" s="2">
        <v>0.6</v>
      </c>
      <c r="O9" s="2">
        <v>0.65</v>
      </c>
      <c r="P9" s="2">
        <v>0.69590400000000008</v>
      </c>
      <c r="Q9" s="2">
        <v>0.72952000000000006</v>
      </c>
      <c r="R9" s="2">
        <v>0.72729600000000016</v>
      </c>
      <c r="S9" s="2">
        <v>0.66568000000000016</v>
      </c>
      <c r="T9" s="2">
        <v>0.51728000000000007</v>
      </c>
      <c r="U9" s="2">
        <v>0.28619200000000006</v>
      </c>
      <c r="V9" s="14">
        <v>0</v>
      </c>
    </row>
    <row r="10" spans="1:22" x14ac:dyDescent="0.25">
      <c r="A10" s="13">
        <v>7.0000000000000001E-3</v>
      </c>
      <c r="B10" s="12">
        <v>1</v>
      </c>
      <c r="C10" s="2">
        <v>0.73584959999999999</v>
      </c>
      <c r="D10" s="2">
        <v>0.51579520000000001</v>
      </c>
      <c r="E10" s="2">
        <v>0.36903360000000002</v>
      </c>
      <c r="F10" s="2">
        <v>0.29646080000000002</v>
      </c>
      <c r="G10" s="2">
        <v>0.28481600000000001</v>
      </c>
      <c r="H10" s="2">
        <v>0.30901119999999999</v>
      </c>
      <c r="I10" s="2">
        <v>0.35163839999999996</v>
      </c>
      <c r="J10" s="2">
        <v>0.39999999999999997</v>
      </c>
      <c r="K10" s="2">
        <v>0.44999999999999996</v>
      </c>
      <c r="L10" s="2">
        <v>0.49999999999999994</v>
      </c>
      <c r="M10" s="2">
        <v>0.54999999999999993</v>
      </c>
      <c r="N10" s="2">
        <v>0.6</v>
      </c>
      <c r="O10" s="2">
        <v>0.64836159999999998</v>
      </c>
      <c r="P10" s="2">
        <v>0.69098880000000007</v>
      </c>
      <c r="Q10" s="2">
        <v>0.71518400000000015</v>
      </c>
      <c r="R10" s="2">
        <v>0.70353920000000014</v>
      </c>
      <c r="S10" s="2">
        <v>0.63096640000000015</v>
      </c>
      <c r="T10" s="2">
        <v>0.4842048000000001</v>
      </c>
      <c r="U10" s="2">
        <v>0.26415040000000006</v>
      </c>
      <c r="V10" s="14">
        <v>0</v>
      </c>
    </row>
    <row r="11" spans="1:22" x14ac:dyDescent="0.25">
      <c r="A11" s="13">
        <v>8.0000000000000002E-3</v>
      </c>
      <c r="B11" s="12">
        <v>1</v>
      </c>
      <c r="C11" s="2">
        <v>0.75348800000000005</v>
      </c>
      <c r="D11" s="2">
        <v>0.54511231999999998</v>
      </c>
      <c r="E11" s="2">
        <v>0.39870912000000003</v>
      </c>
      <c r="F11" s="2">
        <v>0.32083200000000001</v>
      </c>
      <c r="G11" s="2">
        <v>0.29915200000000003</v>
      </c>
      <c r="H11" s="2">
        <v>0.316384</v>
      </c>
      <c r="I11" s="2">
        <v>0.35393216</v>
      </c>
      <c r="J11" s="2">
        <v>0.40065535999999996</v>
      </c>
      <c r="K11" s="2">
        <v>0.44999999999999996</v>
      </c>
      <c r="L11" s="2">
        <v>0.49999999999999994</v>
      </c>
      <c r="M11" s="2">
        <v>0.54999999999999993</v>
      </c>
      <c r="N11" s="2">
        <v>0.59934463999999998</v>
      </c>
      <c r="O11" s="2">
        <v>0.64606784000000006</v>
      </c>
      <c r="P11" s="2">
        <v>0.68361600000000011</v>
      </c>
      <c r="Q11" s="2">
        <v>0.70084800000000014</v>
      </c>
      <c r="R11" s="2">
        <v>0.6791680000000001</v>
      </c>
      <c r="S11" s="2">
        <v>0.60129088000000008</v>
      </c>
      <c r="T11" s="2">
        <v>0.45488768000000013</v>
      </c>
      <c r="U11" s="2">
        <v>0.24651200000000006</v>
      </c>
      <c r="V11" s="14">
        <v>0</v>
      </c>
    </row>
    <row r="12" spans="1:22" x14ac:dyDescent="0.25">
      <c r="A12" s="13">
        <v>9.0000000000000011E-3</v>
      </c>
      <c r="B12" s="12">
        <v>1</v>
      </c>
      <c r="C12" s="2">
        <v>0.76874252799999998</v>
      </c>
      <c r="D12" s="2">
        <v>0.56990131200000005</v>
      </c>
      <c r="E12" s="2">
        <v>0.42611955200000001</v>
      </c>
      <c r="F12" s="2">
        <v>0.343310848</v>
      </c>
      <c r="G12" s="2">
        <v>0.31471680000000002</v>
      </c>
      <c r="H12" s="2">
        <v>0.324510464</v>
      </c>
      <c r="I12" s="2">
        <v>0.35760217599999999</v>
      </c>
      <c r="J12" s="2">
        <v>0.40170393599999998</v>
      </c>
      <c r="K12" s="2">
        <v>0.45026214399999998</v>
      </c>
      <c r="L12" s="2">
        <v>0.49999999999999994</v>
      </c>
      <c r="M12" s="2">
        <v>0.54973785600000002</v>
      </c>
      <c r="N12" s="2">
        <v>0.59829606400000002</v>
      </c>
      <c r="O12" s="2">
        <v>0.64239782400000001</v>
      </c>
      <c r="P12" s="2">
        <v>0.67548953600000006</v>
      </c>
      <c r="Q12" s="2">
        <v>0.68528320000000009</v>
      </c>
      <c r="R12" s="2">
        <v>0.65668915200000011</v>
      </c>
      <c r="S12" s="2">
        <v>0.57388044800000015</v>
      </c>
      <c r="T12" s="2">
        <v>0.43009868800000006</v>
      </c>
      <c r="U12" s="2">
        <v>0.23125747200000007</v>
      </c>
      <c r="V12" s="14">
        <v>0</v>
      </c>
    </row>
    <row r="13" spans="1:22" x14ac:dyDescent="0.25">
      <c r="A13" s="13">
        <v>1.0000000000000002E-2</v>
      </c>
      <c r="B13" s="12">
        <v>1</v>
      </c>
      <c r="C13" s="2">
        <v>0.78170903040000006</v>
      </c>
      <c r="D13" s="2">
        <v>0.59192509439999996</v>
      </c>
      <c r="E13" s="2">
        <v>0.45050877440000003</v>
      </c>
      <c r="F13" s="2">
        <v>0.36499671040000004</v>
      </c>
      <c r="G13" s="2">
        <v>0.33007188479999999</v>
      </c>
      <c r="H13" s="2">
        <v>0.3338296832</v>
      </c>
      <c r="I13" s="2">
        <v>0.36200619519999999</v>
      </c>
      <c r="J13" s="2">
        <v>0.40348651520000001</v>
      </c>
      <c r="K13" s="2">
        <v>0.45073400319999996</v>
      </c>
      <c r="L13" s="2">
        <v>0.5</v>
      </c>
      <c r="M13" s="2">
        <v>0.54926599679999999</v>
      </c>
      <c r="N13" s="2">
        <v>0.59651348479999999</v>
      </c>
      <c r="O13" s="2">
        <v>0.63799380480000001</v>
      </c>
      <c r="P13" s="2">
        <v>0.66617031680000005</v>
      </c>
      <c r="Q13" s="2">
        <v>0.66992811520000006</v>
      </c>
      <c r="R13" s="2">
        <v>0.63500328960000008</v>
      </c>
      <c r="S13" s="2">
        <v>0.54949122560000008</v>
      </c>
      <c r="T13" s="2">
        <v>0.40807490560000009</v>
      </c>
      <c r="U13" s="2">
        <v>0.21829096960000005</v>
      </c>
      <c r="V13" s="14">
        <v>0</v>
      </c>
    </row>
    <row r="14" spans="1:22" x14ac:dyDescent="0.25">
      <c r="A14" s="13">
        <v>1.1000000000000003E-2</v>
      </c>
      <c r="B14" s="12">
        <v>1</v>
      </c>
      <c r="C14" s="2">
        <v>0.79311184384</v>
      </c>
      <c r="D14" s="2">
        <v>0.61127214080000003</v>
      </c>
      <c r="E14" s="2">
        <v>0.47287047679999999</v>
      </c>
      <c r="F14" s="2">
        <v>0.38523160576000004</v>
      </c>
      <c r="G14" s="2">
        <v>0.3455449344</v>
      </c>
      <c r="H14" s="2">
        <v>0.34359716864000001</v>
      </c>
      <c r="I14" s="2">
        <v>0.3673277184</v>
      </c>
      <c r="J14" s="2">
        <v>0.40579338239999996</v>
      </c>
      <c r="K14" s="2">
        <v>0.45154140671999998</v>
      </c>
      <c r="L14" s="2">
        <v>0.5</v>
      </c>
      <c r="M14" s="2">
        <v>0.54845859328000002</v>
      </c>
      <c r="N14" s="2">
        <v>0.59420661760000004</v>
      </c>
      <c r="O14" s="2">
        <v>0.6326722816</v>
      </c>
      <c r="P14" s="2">
        <v>0.65640283135999999</v>
      </c>
      <c r="Q14" s="2">
        <v>0.65445506560000011</v>
      </c>
      <c r="R14" s="2">
        <v>0.61476839424000007</v>
      </c>
      <c r="S14" s="2">
        <v>0.52712952320000006</v>
      </c>
      <c r="T14" s="2">
        <v>0.38872785920000008</v>
      </c>
      <c r="U14" s="2">
        <v>0.20688815616000006</v>
      </c>
      <c r="V14" s="14">
        <v>0</v>
      </c>
    </row>
    <row r="15" spans="1:22" x14ac:dyDescent="0.25">
      <c r="A15" s="13">
        <v>1.2000000000000004E-2</v>
      </c>
      <c r="B15" s="12">
        <v>1</v>
      </c>
      <c r="C15" s="2">
        <v>0.80313122508800006</v>
      </c>
      <c r="D15" s="2">
        <v>0.628647356416</v>
      </c>
      <c r="E15" s="2">
        <v>0.49317559398400002</v>
      </c>
      <c r="F15" s="2">
        <v>0.404412485632</v>
      </c>
      <c r="G15" s="2">
        <v>0.36064049664000003</v>
      </c>
      <c r="H15" s="2">
        <v>0.35386849484799998</v>
      </c>
      <c r="I15" s="2">
        <v>0.373221764096</v>
      </c>
      <c r="J15" s="2">
        <v>0.40870632652799999</v>
      </c>
      <c r="K15" s="2">
        <v>0.45262563430399999</v>
      </c>
      <c r="L15" s="2">
        <v>0.5</v>
      </c>
      <c r="M15" s="2">
        <v>0.54737436569600006</v>
      </c>
      <c r="N15" s="2">
        <v>0.59129367347200001</v>
      </c>
      <c r="O15" s="2">
        <v>0.62677823590400006</v>
      </c>
      <c r="P15" s="2">
        <v>0.64613150515200002</v>
      </c>
      <c r="Q15" s="2">
        <v>0.63935950336000003</v>
      </c>
      <c r="R15" s="2">
        <v>0.59558751436800006</v>
      </c>
      <c r="S15" s="2">
        <v>0.5068244060160001</v>
      </c>
      <c r="T15" s="2">
        <v>0.37135264358400005</v>
      </c>
      <c r="U15" s="2">
        <v>0.19686877491200006</v>
      </c>
      <c r="V15" s="14">
        <v>0</v>
      </c>
    </row>
    <row r="16" spans="1:22" x14ac:dyDescent="0.25">
      <c r="A16" s="13">
        <v>1.3000000000000005E-2</v>
      </c>
      <c r="B16" s="12">
        <v>1</v>
      </c>
      <c r="C16" s="2">
        <v>0.81208518758400006</v>
      </c>
      <c r="D16" s="2">
        <v>0.64425219891200003</v>
      </c>
      <c r="E16" s="2">
        <v>0.51185905561599998</v>
      </c>
      <c r="F16" s="2">
        <v>0.422408933376</v>
      </c>
      <c r="G16" s="2">
        <v>0.37544049151999997</v>
      </c>
      <c r="H16" s="2">
        <v>0.36431860326400001</v>
      </c>
      <c r="I16" s="2">
        <v>0.37967428136959996</v>
      </c>
      <c r="J16" s="2">
        <v>0.41208022466560001</v>
      </c>
      <c r="K16" s="2">
        <v>0.454007657472</v>
      </c>
      <c r="L16" s="2">
        <v>0.5</v>
      </c>
      <c r="M16" s="2">
        <v>0.545992342528</v>
      </c>
      <c r="N16" s="2">
        <v>0.5879197753344001</v>
      </c>
      <c r="O16" s="2">
        <v>0.62032571863039998</v>
      </c>
      <c r="P16" s="2">
        <v>0.63568139673599999</v>
      </c>
      <c r="Q16" s="2">
        <v>0.62455950848000008</v>
      </c>
      <c r="R16" s="2">
        <v>0.57759106662400006</v>
      </c>
      <c r="S16" s="2">
        <v>0.48814094438400008</v>
      </c>
      <c r="T16" s="2">
        <v>0.35574780108800008</v>
      </c>
      <c r="U16" s="2">
        <v>0.18791481241600003</v>
      </c>
      <c r="V16" s="14">
        <v>0</v>
      </c>
    </row>
    <row r="17" spans="1:22" x14ac:dyDescent="0.25">
      <c r="A17" s="13">
        <v>1.4000000000000005E-2</v>
      </c>
      <c r="B17" s="12">
        <v>1</v>
      </c>
      <c r="C17" s="2">
        <v>0.82011791708159998</v>
      </c>
      <c r="D17" s="2">
        <v>0.6584281370624</v>
      </c>
      <c r="E17" s="2">
        <v>0.52903626403839998</v>
      </c>
      <c r="F17" s="2">
        <v>0.4394016055296</v>
      </c>
      <c r="G17" s="2">
        <v>0.38977911296000001</v>
      </c>
      <c r="H17" s="2">
        <v>0.37490962980863995</v>
      </c>
      <c r="I17" s="2">
        <v>0.38649438744575998</v>
      </c>
      <c r="J17" s="2">
        <v>0.41588882046976</v>
      </c>
      <c r="K17" s="2">
        <v>0.45563362136064001</v>
      </c>
      <c r="L17" s="2">
        <v>0.5</v>
      </c>
      <c r="M17" s="2">
        <v>0.54436637863935999</v>
      </c>
      <c r="N17" s="2">
        <v>0.58411117953024005</v>
      </c>
      <c r="O17" s="2">
        <v>0.61350561255424008</v>
      </c>
      <c r="P17" s="2">
        <v>0.62509037019136005</v>
      </c>
      <c r="Q17" s="2">
        <v>0.61022088703999999</v>
      </c>
      <c r="R17" s="2">
        <v>0.56059839447040005</v>
      </c>
      <c r="S17" s="2">
        <v>0.47096373596160007</v>
      </c>
      <c r="T17" s="2">
        <v>0.34157186293760006</v>
      </c>
      <c r="U17" s="2">
        <v>0.17988208291840005</v>
      </c>
      <c r="V17" s="14">
        <v>0</v>
      </c>
    </row>
    <row r="18" spans="1:22" x14ac:dyDescent="0.25">
      <c r="A18" s="13">
        <v>1.5000000000000006E-2</v>
      </c>
      <c r="B18" s="12">
        <v>1</v>
      </c>
      <c r="C18" s="2">
        <v>0.82739483824128002</v>
      </c>
      <c r="D18" s="2">
        <v>0.67134729986048003</v>
      </c>
      <c r="E18" s="2">
        <v>0.54493914984448</v>
      </c>
      <c r="F18" s="2">
        <v>0.45540647190528</v>
      </c>
      <c r="G18" s="2">
        <v>0.40368031672729598</v>
      </c>
      <c r="H18" s="2">
        <v>0.38549132612403197</v>
      </c>
      <c r="I18" s="2">
        <v>0.393618257600512</v>
      </c>
      <c r="J18" s="2">
        <v>0.42002896761651198</v>
      </c>
      <c r="K18" s="2">
        <v>0.45748225246003199</v>
      </c>
      <c r="L18" s="2">
        <v>0.5</v>
      </c>
      <c r="M18" s="2">
        <v>0.54251774753996806</v>
      </c>
      <c r="N18" s="2">
        <v>0.57997103238348802</v>
      </c>
      <c r="O18" s="2">
        <v>0.60638174239948806</v>
      </c>
      <c r="P18" s="2">
        <v>0.61450867387596808</v>
      </c>
      <c r="Q18" s="2">
        <v>0.59631968327270402</v>
      </c>
      <c r="R18" s="2">
        <v>0.54459352809472006</v>
      </c>
      <c r="S18" s="2">
        <v>0.45506085015552006</v>
      </c>
      <c r="T18" s="2">
        <v>0.32865270013952008</v>
      </c>
      <c r="U18" s="2">
        <v>0.17260516175872004</v>
      </c>
      <c r="V18" s="14">
        <v>0</v>
      </c>
    </row>
    <row r="19" spans="1:22" x14ac:dyDescent="0.25">
      <c r="A19" s="13">
        <v>1.6000000000000007E-2</v>
      </c>
      <c r="B19" s="12">
        <v>1</v>
      </c>
      <c r="C19" s="2">
        <v>0.83401788759244799</v>
      </c>
      <c r="D19" s="2">
        <v>0.68320305520640001</v>
      </c>
      <c r="E19" s="2">
        <v>0.55968933867519999</v>
      </c>
      <c r="F19" s="2">
        <v>0.47052908100976637</v>
      </c>
      <c r="G19" s="2">
        <v>0.41709518255718397</v>
      </c>
      <c r="H19" s="2">
        <v>0.39601769495592959</v>
      </c>
      <c r="I19" s="2">
        <v>0.40093176901631999</v>
      </c>
      <c r="J19" s="2">
        <v>0.42444599754751999</v>
      </c>
      <c r="K19" s="2">
        <v>0.45950803753861119</v>
      </c>
      <c r="L19" s="2">
        <v>0.5</v>
      </c>
      <c r="M19" s="2">
        <v>0.54049196246138886</v>
      </c>
      <c r="N19" s="2">
        <v>0.57555400245248001</v>
      </c>
      <c r="O19" s="2">
        <v>0.59906823098368001</v>
      </c>
      <c r="P19" s="2">
        <v>0.60398230504407047</v>
      </c>
      <c r="Q19" s="2">
        <v>0.58290481744281608</v>
      </c>
      <c r="R19" s="2">
        <v>0.52947091899023369</v>
      </c>
      <c r="S19" s="2">
        <v>0.44031066132480007</v>
      </c>
      <c r="T19" s="2">
        <v>0.31679694479360004</v>
      </c>
      <c r="U19" s="2">
        <v>0.16598211240755203</v>
      </c>
      <c r="V19" s="14">
        <v>0</v>
      </c>
    </row>
    <row r="20" spans="1:22" x14ac:dyDescent="0.25">
      <c r="A20" s="13">
        <v>1.7000000000000008E-2</v>
      </c>
      <c r="B20" s="12">
        <v>1</v>
      </c>
      <c r="C20" s="2">
        <v>0.84008479960104965</v>
      </c>
      <c r="D20" s="2">
        <v>0.69412350154833924</v>
      </c>
      <c r="E20" s="2">
        <v>0.57343072222150659</v>
      </c>
      <c r="F20" s="2">
        <v>0.48481962469490686</v>
      </c>
      <c r="G20" s="2">
        <v>0.43003774689771518</v>
      </c>
      <c r="H20" s="2">
        <v>0.40641431962058749</v>
      </c>
      <c r="I20" s="2">
        <v>0.40837183080464384</v>
      </c>
      <c r="J20" s="2">
        <v>0.42906512213147646</v>
      </c>
      <c r="K20" s="2">
        <v>0.46168000652673025</v>
      </c>
      <c r="L20" s="2">
        <v>0.5</v>
      </c>
      <c r="M20" s="2">
        <v>0.53831999347326975</v>
      </c>
      <c r="N20" s="2">
        <v>0.57093487786852359</v>
      </c>
      <c r="O20" s="2">
        <v>0.59162816919535621</v>
      </c>
      <c r="P20" s="2">
        <v>0.59358568037941251</v>
      </c>
      <c r="Q20" s="2">
        <v>0.56996225310228488</v>
      </c>
      <c r="R20" s="2">
        <v>0.5151803753050932</v>
      </c>
      <c r="S20" s="2">
        <v>0.42656927777849352</v>
      </c>
      <c r="T20" s="2">
        <v>0.30587649845166087</v>
      </c>
      <c r="U20" s="2">
        <v>0.15991520039895044</v>
      </c>
      <c r="V20" s="14">
        <v>0</v>
      </c>
    </row>
    <row r="21" spans="1:22" x14ac:dyDescent="0.25">
      <c r="A21" s="13">
        <v>1.8000000000000009E-2</v>
      </c>
      <c r="B21" s="12">
        <v>1</v>
      </c>
      <c r="C21" s="2">
        <v>0.84566636053954558</v>
      </c>
      <c r="D21" s="2">
        <v>0.70423090903869034</v>
      </c>
      <c r="E21" s="2">
        <v>0.58626339494159974</v>
      </c>
      <c r="F21" s="2">
        <v>0.49835131258667009</v>
      </c>
      <c r="G21" s="2">
        <v>0.4425011271057408</v>
      </c>
      <c r="H21" s="2">
        <v>0.41664669500506113</v>
      </c>
      <c r="I21" s="2">
        <v>0.41586614286175433</v>
      </c>
      <c r="J21" s="2">
        <v>0.43383375935884494</v>
      </c>
      <c r="K21" s="2">
        <v>0.46396205015793662</v>
      </c>
      <c r="L21" s="2">
        <v>0.5</v>
      </c>
      <c r="M21" s="2">
        <v>0.53603794984206343</v>
      </c>
      <c r="N21" s="2">
        <v>0.56616624064115506</v>
      </c>
      <c r="O21" s="2">
        <v>0.58413385713824573</v>
      </c>
      <c r="P21" s="2">
        <v>0.58335330499493898</v>
      </c>
      <c r="Q21" s="2">
        <v>0.55749887289425926</v>
      </c>
      <c r="R21" s="2">
        <v>0.50164868741333002</v>
      </c>
      <c r="S21" s="2">
        <v>0.41373660505840032</v>
      </c>
      <c r="T21" s="2">
        <v>0.29576909096130977</v>
      </c>
      <c r="U21" s="2">
        <v>0.15433363946045445</v>
      </c>
      <c r="V21" s="14">
        <v>0</v>
      </c>
    </row>
    <row r="22" spans="1:22" x14ac:dyDescent="0.25">
      <c r="A22" s="13">
        <v>1.900000000000001E-2</v>
      </c>
      <c r="B22" s="12">
        <v>1</v>
      </c>
      <c r="C22" s="2">
        <v>0.85082563572338521</v>
      </c>
      <c r="D22" s="2">
        <v>0.71361808400019622</v>
      </c>
      <c r="E22" s="2">
        <v>0.59828556763846408</v>
      </c>
      <c r="F22" s="2">
        <v>0.51117607133627019</v>
      </c>
      <c r="G22" s="2">
        <v>0.45449942845784064</v>
      </c>
      <c r="H22" s="2">
        <v>0.42667624698801027</v>
      </c>
      <c r="I22" s="2">
        <v>0.4233654103179133</v>
      </c>
      <c r="J22" s="2">
        <v>0.43869802907964539</v>
      </c>
      <c r="K22" s="2">
        <v>0.46632591377512528</v>
      </c>
      <c r="L22" s="2">
        <v>0.5</v>
      </c>
      <c r="M22" s="2">
        <v>0.53367408622487467</v>
      </c>
      <c r="N22" s="2">
        <v>0.56130197092035472</v>
      </c>
      <c r="O22" s="2">
        <v>0.57663458968208681</v>
      </c>
      <c r="P22" s="2">
        <v>0.57332375301198979</v>
      </c>
      <c r="Q22" s="2">
        <v>0.54550057154215947</v>
      </c>
      <c r="R22" s="2">
        <v>0.48882392866372981</v>
      </c>
      <c r="S22" s="2">
        <v>0.40171443236153598</v>
      </c>
      <c r="T22" s="2">
        <v>0.28638191599980384</v>
      </c>
      <c r="U22" s="2">
        <v>0.14917436427661479</v>
      </c>
      <c r="V22" s="14">
        <v>0</v>
      </c>
    </row>
    <row r="23" spans="1:22" x14ac:dyDescent="0.25">
      <c r="A23" s="13">
        <v>2.0000000000000011E-2</v>
      </c>
      <c r="B23" s="12">
        <v>1</v>
      </c>
      <c r="C23" s="2">
        <v>0.85561236074475555</v>
      </c>
      <c r="D23" s="2">
        <v>0.72236809814477898</v>
      </c>
      <c r="E23" s="2">
        <v>0.60957477566227936</v>
      </c>
      <c r="F23" s="2">
        <v>0.52334921270577595</v>
      </c>
      <c r="G23" s="2">
        <v>0.46604081302128031</v>
      </c>
      <c r="H23" s="2">
        <v>0.43648118490790361</v>
      </c>
      <c r="I23" s="2">
        <v>0.43082279249064492</v>
      </c>
      <c r="J23" s="2">
        <v>0.44361613545314449</v>
      </c>
      <c r="K23" s="2">
        <v>0.4687443943868832</v>
      </c>
      <c r="L23" s="2">
        <v>0.49999999999999994</v>
      </c>
      <c r="M23" s="2">
        <v>0.5312556056131168</v>
      </c>
      <c r="N23" s="2">
        <v>0.55638386454685551</v>
      </c>
      <c r="O23" s="2">
        <v>0.56917720750935519</v>
      </c>
      <c r="P23" s="2">
        <v>0.56351881509209645</v>
      </c>
      <c r="Q23" s="2">
        <v>0.53395918697871969</v>
      </c>
      <c r="R23" s="2">
        <v>0.47665078729422417</v>
      </c>
      <c r="S23" s="2">
        <v>0.39042522433772064</v>
      </c>
      <c r="T23" s="2">
        <v>0.27763190185522107</v>
      </c>
      <c r="U23" s="2">
        <v>0.1443876392552445</v>
      </c>
      <c r="V23" s="14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ECA93-5BD8-43CB-960D-1535E8C85271}">
  <sheetPr codeName="Sheet9"/>
  <dimension ref="A1:V23"/>
  <sheetViews>
    <sheetView tabSelected="1" zoomScaleNormal="100" workbookViewId="0">
      <selection activeCell="A3" sqref="A3"/>
    </sheetView>
  </sheetViews>
  <sheetFormatPr defaultRowHeight="15" x14ac:dyDescent="0.25"/>
  <cols>
    <col min="1" max="1" width="9.140625" style="16"/>
    <col min="2" max="16384" width="9.140625" style="15"/>
  </cols>
  <sheetData>
    <row r="1" spans="1:22" x14ac:dyDescent="0.25">
      <c r="A1" s="16">
        <v>19</v>
      </c>
      <c r="B1" s="15" t="s">
        <v>18</v>
      </c>
      <c r="C1" s="15">
        <v>1E-3</v>
      </c>
      <c r="D1" s="15" t="s">
        <v>19</v>
      </c>
      <c r="E1" s="15">
        <v>0.02</v>
      </c>
      <c r="F1" s="15" t="s">
        <v>13</v>
      </c>
      <c r="H1" s="15">
        <v>0.05</v>
      </c>
      <c r="I1" s="15" t="s">
        <v>20</v>
      </c>
    </row>
    <row r="2" spans="1:22" x14ac:dyDescent="0.25">
      <c r="A2" s="16" t="s">
        <v>16</v>
      </c>
      <c r="B2" s="15">
        <v>0</v>
      </c>
      <c r="C2" s="15">
        <f>B2+$H$1</f>
        <v>0.05</v>
      </c>
      <c r="D2" s="15">
        <f t="shared" ref="D2:V2" si="0">C2+$H$1</f>
        <v>0.1</v>
      </c>
      <c r="E2" s="15">
        <f t="shared" si="0"/>
        <v>0.15000000000000002</v>
      </c>
      <c r="F2" s="15">
        <f t="shared" si="0"/>
        <v>0.2</v>
      </c>
      <c r="G2" s="15">
        <f t="shared" si="0"/>
        <v>0.25</v>
      </c>
      <c r="H2" s="15">
        <f t="shared" si="0"/>
        <v>0.3</v>
      </c>
      <c r="I2" s="15">
        <f t="shared" si="0"/>
        <v>0.35</v>
      </c>
      <c r="J2" s="15">
        <f t="shared" si="0"/>
        <v>0.39999999999999997</v>
      </c>
      <c r="K2" s="15">
        <f t="shared" si="0"/>
        <v>0.44999999999999996</v>
      </c>
      <c r="L2" s="15">
        <f t="shared" si="0"/>
        <v>0.49999999999999994</v>
      </c>
      <c r="M2" s="15">
        <f t="shared" si="0"/>
        <v>0.54999999999999993</v>
      </c>
      <c r="N2" s="15">
        <f t="shared" si="0"/>
        <v>0.6</v>
      </c>
      <c r="O2" s="15">
        <f t="shared" si="0"/>
        <v>0.65</v>
      </c>
      <c r="P2" s="15">
        <f t="shared" si="0"/>
        <v>0.70000000000000007</v>
      </c>
      <c r="Q2" s="15">
        <f t="shared" si="0"/>
        <v>0.75000000000000011</v>
      </c>
      <c r="R2" s="15">
        <f t="shared" si="0"/>
        <v>0.80000000000000016</v>
      </c>
      <c r="S2" s="15">
        <f t="shared" si="0"/>
        <v>0.8500000000000002</v>
      </c>
      <c r="T2" s="15">
        <f t="shared" si="0"/>
        <v>0.90000000000000024</v>
      </c>
      <c r="U2" s="15">
        <f t="shared" si="0"/>
        <v>0.95000000000000029</v>
      </c>
      <c r="V2" s="15">
        <f t="shared" si="0"/>
        <v>1.0000000000000002</v>
      </c>
    </row>
    <row r="3" spans="1:22" x14ac:dyDescent="0.25">
      <c r="A3" s="16">
        <v>0</v>
      </c>
      <c r="B3" s="12">
        <v>0</v>
      </c>
      <c r="C3" s="12">
        <f>SIN(PI()*C2)</f>
        <v>0.15643446504023087</v>
      </c>
      <c r="D3" s="12">
        <f t="shared" ref="D3:U3" si="1">SIN(PI()*D2)</f>
        <v>0.3090169943749474</v>
      </c>
      <c r="E3" s="12">
        <f t="shared" si="1"/>
        <v>0.4539904997395468</v>
      </c>
      <c r="F3" s="12">
        <f t="shared" si="1"/>
        <v>0.58778525229247314</v>
      </c>
      <c r="G3" s="12">
        <f t="shared" si="1"/>
        <v>0.70710678118654746</v>
      </c>
      <c r="H3" s="12">
        <f t="shared" si="1"/>
        <v>0.80901699437494745</v>
      </c>
      <c r="I3" s="12">
        <f t="shared" si="1"/>
        <v>0.89100652418836779</v>
      </c>
      <c r="J3" s="12">
        <f t="shared" si="1"/>
        <v>0.95105651629515353</v>
      </c>
      <c r="K3" s="12">
        <f t="shared" si="1"/>
        <v>0.98768834059513766</v>
      </c>
      <c r="L3" s="12">
        <f t="shared" si="1"/>
        <v>1</v>
      </c>
      <c r="M3" s="12">
        <f t="shared" si="1"/>
        <v>0.98768834059513777</v>
      </c>
      <c r="N3" s="12">
        <f t="shared" si="1"/>
        <v>0.95105651629515364</v>
      </c>
      <c r="O3" s="12">
        <f t="shared" si="1"/>
        <v>0.8910065241883679</v>
      </c>
      <c r="P3" s="12">
        <f t="shared" si="1"/>
        <v>0.80901699437494745</v>
      </c>
      <c r="Q3" s="12">
        <f t="shared" si="1"/>
        <v>0.70710678118654724</v>
      </c>
      <c r="R3" s="12">
        <f t="shared" si="1"/>
        <v>0.5877852522924728</v>
      </c>
      <c r="S3" s="12">
        <f t="shared" si="1"/>
        <v>0.45399049973954647</v>
      </c>
      <c r="T3" s="12">
        <f t="shared" si="1"/>
        <v>0.30901699437494667</v>
      </c>
      <c r="U3" s="12">
        <f t="shared" si="1"/>
        <v>0.15643446504023012</v>
      </c>
      <c r="V3" s="12">
        <v>0</v>
      </c>
    </row>
    <row r="4" spans="1:22" x14ac:dyDescent="0.25">
      <c r="A4" s="16">
        <v>1E-3</v>
      </c>
      <c r="B4" s="12">
        <v>0</v>
      </c>
      <c r="C4" s="15">
        <v>0.15489369075802514</v>
      </c>
      <c r="D4" s="15">
        <v>0.30597338478690056</v>
      </c>
      <c r="E4" s="15">
        <v>0.44951899861487754</v>
      </c>
      <c r="F4" s="15">
        <v>0.58199596282893229</v>
      </c>
      <c r="G4" s="15">
        <v>0.70014225490427773</v>
      </c>
      <c r="H4" s="15">
        <v>0.80104872102495561</v>
      </c>
      <c r="I4" s="15">
        <v>0.88223070910571399</v>
      </c>
      <c r="J4" s="15">
        <v>0.94168924917243291</v>
      </c>
      <c r="K4" s="15">
        <v>0.9779602746370889</v>
      </c>
      <c r="L4" s="15">
        <v>0.99015067247611022</v>
      </c>
      <c r="M4" s="15">
        <v>0.97796027463708901</v>
      </c>
      <c r="N4" s="15">
        <v>0.94168924917243302</v>
      </c>
      <c r="O4" s="15">
        <v>0.88223070910571399</v>
      </c>
      <c r="P4" s="15">
        <v>0.8010487210249555</v>
      </c>
      <c r="Q4" s="15">
        <v>0.70014225490427751</v>
      </c>
      <c r="R4" s="15">
        <v>0.58199596282893207</v>
      </c>
      <c r="S4" s="15">
        <v>0.4495189986148771</v>
      </c>
      <c r="T4" s="15">
        <v>0.30597338478689995</v>
      </c>
      <c r="U4" s="15">
        <v>0.1548936907580247</v>
      </c>
      <c r="V4" s="12">
        <v>0</v>
      </c>
    </row>
    <row r="5" spans="1:22" x14ac:dyDescent="0.25">
      <c r="A5" s="16">
        <v>2E-3</v>
      </c>
      <c r="B5" s="12">
        <v>0</v>
      </c>
      <c r="C5" s="15">
        <v>0.15336809206636526</v>
      </c>
      <c r="D5" s="15">
        <v>0.30295975270654119</v>
      </c>
      <c r="E5" s="15">
        <v>0.44509153876930868</v>
      </c>
      <c r="F5" s="15">
        <v>0.57626369397344857</v>
      </c>
      <c r="G5" s="15">
        <v>0.69324632452241075</v>
      </c>
      <c r="H5" s="15">
        <v>0.79315892980898783</v>
      </c>
      <c r="I5" s="15">
        <v>0.87354132990009825</v>
      </c>
      <c r="J5" s="15">
        <v>0.93241424333160772</v>
      </c>
      <c r="K5" s="15">
        <v>0.96832802358683501</v>
      </c>
      <c r="L5" s="15">
        <v>0.9803983542048933</v>
      </c>
      <c r="M5" s="15">
        <v>0.96832802358683512</v>
      </c>
      <c r="N5" s="15">
        <v>0.93241424333160783</v>
      </c>
      <c r="O5" s="15">
        <v>0.87354132990009825</v>
      </c>
      <c r="P5" s="15">
        <v>0.79315892980898772</v>
      </c>
      <c r="Q5" s="15">
        <v>0.69324632452241053</v>
      </c>
      <c r="R5" s="15">
        <v>0.57626369397344823</v>
      </c>
      <c r="S5" s="15">
        <v>0.44509153876930824</v>
      </c>
      <c r="T5" s="15">
        <v>0.30295975270654069</v>
      </c>
      <c r="U5" s="15">
        <v>0.15336809206636492</v>
      </c>
      <c r="V5" s="12">
        <v>0</v>
      </c>
    </row>
    <row r="6" spans="1:22" x14ac:dyDescent="0.25">
      <c r="A6" s="16">
        <v>3.0000000000000001E-3</v>
      </c>
      <c r="B6" s="12">
        <v>0</v>
      </c>
      <c r="C6" s="15">
        <v>0.15185751949588952</v>
      </c>
      <c r="D6" s="15">
        <v>0.29997580287557779</v>
      </c>
      <c r="E6" s="15">
        <v>0.44070768642585761</v>
      </c>
      <c r="F6" s="15">
        <v>0.57058788411137751</v>
      </c>
      <c r="G6" s="15">
        <v>0.68641831441745671</v>
      </c>
      <c r="H6" s="15">
        <v>0.78534684773080121</v>
      </c>
      <c r="I6" s="15">
        <v>0.86493753523625783</v>
      </c>
      <c r="J6" s="15">
        <v>0.92323059006109487</v>
      </c>
      <c r="K6" s="15">
        <v>0.95879064373196743</v>
      </c>
      <c r="L6" s="15">
        <v>0.97074208971044673</v>
      </c>
      <c r="M6" s="15">
        <v>0.95879064373196743</v>
      </c>
      <c r="N6" s="15">
        <v>0.92323059006109487</v>
      </c>
      <c r="O6" s="15">
        <v>0.86493753523625783</v>
      </c>
      <c r="P6" s="15">
        <v>0.7853468477308011</v>
      </c>
      <c r="Q6" s="15">
        <v>0.68641831441745649</v>
      </c>
      <c r="R6" s="15">
        <v>0.57058788411137717</v>
      </c>
      <c r="S6" s="15">
        <v>0.44070768642585723</v>
      </c>
      <c r="T6" s="15">
        <v>0.2999758028755774</v>
      </c>
      <c r="U6" s="15">
        <v>0.15185751949588927</v>
      </c>
      <c r="V6" s="12">
        <v>0</v>
      </c>
    </row>
    <row r="7" spans="1:22" x14ac:dyDescent="0.25">
      <c r="A7" s="16">
        <v>4.0000000000000001E-3</v>
      </c>
      <c r="B7" s="12">
        <v>0</v>
      </c>
      <c r="C7" s="15">
        <v>0.15036182504940901</v>
      </c>
      <c r="D7" s="15">
        <v>0.29702124294381443</v>
      </c>
      <c r="E7" s="15">
        <v>0.43636701207995365</v>
      </c>
      <c r="F7" s="15">
        <v>0.56496797715960123</v>
      </c>
      <c r="G7" s="15">
        <v>0.67965755562036279</v>
      </c>
      <c r="H7" s="15">
        <v>0.77761170940764601</v>
      </c>
      <c r="I7" s="15">
        <v>0.85641848216400995</v>
      </c>
      <c r="J7" s="15">
        <v>0.91413738959950908</v>
      </c>
      <c r="K7" s="15">
        <v>0.9493472006550101</v>
      </c>
      <c r="L7" s="15">
        <v>0.96118093292766327</v>
      </c>
      <c r="M7" s="15">
        <v>0.9493472006550101</v>
      </c>
      <c r="N7" s="15">
        <v>0.91413738959950908</v>
      </c>
      <c r="O7" s="15">
        <v>0.85641848216400995</v>
      </c>
      <c r="P7" s="15">
        <v>0.7776117094076459</v>
      </c>
      <c r="Q7" s="15">
        <v>0.67965755562036256</v>
      </c>
      <c r="R7" s="15">
        <v>0.5649679771596009</v>
      </c>
      <c r="S7" s="15">
        <v>0.43636701207995326</v>
      </c>
      <c r="T7" s="15">
        <v>0.2970212429438141</v>
      </c>
      <c r="U7" s="15">
        <v>0.15036182504940881</v>
      </c>
      <c r="V7" s="12">
        <v>0</v>
      </c>
    </row>
    <row r="8" spans="1:22" x14ac:dyDescent="0.25">
      <c r="A8" s="16">
        <v>5.0000000000000001E-3</v>
      </c>
      <c r="B8" s="12">
        <v>0</v>
      </c>
      <c r="C8" s="15">
        <v>0.14888086218740756</v>
      </c>
      <c r="D8" s="15">
        <v>0.29409578344050796</v>
      </c>
      <c r="E8" s="15">
        <v>0.43206909045735697</v>
      </c>
      <c r="F8" s="15">
        <v>0.55940342251204678</v>
      </c>
      <c r="G8" s="15">
        <v>0.67296338575097148</v>
      </c>
      <c r="H8" s="15">
        <v>0.76995275699527832</v>
      </c>
      <c r="I8" s="15">
        <v>0.847983336035664</v>
      </c>
      <c r="J8" s="15">
        <v>0.90513375104750982</v>
      </c>
      <c r="K8" s="15">
        <v>0.93999676914187091</v>
      </c>
      <c r="L8" s="15">
        <v>0.95171394710954071</v>
      </c>
      <c r="M8" s="15">
        <v>0.93999676914187091</v>
      </c>
      <c r="N8" s="15">
        <v>0.90513375104750982</v>
      </c>
      <c r="O8" s="15">
        <v>0.847983336035664</v>
      </c>
      <c r="P8" s="15">
        <v>0.76995275699527821</v>
      </c>
      <c r="Q8" s="15">
        <v>0.67296338575097125</v>
      </c>
      <c r="R8" s="15">
        <v>0.55940342251204656</v>
      </c>
      <c r="S8" s="15">
        <v>0.43206909045735664</v>
      </c>
      <c r="T8" s="15">
        <v>0.29409578344050763</v>
      </c>
      <c r="U8" s="15">
        <v>0.1488808621874074</v>
      </c>
      <c r="V8" s="12">
        <v>0</v>
      </c>
    </row>
    <row r="9" spans="1:22" x14ac:dyDescent="0.25">
      <c r="A9" s="16">
        <v>6.0000000000000001E-3</v>
      </c>
      <c r="B9" s="12">
        <v>0</v>
      </c>
      <c r="C9" s="15">
        <v>0.14741448581368469</v>
      </c>
      <c r="D9" s="15">
        <v>0.29119913774600742</v>
      </c>
      <c r="E9" s="15">
        <v>0.42781350047249334</v>
      </c>
      <c r="F9" s="15">
        <v>0.55389367498574071</v>
      </c>
      <c r="G9" s="15">
        <v>0.66633514895312429</v>
      </c>
      <c r="H9" s="15">
        <v>0.76236924011370988</v>
      </c>
      <c r="I9" s="15">
        <v>0.83963127042424801</v>
      </c>
      <c r="J9" s="15">
        <v>0.89621879228051593</v>
      </c>
      <c r="K9" s="15">
        <v>0.93073843309119442</v>
      </c>
      <c r="L9" s="15">
        <v>0.94234020473540492</v>
      </c>
      <c r="M9" s="15">
        <v>0.93073843309119442</v>
      </c>
      <c r="N9" s="15">
        <v>0.89621879228051593</v>
      </c>
      <c r="O9" s="15">
        <v>0.83963127042424801</v>
      </c>
      <c r="P9" s="15">
        <v>0.76236924011370977</v>
      </c>
      <c r="Q9" s="15">
        <v>0.66633514895312418</v>
      </c>
      <c r="R9" s="15">
        <v>0.55389367498574049</v>
      </c>
      <c r="S9" s="15">
        <v>0.427813500472493</v>
      </c>
      <c r="T9" s="15">
        <v>0.29119913774600714</v>
      </c>
      <c r="U9" s="15">
        <v>0.14741448581368452</v>
      </c>
      <c r="V9" s="12">
        <v>0</v>
      </c>
    </row>
    <row r="10" spans="1:22" x14ac:dyDescent="0.25">
      <c r="A10" s="16">
        <v>7.0000000000000001E-3</v>
      </c>
      <c r="B10" s="12">
        <v>0</v>
      </c>
      <c r="C10" s="15">
        <v>0.14596255226113991</v>
      </c>
      <c r="D10" s="15">
        <v>0.28833102206367267</v>
      </c>
      <c r="E10" s="15">
        <v>0.42359982518719796</v>
      </c>
      <c r="F10" s="15">
        <v>0.54843819476739519</v>
      </c>
      <c r="G10" s="15">
        <v>0.65977219583040514</v>
      </c>
      <c r="H10" s="15">
        <v>0.7548604157736909</v>
      </c>
      <c r="I10" s="15">
        <v>0.83136146704253988</v>
      </c>
      <c r="J10" s="15">
        <v>0.8873916398622802</v>
      </c>
      <c r="K10" s="15">
        <v>0.9215712854246072</v>
      </c>
      <c r="L10" s="15">
        <v>0.93305878742003656</v>
      </c>
      <c r="M10" s="15">
        <v>0.9215712854246072</v>
      </c>
      <c r="N10" s="15">
        <v>0.8873916398622802</v>
      </c>
      <c r="O10" s="15">
        <v>0.83136146704253988</v>
      </c>
      <c r="P10" s="15">
        <v>0.75486041577369078</v>
      </c>
      <c r="Q10" s="15">
        <v>0.65977219583040492</v>
      </c>
      <c r="R10" s="15">
        <v>0.54843819476739497</v>
      </c>
      <c r="S10" s="15">
        <v>0.42359982518719763</v>
      </c>
      <c r="T10" s="15">
        <v>0.28833102206367245</v>
      </c>
      <c r="U10" s="15">
        <v>0.14596255226113977</v>
      </c>
      <c r="V10" s="12">
        <v>0</v>
      </c>
    </row>
    <row r="11" spans="1:22" x14ac:dyDescent="0.25">
      <c r="A11" s="16">
        <v>8.0000000000000002E-3</v>
      </c>
      <c r="B11" s="12">
        <v>0</v>
      </c>
      <c r="C11" s="15">
        <v>0.14452491927769706</v>
      </c>
      <c r="D11" s="15">
        <v>0.28549115539206971</v>
      </c>
      <c r="E11" s="15">
        <v>0.41942765176986674</v>
      </c>
      <c r="F11" s="15">
        <v>0.54303644736052026</v>
      </c>
      <c r="G11" s="15">
        <v>0.65327388338251546</v>
      </c>
      <c r="H11" s="15">
        <v>0.74742554830391617</v>
      </c>
      <c r="I11" s="15">
        <v>0.82317311566289642</v>
      </c>
      <c r="J11" s="15">
        <v>0.87865142895931492</v>
      </c>
      <c r="K11" s="15">
        <v>0.91249442799784819</v>
      </c>
      <c r="L11" s="15">
        <v>0.92386878582369303</v>
      </c>
      <c r="M11" s="15">
        <v>0.91249442799784819</v>
      </c>
      <c r="N11" s="15">
        <v>0.87865142895931492</v>
      </c>
      <c r="O11" s="15">
        <v>0.82317311566289642</v>
      </c>
      <c r="P11" s="15">
        <v>0.74742554830391605</v>
      </c>
      <c r="Q11" s="15">
        <v>0.65327388338251524</v>
      </c>
      <c r="R11" s="15">
        <v>0.54303644736052004</v>
      </c>
      <c r="S11" s="15">
        <v>0.41942765176986652</v>
      </c>
      <c r="T11" s="15">
        <v>0.28549115539206943</v>
      </c>
      <c r="U11" s="15">
        <v>0.14452491927769692</v>
      </c>
      <c r="V11" s="12">
        <v>0</v>
      </c>
    </row>
    <row r="12" spans="1:22" x14ac:dyDescent="0.25">
      <c r="A12" s="16">
        <v>9.0000000000000011E-3</v>
      </c>
      <c r="B12" s="12">
        <v>0</v>
      </c>
      <c r="C12" s="15">
        <v>0.14310144601236729</v>
      </c>
      <c r="D12" s="15">
        <v>0.28267925949743944</v>
      </c>
      <c r="E12" s="15">
        <v>0.41529657145500931</v>
      </c>
      <c r="F12" s="15">
        <v>0.53768790353305695</v>
      </c>
      <c r="G12" s="15">
        <v>0.64683957494227762</v>
      </c>
      <c r="H12" s="15">
        <v>0.74006390927894794</v>
      </c>
      <c r="I12" s="15">
        <v>0.81506541403787169</v>
      </c>
      <c r="J12" s="15">
        <v>0.86999730325616087</v>
      </c>
      <c r="K12" s="15">
        <v>0.90350697151277282</v>
      </c>
      <c r="L12" s="15">
        <v>0.91476929956301711</v>
      </c>
      <c r="M12" s="15">
        <v>0.90350697151277282</v>
      </c>
      <c r="N12" s="15">
        <v>0.86999730325616087</v>
      </c>
      <c r="O12" s="15">
        <v>0.81506541403787169</v>
      </c>
      <c r="P12" s="15">
        <v>0.74006390927894783</v>
      </c>
      <c r="Q12" s="15">
        <v>0.64683957494227751</v>
      </c>
      <c r="R12" s="15">
        <v>0.53768790353305673</v>
      </c>
      <c r="S12" s="15">
        <v>0.41529657145500909</v>
      </c>
      <c r="T12" s="15">
        <v>0.28267925949743927</v>
      </c>
      <c r="U12" s="15">
        <v>0.14310144601236716</v>
      </c>
      <c r="V12" s="12">
        <v>0</v>
      </c>
    </row>
    <row r="13" spans="1:22" x14ac:dyDescent="0.25">
      <c r="A13" s="16">
        <v>1.0000000000000002E-2</v>
      </c>
      <c r="B13" s="12">
        <v>0</v>
      </c>
      <c r="C13" s="15">
        <v>0.14169199300144925</v>
      </c>
      <c r="D13" s="15">
        <v>0.27989505888643851</v>
      </c>
      <c r="E13" s="15">
        <v>0.41120617950320043</v>
      </c>
      <c r="F13" s="15">
        <v>0.53239203926552614</v>
      </c>
      <c r="G13" s="15">
        <v>0.64046864011325744</v>
      </c>
      <c r="H13" s="15">
        <v>0.73277477744784936</v>
      </c>
      <c r="I13" s="15">
        <v>0.80703756782161784</v>
      </c>
      <c r="J13" s="15">
        <v>0.86142841487149002</v>
      </c>
      <c r="K13" s="15">
        <v>0.89460803543022571</v>
      </c>
      <c r="L13" s="15">
        <v>0.9057594371228217</v>
      </c>
      <c r="M13" s="15">
        <v>0.89460803543022571</v>
      </c>
      <c r="N13" s="15">
        <v>0.86142841487149002</v>
      </c>
      <c r="O13" s="15">
        <v>0.80703756782161784</v>
      </c>
      <c r="P13" s="15">
        <v>0.73277477744784925</v>
      </c>
      <c r="Q13" s="15">
        <v>0.64046864011325733</v>
      </c>
      <c r="R13" s="15">
        <v>0.53239203926552603</v>
      </c>
      <c r="S13" s="15">
        <v>0.41120617950320021</v>
      </c>
      <c r="T13" s="15">
        <v>0.27989505888643834</v>
      </c>
      <c r="U13" s="15">
        <v>0.14169199300144913</v>
      </c>
      <c r="V13" s="12">
        <v>0</v>
      </c>
    </row>
    <row r="14" spans="1:22" x14ac:dyDescent="0.25">
      <c r="A14" s="16">
        <v>1.1000000000000003E-2</v>
      </c>
      <c r="B14" s="12">
        <v>0</v>
      </c>
      <c r="C14" s="15">
        <v>0.14029642215486526</v>
      </c>
      <c r="D14" s="15">
        <v>0.27713828077914759</v>
      </c>
      <c r="E14" s="15">
        <v>0.40715607516142593</v>
      </c>
      <c r="F14" s="15">
        <v>0.52714833569968844</v>
      </c>
      <c r="G14" s="15">
        <v>0.63416045470800164</v>
      </c>
      <c r="H14" s="15">
        <v>0.72555743866351996</v>
      </c>
      <c r="I14" s="15">
        <v>0.79908879049205928</v>
      </c>
      <c r="J14" s="15">
        <v>0.8529439242750354</v>
      </c>
      <c r="K14" s="15">
        <v>0.88579674788376983</v>
      </c>
      <c r="L14" s="15">
        <v>0.89683831576874495</v>
      </c>
      <c r="M14" s="15">
        <v>0.88579674788376983</v>
      </c>
      <c r="N14" s="15">
        <v>0.8529439242750354</v>
      </c>
      <c r="O14" s="15">
        <v>0.79908879049205928</v>
      </c>
      <c r="P14" s="15">
        <v>0.72555743866351996</v>
      </c>
      <c r="Q14" s="15">
        <v>0.63416045470800153</v>
      </c>
      <c r="R14" s="15">
        <v>0.52714833569968822</v>
      </c>
      <c r="S14" s="15">
        <v>0.40715607516142577</v>
      </c>
      <c r="T14" s="15">
        <v>0.27713828077914743</v>
      </c>
      <c r="U14" s="15">
        <v>0.14029642215486515</v>
      </c>
      <c r="V14" s="12">
        <v>0</v>
      </c>
    </row>
    <row r="15" spans="1:22" x14ac:dyDescent="0.25">
      <c r="A15" s="16">
        <v>1.2000000000000004E-2</v>
      </c>
      <c r="B15" s="12">
        <v>0</v>
      </c>
      <c r="C15" s="15">
        <v>0.1389145967426321</v>
      </c>
      <c r="D15" s="15">
        <v>0.27440865508234602</v>
      </c>
      <c r="E15" s="15">
        <v>0.4031458616238196</v>
      </c>
      <c r="F15" s="15">
        <v>0.5219562790877087</v>
      </c>
      <c r="G15" s="15">
        <v>0.62791440068688364</v>
      </c>
      <c r="H15" s="15">
        <v>0.71841118581272834</v>
      </c>
      <c r="I15" s="15">
        <v>0.79121830327383402</v>
      </c>
      <c r="J15" s="15">
        <v>0.84454300020533868</v>
      </c>
      <c r="K15" s="15">
        <v>0.87707224559426611</v>
      </c>
      <c r="L15" s="15">
        <v>0.88800506146076486</v>
      </c>
      <c r="M15" s="15">
        <v>0.87707224559426611</v>
      </c>
      <c r="N15" s="15">
        <v>0.84454300020533868</v>
      </c>
      <c r="O15" s="15">
        <v>0.79121830327383402</v>
      </c>
      <c r="P15" s="15">
        <v>0.71841118581272834</v>
      </c>
      <c r="Q15" s="15">
        <v>0.62791440068688353</v>
      </c>
      <c r="R15" s="15">
        <v>0.52195627908770859</v>
      </c>
      <c r="S15" s="15">
        <v>0.40314586162381943</v>
      </c>
      <c r="T15" s="15">
        <v>0.27440865508234585</v>
      </c>
      <c r="U15" s="15">
        <v>0.13891459674263201</v>
      </c>
      <c r="V15" s="12">
        <v>0</v>
      </c>
    </row>
    <row r="16" spans="1:22" x14ac:dyDescent="0.25">
      <c r="A16" s="16">
        <v>1.3000000000000005E-2</v>
      </c>
      <c r="B16" s="12">
        <v>0</v>
      </c>
      <c r="C16" s="15">
        <v>0.13754638138146483</v>
      </c>
      <c r="D16" s="15">
        <v>0.27170591436304986</v>
      </c>
      <c r="E16" s="15">
        <v>0.39917514599278581</v>
      </c>
      <c r="F16" s="15">
        <v>0.51681536074182299</v>
      </c>
      <c r="G16" s="15">
        <v>0.62172986609755154</v>
      </c>
      <c r="H16" s="15">
        <v>0.71133531874683276</v>
      </c>
      <c r="I16" s="15">
        <v>0.78342533506199363</v>
      </c>
      <c r="J16" s="15">
        <v>0.83622481958830774</v>
      </c>
      <c r="K16" s="15">
        <v>0.86843367378529468</v>
      </c>
      <c r="L16" s="15">
        <v>0.8792588087675659</v>
      </c>
      <c r="M16" s="15">
        <v>0.86843367378529468</v>
      </c>
      <c r="N16" s="15">
        <v>0.83622481958830774</v>
      </c>
      <c r="O16" s="15">
        <v>0.78342533506199363</v>
      </c>
      <c r="P16" s="15">
        <v>0.71133531874683265</v>
      </c>
      <c r="Q16" s="15">
        <v>0.62172986609755143</v>
      </c>
      <c r="R16" s="15">
        <v>0.51681536074182288</v>
      </c>
      <c r="S16" s="15">
        <v>0.39917514599278564</v>
      </c>
      <c r="T16" s="15">
        <v>0.27170591436304975</v>
      </c>
      <c r="U16" s="15">
        <v>0.13754638138146474</v>
      </c>
      <c r="V16" s="12">
        <v>0</v>
      </c>
    </row>
    <row r="17" spans="1:22" x14ac:dyDescent="0.25">
      <c r="A17" s="16">
        <v>1.4000000000000005E-2</v>
      </c>
      <c r="B17" s="12">
        <v>0</v>
      </c>
      <c r="C17" s="15">
        <v>0.1361916420215129</v>
      </c>
      <c r="D17" s="15">
        <v>0.26902979382231024</v>
      </c>
      <c r="E17" s="15">
        <v>0.39524353924050626</v>
      </c>
      <c r="F17" s="15">
        <v>0.51172507698449954</v>
      </c>
      <c r="G17" s="15">
        <v>0.61560624501497263</v>
      </c>
      <c r="H17" s="15">
        <v>0.7043291442131846</v>
      </c>
      <c r="I17" s="15">
        <v>0.77570912234645495</v>
      </c>
      <c r="J17" s="15">
        <v>0.8279885674565769</v>
      </c>
      <c r="K17" s="15">
        <v>0.85988018609940842</v>
      </c>
      <c r="L17" s="15">
        <v>0.87059870078174895</v>
      </c>
      <c r="M17" s="15">
        <v>0.85988018609940842</v>
      </c>
      <c r="N17" s="15">
        <v>0.8279885674565769</v>
      </c>
      <c r="O17" s="15">
        <v>0.77570912234645484</v>
      </c>
      <c r="P17" s="15">
        <v>0.7043291442131846</v>
      </c>
      <c r="Q17" s="15">
        <v>0.61560624501497252</v>
      </c>
      <c r="R17" s="15">
        <v>0.51172507698449943</v>
      </c>
      <c r="S17" s="15">
        <v>0.3952435392405062</v>
      </c>
      <c r="T17" s="15">
        <v>0.26902979382231013</v>
      </c>
      <c r="U17" s="15">
        <v>0.13619164202151285</v>
      </c>
      <c r="V17" s="12">
        <v>0</v>
      </c>
    </row>
    <row r="18" spans="1:22" x14ac:dyDescent="0.25">
      <c r="A18" s="16">
        <v>1.5000000000000006E-2</v>
      </c>
      <c r="B18" s="12">
        <v>0</v>
      </c>
      <c r="C18" s="15">
        <v>0.13485024593322667</v>
      </c>
      <c r="D18" s="15">
        <v>0.26638003126926973</v>
      </c>
      <c r="E18" s="15">
        <v>0.39135065617082521</v>
      </c>
      <c r="F18" s="15">
        <v>0.50668492909909146</v>
      </c>
      <c r="G18" s="15">
        <v>0.60954293748206823</v>
      </c>
      <c r="H18" s="15">
        <v>0.69739197578720791</v>
      </c>
      <c r="I18" s="15">
        <v>0.76806890913719561</v>
      </c>
      <c r="J18" s="15">
        <v>0.8198334368696607</v>
      </c>
      <c r="K18" s="15">
        <v>0.85141094451521204</v>
      </c>
      <c r="L18" s="15">
        <v>0.86202388903587657</v>
      </c>
      <c r="M18" s="15">
        <v>0.85141094451521204</v>
      </c>
      <c r="N18" s="15">
        <v>0.8198334368696607</v>
      </c>
      <c r="O18" s="15">
        <v>0.76806890913719561</v>
      </c>
      <c r="P18" s="15">
        <v>0.69739197578720791</v>
      </c>
      <c r="Q18" s="15">
        <v>0.60954293748206811</v>
      </c>
      <c r="R18" s="15">
        <v>0.50668492909909135</v>
      </c>
      <c r="S18" s="15">
        <v>0.39135065617082504</v>
      </c>
      <c r="T18" s="15">
        <v>0.26638003126926962</v>
      </c>
      <c r="U18" s="15">
        <v>0.13485024593322661</v>
      </c>
      <c r="V18" s="12">
        <v>0</v>
      </c>
    </row>
    <row r="19" spans="1:22" x14ac:dyDescent="0.25">
      <c r="A19" s="16">
        <v>1.6000000000000007E-2</v>
      </c>
      <c r="B19" s="12">
        <v>0</v>
      </c>
      <c r="C19" s="15">
        <v>0.13352206169435324</v>
      </c>
      <c r="D19" s="15">
        <v>0.26375636709547473</v>
      </c>
      <c r="E19" s="15">
        <v>0.38749611538150952</v>
      </c>
      <c r="F19" s="15">
        <v>0.50169442328097569</v>
      </c>
      <c r="G19" s="15">
        <v>0.60353934945093335</v>
      </c>
      <c r="H19" s="15">
        <v>0.69052313380514707</v>
      </c>
      <c r="I19" s="15">
        <v>0.76050394689018652</v>
      </c>
      <c r="J19" s="15">
        <v>0.81175862883489525</v>
      </c>
      <c r="K19" s="15">
        <v>0.84302511926525736</v>
      </c>
      <c r="L19" s="15">
        <v>0.8535335334193449</v>
      </c>
      <c r="M19" s="15">
        <v>0.84302511926525736</v>
      </c>
      <c r="N19" s="15">
        <v>0.81175862883489525</v>
      </c>
      <c r="O19" s="15">
        <v>0.76050394689018652</v>
      </c>
      <c r="P19" s="15">
        <v>0.69052313380514707</v>
      </c>
      <c r="Q19" s="15">
        <v>0.60353934945093335</v>
      </c>
      <c r="R19" s="15">
        <v>0.50169442328097558</v>
      </c>
      <c r="S19" s="15">
        <v>0.38749611538150941</v>
      </c>
      <c r="T19" s="15">
        <v>0.26375636709547456</v>
      </c>
      <c r="U19" s="15">
        <v>0.13352206169435318</v>
      </c>
      <c r="V19" s="12">
        <v>0</v>
      </c>
    </row>
    <row r="20" spans="1:22" x14ac:dyDescent="0.25">
      <c r="A20" s="16">
        <v>1.7000000000000008E-2</v>
      </c>
      <c r="B20" s="12">
        <v>0</v>
      </c>
      <c r="C20" s="15">
        <v>0.13220695917706055</v>
      </c>
      <c r="D20" s="15">
        <v>0.26115854424944002</v>
      </c>
      <c r="E20" s="15">
        <v>0.38367953922688208</v>
      </c>
      <c r="F20" s="15">
        <v>0.49675307058917229</v>
      </c>
      <c r="G20" s="15">
        <v>0.59759489272463573</v>
      </c>
      <c r="H20" s="15">
        <v>0.68372194529747732</v>
      </c>
      <c r="I20" s="15">
        <v>0.75301349443405419</v>
      </c>
      <c r="J20" s="15">
        <v>0.80376335222915662</v>
      </c>
      <c r="K20" s="15">
        <v>0.83472188875474751</v>
      </c>
      <c r="L20" s="15">
        <v>0.84512680209607483</v>
      </c>
      <c r="M20" s="15">
        <v>0.83472188875474751</v>
      </c>
      <c r="N20" s="15">
        <v>0.80376335222915662</v>
      </c>
      <c r="O20" s="15">
        <v>0.75301349443405419</v>
      </c>
      <c r="P20" s="15">
        <v>0.68372194529747732</v>
      </c>
      <c r="Q20" s="15">
        <v>0.59759489272463573</v>
      </c>
      <c r="R20" s="15">
        <v>0.49675307058917223</v>
      </c>
      <c r="S20" s="15">
        <v>0.38367953922688192</v>
      </c>
      <c r="T20" s="15">
        <v>0.26115854424943996</v>
      </c>
      <c r="U20" s="15">
        <v>0.13220695917706046</v>
      </c>
      <c r="V20" s="12">
        <v>0</v>
      </c>
    </row>
    <row r="21" spans="1:22" x14ac:dyDescent="0.25">
      <c r="A21" s="16">
        <v>1.8000000000000009E-2</v>
      </c>
      <c r="B21" s="12">
        <v>0</v>
      </c>
      <c r="C21" s="15">
        <v>0.13090480953518813</v>
      </c>
      <c r="D21" s="15">
        <v>0.25858630821146505</v>
      </c>
      <c r="E21" s="15">
        <v>0.37990055378082138</v>
      </c>
      <c r="F21" s="15">
        <v>0.49186038689844158</v>
      </c>
      <c r="G21" s="15">
        <v>0.59170898489958701</v>
      </c>
      <c r="H21" s="15">
        <v>0.67698774392297145</v>
      </c>
      <c r="I21" s="15">
        <v>0.74559681789746446</v>
      </c>
      <c r="J21" s="15">
        <v>0.79584682372135196</v>
      </c>
      <c r="K21" s="15">
        <v>0.82650043948104213</v>
      </c>
      <c r="L21" s="15">
        <v>0.83680287142301302</v>
      </c>
      <c r="M21" s="15">
        <v>0.82650043948104213</v>
      </c>
      <c r="N21" s="15">
        <v>0.79584682372135196</v>
      </c>
      <c r="O21" s="15">
        <v>0.74559681789746446</v>
      </c>
      <c r="P21" s="15">
        <v>0.67698774392297145</v>
      </c>
      <c r="Q21" s="15">
        <v>0.59170898489958701</v>
      </c>
      <c r="R21" s="15">
        <v>0.49186038689844153</v>
      </c>
      <c r="S21" s="15">
        <v>0.37990055378082127</v>
      </c>
      <c r="T21" s="15">
        <v>0.25858630821146494</v>
      </c>
      <c r="U21" s="15">
        <v>0.13090480953518807</v>
      </c>
      <c r="V21" s="12">
        <v>0</v>
      </c>
    </row>
    <row r="22" spans="1:22" x14ac:dyDescent="0.25">
      <c r="A22" s="16">
        <v>1.900000000000001E-2</v>
      </c>
      <c r="B22" s="12">
        <v>0</v>
      </c>
      <c r="C22" s="15">
        <v>0.12961548519162364</v>
      </c>
      <c r="D22" s="15">
        <v>0.25603940696869681</v>
      </c>
      <c r="E22" s="15">
        <v>0.37615878880012693</v>
      </c>
      <c r="F22" s="15">
        <v>0.48701589285185165</v>
      </c>
      <c r="G22" s="15">
        <v>0.58588104930848262</v>
      </c>
      <c r="H22" s="15">
        <v>0.67031986990341486</v>
      </c>
      <c r="I22" s="15">
        <v>0.73825319063722228</v>
      </c>
      <c r="J22" s="15">
        <v>0.788008267695673</v>
      </c>
      <c r="K22" s="15">
        <v>0.81835996595395444</v>
      </c>
      <c r="L22" s="15">
        <v>0.8285609258694363</v>
      </c>
      <c r="M22" s="15">
        <v>0.81835996595395444</v>
      </c>
      <c r="N22" s="15">
        <v>0.788008267695673</v>
      </c>
      <c r="O22" s="15">
        <v>0.73825319063722228</v>
      </c>
      <c r="P22" s="15">
        <v>0.67031986990341486</v>
      </c>
      <c r="Q22" s="15">
        <v>0.58588104930848262</v>
      </c>
      <c r="R22" s="15">
        <v>0.4870158928518516</v>
      </c>
      <c r="S22" s="15">
        <v>0.37615878880012682</v>
      </c>
      <c r="T22" s="15">
        <v>0.2560394069686967</v>
      </c>
      <c r="U22" s="15">
        <v>0.12961548519162358</v>
      </c>
      <c r="V22" s="12">
        <v>0</v>
      </c>
    </row>
    <row r="23" spans="1:22" x14ac:dyDescent="0.25">
      <c r="A23" s="16">
        <v>2.0000000000000011E-2</v>
      </c>
      <c r="B23" s="12">
        <v>0</v>
      </c>
      <c r="C23" s="15">
        <v>0.12833885982580345</v>
      </c>
      <c r="D23" s="15">
        <v>0.25351759099043958</v>
      </c>
      <c r="E23" s="15">
        <v>0.37245387768824478</v>
      </c>
      <c r="F23" s="15">
        <v>0.48221911381381416</v>
      </c>
      <c r="G23" s="15">
        <v>0.58011051496380317</v>
      </c>
      <c r="H23" s="15">
        <v>0.66371766995896497</v>
      </c>
      <c r="I23" s="15">
        <v>0.73098189316707962</v>
      </c>
      <c r="J23" s="15">
        <v>0.78024691617560527</v>
      </c>
      <c r="K23" s="15">
        <v>0.81029967061683461</v>
      </c>
      <c r="L23" s="15">
        <v>0.82040015793705079</v>
      </c>
      <c r="M23" s="15">
        <v>0.81029967061683461</v>
      </c>
      <c r="N23" s="15">
        <v>0.78024691617560527</v>
      </c>
      <c r="O23" s="15">
        <v>0.73098189316707962</v>
      </c>
      <c r="P23" s="15">
        <v>0.66371766995896497</v>
      </c>
      <c r="Q23" s="15">
        <v>0.58011051496380306</v>
      </c>
      <c r="R23" s="15">
        <v>0.4822191138138141</v>
      </c>
      <c r="S23" s="15">
        <v>0.37245387768824467</v>
      </c>
      <c r="T23" s="15">
        <v>0.25351759099043952</v>
      </c>
      <c r="U23" s="15">
        <v>0.1283388598258034</v>
      </c>
      <c r="V23" s="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8.1 b)</vt:lpstr>
      <vt:lpstr>8.1 c)</vt:lpstr>
      <vt:lpstr>8.1 d)</vt:lpstr>
      <vt:lpstr>8.2 b) (M1)</vt:lpstr>
      <vt:lpstr>8.2 c) (M2)</vt:lpstr>
      <vt:lpstr>8.2 d) (M3)</vt:lpstr>
      <vt:lpstr>8.3 b) (M4)</vt:lpstr>
      <vt:lpstr>8.3 c) (M5)</vt:lpstr>
      <vt:lpstr>8.3 d) (M6)</vt:lpstr>
      <vt:lpstr>dtdx</vt:lpstr>
      <vt:lpstr>dtheta</vt:lpstr>
      <vt:lpstr>dx</vt:lpstr>
      <vt:lpstr>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</dc:creator>
  <cp:lastModifiedBy>Renata</cp:lastModifiedBy>
  <dcterms:created xsi:type="dcterms:W3CDTF">2020-04-26T20:15:09Z</dcterms:created>
  <dcterms:modified xsi:type="dcterms:W3CDTF">2020-04-27T03:33:04Z</dcterms:modified>
</cp:coreProperties>
</file>