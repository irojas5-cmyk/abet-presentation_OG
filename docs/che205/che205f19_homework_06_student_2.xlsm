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oZhen/Desktop/CHE205_Fall19/mid/hw6/"/>
    </mc:Choice>
  </mc:AlternateContent>
  <xr:revisionPtr revIDLastSave="0" documentId="13_ncr:1_{4896698B-E0B8-C643-A4E6-68C1E6664C17}" xr6:coauthVersionLast="41" xr6:coauthVersionMax="45" xr10:uidLastSave="{00000000-0000-0000-0000-000000000000}"/>
  <bookViews>
    <workbookView xWindow="-28120" yWindow="-260" windowWidth="23100" windowHeight="17000" xr2:uid="{00000000-000D-0000-FFFF-FFFF00000000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1" l="1"/>
  <c r="C5" i="1"/>
  <c r="D5" i="1" s="1"/>
  <c r="B5" i="1"/>
  <c r="F5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G5" i="1" l="1"/>
  <c r="C6" i="1" l="1"/>
  <c r="E6" i="1" s="1"/>
  <c r="G6" i="1" s="1"/>
  <c r="D6" i="1"/>
  <c r="B6" i="1"/>
  <c r="B7" i="1" l="1"/>
  <c r="F6" i="1"/>
  <c r="C7" i="1" l="1"/>
  <c r="D7" i="1" l="1"/>
  <c r="F7" i="1" s="1"/>
  <c r="E7" i="1"/>
  <c r="G7" i="1" s="1"/>
  <c r="C8" i="1" l="1"/>
  <c r="G8" i="1" s="1"/>
  <c r="B8" i="1"/>
  <c r="E8" i="1"/>
  <c r="B9" i="1" l="1"/>
  <c r="D8" i="1"/>
  <c r="F8" i="1" s="1"/>
  <c r="C9" i="1" l="1"/>
  <c r="D9" i="1" l="1"/>
  <c r="F9" i="1" s="1"/>
  <c r="E9" i="1"/>
  <c r="G9" i="1"/>
  <c r="D10" i="1" l="1"/>
  <c r="B10" i="1"/>
  <c r="F10" i="1" s="1"/>
  <c r="C10" i="1"/>
  <c r="E10" i="1" s="1"/>
  <c r="G10" i="1" s="1"/>
  <c r="B11" i="1" l="1"/>
  <c r="C11" i="1"/>
  <c r="G11" i="1" s="1"/>
  <c r="E11" i="1"/>
  <c r="D11" i="1"/>
  <c r="F11" i="1" s="1"/>
  <c r="D12" i="1" l="1"/>
  <c r="B12" i="1"/>
  <c r="F12" i="1" s="1"/>
  <c r="C12" i="1"/>
  <c r="E12" i="1" l="1"/>
  <c r="G12" i="1" s="1"/>
  <c r="B13" i="1" l="1"/>
  <c r="C13" i="1"/>
  <c r="G13" i="1" s="1"/>
  <c r="E13" i="1"/>
  <c r="D13" i="1"/>
  <c r="B14" i="1" l="1"/>
  <c r="F13" i="1"/>
  <c r="C14" i="1" l="1"/>
  <c r="E14" i="1" l="1"/>
  <c r="G14" i="1" s="1"/>
  <c r="D14" i="1"/>
  <c r="F14" i="1" s="1"/>
  <c r="B15" i="1" l="1"/>
  <c r="C15" i="1"/>
  <c r="D15" i="1" s="1"/>
  <c r="F15" i="1" l="1"/>
  <c r="E15" i="1"/>
  <c r="G15" i="1"/>
  <c r="C16" i="1" l="1"/>
  <c r="E16" i="1" s="1"/>
  <c r="G16" i="1" s="1"/>
  <c r="D16" i="1"/>
  <c r="F16" i="1" s="1"/>
  <c r="B16" i="1"/>
  <c r="B17" i="1" l="1"/>
  <c r="E17" i="1"/>
  <c r="G17" i="1" s="1"/>
  <c r="C17" i="1"/>
  <c r="D17" i="1" s="1"/>
  <c r="B18" i="1" l="1"/>
  <c r="F17" i="1"/>
  <c r="C18" i="1" l="1"/>
  <c r="D18" i="1" l="1"/>
  <c r="F18" i="1" s="1"/>
  <c r="E18" i="1"/>
  <c r="G18" i="1" s="1"/>
  <c r="C19" i="1" l="1"/>
  <c r="D19" i="1" s="1"/>
  <c r="B19" i="1"/>
  <c r="F19" i="1" l="1"/>
  <c r="E19" i="1"/>
  <c r="G19" i="1" s="1"/>
  <c r="B20" i="1" l="1"/>
  <c r="F20" i="1" s="1"/>
  <c r="D20" i="1"/>
  <c r="C20" i="1"/>
  <c r="E20" i="1" s="1"/>
  <c r="G20" i="1" s="1"/>
  <c r="B21" i="1" l="1"/>
  <c r="C21" i="1"/>
  <c r="D21" i="1"/>
  <c r="F21" i="1" s="1"/>
  <c r="E21" i="1" l="1"/>
  <c r="G21" i="1" s="1"/>
  <c r="C22" i="1" l="1"/>
  <c r="D22" i="1"/>
  <c r="B22" i="1"/>
  <c r="F22" i="1" s="1"/>
  <c r="E22" i="1" l="1"/>
  <c r="G22" i="1" s="1"/>
  <c r="B23" i="1" l="1"/>
  <c r="E23" i="1"/>
  <c r="G23" i="1" s="1"/>
  <c r="C23" i="1"/>
  <c r="D23" i="1" s="1"/>
  <c r="B24" i="1" l="1"/>
  <c r="F23" i="1"/>
  <c r="C24" i="1" l="1"/>
  <c r="E24" i="1" l="1"/>
  <c r="G24" i="1" s="1"/>
  <c r="D24" i="1"/>
  <c r="F24" i="1" s="1"/>
  <c r="C25" i="1" l="1"/>
  <c r="D25" i="1" s="1"/>
  <c r="F25" i="1" s="1"/>
  <c r="B25" i="1"/>
  <c r="E25" i="1" l="1"/>
  <c r="G25" i="1" s="1"/>
  <c r="C26" i="1" l="1"/>
  <c r="E26" i="1" s="1"/>
  <c r="G26" i="1" s="1"/>
  <c r="D26" i="1"/>
  <c r="B26" i="1"/>
  <c r="B27" i="1" l="1"/>
  <c r="F26" i="1"/>
  <c r="C27" i="1" l="1"/>
  <c r="D27" i="1" l="1"/>
  <c r="F27" i="1" s="1"/>
  <c r="E27" i="1"/>
  <c r="G27" i="1" s="1"/>
  <c r="C28" i="1" l="1"/>
  <c r="G28" i="1" s="1"/>
  <c r="E28" i="1"/>
  <c r="D28" i="1"/>
  <c r="F28" i="1" s="1"/>
  <c r="B28" i="1"/>
  <c r="C29" i="1" l="1"/>
  <c r="D29" i="1" s="1"/>
  <c r="B29" i="1"/>
  <c r="F29" i="1" s="1"/>
  <c r="E29" i="1" l="1"/>
  <c r="G29" i="1"/>
  <c r="C30" i="1" l="1"/>
  <c r="E30" i="1" s="1"/>
  <c r="G30" i="1" s="1"/>
  <c r="B30" i="1"/>
  <c r="B31" i="1" l="1"/>
  <c r="D30" i="1"/>
  <c r="F30" i="1" s="1"/>
  <c r="C31" i="1" l="1"/>
  <c r="E31" i="1" l="1"/>
  <c r="G31" i="1" s="1"/>
  <c r="D31" i="1"/>
  <c r="F31" i="1" s="1"/>
  <c r="C32" i="1" l="1"/>
  <c r="G32" i="1" s="1"/>
  <c r="E32" i="1"/>
  <c r="D32" i="1"/>
  <c r="F32" i="1" s="1"/>
  <c r="B32" i="1"/>
  <c r="C33" i="1" l="1"/>
  <c r="D33" i="1" s="1"/>
  <c r="B33" i="1"/>
  <c r="F33" i="1" s="1"/>
  <c r="E33" i="1" l="1"/>
  <c r="G33" i="1" s="1"/>
  <c r="B34" i="1" l="1"/>
  <c r="D34" i="1"/>
  <c r="C34" i="1"/>
  <c r="E34" i="1" s="1"/>
  <c r="G34" i="1" s="1"/>
  <c r="B35" i="1" l="1"/>
  <c r="C35" i="1"/>
  <c r="F34" i="1"/>
  <c r="E35" i="1" l="1"/>
  <c r="G35" i="1" s="1"/>
  <c r="D35" i="1"/>
  <c r="F35" i="1" s="1"/>
  <c r="C36" i="1" l="1"/>
  <c r="D36" i="1" s="1"/>
  <c r="E36" i="1"/>
  <c r="B36" i="1"/>
  <c r="F36" i="1" s="1"/>
  <c r="G36" i="1" l="1"/>
  <c r="B37" i="1" l="1"/>
  <c r="C37" i="1"/>
  <c r="E37" i="1" s="1"/>
  <c r="D37" i="1" l="1"/>
  <c r="F37" i="1"/>
  <c r="G37" i="1"/>
  <c r="B38" i="1" l="1"/>
  <c r="C38" i="1"/>
  <c r="D38" i="1" l="1"/>
  <c r="F38" i="1" s="1"/>
  <c r="E38" i="1"/>
  <c r="G38" i="1" s="1"/>
  <c r="C39" i="1" l="1"/>
  <c r="G39" i="1" s="1"/>
  <c r="D39" i="1"/>
  <c r="F39" i="1" s="1"/>
  <c r="E39" i="1"/>
  <c r="B39" i="1"/>
  <c r="B40" i="1" l="1"/>
  <c r="C40" i="1"/>
  <c r="E40" i="1" s="1"/>
  <c r="G40" i="1" s="1"/>
  <c r="B41" i="1" l="1"/>
  <c r="D40" i="1"/>
  <c r="F40" i="1" s="1"/>
  <c r="C41" i="1" l="1"/>
  <c r="E41" i="1" l="1"/>
  <c r="G41" i="1"/>
  <c r="D41" i="1"/>
  <c r="F41" i="1" s="1"/>
  <c r="B42" i="1" l="1"/>
  <c r="F42" i="1" s="1"/>
  <c r="D42" i="1"/>
  <c r="E42" i="1"/>
  <c r="G42" i="1" s="1"/>
  <c r="C42" i="1"/>
  <c r="C43" i="1" l="1"/>
  <c r="G43" i="1" s="1"/>
  <c r="B43" i="1"/>
  <c r="E43" i="1"/>
  <c r="B44" i="1" l="1"/>
  <c r="D43" i="1"/>
  <c r="F43" i="1" s="1"/>
  <c r="C44" i="1" l="1"/>
  <c r="D44" i="1" l="1"/>
  <c r="F44" i="1" s="1"/>
  <c r="E44" i="1"/>
  <c r="G44" i="1" s="1"/>
  <c r="C45" i="1" l="1"/>
  <c r="E45" i="1" s="1"/>
  <c r="B45" i="1"/>
  <c r="D45" i="1" l="1"/>
  <c r="F45" i="1" s="1"/>
  <c r="G45" i="1"/>
  <c r="B46" i="1" l="1"/>
  <c r="C46" i="1"/>
  <c r="D46" i="1" s="1"/>
  <c r="E46" i="1"/>
  <c r="F46" i="1" l="1"/>
  <c r="G46" i="1"/>
  <c r="C47" i="1" l="1"/>
  <c r="B47" i="1"/>
  <c r="D47" i="1" l="1"/>
  <c r="F47" i="1" s="1"/>
  <c r="E47" i="1"/>
  <c r="G47" i="1" s="1"/>
  <c r="C48" i="1" l="1"/>
  <c r="D48" i="1" s="1"/>
  <c r="B48" i="1"/>
  <c r="F48" i="1" s="1"/>
  <c r="E48" i="1" l="1"/>
  <c r="G48" i="1"/>
  <c r="C49" i="1" l="1"/>
  <c r="E49" i="1" s="1"/>
  <c r="D49" i="1"/>
  <c r="B49" i="1"/>
  <c r="F49" i="1" s="1"/>
  <c r="G49" i="1" l="1"/>
  <c r="B50" i="1" l="1"/>
  <c r="E50" i="1"/>
  <c r="G50" i="1" s="1"/>
  <c r="D50" i="1"/>
  <c r="C50" i="1"/>
  <c r="B51" i="1" l="1"/>
  <c r="F50" i="1"/>
  <c r="C51" i="1" l="1"/>
  <c r="E51" i="1" l="1"/>
  <c r="G51" i="1" s="1"/>
  <c r="D51" i="1"/>
  <c r="F51" i="1" s="1"/>
  <c r="C52" i="1" l="1"/>
  <c r="D52" i="1" s="1"/>
  <c r="B52" i="1"/>
  <c r="F52" i="1" s="1"/>
  <c r="E52" i="1" l="1"/>
  <c r="G52" i="1"/>
  <c r="B53" i="1" l="1"/>
  <c r="D53" i="1"/>
  <c r="C53" i="1"/>
  <c r="E53" i="1" s="1"/>
  <c r="G53" i="1" s="1"/>
  <c r="B54" i="1" l="1"/>
  <c r="F53" i="1"/>
  <c r="C54" i="1" l="1"/>
  <c r="E54" i="1" l="1"/>
  <c r="G54" i="1"/>
  <c r="D54" i="1"/>
  <c r="F54" i="1" s="1"/>
  <c r="C55" i="1" l="1"/>
  <c r="E55" i="1" s="1"/>
  <c r="D55" i="1"/>
  <c r="B55" i="1"/>
  <c r="F55" i="1" s="1"/>
  <c r="G55" i="1" l="1"/>
  <c r="B56" i="1" l="1"/>
  <c r="E56" i="1"/>
  <c r="G56" i="1" s="1"/>
  <c r="C56" i="1"/>
  <c r="D56" i="1" s="1"/>
  <c r="C57" i="1" l="1"/>
  <c r="E57" i="1" s="1"/>
  <c r="B57" i="1"/>
  <c r="F56" i="1"/>
  <c r="D57" i="1" l="1"/>
  <c r="F57" i="1"/>
  <c r="G57" i="1"/>
  <c r="B58" i="1" l="1"/>
  <c r="E58" i="1"/>
  <c r="G58" i="1" s="1"/>
  <c r="C58" i="1"/>
  <c r="D58" i="1" s="1"/>
  <c r="F58" i="1" s="1"/>
  <c r="C59" i="1" l="1"/>
  <c r="E59" i="1" s="1"/>
  <c r="B59" i="1"/>
  <c r="D59" i="1" l="1"/>
  <c r="F59" i="1" s="1"/>
  <c r="G59" i="1"/>
  <c r="D60" i="1" l="1"/>
  <c r="E60" i="1"/>
  <c r="G60" i="1" s="1"/>
  <c r="C60" i="1"/>
  <c r="B60" i="1"/>
  <c r="F60" i="1" s="1"/>
  <c r="D61" i="1" l="1"/>
  <c r="C61" i="1"/>
  <c r="B61" i="1"/>
  <c r="F61" i="1" s="1"/>
  <c r="E61" i="1" l="1"/>
  <c r="G61" i="1" s="1"/>
  <c r="B62" i="1" l="1"/>
  <c r="C62" i="1"/>
  <c r="D62" i="1" s="1"/>
  <c r="E62" i="1"/>
  <c r="G62" i="1" s="1"/>
  <c r="B63" i="1" l="1"/>
  <c r="F62" i="1"/>
  <c r="C63" i="1" l="1"/>
  <c r="E63" i="1" l="1"/>
  <c r="G63" i="1" s="1"/>
  <c r="D63" i="1"/>
  <c r="F63" i="1" s="1"/>
  <c r="C64" i="1" l="1"/>
  <c r="D64" i="1" s="1"/>
  <c r="F64" i="1" s="1"/>
  <c r="B64" i="1"/>
  <c r="E64" i="1" l="1"/>
  <c r="G64" i="1" s="1"/>
  <c r="C65" i="1" l="1"/>
  <c r="E65" i="1" s="1"/>
  <c r="G65" i="1" s="1"/>
  <c r="D65" i="1"/>
  <c r="B65" i="1"/>
  <c r="B66" i="1" l="1"/>
  <c r="F65" i="1"/>
  <c r="C66" i="1" l="1"/>
  <c r="E66" i="1" l="1"/>
  <c r="G66" i="1" s="1"/>
  <c r="D66" i="1"/>
  <c r="F66" i="1" s="1"/>
  <c r="C67" i="1" l="1"/>
  <c r="G67" i="1" s="1"/>
  <c r="E67" i="1"/>
  <c r="D67" i="1"/>
  <c r="F67" i="1" s="1"/>
  <c r="B67" i="1"/>
  <c r="C68" i="1" l="1"/>
  <c r="E68" i="1" s="1"/>
  <c r="B68" i="1"/>
  <c r="G68" i="1" l="1"/>
  <c r="D68" i="1"/>
  <c r="F68" i="1" s="1"/>
  <c r="B69" i="1" l="1"/>
  <c r="C69" i="1"/>
  <c r="D69" i="1" s="1"/>
  <c r="F69" i="1" l="1"/>
  <c r="E69" i="1"/>
  <c r="G69" i="1" s="1"/>
  <c r="B70" i="1" l="1"/>
  <c r="E70" i="1"/>
  <c r="G70" i="1" s="1"/>
  <c r="D70" i="1"/>
  <c r="F70" i="1" s="1"/>
  <c r="C70" i="1"/>
  <c r="C71" i="1" l="1"/>
  <c r="E71" i="1" s="1"/>
  <c r="B71" i="1"/>
  <c r="D71" i="1" l="1"/>
  <c r="F71" i="1" s="1"/>
  <c r="G71" i="1"/>
  <c r="B72" i="1" l="1"/>
  <c r="C72" i="1"/>
  <c r="E72" i="1" s="1"/>
  <c r="G72" i="1" l="1"/>
  <c r="D72" i="1"/>
  <c r="F72" i="1" s="1"/>
  <c r="B73" i="1" l="1"/>
  <c r="C73" i="1"/>
  <c r="D73" i="1" s="1"/>
  <c r="F73" i="1" l="1"/>
  <c r="E73" i="1"/>
  <c r="G73" i="1" s="1"/>
  <c r="B74" i="1" l="1"/>
  <c r="D74" i="1"/>
  <c r="E74" i="1"/>
  <c r="G74" i="1" s="1"/>
  <c r="C74" i="1"/>
  <c r="F74" i="1"/>
  <c r="C75" i="1" l="1"/>
  <c r="G75" i="1" s="1"/>
  <c r="B75" i="1"/>
  <c r="E75" i="1"/>
  <c r="B76" i="1" l="1"/>
  <c r="D75" i="1"/>
  <c r="F75" i="1" s="1"/>
  <c r="C76" i="1" l="1"/>
  <c r="E76" i="1" l="1"/>
  <c r="D76" i="1"/>
  <c r="F76" i="1" s="1"/>
  <c r="G76" i="1"/>
  <c r="D77" i="1" l="1"/>
  <c r="B77" i="1"/>
  <c r="F77" i="1" s="1"/>
  <c r="C77" i="1"/>
  <c r="E77" i="1" s="1"/>
  <c r="G77" i="1" s="1"/>
  <c r="B78" i="1" l="1"/>
  <c r="C78" i="1"/>
  <c r="D78" i="1" s="1"/>
  <c r="F78" i="1" s="1"/>
  <c r="E78" i="1"/>
  <c r="G78" i="1" s="1"/>
  <c r="C79" i="1" l="1"/>
  <c r="G79" i="1" s="1"/>
  <c r="B79" i="1"/>
  <c r="E79" i="1"/>
  <c r="B80" i="1" l="1"/>
  <c r="D79" i="1"/>
  <c r="F79" i="1" s="1"/>
  <c r="C80" i="1" l="1"/>
  <c r="D80" i="1" l="1"/>
  <c r="F80" i="1" s="1"/>
  <c r="E80" i="1"/>
  <c r="G80" i="1" s="1"/>
  <c r="C81" i="1" l="1"/>
  <c r="E81" i="1" s="1"/>
  <c r="G81" i="1" s="1"/>
  <c r="B81" i="1"/>
  <c r="B82" i="1" l="1"/>
  <c r="D81" i="1"/>
  <c r="F81" i="1" s="1"/>
  <c r="C82" i="1" l="1"/>
  <c r="E82" i="1" l="1"/>
  <c r="D82" i="1"/>
  <c r="F82" i="1" s="1"/>
  <c r="G82" i="1"/>
  <c r="C83" i="1" l="1"/>
  <c r="B83" i="1"/>
  <c r="E83" i="1" l="1"/>
  <c r="G83" i="1" s="1"/>
  <c r="D83" i="1"/>
  <c r="F83" i="1" s="1"/>
  <c r="E84" i="1" l="1"/>
  <c r="G84" i="1" s="1"/>
  <c r="D84" i="1"/>
  <c r="C84" i="1"/>
  <c r="B84" i="1"/>
  <c r="F84" i="1" s="1"/>
</calcChain>
</file>

<file path=xl/sharedStrings.xml><?xml version="1.0" encoding="utf-8"?>
<sst xmlns="http://schemas.openxmlformats.org/spreadsheetml/2006/main" count="20" uniqueCount="18">
  <si>
    <t>Example 5.7</t>
  </si>
  <si>
    <t>second-order RK method</t>
  </si>
  <si>
    <t>dt=</t>
  </si>
  <si>
    <t>xi=</t>
  </si>
  <si>
    <t xml:space="preserve"> alpha</t>
  </si>
  <si>
    <t>k1</t>
  </si>
  <si>
    <t>k2</t>
  </si>
  <si>
    <t>RK2</t>
  </si>
  <si>
    <t>BE</t>
  </si>
  <si>
    <t>t</t>
  </si>
  <si>
    <t>k11</t>
  </si>
  <si>
    <t>k12</t>
  </si>
  <si>
    <t>k21</t>
  </si>
  <si>
    <t>k22</t>
  </si>
  <si>
    <t>y</t>
  </si>
  <si>
    <t>z=dy/dt</t>
  </si>
  <si>
    <t>=N</t>
  </si>
  <si>
    <r>
      <rPr>
        <sz val="20"/>
        <color theme="1"/>
        <rFont val="等线"/>
        <family val="2"/>
        <scheme val="minor"/>
      </rPr>
      <t>=TimeMax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</si>
</sst>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5">
    <font>
      <sz val="11"/>
      <color theme="1"/>
      <name val="等线"/>
      <family val="2"/>
      <scheme val="minor"/>
    </font>
    <font>
      <b/>
      <sz val="20"/>
      <name val="Arial"/>
      <family val="2"/>
    </font>
    <font>
      <sz val="20"/>
      <name val="Arial"/>
      <family val="2"/>
    </font>
    <font>
      <sz val="20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2" fillId="0" borderId="0" xfId="0" applyFont="1"/>
    <xf numFmtId="0" fontId="1" fillId="0" borderId="0" xfId="0" applyFont="1"/>
    <xf numFmtId="0" fontId="1" fillId="0" borderId="0" xfId="0" applyFont="1" applyAlignment="1">
      <alignment horizontal="center"/>
    </xf>
    <xf numFmtId="2" fontId="2" fillId="0" borderId="0" xfId="0" applyNumberFormat="1" applyFont="1"/>
    <xf numFmtId="2" fontId="2" fillId="2" borderId="0" xfId="0" applyNumberFormat="1" applyFont="1" applyFill="1"/>
    <xf numFmtId="176" fontId="2" fillId="0" borderId="0" xfId="0" applyNumberFormat="1" applyFont="1"/>
    <xf numFmtId="0" fontId="2" fillId="0" borderId="0" xfId="0" quotePrefix="1" applyFont="1"/>
    <xf numFmtId="0" fontId="0" fillId="0" borderId="0" xfId="0" quotePrefix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RK2</c:v>
          </c:tx>
          <c:marker>
            <c:symbol val="none"/>
          </c:marker>
          <c:xVal>
            <c:numRef>
              <c:f>[1]RK2!$A$4:$A$94</c:f>
              <c:numCache>
                <c:formatCode>General</c:formatCode>
                <c:ptCount val="9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</c:numCache>
            </c:numRef>
          </c:xVal>
          <c:yVal>
            <c:numRef>
              <c:f>[1]RK2!$F$4:$F$94</c:f>
              <c:numCache>
                <c:formatCode>General</c:formatCode>
                <c:ptCount val="91"/>
                <c:pt idx="0">
                  <c:v>0</c:v>
                </c:pt>
                <c:pt idx="1">
                  <c:v>5.000000000000001E-3</c:v>
                </c:pt>
                <c:pt idx="2">
                  <c:v>1.9776000000000002E-2</c:v>
                </c:pt>
                <c:pt idx="3">
                  <c:v>4.3987050200000002E-2</c:v>
                </c:pt>
                <c:pt idx="4">
                  <c:v>7.7205334304040002E-2</c:v>
                </c:pt>
                <c:pt idx="5">
                  <c:v>0.11892214206854462</c:v>
                </c:pt>
                <c:pt idx="6">
                  <c:v>0.16855452601869941</c:v>
                </c:pt>
                <c:pt idx="7">
                  <c:v>0.22545256266710928</c:v>
                </c:pt>
                <c:pt idx="8">
                  <c:v>0.28890713415266095</c:v>
                </c:pt>
                <c:pt idx="9">
                  <c:v>0.35815814272347213</c:v>
                </c:pt>
                <c:pt idx="10">
                  <c:v>0.43240306793240796</c:v>
                </c:pt>
                <c:pt idx="11">
                  <c:v>0.51080577480358702</c:v>
                </c:pt>
                <c:pt idx="12">
                  <c:v>0.59250548056077579</c:v>
                </c:pt>
                <c:pt idx="13">
                  <c:v>0.67662578777147475</c:v>
                </c:pt>
                <c:pt idx="14">
                  <c:v>0.76228369293272924</c:v>
                </c:pt>
                <c:pt idx="15">
                  <c:v>0.84859848157654638</c:v>
                </c:pt>
                <c:pt idx="16">
                  <c:v>0.93470042386642049</c:v>
                </c:pt>
                <c:pt idx="17">
                  <c:v>1.0197391883464091</c:v>
                </c:pt>
                <c:pt idx="18">
                  <c:v>1.1028918959380198</c:v>
                </c:pt>
                <c:pt idx="19">
                  <c:v>1.1833707413990624</c:v>
                </c:pt>
                <c:pt idx="20">
                  <c:v>1.2604301151981812</c:v>
                </c:pt>
                <c:pt idx="21">
                  <c:v>1.3333731650497005</c:v>
                </c:pt>
                <c:pt idx="22">
                  <c:v>1.4015577431223025</c:v>
                </c:pt>
                <c:pt idx="23">
                  <c:v>1.4644016921052228</c:v>
                </c:pt>
                <c:pt idx="24">
                  <c:v>1.5213874308079631</c:v>
                </c:pt>
                <c:pt idx="25">
                  <c:v>1.5720658077032175</c:v>
                </c:pt>
                <c:pt idx="26">
                  <c:v>1.6160591987162243</c:v>
                </c:pt>
                <c:pt idx="27">
                  <c:v>1.6530638335355889</c:v>
                </c:pt>
                <c:pt idx="28">
                  <c:v>1.682851342690078</c:v>
                </c:pt>
                <c:pt idx="29">
                  <c:v>1.7052695255239225</c:v>
                </c:pt>
                <c:pt idx="30">
                  <c:v>1.7202423469331196</c:v>
                </c:pt>
                <c:pt idx="31">
                  <c:v>1.7277691782234976</c:v>
                </c:pt>
                <c:pt idx="32">
                  <c:v>1.7279233046481111</c:v>
                </c:pt>
                <c:pt idx="33">
                  <c:v>1.7208497290114029</c:v>
                </c:pt>
                <c:pt idx="34">
                  <c:v>1.7067623071300362</c:v>
                </c:pt>
                <c:pt idx="35">
                  <c:v>1.6859402568602959</c:v>
                </c:pt>
                <c:pt idx="36">
                  <c:v>1.6587240877903284</c:v>
                </c:pt>
                <c:pt idx="37">
                  <c:v>1.6255110035093074</c:v>
                </c:pt>
                <c:pt idx="38">
                  <c:v>1.5867498325685419</c:v>
                </c:pt>
                <c:pt idx="39">
                  <c:v>1.5429355478119813</c:v>
                </c:pt>
                <c:pt idx="40">
                  <c:v>1.4946034366529233</c:v>
                </c:pt>
                <c:pt idx="41">
                  <c:v>1.4423229870943715</c:v>
                </c:pt>
                <c:pt idx="42">
                  <c:v>1.3866915558238841</c:v>
                </c:pt>
                <c:pt idx="43">
                  <c:v>1.3283278855583458</c:v>
                </c:pt>
                <c:pt idx="44">
                  <c:v>1.2678655389751683</c:v>
                </c:pt>
                <c:pt idx="45">
                  <c:v>1.2059463160560029</c:v>
                </c:pt>
                <c:pt idx="46">
                  <c:v>1.1432137205055002</c:v>
                </c:pt>
                <c:pt idx="47">
                  <c:v>1.0803065391155466</c:v>
                </c:pt>
                <c:pt idx="48">
                  <c:v>1.0178525955549966</c:v>
                </c:pt>
                <c:pt idx="49">
                  <c:v>0.95646273711182916</c:v>
                </c:pt>
                <c:pt idx="50">
                  <c:v>0.89672510943938477</c:v>
                </c:pt>
                <c:pt idx="51">
                  <c:v>0.83919977040574434</c:v>
                </c:pt>
                <c:pt idx="52">
                  <c:v>0.7844136897641204</c:v>
                </c:pt>
                <c:pt idx="53">
                  <c:v>0.73285617660433988</c:v>
                </c:pt>
                <c:pt idx="54">
                  <c:v>0.68497477146581187</c:v>
                </c:pt>
                <c:pt idx="55">
                  <c:v>0.64117163464761395</c:v>
                </c:pt>
                <c:pt idx="56">
                  <c:v>0.6018004566998002</c:v>
                </c:pt>
                <c:pt idx="57">
                  <c:v>0.56716391138095368</c:v>
                </c:pt>
                <c:pt idx="58">
                  <c:v>0.5375116655798633</c:v>
                </c:pt>
                <c:pt idx="59">
                  <c:v>0.5130389548831894</c:v>
                </c:pt>
                <c:pt idx="60">
                  <c:v>0.49388572768439631</c:v>
                </c:pt>
                <c:pt idx="61">
                  <c:v>0.48013635502891155</c:v>
                </c:pt>
                <c:pt idx="62">
                  <c:v>0.47181989783129263</c:v>
                </c:pt>
                <c:pt idx="63">
                  <c:v>0.46891091773450083</c:v>
                </c:pt>
                <c:pt idx="64">
                  <c:v>0.47133081275861782</c:v>
                </c:pt>
                <c:pt idx="65">
                  <c:v>0.47894965405250123</c:v>
                </c:pt>
                <c:pt idx="66">
                  <c:v>0.49158849555919759</c:v>
                </c:pt>
                <c:pt idx="67">
                  <c:v>0.50902212427252336</c:v>
                </c:pt>
                <c:pt idx="68">
                  <c:v>0.53098221503176701</c:v>
                </c:pt>
                <c:pt idx="69">
                  <c:v>0.55716085050298036</c:v>
                </c:pt>
                <c:pt idx="70">
                  <c:v>0.58721436415296124</c:v>
                </c:pt>
                <c:pt idx="71">
                  <c:v>0.62076746165493069</c:v>
                </c:pt>
                <c:pt idx="72">
                  <c:v>0.65741757428712322</c:v>
                </c:pt>
                <c:pt idx="73">
                  <c:v>0.69673939650595129</c:v>
                </c:pt>
                <c:pt idx="74">
                  <c:v>0.73828955899785853</c:v>
                </c:pt>
                <c:pt idx="75">
                  <c:v>0.78161138813718545</c:v>
                </c:pt>
                <c:pt idx="76">
                  <c:v>0.82623970289510662</c:v>
                </c:pt>
                <c:pt idx="77">
                  <c:v>0.87170560084598026</c:v>
                </c:pt>
                <c:pt idx="78">
                  <c:v>0.91754118598668388</c:v>
                </c:pt>
                <c:pt idx="79">
                  <c:v>0.96328419260179821</c:v>
                </c:pt>
                <c:pt idx="80">
                  <c:v>1.0084824613488643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3-4D4F-882A-8F4852D08AFC}"/>
            </c:ext>
          </c:extLst>
        </c:ser>
        <c:ser>
          <c:idx val="0"/>
          <c:order val="1"/>
          <c:tx>
            <c:v>BE</c:v>
          </c:tx>
          <c:marker>
            <c:symbol val="none"/>
          </c:marker>
          <c:xVal>
            <c:numRef>
              <c:f>[1]RK2!$A$4:$A$94</c:f>
              <c:numCache>
                <c:formatCode>General</c:formatCode>
                <c:ptCount val="9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</c:numCache>
            </c:numRef>
          </c:xVal>
          <c:yVal>
            <c:numRef>
              <c:f>[1]RK2!$H$4:$H$94</c:f>
              <c:numCache>
                <c:formatCode>General</c:formatCode>
                <c:ptCount val="91"/>
                <c:pt idx="0">
                  <c:v>0</c:v>
                </c:pt>
                <c:pt idx="1">
                  <c:v>9.7087378640776708E-3</c:v>
                </c:pt>
                <c:pt idx="2">
                  <c:v>2.8749175228579511E-2</c:v>
                </c:pt>
                <c:pt idx="3">
                  <c:v>5.666465640548829E-2</c:v>
                </c:pt>
                <c:pt idx="4">
                  <c:v>9.2925660883987224E-2</c:v>
                </c:pt>
                <c:pt idx="5">
                  <c:v>0.13693706658268534</c:v>
                </c:pt>
                <c:pt idx="6">
                  <c:v>0.18804583845925937</c:v>
                </c:pt>
                <c:pt idx="7">
                  <c:v>0.24554905544176564</c:v>
                </c:pt>
                <c:pt idx="8">
                  <c:v>0.30870218789622061</c:v>
                </c:pt>
                <c:pt idx="9">
                  <c:v>0.37672753796951453</c:v>
                </c:pt>
                <c:pt idx="10">
                  <c:v>0.44882275611863953</c:v>
                </c:pt>
                <c:pt idx="11">
                  <c:v>0.52416934892246347</c:v>
                </c:pt>
                <c:pt idx="12">
                  <c:v>0.60194109582984145</c:v>
                </c:pt>
                <c:pt idx="13">
                  <c:v>0.68131229578040409</c:v>
                </c:pt>
                <c:pt idx="14">
                  <c:v>0.76146576858890758</c:v>
                </c:pt>
                <c:pt idx="15">
                  <c:v>0.84160054055261091</c:v>
                </c:pt>
                <c:pt idx="16">
                  <c:v>0.92093914886152084</c:v>
                </c:pt>
                <c:pt idx="17">
                  <c:v>0.99873450499772931</c:v>
                </c:pt>
                <c:pt idx="18">
                  <c:v>1.074276263333876</c:v>
                </c:pt>
                <c:pt idx="19">
                  <c:v>1.1468966475113596</c:v>
                </c:pt>
                <c:pt idx="20">
                  <c:v>1.21597569382434</c:v>
                </c:pt>
                <c:pt idx="21">
                  <c:v>1.280945877683308</c:v>
                </c:pt>
                <c:pt idx="22">
                  <c:v>1.3412960962096525</c:v>
                </c:pt>
                <c:pt idx="23">
                  <c:v>1.3965749870487283</c:v>
                </c:pt>
                <c:pt idx="24">
                  <c:v>1.4463935705133772</c:v>
                </c:pt>
                <c:pt idx="25">
                  <c:v>1.4904272091148483</c:v>
                </c:pt>
                <c:pt idx="26">
                  <c:v>1.5284168853384625</c:v>
                </c:pt>
                <c:pt idx="27">
                  <c:v>1.5601698051153845</c:v>
                </c:pt>
                <c:pt idx="28">
                  <c:v>1.5855593407714701</c:v>
                </c:pt>
                <c:pt idx="29">
                  <c:v>1.6045243332456165</c:v>
                </c:pt>
                <c:pt idx="30">
                  <c:v>1.6170677790142478</c:v>
                </c:pt>
                <c:pt idx="31">
                  <c:v>1.6232549323914214</c:v>
                </c:pt>
                <c:pt idx="32">
                  <c:v>1.6232108586567218</c:v>
                </c:pt>
                <c:pt idx="33">
                  <c:v>1.6171174777622879</c:v>
                </c:pt>
                <c:pt idx="34">
                  <c:v>1.6052101421583493</c:v>
                </c:pt>
                <c:pt idx="35">
                  <c:v>1.5877737955316289</c:v>
                </c:pt>
                <c:pt idx="36">
                  <c:v>1.565138761956836</c:v>
                </c:pt>
                <c:pt idx="37">
                  <c:v>1.5376762171079414</c:v>
                </c:pt>
                <c:pt idx="38">
                  <c:v>1.5057933947584523</c:v>
                </c:pt>
                <c:pt idx="39">
                  <c:v>1.4699285828195459</c:v>
                </c:pt>
                <c:pt idx="40">
                  <c:v>1.4305459636281848</c:v>
                </c:pt>
                <c:pt idx="41">
                  <c:v>1.3881303531159099</c:v>
                </c:pt>
                <c:pt idx="42">
                  <c:v>1.3431818928795665</c:v>
                </c:pt>
                <c:pt idx="43">
                  <c:v>1.296210748059043</c:v>
                </c:pt>
                <c:pt idx="44">
                  <c:v>1.2477318623298062</c:v>
                </c:pt>
                <c:pt idx="45">
                  <c:v>1.1982598192690928</c:v>
                </c:pt>
                <c:pt idx="46">
                  <c:v>1.1483038568871466</c:v>
                </c:pt>
                <c:pt idx="47">
                  <c:v>1.0983630792649937</c:v>
                </c:pt>
                <c:pt idx="48">
                  <c:v>1.0489219060467385</c:v>
                </c:pt>
                <c:pt idx="49">
                  <c:v>1.0004457970382701</c:v>
                </c:pt>
                <c:pt idx="50">
                  <c:v>0.95337728540831745</c:v>
                </c:pt>
                <c:pt idx="51">
                  <c:v>0.90813234901604967</c:v>
                </c:pt>
                <c:pt idx="52">
                  <c:v>0.86509714524670178</c:v>
                </c:pt>
                <c:pt idx="53">
                  <c:v>0.82462513046824071</c:v>
                </c:pt>
                <c:pt idx="54">
                  <c:v>0.78703458087295586</c:v>
                </c:pt>
                <c:pt idx="55">
                  <c:v>0.75260652708265052</c:v>
                </c:pt>
                <c:pt idx="56">
                  <c:v>0.72158311051844493</c:v>
                </c:pt>
                <c:pt idx="57">
                  <c:v>0.69416636520835751</c:v>
                </c:pt>
                <c:pt idx="58">
                  <c:v>0.67051742446838569</c:v>
                </c:pt>
                <c:pt idx="59">
                  <c:v>0.65075614778425395</c:v>
                </c:pt>
                <c:pt idx="60">
                  <c:v>0.63496115927748276</c:v>
                </c:pt>
                <c:pt idx="61">
                  <c:v>0.62317028539442842</c:v>
                </c:pt>
                <c:pt idx="62">
                  <c:v>0.61538137594103171</c:v>
                </c:pt>
                <c:pt idx="63">
                  <c:v>0.61155348932665587</c:v>
                </c:pt>
                <c:pt idx="64">
                  <c:v>0.6116084199017604</c:v>
                </c:pt>
                <c:pt idx="65">
                  <c:v>0.61543254259699043</c:v>
                </c:pt>
                <c:pt idx="66">
                  <c:v>0.62287894771277696</c:v>
                </c:pt>
                <c:pt idx="67">
                  <c:v>0.63376983668234854</c:v>
                </c:pt>
                <c:pt idx="68">
                  <c:v>0.64789914794715253</c:v>
                </c:pt>
                <c:pt idx="69">
                  <c:v>0.66503538074844615</c:v>
                </c:pt>
                <c:pt idx="70">
                  <c:v>0.68492458365505704</c:v>
                </c:pt>
                <c:pt idx="71">
                  <c:v>0.70729347401433884</c:v>
                </c:pt>
                <c:pt idx="72">
                  <c:v>0.73185265422709467</c:v>
                </c:pt>
                <c:pt idx="73">
                  <c:v>0.75829989080038096</c:v>
                </c:pt>
                <c:pt idx="74">
                  <c:v>0.78632342251424736</c:v>
                </c:pt>
                <c:pt idx="75">
                  <c:v>0.81560526473630945</c:v>
                </c:pt>
                <c:pt idx="76">
                  <c:v>0.84582447791562887</c:v>
                </c:pt>
                <c:pt idx="77">
                  <c:v>0.87666036956627269</c:v>
                </c:pt>
                <c:pt idx="78">
                  <c:v>0.90779560059052622</c:v>
                </c:pt>
                <c:pt idx="79">
                  <c:v>0.93891916856950508</c:v>
                </c:pt>
                <c:pt idx="80">
                  <c:v>0.96972924264065441</c:v>
                </c:pt>
                <c:pt idx="81">
                  <c:v>0.99993582676176396</c:v>
                </c:pt>
                <c:pt idx="82">
                  <c:v>1.0292632305030183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83-4D4F-882A-8F4852D08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208600"/>
        <c:axId val="-2112623432"/>
      </c:scatterChart>
      <c:valAx>
        <c:axId val="-2110208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600"/>
                  <a:t>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-2112623432"/>
        <c:crosses val="autoZero"/>
        <c:crossBetween val="midCat"/>
      </c:valAx>
      <c:valAx>
        <c:axId val="-211262343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600"/>
                </a:pPr>
                <a:r>
                  <a:rPr lang="en-US" sz="1600"/>
                  <a:t>y(t)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-21102086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0</xdr:rowOff>
    </xdr:from>
    <xdr:to>
      <xdr:col>21</xdr:col>
      <xdr:colOff>222250</xdr:colOff>
      <xdr:row>15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8DF0F9-8432-40A0-A77B-7604E4D8F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226951</xdr:colOff>
      <xdr:row>18</xdr:row>
      <xdr:rowOff>159835</xdr:rowOff>
    </xdr:from>
    <xdr:ext cx="7013715" cy="875111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222A233-84DF-F544-B334-0A5533AC32B1}"/>
            </a:ext>
          </a:extLst>
        </xdr:cNvPr>
        <xdr:cNvSpPr/>
      </xdr:nvSpPr>
      <xdr:spPr>
        <a:xfrm>
          <a:off x="6284851" y="5887535"/>
          <a:ext cx="7013715" cy="875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8/16</a:t>
          </a:r>
        </a:p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implementation</a:t>
          </a:r>
          <a:r>
            <a:rPr lang="en-US" altLang="zh-CN" sz="25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is not correct and missing FE result</a:t>
          </a:r>
          <a:endParaRPr lang="en-US" altLang="zh-CN" sz="25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Jordan%20Eckhart/Desktop/Jordan%20and%20Kayla%20problem_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K2"/>
    </sheetNames>
    <sheetDataSet>
      <sheetData sheetId="0">
        <row r="4">
          <cell r="A4">
            <v>0</v>
          </cell>
          <cell r="F4">
            <v>0</v>
          </cell>
          <cell r="H4">
            <v>0</v>
          </cell>
        </row>
        <row r="5">
          <cell r="A5">
            <v>0.1</v>
          </cell>
          <cell r="F5">
            <v>5.000000000000001E-3</v>
          </cell>
          <cell r="H5">
            <v>9.7087378640776708E-3</v>
          </cell>
        </row>
        <row r="6">
          <cell r="A6">
            <v>0.2</v>
          </cell>
          <cell r="F6">
            <v>1.9776000000000002E-2</v>
          </cell>
          <cell r="H6">
            <v>2.8749175228579511E-2</v>
          </cell>
        </row>
        <row r="7">
          <cell r="A7">
            <v>0.30000000000000004</v>
          </cell>
          <cell r="F7">
            <v>4.3987050200000002E-2</v>
          </cell>
          <cell r="H7">
            <v>5.666465640548829E-2</v>
          </cell>
        </row>
        <row r="8">
          <cell r="A8">
            <v>0.4</v>
          </cell>
          <cell r="F8">
            <v>7.7205334304040002E-2</v>
          </cell>
          <cell r="H8">
            <v>9.2925660883987224E-2</v>
          </cell>
        </row>
        <row r="9">
          <cell r="A9">
            <v>0.5</v>
          </cell>
          <cell r="F9">
            <v>0.11892214206854462</v>
          </cell>
          <cell r="H9">
            <v>0.13693706658268534</v>
          </cell>
        </row>
        <row r="10">
          <cell r="A10">
            <v>0.6</v>
          </cell>
          <cell r="F10">
            <v>0.16855452601869941</v>
          </cell>
          <cell r="H10">
            <v>0.18804583845925937</v>
          </cell>
        </row>
        <row r="11">
          <cell r="A11">
            <v>0.7</v>
          </cell>
          <cell r="F11">
            <v>0.22545256266710928</v>
          </cell>
          <cell r="H11">
            <v>0.24554905544176564</v>
          </cell>
        </row>
        <row r="12">
          <cell r="A12">
            <v>0.79999999999999993</v>
          </cell>
          <cell r="F12">
            <v>0.28890713415266095</v>
          </cell>
          <cell r="H12">
            <v>0.30870218789622061</v>
          </cell>
        </row>
        <row r="13">
          <cell r="A13">
            <v>0.89999999999999991</v>
          </cell>
          <cell r="F13">
            <v>0.35815814272347213</v>
          </cell>
          <cell r="H13">
            <v>0.37672753796951453</v>
          </cell>
        </row>
        <row r="14">
          <cell r="A14">
            <v>0.99999999999999989</v>
          </cell>
          <cell r="F14">
            <v>0.43240306793240796</v>
          </cell>
          <cell r="H14">
            <v>0.44882275611863953</v>
          </cell>
        </row>
        <row r="15">
          <cell r="A15">
            <v>1.0999999999999999</v>
          </cell>
          <cell r="F15">
            <v>0.51080577480358702</v>
          </cell>
          <cell r="H15">
            <v>0.52416934892246347</v>
          </cell>
        </row>
        <row r="16">
          <cell r="A16">
            <v>1.2</v>
          </cell>
          <cell r="F16">
            <v>0.59250548056077579</v>
          </cell>
          <cell r="H16">
            <v>0.60194109582984145</v>
          </cell>
        </row>
        <row r="17">
          <cell r="A17">
            <v>1.3</v>
          </cell>
          <cell r="F17">
            <v>0.67662578777147475</v>
          </cell>
          <cell r="H17">
            <v>0.68131229578040409</v>
          </cell>
        </row>
        <row r="18">
          <cell r="A18">
            <v>1.4000000000000001</v>
          </cell>
          <cell r="F18">
            <v>0.76228369293272924</v>
          </cell>
          <cell r="H18">
            <v>0.76146576858890758</v>
          </cell>
        </row>
        <row r="19">
          <cell r="A19">
            <v>1.5000000000000002</v>
          </cell>
          <cell r="F19">
            <v>0.84859848157654638</v>
          </cell>
          <cell r="H19">
            <v>0.84160054055261091</v>
          </cell>
        </row>
        <row r="20">
          <cell r="A20">
            <v>1.6000000000000003</v>
          </cell>
          <cell r="F20">
            <v>0.93470042386642049</v>
          </cell>
          <cell r="H20">
            <v>0.92093914886152084</v>
          </cell>
        </row>
        <row r="21">
          <cell r="A21">
            <v>1.7000000000000004</v>
          </cell>
          <cell r="F21">
            <v>1.0197391883464091</v>
          </cell>
          <cell r="H21">
            <v>0.99873450499772931</v>
          </cell>
        </row>
        <row r="22">
          <cell r="A22">
            <v>1.8000000000000005</v>
          </cell>
          <cell r="F22">
            <v>1.1028918959380198</v>
          </cell>
          <cell r="H22">
            <v>1.074276263333876</v>
          </cell>
        </row>
        <row r="23">
          <cell r="A23">
            <v>1.9000000000000006</v>
          </cell>
          <cell r="F23">
            <v>1.1833707413990624</v>
          </cell>
          <cell r="H23">
            <v>1.1468966475113596</v>
          </cell>
        </row>
        <row r="24">
          <cell r="A24">
            <v>2.0000000000000004</v>
          </cell>
          <cell r="F24">
            <v>1.2604301151981812</v>
          </cell>
          <cell r="H24">
            <v>1.21597569382434</v>
          </cell>
        </row>
        <row r="25">
          <cell r="A25">
            <v>2.1000000000000005</v>
          </cell>
          <cell r="F25">
            <v>1.3333731650497005</v>
          </cell>
          <cell r="H25">
            <v>1.280945877683308</v>
          </cell>
        </row>
        <row r="26">
          <cell r="A26">
            <v>2.2000000000000006</v>
          </cell>
          <cell r="F26">
            <v>1.4015577431223025</v>
          </cell>
          <cell r="H26">
            <v>1.3412960962096525</v>
          </cell>
        </row>
        <row r="27">
          <cell r="A27">
            <v>2.3000000000000007</v>
          </cell>
          <cell r="F27">
            <v>1.4644016921052228</v>
          </cell>
          <cell r="H27">
            <v>1.3965749870487283</v>
          </cell>
        </row>
        <row r="28">
          <cell r="A28">
            <v>2.4000000000000008</v>
          </cell>
          <cell r="F28">
            <v>1.5213874308079631</v>
          </cell>
          <cell r="H28">
            <v>1.4463935705133772</v>
          </cell>
        </row>
        <row r="29">
          <cell r="A29">
            <v>2.5000000000000009</v>
          </cell>
          <cell r="F29">
            <v>1.5720658077032175</v>
          </cell>
          <cell r="H29">
            <v>1.4904272091148483</v>
          </cell>
        </row>
        <row r="30">
          <cell r="A30">
            <v>2.600000000000001</v>
          </cell>
          <cell r="F30">
            <v>1.6160591987162243</v>
          </cell>
          <cell r="H30">
            <v>1.5284168853384625</v>
          </cell>
        </row>
        <row r="31">
          <cell r="A31">
            <v>2.7000000000000011</v>
          </cell>
          <cell r="F31">
            <v>1.6530638335355889</v>
          </cell>
          <cell r="H31">
            <v>1.5601698051153845</v>
          </cell>
        </row>
        <row r="32">
          <cell r="A32">
            <v>2.8000000000000012</v>
          </cell>
          <cell r="F32">
            <v>1.682851342690078</v>
          </cell>
          <cell r="H32">
            <v>1.5855593407714701</v>
          </cell>
        </row>
        <row r="33">
          <cell r="A33">
            <v>2.9000000000000012</v>
          </cell>
          <cell r="F33">
            <v>1.7052695255239225</v>
          </cell>
          <cell r="H33">
            <v>1.6045243332456165</v>
          </cell>
        </row>
        <row r="34">
          <cell r="A34">
            <v>3.0000000000000013</v>
          </cell>
          <cell r="F34">
            <v>1.7202423469331196</v>
          </cell>
          <cell r="H34">
            <v>1.6170677790142478</v>
          </cell>
        </row>
        <row r="35">
          <cell r="A35">
            <v>3.1000000000000014</v>
          </cell>
          <cell r="F35">
            <v>1.7277691782234976</v>
          </cell>
          <cell r="H35">
            <v>1.6232549323914214</v>
          </cell>
        </row>
        <row r="36">
          <cell r="A36">
            <v>3.2000000000000015</v>
          </cell>
          <cell r="F36">
            <v>1.7279233046481111</v>
          </cell>
          <cell r="H36">
            <v>1.6232108586567218</v>
          </cell>
        </row>
        <row r="37">
          <cell r="A37">
            <v>3.3000000000000016</v>
          </cell>
          <cell r="F37">
            <v>1.7208497290114029</v>
          </cell>
          <cell r="H37">
            <v>1.6171174777622879</v>
          </cell>
        </row>
        <row r="38">
          <cell r="A38">
            <v>3.4000000000000017</v>
          </cell>
          <cell r="F38">
            <v>1.7067623071300362</v>
          </cell>
          <cell r="H38">
            <v>1.6052101421583493</v>
          </cell>
        </row>
        <row r="39">
          <cell r="A39">
            <v>3.5000000000000018</v>
          </cell>
          <cell r="F39">
            <v>1.6859402568602959</v>
          </cell>
          <cell r="H39">
            <v>1.5877737955316289</v>
          </cell>
        </row>
        <row r="40">
          <cell r="A40">
            <v>3.6000000000000019</v>
          </cell>
          <cell r="F40">
            <v>1.6587240877903284</v>
          </cell>
          <cell r="H40">
            <v>1.565138761956836</v>
          </cell>
        </row>
        <row r="41">
          <cell r="A41">
            <v>3.700000000000002</v>
          </cell>
          <cell r="F41">
            <v>1.6255110035093074</v>
          </cell>
          <cell r="H41">
            <v>1.5376762171079414</v>
          </cell>
        </row>
        <row r="42">
          <cell r="A42">
            <v>3.800000000000002</v>
          </cell>
          <cell r="F42">
            <v>1.5867498325685419</v>
          </cell>
          <cell r="H42">
            <v>1.5057933947584523</v>
          </cell>
        </row>
        <row r="43">
          <cell r="A43">
            <v>3.9000000000000021</v>
          </cell>
          <cell r="F43">
            <v>1.5429355478119813</v>
          </cell>
          <cell r="H43">
            <v>1.4699285828195459</v>
          </cell>
        </row>
        <row r="44">
          <cell r="A44">
            <v>4.0000000000000018</v>
          </cell>
          <cell r="F44">
            <v>1.4946034366529233</v>
          </cell>
          <cell r="H44">
            <v>1.4305459636281848</v>
          </cell>
        </row>
        <row r="45">
          <cell r="A45">
            <v>4.1000000000000014</v>
          </cell>
          <cell r="F45">
            <v>1.4423229870943715</v>
          </cell>
          <cell r="H45">
            <v>1.3881303531159099</v>
          </cell>
        </row>
        <row r="46">
          <cell r="A46">
            <v>4.2000000000000011</v>
          </cell>
          <cell r="F46">
            <v>1.3866915558238841</v>
          </cell>
          <cell r="H46">
            <v>1.3431818928795665</v>
          </cell>
        </row>
        <row r="47">
          <cell r="A47">
            <v>4.3000000000000007</v>
          </cell>
          <cell r="F47">
            <v>1.3283278855583458</v>
          </cell>
          <cell r="H47">
            <v>1.296210748059043</v>
          </cell>
        </row>
        <row r="48">
          <cell r="A48">
            <v>4.4000000000000004</v>
          </cell>
          <cell r="F48">
            <v>1.2678655389751683</v>
          </cell>
          <cell r="H48">
            <v>1.2477318623298062</v>
          </cell>
        </row>
        <row r="49">
          <cell r="A49">
            <v>4.5</v>
          </cell>
          <cell r="F49">
            <v>1.2059463160560029</v>
          </cell>
          <cell r="H49">
            <v>1.1982598192690928</v>
          </cell>
        </row>
        <row r="50">
          <cell r="A50">
            <v>4.5999999999999996</v>
          </cell>
          <cell r="F50">
            <v>1.1432137205055002</v>
          </cell>
          <cell r="H50">
            <v>1.1483038568871466</v>
          </cell>
        </row>
        <row r="51">
          <cell r="A51">
            <v>4.6999999999999993</v>
          </cell>
          <cell r="F51">
            <v>1.0803065391155466</v>
          </cell>
          <cell r="H51">
            <v>1.0983630792649937</v>
          </cell>
        </row>
        <row r="52">
          <cell r="A52">
            <v>4.7999999999999989</v>
          </cell>
          <cell r="F52">
            <v>1.0178525955549966</v>
          </cell>
          <cell r="H52">
            <v>1.0489219060467385</v>
          </cell>
        </row>
        <row r="53">
          <cell r="A53">
            <v>4.8999999999999986</v>
          </cell>
          <cell r="F53">
            <v>0.95646273711182916</v>
          </cell>
          <cell r="H53">
            <v>1.0004457970382701</v>
          </cell>
        </row>
        <row r="54">
          <cell r="A54">
            <v>4.9999999999999982</v>
          </cell>
          <cell r="F54">
            <v>0.89672510943938477</v>
          </cell>
          <cell r="H54">
            <v>0.95337728540831745</v>
          </cell>
        </row>
        <row r="55">
          <cell r="A55">
            <v>5.0999999999999979</v>
          </cell>
          <cell r="F55">
            <v>0.83919977040574434</v>
          </cell>
          <cell r="H55">
            <v>0.90813234901604967</v>
          </cell>
        </row>
        <row r="56">
          <cell r="A56">
            <v>5.1999999999999975</v>
          </cell>
          <cell r="F56">
            <v>0.7844136897641204</v>
          </cell>
          <cell r="H56">
            <v>0.86509714524670178</v>
          </cell>
        </row>
        <row r="57">
          <cell r="A57">
            <v>5.2999999999999972</v>
          </cell>
          <cell r="F57">
            <v>0.73285617660433988</v>
          </cell>
          <cell r="H57">
            <v>0.82462513046824071</v>
          </cell>
        </row>
        <row r="58">
          <cell r="A58">
            <v>5.3999999999999968</v>
          </cell>
          <cell r="F58">
            <v>0.68497477146581187</v>
          </cell>
          <cell r="H58">
            <v>0.78703458087295586</v>
          </cell>
        </row>
        <row r="59">
          <cell r="A59">
            <v>5.4999999999999964</v>
          </cell>
          <cell r="F59">
            <v>0.64117163464761395</v>
          </cell>
          <cell r="H59">
            <v>0.75260652708265052</v>
          </cell>
        </row>
        <row r="60">
          <cell r="A60">
            <v>5.5999999999999961</v>
          </cell>
          <cell r="F60">
            <v>0.6018004566998002</v>
          </cell>
          <cell r="H60">
            <v>0.72158311051844493</v>
          </cell>
        </row>
        <row r="61">
          <cell r="A61">
            <v>5.6999999999999957</v>
          </cell>
          <cell r="F61">
            <v>0.56716391138095368</v>
          </cell>
          <cell r="H61">
            <v>0.69416636520835751</v>
          </cell>
        </row>
        <row r="62">
          <cell r="A62">
            <v>5.7999999999999954</v>
          </cell>
          <cell r="F62">
            <v>0.5375116655798633</v>
          </cell>
          <cell r="H62">
            <v>0.67051742446838569</v>
          </cell>
        </row>
        <row r="63">
          <cell r="A63">
            <v>5.899999999999995</v>
          </cell>
          <cell r="F63">
            <v>0.5130389548831894</v>
          </cell>
          <cell r="H63">
            <v>0.65075614778425395</v>
          </cell>
        </row>
        <row r="64">
          <cell r="A64">
            <v>5.9999999999999947</v>
          </cell>
          <cell r="F64">
            <v>0.49388572768439631</v>
          </cell>
          <cell r="H64">
            <v>0.63496115927748276</v>
          </cell>
        </row>
        <row r="65">
          <cell r="A65">
            <v>6.0999999999999943</v>
          </cell>
          <cell r="F65">
            <v>0.48013635502891155</v>
          </cell>
          <cell r="H65">
            <v>0.62317028539442842</v>
          </cell>
        </row>
        <row r="66">
          <cell r="A66">
            <v>6.199999999999994</v>
          </cell>
          <cell r="F66">
            <v>0.47181989783129263</v>
          </cell>
          <cell r="H66">
            <v>0.61538137594103171</v>
          </cell>
        </row>
        <row r="67">
          <cell r="A67">
            <v>6.2999999999999936</v>
          </cell>
          <cell r="F67">
            <v>0.46891091773450083</v>
          </cell>
          <cell r="H67">
            <v>0.61155348932665587</v>
          </cell>
        </row>
        <row r="68">
          <cell r="A68">
            <v>6.3999999999999932</v>
          </cell>
          <cell r="F68">
            <v>0.47133081275861782</v>
          </cell>
          <cell r="H68">
            <v>0.6116084199017604</v>
          </cell>
        </row>
        <row r="69">
          <cell r="A69">
            <v>6.4999999999999929</v>
          </cell>
          <cell r="F69">
            <v>0.47894965405250123</v>
          </cell>
          <cell r="H69">
            <v>0.61543254259699043</v>
          </cell>
        </row>
        <row r="70">
          <cell r="A70">
            <v>6.5999999999999925</v>
          </cell>
          <cell r="F70">
            <v>0.49158849555919759</v>
          </cell>
          <cell r="H70">
            <v>0.62287894771277696</v>
          </cell>
        </row>
        <row r="71">
          <cell r="A71">
            <v>6.6999999999999922</v>
          </cell>
          <cell r="F71">
            <v>0.50902212427252336</v>
          </cell>
          <cell r="H71">
            <v>0.63376983668234854</v>
          </cell>
        </row>
        <row r="72">
          <cell r="A72">
            <v>6.7999999999999918</v>
          </cell>
          <cell r="F72">
            <v>0.53098221503176701</v>
          </cell>
          <cell r="H72">
            <v>0.64789914794715253</v>
          </cell>
        </row>
        <row r="73">
          <cell r="A73">
            <v>6.8999999999999915</v>
          </cell>
          <cell r="F73">
            <v>0.55716085050298036</v>
          </cell>
          <cell r="H73">
            <v>0.66503538074844615</v>
          </cell>
        </row>
        <row r="74">
          <cell r="A74">
            <v>6.9999999999999911</v>
          </cell>
          <cell r="F74">
            <v>0.58721436415296124</v>
          </cell>
          <cell r="H74">
            <v>0.68492458365505704</v>
          </cell>
        </row>
        <row r="75">
          <cell r="A75">
            <v>7.0999999999999908</v>
          </cell>
          <cell r="F75">
            <v>0.62076746165493069</v>
          </cell>
          <cell r="H75">
            <v>0.70729347401433884</v>
          </cell>
        </row>
        <row r="76">
          <cell r="A76">
            <v>7.1999999999999904</v>
          </cell>
          <cell r="F76">
            <v>0.65741757428712322</v>
          </cell>
          <cell r="H76">
            <v>0.73185265422709467</v>
          </cell>
        </row>
        <row r="77">
          <cell r="A77">
            <v>7.2999999999999901</v>
          </cell>
          <cell r="F77">
            <v>0.69673939650595129</v>
          </cell>
          <cell r="H77">
            <v>0.75829989080038096</v>
          </cell>
        </row>
        <row r="78">
          <cell r="A78">
            <v>7.3999999999999897</v>
          </cell>
          <cell r="F78">
            <v>0.73828955899785853</v>
          </cell>
          <cell r="H78">
            <v>0.78632342251424736</v>
          </cell>
        </row>
        <row r="79">
          <cell r="A79">
            <v>7.4999999999999893</v>
          </cell>
          <cell r="F79">
            <v>0.78161138813718545</v>
          </cell>
          <cell r="H79">
            <v>0.81560526473630945</v>
          </cell>
        </row>
        <row r="80">
          <cell r="A80">
            <v>7.599999999999989</v>
          </cell>
          <cell r="F80">
            <v>0.82623970289510662</v>
          </cell>
          <cell r="H80">
            <v>0.84582447791562887</v>
          </cell>
        </row>
        <row r="81">
          <cell r="A81">
            <v>7.6999999999999886</v>
          </cell>
          <cell r="F81">
            <v>0.87170560084598026</v>
          </cell>
          <cell r="H81">
            <v>0.87666036956627269</v>
          </cell>
        </row>
        <row r="82">
          <cell r="A82">
            <v>7.7999999999999883</v>
          </cell>
          <cell r="F82">
            <v>0.91754118598668388</v>
          </cell>
          <cell r="H82">
            <v>0.90779560059052622</v>
          </cell>
        </row>
        <row r="83">
          <cell r="A83">
            <v>7.8999999999999879</v>
          </cell>
          <cell r="F83">
            <v>0.96328419260179821</v>
          </cell>
          <cell r="H83">
            <v>0.93891916856950508</v>
          </cell>
        </row>
        <row r="84">
          <cell r="A84">
            <v>7.9999999999999876</v>
          </cell>
          <cell r="F84">
            <v>1.0084824613488643</v>
          </cell>
          <cell r="H84">
            <v>0.96972924264065441</v>
          </cell>
        </row>
        <row r="85">
          <cell r="A85"/>
          <cell r="F85"/>
          <cell r="H85">
            <v>0.99993582676176396</v>
          </cell>
        </row>
        <row r="86">
          <cell r="A86"/>
          <cell r="F86"/>
          <cell r="H86">
            <v>1.0292632305030183</v>
          </cell>
        </row>
        <row r="87">
          <cell r="A87"/>
          <cell r="F87"/>
          <cell r="H87"/>
        </row>
        <row r="88">
          <cell r="A88"/>
          <cell r="F88"/>
          <cell r="H88"/>
        </row>
        <row r="89">
          <cell r="A89"/>
          <cell r="F89"/>
          <cell r="H89"/>
        </row>
        <row r="90">
          <cell r="A90"/>
          <cell r="F90"/>
          <cell r="H90"/>
        </row>
        <row r="91">
          <cell r="A91"/>
          <cell r="F91"/>
          <cell r="H91"/>
        </row>
        <row r="92">
          <cell r="A92"/>
          <cell r="F92"/>
          <cell r="H92"/>
        </row>
        <row r="93">
          <cell r="A93"/>
          <cell r="F93"/>
          <cell r="H93"/>
        </row>
        <row r="94">
          <cell r="A94"/>
          <cell r="F94"/>
          <cell r="H94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6"/>
  <sheetViews>
    <sheetView tabSelected="1" topLeftCell="A4" workbookViewId="0">
      <selection activeCell="P26" sqref="P26"/>
    </sheetView>
  </sheetViews>
  <sheetFormatPr baseColWidth="10" defaultColWidth="8.83203125" defaultRowHeight="15"/>
  <sheetData>
    <row r="1" spans="1:18" ht="26">
      <c r="A1" s="1" t="s">
        <v>2</v>
      </c>
      <c r="B1" s="2">
        <v>0.1</v>
      </c>
      <c r="C1" s="1" t="s">
        <v>3</v>
      </c>
      <c r="D1" s="2">
        <v>0.1</v>
      </c>
      <c r="E1" s="3" t="s">
        <v>4</v>
      </c>
      <c r="F1" s="3"/>
      <c r="G1" s="3">
        <v>2</v>
      </c>
      <c r="H1" s="9" t="s">
        <v>16</v>
      </c>
      <c r="I1" s="3"/>
      <c r="J1" s="3">
        <v>5</v>
      </c>
      <c r="K1" s="10" t="s">
        <v>17</v>
      </c>
      <c r="R1" t="s">
        <v>0</v>
      </c>
    </row>
    <row r="2" spans="1:18" ht="25">
      <c r="A2" s="3"/>
      <c r="B2" s="11" t="s">
        <v>5</v>
      </c>
      <c r="C2" s="11"/>
      <c r="D2" s="11" t="s">
        <v>6</v>
      </c>
      <c r="E2" s="11"/>
      <c r="F2" s="11" t="s">
        <v>7</v>
      </c>
      <c r="G2" s="11"/>
      <c r="H2" s="11" t="s">
        <v>8</v>
      </c>
      <c r="I2" s="11"/>
      <c r="J2" s="3"/>
      <c r="R2" t="s">
        <v>1</v>
      </c>
    </row>
    <row r="3" spans="1:18" ht="25">
      <c r="A3" s="4" t="s">
        <v>9</v>
      </c>
      <c r="B3" s="5" t="s">
        <v>10</v>
      </c>
      <c r="C3" s="5" t="s">
        <v>11</v>
      </c>
      <c r="D3" s="5" t="s">
        <v>12</v>
      </c>
      <c r="E3" s="5" t="s">
        <v>13</v>
      </c>
      <c r="F3" s="4" t="s">
        <v>14</v>
      </c>
      <c r="G3" s="4" t="s">
        <v>15</v>
      </c>
      <c r="H3" s="4" t="s">
        <v>14</v>
      </c>
      <c r="I3" s="4" t="s">
        <v>15</v>
      </c>
      <c r="J3" s="3"/>
    </row>
    <row r="4" spans="1:18" ht="25">
      <c r="A4" s="3">
        <v>0</v>
      </c>
      <c r="B4" s="6"/>
      <c r="C4" s="6"/>
      <c r="D4" s="3"/>
      <c r="E4" s="3"/>
      <c r="F4" s="7">
        <v>0</v>
      </c>
      <c r="G4" s="7">
        <v>0</v>
      </c>
      <c r="H4" s="6">
        <v>0</v>
      </c>
      <c r="I4" s="6">
        <v>0</v>
      </c>
      <c r="J4" s="3"/>
    </row>
    <row r="5" spans="1:18" ht="25">
      <c r="A5" s="8">
        <f>A4+$B$1</f>
        <v>0.1</v>
      </c>
      <c r="B5" s="7">
        <f>$B$1*G4</f>
        <v>0</v>
      </c>
      <c r="C5" s="7">
        <f>$B$1*(1-2*$D$1*G4-F4)</f>
        <v>0.1</v>
      </c>
      <c r="D5" s="7">
        <f>$B$1*(G4+C5)</f>
        <v>1.0000000000000002E-2</v>
      </c>
      <c r="E5" s="7">
        <f>$B$1*(1-2*$D$1*(G4+C5)-(F4+B5))</f>
        <v>9.8000000000000004E-2</v>
      </c>
      <c r="F5" s="6">
        <f>F4+0.5*(B5+D5)</f>
        <v>5.000000000000001E-3</v>
      </c>
      <c r="G5" s="6">
        <f>G4+0.5*(C5+E5)</f>
        <v>9.9000000000000005E-2</v>
      </c>
      <c r="H5" s="6">
        <v>9.7087378640776708E-3</v>
      </c>
      <c r="I5" s="6">
        <v>9.7087378640776698E-2</v>
      </c>
      <c r="J5" s="3"/>
    </row>
    <row r="6" spans="1:18" ht="25">
      <c r="A6" s="8">
        <f>A5+$B$1</f>
        <v>0.2</v>
      </c>
      <c r="B6" s="7">
        <f t="shared" ref="B6:B69" si="0">$B$1*G5</f>
        <v>9.9000000000000008E-3</v>
      </c>
      <c r="C6" s="7">
        <f t="shared" ref="C6:C69" si="1">$B$1*(1-2*$D$1*G5-F5)</f>
        <v>9.7519999999999996E-2</v>
      </c>
      <c r="D6" s="7">
        <f t="shared" ref="D6:D69" si="2">$B$1*(G5+C6)</f>
        <v>1.9652000000000003E-2</v>
      </c>
      <c r="E6" s="7">
        <f t="shared" ref="E6:E69" si="3">$B$1*(1-2*$D$1*(G5+C6)-(F5+B6))</f>
        <v>9.45796E-2</v>
      </c>
      <c r="F6" s="6">
        <f t="shared" ref="F6:G21" si="4">F5+0.5*(B6+D6)</f>
        <v>1.9776000000000002E-2</v>
      </c>
      <c r="G6" s="6">
        <f t="shared" si="4"/>
        <v>0.1950498</v>
      </c>
      <c r="H6" s="6">
        <v>2.8749175228579511E-2</v>
      </c>
      <c r="I6" s="6">
        <v>0.19040437364501839</v>
      </c>
      <c r="J6" s="3"/>
    </row>
    <row r="7" spans="1:18" ht="25">
      <c r="A7" s="8">
        <f t="shared" ref="A7:A70" si="5">A6+$B$1</f>
        <v>0.30000000000000004</v>
      </c>
      <c r="B7" s="7">
        <f t="shared" si="0"/>
        <v>1.9504980000000002E-2</v>
      </c>
      <c r="C7" s="7">
        <f t="shared" si="1"/>
        <v>9.4121404000000006E-2</v>
      </c>
      <c r="D7" s="7">
        <f t="shared" si="2"/>
        <v>2.8917120400000003E-2</v>
      </c>
      <c r="E7" s="7">
        <f t="shared" si="3"/>
        <v>9.0288477919999999E-2</v>
      </c>
      <c r="F7" s="6">
        <f t="shared" si="4"/>
        <v>4.3987050200000002E-2</v>
      </c>
      <c r="G7" s="6">
        <f t="shared" si="4"/>
        <v>0.28725474096000003</v>
      </c>
      <c r="H7" s="6">
        <v>5.666465640548829E-2</v>
      </c>
      <c r="I7" s="6">
        <v>0.2791548117690878</v>
      </c>
      <c r="J7" s="3"/>
    </row>
    <row r="8" spans="1:18" ht="25">
      <c r="A8" s="8">
        <f t="shared" si="5"/>
        <v>0.4</v>
      </c>
      <c r="B8" s="7">
        <f t="shared" si="0"/>
        <v>2.8725474096000004E-2</v>
      </c>
      <c r="C8" s="7">
        <f t="shared" si="1"/>
        <v>8.9856200160799996E-2</v>
      </c>
      <c r="D8" s="7">
        <f t="shared" si="2"/>
        <v>3.7711094112080006E-2</v>
      </c>
      <c r="E8" s="7">
        <f t="shared" si="3"/>
        <v>8.5186528747984006E-2</v>
      </c>
      <c r="F8" s="6">
        <f t="shared" si="4"/>
        <v>7.7205334304040002E-2</v>
      </c>
      <c r="G8" s="6">
        <f t="shared" si="4"/>
        <v>0.37477610541439205</v>
      </c>
      <c r="H8" s="6">
        <v>9.2925660883987224E-2</v>
      </c>
      <c r="I8" s="6">
        <v>0.36261004478498932</v>
      </c>
      <c r="J8" s="3"/>
    </row>
    <row r="9" spans="1:18" ht="25">
      <c r="A9" s="8">
        <f t="shared" si="5"/>
        <v>0.5</v>
      </c>
      <c r="B9" s="7">
        <f t="shared" si="0"/>
        <v>3.7477610541439207E-2</v>
      </c>
      <c r="C9" s="7">
        <f t="shared" si="1"/>
        <v>8.4783944461308158E-2</v>
      </c>
      <c r="D9" s="7">
        <f t="shared" si="2"/>
        <v>4.5956004987570021E-2</v>
      </c>
      <c r="E9" s="7">
        <f t="shared" si="3"/>
        <v>7.9340504517938074E-2</v>
      </c>
      <c r="F9" s="6">
        <f t="shared" si="4"/>
        <v>0.11892214206854462</v>
      </c>
      <c r="G9" s="6">
        <f t="shared" si="4"/>
        <v>0.45683832990401518</v>
      </c>
      <c r="H9" s="6">
        <v>0.13693706658268534</v>
      </c>
      <c r="I9" s="6">
        <v>0.44011405698698114</v>
      </c>
      <c r="J9" s="3"/>
    </row>
    <row r="10" spans="1:18" ht="25">
      <c r="A10" s="8">
        <f t="shared" si="5"/>
        <v>0.6</v>
      </c>
      <c r="B10" s="7">
        <f t="shared" si="0"/>
        <v>4.5683832990401518E-2</v>
      </c>
      <c r="C10" s="7">
        <f t="shared" si="1"/>
        <v>7.8971019195065245E-2</v>
      </c>
      <c r="D10" s="7">
        <f t="shared" si="2"/>
        <v>5.3580934909908041E-2</v>
      </c>
      <c r="E10" s="7">
        <f t="shared" si="3"/>
        <v>7.2823215512123771E-2</v>
      </c>
      <c r="F10" s="6">
        <f t="shared" si="4"/>
        <v>0.16855452601869941</v>
      </c>
      <c r="G10" s="6">
        <f t="shared" si="4"/>
        <v>0.53273544725760968</v>
      </c>
      <c r="H10" s="6">
        <v>0.18804583845925937</v>
      </c>
      <c r="I10" s="6">
        <v>0.51108771876574033</v>
      </c>
      <c r="J10" s="3"/>
    </row>
    <row r="11" spans="1:18" ht="25">
      <c r="A11" s="8">
        <f t="shared" si="5"/>
        <v>0.7</v>
      </c>
      <c r="B11" s="7">
        <f t="shared" si="0"/>
        <v>5.3273544725760971E-2</v>
      </c>
      <c r="C11" s="7">
        <f t="shared" si="1"/>
        <v>7.2489838452977878E-2</v>
      </c>
      <c r="D11" s="7">
        <f t="shared" si="2"/>
        <v>6.0522528571058755E-2</v>
      </c>
      <c r="E11" s="7">
        <f t="shared" si="3"/>
        <v>6.5712687211342199E-2</v>
      </c>
      <c r="F11" s="6">
        <f t="shared" si="4"/>
        <v>0.22545256266710928</v>
      </c>
      <c r="G11" s="6">
        <f t="shared" si="4"/>
        <v>0.60183671008976969</v>
      </c>
      <c r="H11" s="6">
        <v>0.24554905544176564</v>
      </c>
      <c r="I11" s="6">
        <v>0.57503216982506256</v>
      </c>
      <c r="J11" s="3"/>
    </row>
    <row r="12" spans="1:18" ht="25">
      <c r="A12" s="8">
        <f t="shared" si="5"/>
        <v>0.79999999999999993</v>
      </c>
      <c r="B12" s="7">
        <f t="shared" si="0"/>
        <v>6.0183671008976973E-2</v>
      </c>
      <c r="C12" s="7">
        <f t="shared" si="1"/>
        <v>6.5418009531493682E-2</v>
      </c>
      <c r="D12" s="7">
        <f t="shared" si="2"/>
        <v>6.6725471962126345E-2</v>
      </c>
      <c r="E12" s="7">
        <f t="shared" si="3"/>
        <v>5.8091282239966104E-2</v>
      </c>
      <c r="F12" s="6">
        <f t="shared" si="4"/>
        <v>0.28890713415266095</v>
      </c>
      <c r="G12" s="6">
        <f t="shared" si="4"/>
        <v>0.66359135597549956</v>
      </c>
      <c r="H12" s="6">
        <v>0.30870218789622061</v>
      </c>
      <c r="I12" s="6">
        <v>0.63153132454454941</v>
      </c>
      <c r="J12" s="3"/>
    </row>
    <row r="13" spans="1:18" ht="25">
      <c r="A13" s="8">
        <f t="shared" si="5"/>
        <v>0.89999999999999991</v>
      </c>
      <c r="B13" s="7">
        <f t="shared" si="0"/>
        <v>6.6359135597549954E-2</v>
      </c>
      <c r="C13" s="7">
        <f t="shared" si="1"/>
        <v>5.7837459465223923E-2</v>
      </c>
      <c r="D13" s="7">
        <f t="shared" si="2"/>
        <v>7.2142881544072349E-2</v>
      </c>
      <c r="E13" s="7">
        <f t="shared" si="3"/>
        <v>5.0044796716164443E-2</v>
      </c>
      <c r="F13" s="6">
        <f t="shared" si="4"/>
        <v>0.35815814272347213</v>
      </c>
      <c r="G13" s="6">
        <f t="shared" si="4"/>
        <v>0.71753248406619374</v>
      </c>
      <c r="H13" s="6">
        <v>0.37672753796951453</v>
      </c>
      <c r="I13" s="6">
        <v>0.68025350073293911</v>
      </c>
      <c r="J13" s="3"/>
    </row>
    <row r="14" spans="1:18" ht="25">
      <c r="A14" s="8">
        <f t="shared" si="5"/>
        <v>0.99999999999999989</v>
      </c>
      <c r="B14" s="7">
        <f t="shared" si="0"/>
        <v>7.1753248406619383E-2</v>
      </c>
      <c r="C14" s="7">
        <f t="shared" si="1"/>
        <v>4.9833536046328911E-2</v>
      </c>
      <c r="D14" s="7">
        <f t="shared" si="2"/>
        <v>7.6736602011252264E-2</v>
      </c>
      <c r="E14" s="7">
        <f t="shared" si="3"/>
        <v>4.1661540484740398E-2</v>
      </c>
      <c r="F14" s="6">
        <f t="shared" si="4"/>
        <v>0.43240306793240796</v>
      </c>
      <c r="G14" s="6">
        <f t="shared" si="4"/>
        <v>0.76328002233172842</v>
      </c>
      <c r="H14" s="6">
        <v>0.44882275611863953</v>
      </c>
      <c r="I14" s="6">
        <v>0.72095218149125007</v>
      </c>
      <c r="J14" s="3"/>
    </row>
    <row r="15" spans="1:18" ht="25">
      <c r="A15" s="8">
        <f t="shared" si="5"/>
        <v>1.0999999999999999</v>
      </c>
      <c r="B15" s="7">
        <f t="shared" si="0"/>
        <v>7.6328002233172848E-2</v>
      </c>
      <c r="C15" s="7">
        <f t="shared" si="1"/>
        <v>4.149409276012464E-2</v>
      </c>
      <c r="D15" s="7">
        <f t="shared" si="2"/>
        <v>8.0477411509185304E-2</v>
      </c>
      <c r="E15" s="7">
        <f t="shared" si="3"/>
        <v>3.303141068160486E-2</v>
      </c>
      <c r="F15" s="6">
        <f t="shared" si="4"/>
        <v>0.51080577480358702</v>
      </c>
      <c r="G15" s="6">
        <f t="shared" si="4"/>
        <v>0.80054277405259322</v>
      </c>
      <c r="H15" s="6">
        <v>0.52416934892246347</v>
      </c>
      <c r="I15" s="6">
        <v>0.75346592803823886</v>
      </c>
      <c r="J15" s="3"/>
    </row>
    <row r="16" spans="1:18" ht="25">
      <c r="A16" s="8">
        <f t="shared" si="5"/>
        <v>1.2</v>
      </c>
      <c r="B16" s="7">
        <f t="shared" si="0"/>
        <v>8.0054277405259333E-2</v>
      </c>
      <c r="C16" s="7">
        <f t="shared" si="1"/>
        <v>3.290856703858943E-2</v>
      </c>
      <c r="D16" s="7">
        <f t="shared" si="2"/>
        <v>8.3345134109118271E-2</v>
      </c>
      <c r="E16" s="7">
        <f t="shared" si="3"/>
        <v>2.4244967957291721E-2</v>
      </c>
      <c r="F16" s="6">
        <f t="shared" si="4"/>
        <v>0.59250548056077579</v>
      </c>
      <c r="G16" s="6">
        <f t="shared" si="4"/>
        <v>0.8291195415505338</v>
      </c>
      <c r="H16" s="6">
        <v>0.60194109582984145</v>
      </c>
      <c r="I16" s="6">
        <v>0.77771746907377914</v>
      </c>
      <c r="J16" s="3"/>
    </row>
    <row r="17" spans="1:10" ht="25">
      <c r="A17" s="8">
        <f t="shared" si="5"/>
        <v>1.3</v>
      </c>
      <c r="B17" s="7">
        <f t="shared" si="0"/>
        <v>8.2911954155053383E-2</v>
      </c>
      <c r="C17" s="7">
        <f t="shared" si="1"/>
        <v>2.4167061112911749E-2</v>
      </c>
      <c r="D17" s="7">
        <f t="shared" si="2"/>
        <v>8.5328660266344558E-2</v>
      </c>
      <c r="E17" s="7">
        <f t="shared" si="3"/>
        <v>1.5392524475148174E-2</v>
      </c>
      <c r="F17" s="6">
        <f t="shared" si="4"/>
        <v>0.67662578777147475</v>
      </c>
      <c r="G17" s="6">
        <f t="shared" si="4"/>
        <v>0.84889933434456377</v>
      </c>
      <c r="H17" s="6">
        <v>0.68131229578040409</v>
      </c>
      <c r="I17" s="6">
        <v>0.79371199950562621</v>
      </c>
      <c r="J17" s="3"/>
    </row>
    <row r="18" spans="1:10" ht="25">
      <c r="A18" s="8">
        <f t="shared" si="5"/>
        <v>1.4000000000000001</v>
      </c>
      <c r="B18" s="7">
        <f t="shared" si="0"/>
        <v>8.4889933434456388E-2</v>
      </c>
      <c r="C18" s="7">
        <f t="shared" si="1"/>
        <v>1.5359434535961248E-2</v>
      </c>
      <c r="D18" s="7">
        <f t="shared" si="2"/>
        <v>8.6425876888052505E-2</v>
      </c>
      <c r="E18" s="7">
        <f t="shared" si="3"/>
        <v>6.5632525017963912E-3</v>
      </c>
      <c r="F18" s="6">
        <f t="shared" si="4"/>
        <v>0.76228369293272924</v>
      </c>
      <c r="G18" s="6">
        <f t="shared" si="4"/>
        <v>0.85986067786344256</v>
      </c>
      <c r="H18" s="6">
        <v>0.76146576858890758</v>
      </c>
      <c r="I18" s="6">
        <v>0.80153472808503468</v>
      </c>
      <c r="J18" s="3"/>
    </row>
    <row r="19" spans="1:10" ht="25">
      <c r="A19" s="8">
        <f t="shared" si="5"/>
        <v>1.5000000000000002</v>
      </c>
      <c r="B19" s="7">
        <f t="shared" si="0"/>
        <v>8.5986067786344267E-2</v>
      </c>
      <c r="C19" s="7">
        <f t="shared" si="1"/>
        <v>6.5744171494582226E-3</v>
      </c>
      <c r="D19" s="7">
        <f t="shared" si="2"/>
        <v>8.6643509501290072E-2</v>
      </c>
      <c r="E19" s="7">
        <f t="shared" si="3"/>
        <v>-2.1556779721653599E-3</v>
      </c>
      <c r="F19" s="6">
        <f t="shared" si="4"/>
        <v>0.84859848157654638</v>
      </c>
      <c r="G19" s="6">
        <f t="shared" si="4"/>
        <v>0.86207004745208904</v>
      </c>
      <c r="H19" s="6">
        <v>0.84160054055261091</v>
      </c>
      <c r="I19" s="6">
        <v>0.801347719637033</v>
      </c>
      <c r="J19" s="3"/>
    </row>
    <row r="20" spans="1:10" ht="25">
      <c r="A20" s="8">
        <f t="shared" si="5"/>
        <v>1.6000000000000003</v>
      </c>
      <c r="B20" s="7">
        <f t="shared" si="0"/>
        <v>8.6207004745208912E-2</v>
      </c>
      <c r="C20" s="7">
        <f t="shared" si="1"/>
        <v>-2.1012491066964233E-3</v>
      </c>
      <c r="D20" s="7">
        <f t="shared" si="2"/>
        <v>8.5996879834539269E-2</v>
      </c>
      <c r="E20" s="7">
        <f t="shared" si="3"/>
        <v>-1.0679924599083391E-2</v>
      </c>
      <c r="F20" s="6">
        <f t="shared" si="4"/>
        <v>0.93470042386642049</v>
      </c>
      <c r="G20" s="6">
        <f t="shared" si="4"/>
        <v>0.85567946059919908</v>
      </c>
      <c r="H20" s="6">
        <v>0.92093914886152084</v>
      </c>
      <c r="I20" s="6">
        <v>0.79338608308909897</v>
      </c>
      <c r="J20" s="3"/>
    </row>
    <row r="21" spans="1:10" ht="25">
      <c r="A21" s="8">
        <f t="shared" si="5"/>
        <v>1.7000000000000004</v>
      </c>
      <c r="B21" s="7">
        <f t="shared" si="0"/>
        <v>8.5567946059919908E-2</v>
      </c>
      <c r="C21" s="7">
        <f t="shared" si="1"/>
        <v>-1.0583631598626032E-2</v>
      </c>
      <c r="D21" s="7">
        <f t="shared" si="2"/>
        <v>8.4509582900057306E-2</v>
      </c>
      <c r="E21" s="7">
        <f t="shared" si="3"/>
        <v>-1.8928753572645497E-2</v>
      </c>
      <c r="F21" s="6">
        <f t="shared" si="4"/>
        <v>1.0197391883464091</v>
      </c>
      <c r="G21" s="6">
        <f t="shared" si="4"/>
        <v>0.84092326801356332</v>
      </c>
      <c r="H21" s="6">
        <v>0.99873450499772931</v>
      </c>
      <c r="I21" s="6">
        <v>0.77795356136208438</v>
      </c>
      <c r="J21" s="3"/>
    </row>
    <row r="22" spans="1:10" ht="25">
      <c r="A22" s="8">
        <f t="shared" si="5"/>
        <v>1.8000000000000005</v>
      </c>
      <c r="B22" s="7">
        <f t="shared" si="0"/>
        <v>8.4092326801356337E-2</v>
      </c>
      <c r="C22" s="7">
        <f t="shared" si="1"/>
        <v>-1.8792384194912182E-2</v>
      </c>
      <c r="D22" s="7">
        <f t="shared" si="2"/>
        <v>8.2213088381865126E-2</v>
      </c>
      <c r="E22" s="7">
        <f t="shared" si="3"/>
        <v>-2.6825769191149564E-2</v>
      </c>
      <c r="F22" s="6">
        <f t="shared" ref="F22:G37" si="6">F21+0.5*(B22+D22)</f>
        <v>1.1028918959380198</v>
      </c>
      <c r="G22" s="6">
        <f t="shared" si="6"/>
        <v>0.81811419132053242</v>
      </c>
      <c r="H22" s="6">
        <v>1.074276263333876</v>
      </c>
      <c r="I22" s="6">
        <v>0.75541758336146736</v>
      </c>
      <c r="J22" s="3"/>
    </row>
    <row r="23" spans="1:10" ht="25">
      <c r="A23" s="8">
        <f t="shared" si="5"/>
        <v>1.9000000000000006</v>
      </c>
      <c r="B23" s="7">
        <f t="shared" si="0"/>
        <v>8.1811419132053254E-2</v>
      </c>
      <c r="C23" s="7">
        <f t="shared" si="1"/>
        <v>-2.6651473420212637E-2</v>
      </c>
      <c r="D23" s="7">
        <f t="shared" si="2"/>
        <v>7.9146271790031975E-2</v>
      </c>
      <c r="E23" s="7">
        <f t="shared" si="3"/>
        <v>-3.4299585865013693E-2</v>
      </c>
      <c r="F23" s="6">
        <f t="shared" si="6"/>
        <v>1.1833707413990624</v>
      </c>
      <c r="G23" s="6">
        <f t="shared" si="6"/>
        <v>0.78763866167791929</v>
      </c>
      <c r="H23" s="6">
        <v>1.1468966475113596</v>
      </c>
      <c r="I23" s="6">
        <v>0.72620384177483466</v>
      </c>
      <c r="J23" s="3"/>
    </row>
    <row r="24" spans="1:10" ht="25">
      <c r="A24" s="8">
        <f t="shared" si="5"/>
        <v>2.0000000000000004</v>
      </c>
      <c r="B24" s="7">
        <f t="shared" si="0"/>
        <v>7.8763866167791935E-2</v>
      </c>
      <c r="C24" s="7">
        <f t="shared" si="1"/>
        <v>-3.4089847373464634E-2</v>
      </c>
      <c r="D24" s="7">
        <f t="shared" si="2"/>
        <v>7.5354881430445469E-2</v>
      </c>
      <c r="E24" s="7">
        <f t="shared" si="3"/>
        <v>-4.1284437042774513E-2</v>
      </c>
      <c r="F24" s="6">
        <f t="shared" si="6"/>
        <v>1.2604301151981812</v>
      </c>
      <c r="G24" s="6">
        <f t="shared" si="6"/>
        <v>0.74995151946979977</v>
      </c>
      <c r="H24" s="6">
        <v>1.21597569382434</v>
      </c>
      <c r="I24" s="6">
        <v>0.69079046312980452</v>
      </c>
      <c r="J24" s="3"/>
    </row>
    <row r="25" spans="1:10" ht="25">
      <c r="A25" s="8">
        <f t="shared" si="5"/>
        <v>2.1000000000000005</v>
      </c>
      <c r="B25" s="7">
        <f t="shared" si="0"/>
        <v>7.4995151946979977E-2</v>
      </c>
      <c r="C25" s="7">
        <f t="shared" si="1"/>
        <v>-4.1042041909214115E-2</v>
      </c>
      <c r="D25" s="7">
        <f t="shared" si="2"/>
        <v>7.0890947756058573E-2</v>
      </c>
      <c r="E25" s="7">
        <f t="shared" si="3"/>
        <v>-4.7720716265727839E-2</v>
      </c>
      <c r="F25" s="6">
        <f t="shared" si="6"/>
        <v>1.3333731650497005</v>
      </c>
      <c r="G25" s="6">
        <f t="shared" si="6"/>
        <v>0.70557014038232879</v>
      </c>
      <c r="H25" s="6">
        <v>1.280945877683308</v>
      </c>
      <c r="I25" s="6">
        <v>0.64970183858968</v>
      </c>
      <c r="J25" s="3"/>
    </row>
    <row r="26" spans="1:10" ht="25">
      <c r="A26" s="8">
        <f t="shared" si="5"/>
        <v>2.2000000000000006</v>
      </c>
      <c r="B26" s="7">
        <f t="shared" si="0"/>
        <v>7.0557014038232876E-2</v>
      </c>
      <c r="C26" s="7">
        <f t="shared" si="1"/>
        <v>-4.7448719312616627E-2</v>
      </c>
      <c r="D26" s="7">
        <f t="shared" si="2"/>
        <v>6.5812142106971214E-2</v>
      </c>
      <c r="E26" s="7">
        <f t="shared" si="3"/>
        <v>-5.3555446330187578E-2</v>
      </c>
      <c r="F26" s="6">
        <f t="shared" si="6"/>
        <v>1.4015577431223025</v>
      </c>
      <c r="G26" s="6">
        <f t="shared" si="6"/>
        <v>0.65506805756092668</v>
      </c>
      <c r="H26" s="6">
        <v>1.3412960962096525</v>
      </c>
      <c r="I26" s="6">
        <v>0.60350218526344579</v>
      </c>
      <c r="J26" s="3"/>
    </row>
    <row r="27" spans="1:10" ht="25">
      <c r="A27" s="8">
        <f t="shared" si="5"/>
        <v>2.3000000000000007</v>
      </c>
      <c r="B27" s="7">
        <f t="shared" si="0"/>
        <v>6.5506805756092676E-2</v>
      </c>
      <c r="C27" s="7">
        <f t="shared" si="1"/>
        <v>-5.325713546344879E-2</v>
      </c>
      <c r="D27" s="7">
        <f t="shared" si="2"/>
        <v>6.0181092209747794E-2</v>
      </c>
      <c r="E27" s="7">
        <f t="shared" si="3"/>
        <v>-5.8742673329789066E-2</v>
      </c>
      <c r="F27" s="6">
        <f t="shared" si="6"/>
        <v>1.4644016921052228</v>
      </c>
      <c r="G27" s="6">
        <f t="shared" si="6"/>
        <v>0.59906815316430773</v>
      </c>
      <c r="H27" s="6">
        <v>1.3965749870487283</v>
      </c>
      <c r="I27" s="6">
        <v>0.55278890839075778</v>
      </c>
      <c r="J27" s="3"/>
    </row>
    <row r="28" spans="1:10" ht="25">
      <c r="A28" s="8">
        <f t="shared" si="5"/>
        <v>2.4000000000000008</v>
      </c>
      <c r="B28" s="7">
        <f t="shared" si="0"/>
        <v>5.9906815316430773E-2</v>
      </c>
      <c r="C28" s="7">
        <f t="shared" si="1"/>
        <v>-5.8421532273808433E-2</v>
      </c>
      <c r="D28" s="7">
        <f t="shared" si="2"/>
        <v>5.4064662089049934E-2</v>
      </c>
      <c r="E28" s="7">
        <f t="shared" si="3"/>
        <v>-6.324378315997535E-2</v>
      </c>
      <c r="F28" s="6">
        <f t="shared" si="6"/>
        <v>1.5213874308079631</v>
      </c>
      <c r="G28" s="6">
        <f t="shared" si="6"/>
        <v>0.53823549544741578</v>
      </c>
      <c r="H28" s="6">
        <v>1.4463935705133772</v>
      </c>
      <c r="I28" s="6">
        <v>0.49818583464649019</v>
      </c>
      <c r="J28" s="3"/>
    </row>
    <row r="29" spans="1:10" ht="25">
      <c r="A29" s="8">
        <f t="shared" si="5"/>
        <v>2.5000000000000009</v>
      </c>
      <c r="B29" s="7">
        <f t="shared" si="0"/>
        <v>5.3823549544741583E-2</v>
      </c>
      <c r="C29" s="7">
        <f t="shared" si="1"/>
        <v>-6.2903452989744632E-2</v>
      </c>
      <c r="D29" s="7">
        <f t="shared" si="2"/>
        <v>4.7533204245767118E-2</v>
      </c>
      <c r="E29" s="7">
        <f t="shared" si="3"/>
        <v>-6.7027738884423912E-2</v>
      </c>
      <c r="F29" s="6">
        <f t="shared" si="6"/>
        <v>1.5720658077032175</v>
      </c>
      <c r="G29" s="6">
        <f t="shared" si="6"/>
        <v>0.47326989951033149</v>
      </c>
      <c r="H29" s="6">
        <v>1.4904272091148483</v>
      </c>
      <c r="I29" s="6">
        <v>0.44033638601471109</v>
      </c>
      <c r="J29" s="3"/>
    </row>
    <row r="30" spans="1:10" ht="25">
      <c r="A30" s="8">
        <f t="shared" si="5"/>
        <v>2.600000000000001</v>
      </c>
      <c r="B30" s="7">
        <f t="shared" si="0"/>
        <v>4.7326989951033155E-2</v>
      </c>
      <c r="C30" s="7">
        <f t="shared" si="1"/>
        <v>-6.6671978760528369E-2</v>
      </c>
      <c r="D30" s="7">
        <f t="shared" si="2"/>
        <v>4.0659792074980314E-2</v>
      </c>
      <c r="E30" s="7">
        <f t="shared" si="3"/>
        <v>-7.007123818042113E-2</v>
      </c>
      <c r="F30" s="6">
        <f t="shared" si="6"/>
        <v>1.6160591987162243</v>
      </c>
      <c r="G30" s="6">
        <f t="shared" si="6"/>
        <v>0.40489829103985675</v>
      </c>
      <c r="H30" s="6">
        <v>1.5284168853384625</v>
      </c>
      <c r="I30" s="6">
        <v>0.37989676223614199</v>
      </c>
      <c r="J30" s="3"/>
    </row>
    <row r="31" spans="1:10" ht="25">
      <c r="A31" s="8">
        <f t="shared" si="5"/>
        <v>2.7000000000000011</v>
      </c>
      <c r="B31" s="7">
        <f t="shared" si="0"/>
        <v>4.0489829103985679E-2</v>
      </c>
      <c r="C31" s="7">
        <f t="shared" si="1"/>
        <v>-6.9703885692419573E-2</v>
      </c>
      <c r="D31" s="7">
        <f t="shared" si="2"/>
        <v>3.3519440534743719E-2</v>
      </c>
      <c r="E31" s="7">
        <f t="shared" si="3"/>
        <v>-7.2358790888969737E-2</v>
      </c>
      <c r="F31" s="6">
        <f t="shared" si="6"/>
        <v>1.6530638335355889</v>
      </c>
      <c r="G31" s="6">
        <f t="shared" si="6"/>
        <v>0.33386695274916212</v>
      </c>
      <c r="H31" s="6">
        <v>1.5601698051153845</v>
      </c>
      <c r="I31" s="6">
        <v>0.31752919776921912</v>
      </c>
      <c r="J31" s="3"/>
    </row>
    <row r="32" spans="1:10" ht="25">
      <c r="A32" s="8">
        <f t="shared" si="5"/>
        <v>2.8000000000000012</v>
      </c>
      <c r="B32" s="7">
        <f t="shared" si="0"/>
        <v>3.3386695274916216E-2</v>
      </c>
      <c r="C32" s="7">
        <f t="shared" si="1"/>
        <v>-7.1983722408542145E-2</v>
      </c>
      <c r="D32" s="7">
        <f t="shared" si="2"/>
        <v>2.6188323034062003E-2</v>
      </c>
      <c r="E32" s="7">
        <f t="shared" si="3"/>
        <v>-7.3882717487862917E-2</v>
      </c>
      <c r="F32" s="6">
        <f t="shared" si="6"/>
        <v>1.682851342690078</v>
      </c>
      <c r="G32" s="6">
        <f t="shared" si="6"/>
        <v>0.26093373280095955</v>
      </c>
      <c r="H32" s="6">
        <v>1.5855593407714701</v>
      </c>
      <c r="I32" s="6">
        <v>0.25389535656085505</v>
      </c>
      <c r="J32" s="3"/>
    </row>
    <row r="33" spans="1:10" ht="25">
      <c r="A33" s="8">
        <f t="shared" si="5"/>
        <v>2.9000000000000012</v>
      </c>
      <c r="B33" s="7">
        <f t="shared" si="0"/>
        <v>2.6093373280095956E-2</v>
      </c>
      <c r="C33" s="7">
        <f t="shared" si="1"/>
        <v>-7.3503808925026989E-2</v>
      </c>
      <c r="D33" s="7">
        <f t="shared" si="2"/>
        <v>1.8742992387593256E-2</v>
      </c>
      <c r="E33" s="7">
        <f t="shared" si="3"/>
        <v>-7.4643070074536036E-2</v>
      </c>
      <c r="F33" s="6">
        <f t="shared" si="6"/>
        <v>1.7052695255239225</v>
      </c>
      <c r="G33" s="6">
        <f t="shared" si="6"/>
        <v>0.18686029330117804</v>
      </c>
      <c r="H33" s="6">
        <v>1.6045243332456165</v>
      </c>
      <c r="I33" s="6">
        <v>0.18964992474146411</v>
      </c>
      <c r="J33" s="3"/>
    </row>
    <row r="34" spans="1:10" ht="25">
      <c r="A34" s="8">
        <f t="shared" si="5"/>
        <v>3.0000000000000013</v>
      </c>
      <c r="B34" s="7">
        <f t="shared" si="0"/>
        <v>1.8686029330117804E-2</v>
      </c>
      <c r="C34" s="7">
        <f t="shared" si="1"/>
        <v>-7.4264158418415813E-2</v>
      </c>
      <c r="D34" s="7">
        <f t="shared" si="2"/>
        <v>1.1259613488276223E-2</v>
      </c>
      <c r="E34" s="7">
        <f t="shared" si="3"/>
        <v>-7.4647478183059279E-2</v>
      </c>
      <c r="F34" s="6">
        <f t="shared" si="6"/>
        <v>1.7202423469331196</v>
      </c>
      <c r="G34" s="6">
        <f t="shared" si="6"/>
        <v>0.11240447500044048</v>
      </c>
      <c r="H34" s="6">
        <v>1.6170677790142478</v>
      </c>
      <c r="I34" s="6">
        <v>0.12543445768631306</v>
      </c>
      <c r="J34" s="3"/>
    </row>
    <row r="35" spans="1:10" ht="25">
      <c r="A35" s="8">
        <f t="shared" si="5"/>
        <v>3.1000000000000014</v>
      </c>
      <c r="B35" s="7">
        <f t="shared" si="0"/>
        <v>1.1240447500044048E-2</v>
      </c>
      <c r="C35" s="7">
        <f t="shared" si="1"/>
        <v>-7.4272324193320777E-2</v>
      </c>
      <c r="D35" s="7">
        <f t="shared" si="2"/>
        <v>3.813215080711971E-3</v>
      </c>
      <c r="E35" s="7">
        <f t="shared" si="3"/>
        <v>-7.3910922459458767E-2</v>
      </c>
      <c r="F35" s="6">
        <f t="shared" si="6"/>
        <v>1.7277691782234976</v>
      </c>
      <c r="G35" s="6">
        <f t="shared" si="6"/>
        <v>3.8312851674050713E-2</v>
      </c>
      <c r="H35" s="6">
        <v>1.6232549323914214</v>
      </c>
      <c r="I35" s="6">
        <v>6.1871533771736188E-2</v>
      </c>
      <c r="J35" s="3"/>
    </row>
    <row r="36" spans="1:10" ht="25">
      <c r="A36" s="8">
        <f t="shared" si="5"/>
        <v>3.2000000000000015</v>
      </c>
      <c r="B36" s="7">
        <f t="shared" si="0"/>
        <v>3.8312851674050714E-3</v>
      </c>
      <c r="C36" s="7">
        <f t="shared" si="1"/>
        <v>-7.354317485583077E-2</v>
      </c>
      <c r="D36" s="7">
        <f t="shared" si="2"/>
        <v>-3.5230323181780058E-3</v>
      </c>
      <c r="E36" s="7">
        <f t="shared" si="3"/>
        <v>-7.2455439875454691E-2</v>
      </c>
      <c r="F36" s="6">
        <f t="shared" si="6"/>
        <v>1.7279233046481111</v>
      </c>
      <c r="G36" s="6">
        <f t="shared" si="6"/>
        <v>-3.4686455691592011E-2</v>
      </c>
      <c r="H36" s="6">
        <v>1.6232108586567218</v>
      </c>
      <c r="I36" s="6">
        <v>-4.40737346996069E-4</v>
      </c>
      <c r="J36" s="3"/>
    </row>
    <row r="37" spans="1:10" ht="25">
      <c r="A37" s="8">
        <f t="shared" si="5"/>
        <v>3.3000000000000016</v>
      </c>
      <c r="B37" s="7">
        <f t="shared" si="0"/>
        <v>-3.4686455691592013E-3</v>
      </c>
      <c r="C37" s="7">
        <f t="shared" si="1"/>
        <v>-7.2098601350979272E-2</v>
      </c>
      <c r="D37" s="7">
        <f t="shared" si="2"/>
        <v>-1.067850570425713E-2</v>
      </c>
      <c r="E37" s="7">
        <f t="shared" si="3"/>
        <v>-7.0309764767043759E-2</v>
      </c>
      <c r="F37" s="6">
        <f t="shared" si="6"/>
        <v>1.7208497290114029</v>
      </c>
      <c r="G37" s="6">
        <f t="shared" si="6"/>
        <v>-0.10589063875060353</v>
      </c>
      <c r="H37" s="6">
        <v>1.6171174777622879</v>
      </c>
      <c r="I37" s="6">
        <v>-6.0933808944338093E-2</v>
      </c>
      <c r="J37" s="3"/>
    </row>
    <row r="38" spans="1:10" ht="25">
      <c r="A38" s="8">
        <f t="shared" si="5"/>
        <v>3.4000000000000017</v>
      </c>
      <c r="B38" s="7">
        <f t="shared" si="0"/>
        <v>-1.0589063875060353E-2</v>
      </c>
      <c r="C38" s="7">
        <f t="shared" si="1"/>
        <v>-6.9967160126128233E-2</v>
      </c>
      <c r="D38" s="7">
        <f t="shared" si="2"/>
        <v>-1.7585779887673177E-2</v>
      </c>
      <c r="E38" s="7">
        <f t="shared" si="3"/>
        <v>-6.7508910536099628E-2</v>
      </c>
      <c r="F38" s="6">
        <f t="shared" ref="F38:G53" si="7">F37+0.5*(B38+D38)</f>
        <v>1.7067623071300362</v>
      </c>
      <c r="G38" s="6">
        <f t="shared" si="7"/>
        <v>-0.17462867408171745</v>
      </c>
      <c r="H38" s="6">
        <v>1.6052101421583493</v>
      </c>
      <c r="I38" s="6">
        <v>-0.11907335603938531</v>
      </c>
      <c r="J38" s="3"/>
    </row>
    <row r="39" spans="1:10" ht="25">
      <c r="A39" s="8">
        <f t="shared" si="5"/>
        <v>3.5000000000000018</v>
      </c>
      <c r="B39" s="7">
        <f t="shared" si="0"/>
        <v>-1.7462867408171746E-2</v>
      </c>
      <c r="C39" s="7">
        <f t="shared" si="1"/>
        <v>-6.7183657231369279E-2</v>
      </c>
      <c r="D39" s="7">
        <f t="shared" si="2"/>
        <v>-2.4181233131308672E-2</v>
      </c>
      <c r="E39" s="7">
        <f t="shared" si="3"/>
        <v>-6.4093697345924697E-2</v>
      </c>
      <c r="F39" s="6">
        <f t="shared" si="7"/>
        <v>1.6859402568602959</v>
      </c>
      <c r="G39" s="6">
        <f t="shared" si="7"/>
        <v>-0.24026735137036442</v>
      </c>
      <c r="H39" s="6">
        <v>1.5877737955316289</v>
      </c>
      <c r="I39" s="6">
        <v>-0.17436346626720414</v>
      </c>
      <c r="J39" s="3"/>
    </row>
    <row r="40" spans="1:10" ht="25">
      <c r="A40" s="8">
        <f t="shared" si="5"/>
        <v>3.6000000000000019</v>
      </c>
      <c r="B40" s="7">
        <f t="shared" si="0"/>
        <v>-2.4026735137036445E-2</v>
      </c>
      <c r="C40" s="7">
        <f t="shared" si="1"/>
        <v>-6.3788678658622297E-2</v>
      </c>
      <c r="D40" s="7">
        <f t="shared" si="2"/>
        <v>-3.0405603002898674E-2</v>
      </c>
      <c r="E40" s="7">
        <f t="shared" si="3"/>
        <v>-6.011023157174622E-2</v>
      </c>
      <c r="F40" s="6">
        <f t="shared" si="7"/>
        <v>1.6587240877903284</v>
      </c>
      <c r="G40" s="6">
        <f t="shared" si="7"/>
        <v>-0.30221680648554866</v>
      </c>
      <c r="H40" s="6">
        <v>1.565138761956836</v>
      </c>
      <c r="I40" s="6">
        <v>-0.22635033574792918</v>
      </c>
      <c r="J40" s="3"/>
    </row>
    <row r="41" spans="1:10" ht="25">
      <c r="A41" s="8">
        <f t="shared" si="5"/>
        <v>3.700000000000002</v>
      </c>
      <c r="B41" s="7">
        <f t="shared" si="0"/>
        <v>-3.0221680648554867E-2</v>
      </c>
      <c r="C41" s="7">
        <f t="shared" si="1"/>
        <v>-5.9828072649321863E-2</v>
      </c>
      <c r="D41" s="7">
        <f t="shared" si="2"/>
        <v>-3.6204487913487057E-2</v>
      </c>
      <c r="E41" s="7">
        <f t="shared" si="3"/>
        <v>-5.5609343131479944E-2</v>
      </c>
      <c r="F41" s="6">
        <f t="shared" si="7"/>
        <v>1.6255110035093074</v>
      </c>
      <c r="G41" s="6">
        <f t="shared" si="7"/>
        <v>-0.35993551437594956</v>
      </c>
      <c r="H41" s="6">
        <v>1.5376762171079414</v>
      </c>
      <c r="I41" s="6">
        <v>-0.27462544848894443</v>
      </c>
      <c r="J41" s="3"/>
    </row>
    <row r="42" spans="1:10" ht="25">
      <c r="A42" s="8">
        <f t="shared" si="5"/>
        <v>3.800000000000002</v>
      </c>
      <c r="B42" s="7">
        <f t="shared" si="0"/>
        <v>-3.5993551437594959E-2</v>
      </c>
      <c r="C42" s="7">
        <f t="shared" si="1"/>
        <v>-5.5352390063411749E-2</v>
      </c>
      <c r="D42" s="7">
        <f t="shared" si="2"/>
        <v>-4.1528790443936134E-2</v>
      </c>
      <c r="E42" s="7">
        <f t="shared" si="3"/>
        <v>-5.0645987118384042E-2</v>
      </c>
      <c r="F42" s="6">
        <f t="shared" si="7"/>
        <v>1.5867498325685419</v>
      </c>
      <c r="G42" s="6">
        <f t="shared" si="7"/>
        <v>-0.41293470296684748</v>
      </c>
      <c r="H42" s="6">
        <v>1.5057933947584523</v>
      </c>
      <c r="I42" s="6">
        <v>-0.31882822349489187</v>
      </c>
      <c r="J42" s="3"/>
    </row>
    <row r="43" spans="1:10" ht="25">
      <c r="A43" s="8">
        <f t="shared" si="5"/>
        <v>3.9000000000000021</v>
      </c>
      <c r="B43" s="7">
        <f t="shared" si="0"/>
        <v>-4.1293470296684752E-2</v>
      </c>
      <c r="C43" s="7">
        <f t="shared" si="1"/>
        <v>-5.0416289197517242E-2</v>
      </c>
      <c r="D43" s="7">
        <f t="shared" si="2"/>
        <v>-4.6335099216436471E-2</v>
      </c>
      <c r="E43" s="7">
        <f t="shared" si="3"/>
        <v>-4.5278616383898435E-2</v>
      </c>
      <c r="F43" s="6">
        <f t="shared" si="7"/>
        <v>1.5429355478119813</v>
      </c>
      <c r="G43" s="6">
        <f t="shared" si="7"/>
        <v>-0.46078215575755532</v>
      </c>
      <c r="H43" s="6">
        <v>1.4699285828195459</v>
      </c>
      <c r="I43" s="6">
        <v>-0.3586481193890651</v>
      </c>
      <c r="J43" s="3"/>
    </row>
    <row r="44" spans="1:10" ht="25">
      <c r="A44" s="8">
        <f t="shared" si="5"/>
        <v>4.0000000000000018</v>
      </c>
      <c r="B44" s="7">
        <f t="shared" si="0"/>
        <v>-4.6078215575755532E-2</v>
      </c>
      <c r="C44" s="7">
        <f t="shared" si="1"/>
        <v>-4.5077911666047021E-2</v>
      </c>
      <c r="D44" s="7">
        <f t="shared" si="2"/>
        <v>-5.0586006742360239E-2</v>
      </c>
      <c r="E44" s="7">
        <f t="shared" si="3"/>
        <v>-3.9568531875150526E-2</v>
      </c>
      <c r="F44" s="6">
        <f t="shared" si="7"/>
        <v>1.4946034366529233</v>
      </c>
      <c r="G44" s="6">
        <f t="shared" si="7"/>
        <v>-0.5031053775281541</v>
      </c>
      <c r="H44" s="6">
        <v>1.4305459636281848</v>
      </c>
      <c r="I44" s="6">
        <v>-0.39382619191361135</v>
      </c>
      <c r="J44" s="3"/>
    </row>
    <row r="45" spans="1:10" ht="25">
      <c r="A45" s="8">
        <f t="shared" si="5"/>
        <v>4.1000000000000014</v>
      </c>
      <c r="B45" s="7">
        <f t="shared" si="0"/>
        <v>-5.031053775281541E-2</v>
      </c>
      <c r="C45" s="7">
        <f t="shared" si="1"/>
        <v>-3.9398236114729236E-2</v>
      </c>
      <c r="D45" s="7">
        <f t="shared" si="2"/>
        <v>-5.4250361364288339E-2</v>
      </c>
      <c r="E45" s="7">
        <f t="shared" si="3"/>
        <v>-3.3579217617153122E-2</v>
      </c>
      <c r="F45" s="6">
        <f t="shared" si="7"/>
        <v>1.4423229870943715</v>
      </c>
      <c r="G45" s="6">
        <f t="shared" si="7"/>
        <v>-0.53959410439409528</v>
      </c>
      <c r="H45" s="6">
        <v>1.3881303531159099</v>
      </c>
      <c r="I45" s="6">
        <v>-0.42415610512274743</v>
      </c>
      <c r="J45" s="3"/>
    </row>
    <row r="46" spans="1:10" ht="25">
      <c r="A46" s="8">
        <f t="shared" si="5"/>
        <v>4.2000000000000011</v>
      </c>
      <c r="B46" s="7">
        <f t="shared" si="0"/>
        <v>-5.3959410439409529E-2</v>
      </c>
      <c r="C46" s="7">
        <f t="shared" si="1"/>
        <v>-3.3440416621555238E-2</v>
      </c>
      <c r="D46" s="7">
        <f t="shared" si="2"/>
        <v>-5.730345210156506E-2</v>
      </c>
      <c r="E46" s="7">
        <f t="shared" si="3"/>
        <v>-2.7375667245183189E-2</v>
      </c>
      <c r="F46" s="6">
        <f t="shared" si="7"/>
        <v>1.3866915558238841</v>
      </c>
      <c r="G46" s="6">
        <f t="shared" si="7"/>
        <v>-0.57000214632746449</v>
      </c>
      <c r="H46" s="6">
        <v>1.3431818928795665</v>
      </c>
      <c r="I46" s="6">
        <v>-0.4494846023634354</v>
      </c>
      <c r="J46" s="3"/>
    </row>
    <row r="47" spans="1:10" ht="25">
      <c r="A47" s="8">
        <f t="shared" si="5"/>
        <v>4.3000000000000007</v>
      </c>
      <c r="B47" s="7">
        <f t="shared" si="0"/>
        <v>-5.7000214632746453E-2</v>
      </c>
      <c r="C47" s="7">
        <f t="shared" si="1"/>
        <v>-2.7269112655839135E-2</v>
      </c>
      <c r="D47" s="7">
        <f t="shared" si="2"/>
        <v>-5.972712589833036E-2</v>
      </c>
      <c r="E47" s="7">
        <f t="shared" si="3"/>
        <v>-2.1023708939447695E-2</v>
      </c>
      <c r="F47" s="6">
        <f t="shared" si="7"/>
        <v>1.3283278855583458</v>
      </c>
      <c r="G47" s="6">
        <f t="shared" si="7"/>
        <v>-0.59414855712510795</v>
      </c>
      <c r="H47" s="6">
        <v>1.296210748059043</v>
      </c>
      <c r="I47" s="6">
        <v>-0.46971144820523497</v>
      </c>
      <c r="J47" s="3"/>
    </row>
    <row r="48" spans="1:10" ht="25">
      <c r="A48" s="8">
        <f t="shared" si="5"/>
        <v>4.4000000000000004</v>
      </c>
      <c r="B48" s="7">
        <f t="shared" si="0"/>
        <v>-5.9414855712510796E-2</v>
      </c>
      <c r="C48" s="7">
        <f t="shared" si="1"/>
        <v>-2.0949817413332419E-2</v>
      </c>
      <c r="D48" s="7">
        <f t="shared" si="2"/>
        <v>-6.1509837453844043E-2</v>
      </c>
      <c r="E48" s="7">
        <f t="shared" si="3"/>
        <v>-1.4589335493814692E-2</v>
      </c>
      <c r="F48" s="6">
        <f t="shared" si="7"/>
        <v>1.2678655389751683</v>
      </c>
      <c r="G48" s="6">
        <f t="shared" si="7"/>
        <v>-0.61191813357868152</v>
      </c>
      <c r="H48" s="6">
        <v>1.2477318623298062</v>
      </c>
      <c r="I48" s="6">
        <v>-0.4847888572923682</v>
      </c>
      <c r="J48" s="3"/>
    </row>
    <row r="49" spans="1:10" ht="25">
      <c r="A49" s="8">
        <f t="shared" si="5"/>
        <v>4.5</v>
      </c>
      <c r="B49" s="7">
        <f t="shared" si="0"/>
        <v>-6.1191813357868156E-2</v>
      </c>
      <c r="C49" s="7">
        <f t="shared" si="1"/>
        <v>-1.4548191225943197E-2</v>
      </c>
      <c r="D49" s="7">
        <f t="shared" si="2"/>
        <v>-6.2646632480462469E-2</v>
      </c>
      <c r="E49" s="7">
        <f t="shared" si="3"/>
        <v>-8.1380460656375279E-3</v>
      </c>
      <c r="F49" s="6">
        <f t="shared" si="7"/>
        <v>1.2059463160560029</v>
      </c>
      <c r="G49" s="6">
        <f t="shared" si="7"/>
        <v>-0.62326125222447193</v>
      </c>
      <c r="H49" s="6">
        <v>1.1982598192690928</v>
      </c>
      <c r="I49" s="6">
        <v>-0.49472043060713478</v>
      </c>
      <c r="J49" s="3"/>
    </row>
    <row r="50" spans="1:10" ht="25">
      <c r="A50" s="8">
        <f t="shared" si="5"/>
        <v>4.5999999999999996</v>
      </c>
      <c r="B50" s="7">
        <f t="shared" si="0"/>
        <v>-6.2326125222447196E-2</v>
      </c>
      <c r="C50" s="7">
        <f t="shared" si="1"/>
        <v>-8.1294065611108527E-3</v>
      </c>
      <c r="D50" s="7">
        <f t="shared" si="2"/>
        <v>-6.3139065878558276E-2</v>
      </c>
      <c r="E50" s="7">
        <f t="shared" si="3"/>
        <v>-1.7342059076439265E-3</v>
      </c>
      <c r="F50" s="6">
        <f t="shared" si="7"/>
        <v>1.1432137205055002</v>
      </c>
      <c r="G50" s="6">
        <f t="shared" si="7"/>
        <v>-0.62819305845884932</v>
      </c>
      <c r="H50" s="6">
        <v>1.1483038568871466</v>
      </c>
      <c r="I50" s="6">
        <v>-0.49955962381946029</v>
      </c>
      <c r="J50" s="3"/>
    </row>
    <row r="51" spans="1:10" ht="25">
      <c r="A51" s="8">
        <f t="shared" si="5"/>
        <v>4.6999999999999993</v>
      </c>
      <c r="B51" s="7">
        <f t="shared" si="0"/>
        <v>-6.2819305845884937E-2</v>
      </c>
      <c r="C51" s="7">
        <f t="shared" si="1"/>
        <v>-1.7575108813730367E-3</v>
      </c>
      <c r="D51" s="7">
        <f t="shared" si="2"/>
        <v>-6.2995056934022228E-2</v>
      </c>
      <c r="E51" s="7">
        <f t="shared" si="3"/>
        <v>4.5595699208429213E-3</v>
      </c>
      <c r="F51" s="6">
        <f t="shared" si="7"/>
        <v>1.0803065391155466</v>
      </c>
      <c r="G51" s="6">
        <f t="shared" si="7"/>
        <v>-0.62679202893911434</v>
      </c>
      <c r="H51" s="6">
        <v>1.0983630792649937</v>
      </c>
      <c r="I51" s="6">
        <v>-0.49940777622152904</v>
      </c>
      <c r="J51" s="3"/>
    </row>
    <row r="52" spans="1:10" ht="25">
      <c r="A52" s="8">
        <f t="shared" si="5"/>
        <v>4.7999999999999989</v>
      </c>
      <c r="B52" s="7">
        <f t="shared" si="0"/>
        <v>-6.2679202893911434E-2</v>
      </c>
      <c r="C52" s="7">
        <f t="shared" si="1"/>
        <v>4.5051866672276121E-3</v>
      </c>
      <c r="D52" s="7">
        <f t="shared" si="2"/>
        <v>-6.222868422718867E-2</v>
      </c>
      <c r="E52" s="7">
        <f t="shared" si="3"/>
        <v>1.0683003223274201E-2</v>
      </c>
      <c r="F52" s="6">
        <f t="shared" si="7"/>
        <v>1.0178525955549966</v>
      </c>
      <c r="G52" s="6">
        <f t="shared" si="7"/>
        <v>-0.61919793399386347</v>
      </c>
      <c r="H52" s="6">
        <v>1.0489219060467385</v>
      </c>
      <c r="I52" s="6">
        <v>-0.49441173218255191</v>
      </c>
      <c r="J52" s="3"/>
    </row>
    <row r="53" spans="1:10" ht="25">
      <c r="A53" s="8">
        <f t="shared" si="5"/>
        <v>4.8999999999999986</v>
      </c>
      <c r="B53" s="7">
        <f t="shared" si="0"/>
        <v>-6.1919793399386351E-2</v>
      </c>
      <c r="C53" s="7">
        <f t="shared" si="1"/>
        <v>1.0598699124377609E-2</v>
      </c>
      <c r="D53" s="7">
        <f t="shared" si="2"/>
        <v>-6.0859923486948589E-2</v>
      </c>
      <c r="E53" s="7">
        <f t="shared" si="3"/>
        <v>1.6578704481828688E-2</v>
      </c>
      <c r="F53" s="6">
        <f t="shared" si="7"/>
        <v>0.95646273711182916</v>
      </c>
      <c r="G53" s="6">
        <f t="shared" si="7"/>
        <v>-0.60560923219076035</v>
      </c>
      <c r="H53" s="6">
        <v>1.0004457970382701</v>
      </c>
      <c r="I53" s="6">
        <v>-0.48476109008468521</v>
      </c>
      <c r="J53" s="3"/>
    </row>
    <row r="54" spans="1:10" ht="25">
      <c r="A54" s="8">
        <f t="shared" si="5"/>
        <v>4.9999999999999982</v>
      </c>
      <c r="B54" s="7">
        <f t="shared" si="0"/>
        <v>-6.0560923219076038E-2</v>
      </c>
      <c r="C54" s="7">
        <f t="shared" si="1"/>
        <v>1.6465910932632288E-2</v>
      </c>
      <c r="D54" s="7">
        <f t="shared" si="2"/>
        <v>-5.8914332125812811E-2</v>
      </c>
      <c r="E54" s="7">
        <f t="shared" si="3"/>
        <v>2.2192685035887241E-2</v>
      </c>
      <c r="F54" s="6">
        <f t="shared" ref="F54:G69" si="8">F53+0.5*(B54+D54)</f>
        <v>0.89672510943938477</v>
      </c>
      <c r="G54" s="6">
        <f t="shared" si="8"/>
        <v>-0.5862799342065006</v>
      </c>
      <c r="H54" s="6">
        <v>0.95337728540831745</v>
      </c>
      <c r="I54" s="6">
        <v>-0.47068511629952642</v>
      </c>
      <c r="J54" s="3"/>
    </row>
    <row r="55" spans="1:10" ht="25">
      <c r="A55" s="8">
        <f t="shared" si="5"/>
        <v>5.0999999999999979</v>
      </c>
      <c r="B55" s="7">
        <f t="shared" si="0"/>
        <v>-5.862799342065006E-2</v>
      </c>
      <c r="C55" s="7">
        <f t="shared" si="1"/>
        <v>2.2053087740191536E-2</v>
      </c>
      <c r="D55" s="7">
        <f t="shared" si="2"/>
        <v>-5.6422684646630909E-2</v>
      </c>
      <c r="E55" s="7">
        <f t="shared" si="3"/>
        <v>2.7474825327452712E-2</v>
      </c>
      <c r="F55" s="6">
        <f t="shared" si="8"/>
        <v>0.83919977040574434</v>
      </c>
      <c r="G55" s="6">
        <f t="shared" si="8"/>
        <v>-0.56151597767267847</v>
      </c>
      <c r="H55" s="6">
        <v>0.90813234901604967</v>
      </c>
      <c r="I55" s="6">
        <v>-0.45244936392267782</v>
      </c>
      <c r="J55" s="3"/>
    </row>
    <row r="56" spans="1:10" ht="25">
      <c r="A56" s="8">
        <f t="shared" si="5"/>
        <v>5.1999999999999975</v>
      </c>
      <c r="B56" s="7">
        <f t="shared" si="0"/>
        <v>-5.6151597767267851E-2</v>
      </c>
      <c r="C56" s="7">
        <f t="shared" si="1"/>
        <v>2.731034251287914E-2</v>
      </c>
      <c r="D56" s="7">
        <f t="shared" si="2"/>
        <v>-5.3420563515979937E-2</v>
      </c>
      <c r="E56" s="7">
        <f t="shared" si="3"/>
        <v>3.2379295439348331E-2</v>
      </c>
      <c r="F56" s="6">
        <f t="shared" si="8"/>
        <v>0.7844136897641204</v>
      </c>
      <c r="G56" s="6">
        <f t="shared" si="8"/>
        <v>-0.53167115869656478</v>
      </c>
      <c r="H56" s="6">
        <v>0.86509714524670178</v>
      </c>
      <c r="I56" s="6">
        <v>-0.43035203769347841</v>
      </c>
      <c r="J56" s="3"/>
    </row>
    <row r="57" spans="1:10" ht="25">
      <c r="A57" s="8">
        <f t="shared" si="5"/>
        <v>5.2999999999999972</v>
      </c>
      <c r="B57" s="7">
        <f t="shared" si="0"/>
        <v>-5.316711586965648E-2</v>
      </c>
      <c r="C57" s="7">
        <f t="shared" si="1"/>
        <v>3.2192054197519263E-2</v>
      </c>
      <c r="D57" s="7">
        <f t="shared" si="2"/>
        <v>-4.9947910449904556E-2</v>
      </c>
      <c r="E57" s="7">
        <f t="shared" si="3"/>
        <v>3.686492470053452E-2</v>
      </c>
      <c r="F57" s="6">
        <f t="shared" si="8"/>
        <v>0.73285617660433988</v>
      </c>
      <c r="G57" s="6">
        <f t="shared" si="8"/>
        <v>-0.49714266924753792</v>
      </c>
      <c r="H57" s="6">
        <v>0.82462513046824071</v>
      </c>
      <c r="I57" s="6">
        <v>-0.40472014778461024</v>
      </c>
      <c r="J57" s="3"/>
    </row>
    <row r="58" spans="1:10" ht="25">
      <c r="A58" s="8">
        <f t="shared" si="5"/>
        <v>5.3999999999999968</v>
      </c>
      <c r="B58" s="7">
        <f t="shared" si="0"/>
        <v>-4.9714266924753794E-2</v>
      </c>
      <c r="C58" s="7">
        <f t="shared" si="1"/>
        <v>3.6657235724516769E-2</v>
      </c>
      <c r="D58" s="7">
        <f t="shared" si="2"/>
        <v>-4.6048543352302115E-2</v>
      </c>
      <c r="E58" s="7">
        <f t="shared" si="3"/>
        <v>4.089551770250182E-2</v>
      </c>
      <c r="F58" s="6">
        <f t="shared" si="8"/>
        <v>0.68497477146581187</v>
      </c>
      <c r="G58" s="6">
        <f t="shared" si="8"/>
        <v>-0.45836629253402861</v>
      </c>
      <c r="H58" s="6">
        <v>0.78703458087295586</v>
      </c>
      <c r="I58" s="6">
        <v>-0.37590549595284878</v>
      </c>
      <c r="J58" s="3"/>
    </row>
    <row r="59" spans="1:10" ht="25">
      <c r="A59" s="8">
        <f t="shared" si="5"/>
        <v>5.4999999999999964</v>
      </c>
      <c r="B59" s="7">
        <f t="shared" si="0"/>
        <v>-4.5836629253402865E-2</v>
      </c>
      <c r="C59" s="7">
        <f t="shared" si="1"/>
        <v>4.0669848704099378E-2</v>
      </c>
      <c r="D59" s="7">
        <f t="shared" si="2"/>
        <v>-4.1769644382992924E-2</v>
      </c>
      <c r="E59" s="7">
        <f t="shared" si="3"/>
        <v>4.4440114655357681E-2</v>
      </c>
      <c r="F59" s="6">
        <f t="shared" si="8"/>
        <v>0.64117163464761395</v>
      </c>
      <c r="G59" s="6">
        <f t="shared" si="8"/>
        <v>-0.41581131085430006</v>
      </c>
      <c r="H59" s="6">
        <v>0.75260652708265052</v>
      </c>
      <c r="I59" s="6">
        <v>-0.3442805379030528</v>
      </c>
      <c r="J59" s="3"/>
    </row>
    <row r="60" spans="1:10" ht="25">
      <c r="A60" s="8">
        <f t="shared" si="5"/>
        <v>5.5999999999999961</v>
      </c>
      <c r="B60" s="7">
        <f t="shared" si="0"/>
        <v>-4.1581131085430011E-2</v>
      </c>
      <c r="C60" s="7">
        <f t="shared" si="1"/>
        <v>4.4199062752324617E-2</v>
      </c>
      <c r="D60" s="7">
        <f t="shared" si="2"/>
        <v>-3.7161224810197548E-2</v>
      </c>
      <c r="E60" s="7">
        <f t="shared" si="3"/>
        <v>4.7473194605821126E-2</v>
      </c>
      <c r="F60" s="6">
        <f t="shared" si="8"/>
        <v>0.6018004566998002</v>
      </c>
      <c r="G60" s="6">
        <f t="shared" si="8"/>
        <v>-0.36997518217522718</v>
      </c>
      <c r="H60" s="6">
        <v>0.72158311051844493</v>
      </c>
      <c r="I60" s="6">
        <v>-0.31023416564205614</v>
      </c>
      <c r="J60" s="3"/>
    </row>
    <row r="61" spans="1:10" ht="25">
      <c r="A61" s="8">
        <f t="shared" si="5"/>
        <v>5.6999999999999957</v>
      </c>
      <c r="B61" s="7">
        <f t="shared" si="0"/>
        <v>-3.6997518217522722E-2</v>
      </c>
      <c r="C61" s="7">
        <f t="shared" si="1"/>
        <v>4.7219457973524531E-2</v>
      </c>
      <c r="D61" s="7">
        <f t="shared" si="2"/>
        <v>-3.2275572420170262E-2</v>
      </c>
      <c r="E61" s="7">
        <f t="shared" si="3"/>
        <v>4.99748206358063E-2</v>
      </c>
      <c r="F61" s="6">
        <f t="shared" si="8"/>
        <v>0.56716391138095368</v>
      </c>
      <c r="G61" s="6">
        <f t="shared" si="8"/>
        <v>-0.32137804287056176</v>
      </c>
      <c r="H61" s="6">
        <v>0.69416636520835751</v>
      </c>
      <c r="I61" s="6">
        <v>-0.27416745310087443</v>
      </c>
      <c r="J61" s="3"/>
    </row>
    <row r="62" spans="1:10" ht="25">
      <c r="A62" s="8">
        <f t="shared" si="5"/>
        <v>5.7999999999999954</v>
      </c>
      <c r="B62" s="7">
        <f t="shared" si="0"/>
        <v>-3.2137804287056176E-2</v>
      </c>
      <c r="C62" s="7">
        <f t="shared" si="1"/>
        <v>4.9711169719315863E-2</v>
      </c>
      <c r="D62" s="7">
        <f t="shared" si="2"/>
        <v>-2.7166687315124588E-2</v>
      </c>
      <c r="E62" s="7">
        <f t="shared" si="3"/>
        <v>5.1930726753635172E-2</v>
      </c>
      <c r="F62" s="6">
        <f t="shared" si="8"/>
        <v>0.5375116655798633</v>
      </c>
      <c r="G62" s="6">
        <f t="shared" si="8"/>
        <v>-0.27055709463408623</v>
      </c>
      <c r="H62" s="6">
        <v>0.67051742446838569</v>
      </c>
      <c r="I62" s="6">
        <v>-0.2364894073997186</v>
      </c>
      <c r="J62" s="3"/>
    </row>
    <row r="63" spans="1:10" ht="25">
      <c r="A63" s="8">
        <f t="shared" si="5"/>
        <v>5.899999999999995</v>
      </c>
      <c r="B63" s="7">
        <f t="shared" si="0"/>
        <v>-2.7055709463408625E-2</v>
      </c>
      <c r="C63" s="7">
        <f t="shared" si="1"/>
        <v>5.16599753346954E-2</v>
      </c>
      <c r="D63" s="7">
        <f t="shared" si="2"/>
        <v>-2.1889711929939083E-2</v>
      </c>
      <c r="E63" s="7">
        <f t="shared" si="3"/>
        <v>5.3332346774342343E-2</v>
      </c>
      <c r="F63" s="6">
        <f t="shared" si="8"/>
        <v>0.5130389548831894</v>
      </c>
      <c r="G63" s="6">
        <f t="shared" si="8"/>
        <v>-0.21806093357956735</v>
      </c>
      <c r="H63" s="6">
        <v>0.65075614778425395</v>
      </c>
      <c r="I63" s="6">
        <v>-0.19761276684131762</v>
      </c>
      <c r="J63" s="3"/>
    </row>
    <row r="64" spans="1:10" ht="25">
      <c r="A64" s="8">
        <f t="shared" si="5"/>
        <v>5.9999999999999947</v>
      </c>
      <c r="B64" s="7">
        <f t="shared" si="0"/>
        <v>-2.1806093357956736E-2</v>
      </c>
      <c r="C64" s="7">
        <f t="shared" si="1"/>
        <v>5.3057323183272401E-2</v>
      </c>
      <c r="D64" s="7">
        <f t="shared" si="2"/>
        <v>-1.6500361039629496E-2</v>
      </c>
      <c r="E64" s="7">
        <f t="shared" si="3"/>
        <v>5.4176786055402638E-2</v>
      </c>
      <c r="F64" s="6">
        <f t="shared" si="8"/>
        <v>0.49388572768439631</v>
      </c>
      <c r="G64" s="6">
        <f t="shared" si="8"/>
        <v>-0.16444387896022983</v>
      </c>
      <c r="H64" s="6">
        <v>0.63496115927748276</v>
      </c>
      <c r="I64" s="6">
        <v>-0.15794988506771165</v>
      </c>
      <c r="J64" s="3"/>
    </row>
    <row r="65" spans="1:10" ht="25">
      <c r="A65" s="8">
        <f t="shared" si="5"/>
        <v>6.0999999999999943</v>
      </c>
      <c r="B65" s="7">
        <f t="shared" si="0"/>
        <v>-1.6444387896022983E-2</v>
      </c>
      <c r="C65" s="7">
        <f t="shared" si="1"/>
        <v>5.3900304810764965E-2</v>
      </c>
      <c r="D65" s="7">
        <f t="shared" si="2"/>
        <v>-1.1054357414946488E-2</v>
      </c>
      <c r="E65" s="7">
        <f t="shared" si="3"/>
        <v>5.4466737504151978E-2</v>
      </c>
      <c r="F65" s="6">
        <f t="shared" si="8"/>
        <v>0.48013635502891155</v>
      </c>
      <c r="G65" s="6">
        <f t="shared" si="8"/>
        <v>-0.11026035780277135</v>
      </c>
      <c r="H65" s="6">
        <v>0.62317028539442842</v>
      </c>
      <c r="I65" s="6">
        <v>-0.11790873883054359</v>
      </c>
      <c r="J65" s="3"/>
    </row>
    <row r="66" spans="1:10" ht="25">
      <c r="A66" s="8">
        <f t="shared" si="5"/>
        <v>6.199999999999994</v>
      </c>
      <c r="B66" s="7">
        <f t="shared" si="0"/>
        <v>-1.1026035780277136E-2</v>
      </c>
      <c r="C66" s="7">
        <f t="shared" si="1"/>
        <v>5.4191571653164287E-2</v>
      </c>
      <c r="D66" s="7">
        <f t="shared" si="2"/>
        <v>-5.6068786149607065E-3</v>
      </c>
      <c r="E66" s="7">
        <f t="shared" si="3"/>
        <v>5.4210343798128696E-2</v>
      </c>
      <c r="F66" s="6">
        <f t="shared" si="8"/>
        <v>0.47181989783129263</v>
      </c>
      <c r="G66" s="6">
        <f t="shared" si="8"/>
        <v>-5.6059400077124857E-2</v>
      </c>
      <c r="H66" s="6">
        <v>0.61538137594103171</v>
      </c>
      <c r="I66" s="6">
        <v>-7.7889094533967404E-2</v>
      </c>
      <c r="J66" s="3"/>
    </row>
    <row r="67" spans="1:10" ht="25">
      <c r="A67" s="8">
        <f t="shared" si="5"/>
        <v>6.2999999999999936</v>
      </c>
      <c r="B67" s="7">
        <f t="shared" si="0"/>
        <v>-5.6059400077124863E-3</v>
      </c>
      <c r="C67" s="7">
        <f t="shared" si="1"/>
        <v>5.3939198218413247E-2</v>
      </c>
      <c r="D67" s="7">
        <f t="shared" si="2"/>
        <v>-2.1202018587116109E-4</v>
      </c>
      <c r="E67" s="7">
        <f t="shared" si="3"/>
        <v>5.3421008254816216E-2</v>
      </c>
      <c r="F67" s="6">
        <f t="shared" si="8"/>
        <v>0.46891091773450083</v>
      </c>
      <c r="G67" s="6">
        <f t="shared" si="8"/>
        <v>-2.3792968405101228E-3</v>
      </c>
      <c r="H67" s="6">
        <v>0.61155348932665587</v>
      </c>
      <c r="I67" s="6">
        <v>-3.8278866143757827E-2</v>
      </c>
      <c r="J67" s="3"/>
    </row>
    <row r="68" spans="1:10" ht="25">
      <c r="A68" s="8">
        <f t="shared" si="5"/>
        <v>6.3999999999999932</v>
      </c>
      <c r="B68" s="7">
        <f t="shared" si="0"/>
        <v>-2.3792968405101229E-4</v>
      </c>
      <c r="C68" s="7">
        <f t="shared" si="1"/>
        <v>5.315649416336013E-2</v>
      </c>
      <c r="D68" s="7">
        <f t="shared" si="2"/>
        <v>5.0777197322850014E-3</v>
      </c>
      <c r="E68" s="7">
        <f t="shared" si="3"/>
        <v>5.2117157248498018E-2</v>
      </c>
      <c r="F68" s="6">
        <f t="shared" si="8"/>
        <v>0.47133081275861782</v>
      </c>
      <c r="G68" s="6">
        <f t="shared" si="8"/>
        <v>5.0257528865418954E-2</v>
      </c>
      <c r="H68" s="6">
        <v>0.6116084199017604</v>
      </c>
      <c r="I68" s="6">
        <v>5.4930575104523288E-4</v>
      </c>
      <c r="J68" s="3"/>
    </row>
    <row r="69" spans="1:10" ht="25">
      <c r="A69" s="8">
        <f t="shared" si="5"/>
        <v>6.4999999999999929</v>
      </c>
      <c r="B69" s="7">
        <f t="shared" si="0"/>
        <v>5.025752886541896E-3</v>
      </c>
      <c r="C69" s="7">
        <f t="shared" si="1"/>
        <v>5.1861768146829836E-2</v>
      </c>
      <c r="D69" s="7">
        <f t="shared" si="2"/>
        <v>1.0211929701224878E-2</v>
      </c>
      <c r="E69" s="7">
        <f t="shared" si="3"/>
        <v>5.0321957495239059E-2</v>
      </c>
      <c r="F69" s="6">
        <f t="shared" si="8"/>
        <v>0.47894965405250123</v>
      </c>
      <c r="G69" s="6">
        <f t="shared" si="8"/>
        <v>0.10134939168645341</v>
      </c>
      <c r="H69" s="6">
        <v>0.61543254259699043</v>
      </c>
      <c r="I69" s="6">
        <v>3.8241226952300186E-2</v>
      </c>
      <c r="J69" s="3"/>
    </row>
    <row r="70" spans="1:10" ht="25">
      <c r="A70" s="8">
        <f t="shared" si="5"/>
        <v>6.5999999999999925</v>
      </c>
      <c r="B70" s="7">
        <f t="shared" ref="B70:B84" si="9">$B$1*G69</f>
        <v>1.0134939168645342E-2</v>
      </c>
      <c r="C70" s="7">
        <f t="shared" ref="C70:C84" si="10">$B$1*(1-2*$D$1*G69-F69)</f>
        <v>5.0078046761020817E-2</v>
      </c>
      <c r="D70" s="7">
        <f t="shared" ref="D70:D84" si="11">$B$1*(G69+C70)</f>
        <v>1.5142743844747423E-2</v>
      </c>
      <c r="E70" s="7">
        <f t="shared" ref="E70:E84" si="12">$B$1*(1-2*$D$1*(G69+C70)-(F69+B70))</f>
        <v>4.806299190893587E-2</v>
      </c>
      <c r="F70" s="6">
        <f t="shared" ref="F70:G84" si="13">F69+0.5*(B70+D70)</f>
        <v>0.49158849555919759</v>
      </c>
      <c r="G70" s="6">
        <f t="shared" si="13"/>
        <v>0.15041991102143176</v>
      </c>
      <c r="H70" s="6">
        <v>0.62287894771277696</v>
      </c>
      <c r="I70" s="6">
        <v>7.4464051157865183E-2</v>
      </c>
      <c r="J70" s="3"/>
    </row>
    <row r="71" spans="1:10" ht="25">
      <c r="A71" s="8">
        <f t="shared" ref="A71:A84" si="14">A70+$B$1</f>
        <v>6.6999999999999922</v>
      </c>
      <c r="B71" s="7">
        <f t="shared" si="9"/>
        <v>1.5041991102143177E-2</v>
      </c>
      <c r="C71" s="7">
        <f t="shared" si="10"/>
        <v>4.783275222365161E-2</v>
      </c>
      <c r="D71" s="7">
        <f t="shared" si="11"/>
        <v>1.9825266324508338E-2</v>
      </c>
      <c r="E71" s="7">
        <f t="shared" si="12"/>
        <v>4.5371898068964259E-2</v>
      </c>
      <c r="F71" s="6">
        <f t="shared" si="13"/>
        <v>0.50902212427252336</v>
      </c>
      <c r="G71" s="6">
        <f t="shared" si="13"/>
        <v>0.1970222361677397</v>
      </c>
      <c r="H71" s="6">
        <v>0.63376983668234854</v>
      </c>
      <c r="I71" s="6">
        <v>0.10890888969571599</v>
      </c>
      <c r="J71" s="3"/>
    </row>
    <row r="72" spans="1:10" ht="25">
      <c r="A72" s="8">
        <f t="shared" si="14"/>
        <v>6.7999999999999918</v>
      </c>
      <c r="B72" s="7">
        <f t="shared" si="9"/>
        <v>1.970222361677397E-2</v>
      </c>
      <c r="C72" s="7">
        <f t="shared" si="10"/>
        <v>4.5157342849392872E-2</v>
      </c>
      <c r="D72" s="7">
        <f t="shared" si="11"/>
        <v>2.4217957901713258E-2</v>
      </c>
      <c r="E72" s="7">
        <f t="shared" si="12"/>
        <v>4.2283973630727612E-2</v>
      </c>
      <c r="F72" s="6">
        <f t="shared" si="13"/>
        <v>0.53098221503176701</v>
      </c>
      <c r="G72" s="6">
        <f t="shared" si="13"/>
        <v>0.24074289440779995</v>
      </c>
      <c r="H72" s="6">
        <v>0.64789914794715253</v>
      </c>
      <c r="I72" s="6">
        <v>0.14129311264803995</v>
      </c>
      <c r="J72" s="3"/>
    </row>
    <row r="73" spans="1:10" ht="25">
      <c r="A73" s="8">
        <f t="shared" si="14"/>
        <v>6.8999999999999915</v>
      </c>
      <c r="B73" s="7">
        <f t="shared" si="9"/>
        <v>2.4074289440779995E-2</v>
      </c>
      <c r="C73" s="7">
        <f t="shared" si="10"/>
        <v>4.2086920608667304E-2</v>
      </c>
      <c r="D73" s="7">
        <f t="shared" si="11"/>
        <v>2.8282981501646726E-2</v>
      </c>
      <c r="E73" s="7">
        <f t="shared" si="12"/>
        <v>3.8837753252415952E-2</v>
      </c>
      <c r="F73" s="6">
        <f t="shared" si="13"/>
        <v>0.55716085050298036</v>
      </c>
      <c r="G73" s="6">
        <f t="shared" si="13"/>
        <v>0.28120523133834158</v>
      </c>
      <c r="H73" s="6">
        <v>0.66503538074844615</v>
      </c>
      <c r="I73" s="6">
        <v>0.17136232801293658</v>
      </c>
      <c r="J73" s="3"/>
    </row>
    <row r="74" spans="1:10" ht="25">
      <c r="A74" s="8">
        <f t="shared" si="14"/>
        <v>6.9999999999999911</v>
      </c>
      <c r="B74" s="7">
        <f t="shared" si="9"/>
        <v>2.812052313383416E-2</v>
      </c>
      <c r="C74" s="7">
        <f t="shared" si="10"/>
        <v>3.8659810322935133E-2</v>
      </c>
      <c r="D74" s="7">
        <f t="shared" si="11"/>
        <v>3.1986504166127673E-2</v>
      </c>
      <c r="E74" s="7">
        <f t="shared" si="12"/>
        <v>3.5074561803093006E-2</v>
      </c>
      <c r="F74" s="6">
        <f t="shared" si="13"/>
        <v>0.58721436415296124</v>
      </c>
      <c r="G74" s="6">
        <f t="shared" si="13"/>
        <v>0.31807241740135567</v>
      </c>
      <c r="H74" s="6">
        <v>0.68492458365505704</v>
      </c>
      <c r="I74" s="6">
        <v>0.1988920290661087</v>
      </c>
      <c r="J74" s="3"/>
    </row>
    <row r="75" spans="1:10" ht="25">
      <c r="A75" s="8">
        <f t="shared" si="14"/>
        <v>7.0999999999999908</v>
      </c>
      <c r="B75" s="7">
        <f t="shared" si="9"/>
        <v>3.1807241740135571E-2</v>
      </c>
      <c r="C75" s="7">
        <f t="shared" si="10"/>
        <v>3.4917115236676767E-2</v>
      </c>
      <c r="D75" s="7">
        <f t="shared" si="11"/>
        <v>3.5298953263803244E-2</v>
      </c>
      <c r="E75" s="7">
        <f t="shared" si="12"/>
        <v>3.1038048757929673E-2</v>
      </c>
      <c r="F75" s="6">
        <f t="shared" si="13"/>
        <v>0.62076746165493069</v>
      </c>
      <c r="G75" s="6">
        <f t="shared" si="13"/>
        <v>0.35104999939865889</v>
      </c>
      <c r="H75" s="6">
        <v>0.70729347401433884</v>
      </c>
      <c r="I75" s="6">
        <v>0.22368890359281843</v>
      </c>
      <c r="J75" s="3"/>
    </row>
    <row r="76" spans="1:10" ht="25">
      <c r="A76" s="8">
        <f t="shared" si="14"/>
        <v>7.1999999999999904</v>
      </c>
      <c r="B76" s="7">
        <f t="shared" si="9"/>
        <v>3.5104999939865891E-2</v>
      </c>
      <c r="C76" s="7">
        <f t="shared" si="10"/>
        <v>3.0902253846533757E-2</v>
      </c>
      <c r="D76" s="7">
        <f t="shared" si="11"/>
        <v>3.8195225324519272E-2</v>
      </c>
      <c r="E76" s="7">
        <f t="shared" si="12"/>
        <v>2.6773708775616491E-2</v>
      </c>
      <c r="F76" s="6">
        <f t="shared" si="13"/>
        <v>0.65741757428712322</v>
      </c>
      <c r="G76" s="6">
        <f t="shared" si="13"/>
        <v>0.37988798070973401</v>
      </c>
      <c r="H76" s="6">
        <v>0.73185265422709467</v>
      </c>
      <c r="I76" s="6">
        <v>0.2455918021275578</v>
      </c>
      <c r="J76" s="3"/>
    </row>
    <row r="77" spans="1:10" ht="25">
      <c r="A77" s="8">
        <f t="shared" si="14"/>
        <v>7.2999999999999901</v>
      </c>
      <c r="B77" s="7">
        <f t="shared" si="9"/>
        <v>3.7988798070973405E-2</v>
      </c>
      <c r="C77" s="7">
        <f t="shared" si="10"/>
        <v>2.6660482957093001E-2</v>
      </c>
      <c r="D77" s="7">
        <f t="shared" si="11"/>
        <v>4.0654846366682706E-2</v>
      </c>
      <c r="E77" s="7">
        <f t="shared" si="12"/>
        <v>2.2328393490853794E-2</v>
      </c>
      <c r="F77" s="6">
        <f t="shared" si="13"/>
        <v>0.69673939650595129</v>
      </c>
      <c r="G77" s="6">
        <f t="shared" si="13"/>
        <v>0.40438241893370741</v>
      </c>
      <c r="H77" s="6">
        <v>0.75829989080038096</v>
      </c>
      <c r="I77" s="6">
        <v>0.26447236573286248</v>
      </c>
      <c r="J77" s="3"/>
    </row>
    <row r="78" spans="1:10" ht="25">
      <c r="A78" s="8">
        <f t="shared" si="14"/>
        <v>7.3999999999999897</v>
      </c>
      <c r="B78" s="7">
        <f t="shared" si="9"/>
        <v>4.0438241893370745E-2</v>
      </c>
      <c r="C78" s="7">
        <f t="shared" si="10"/>
        <v>2.2238411970730721E-2</v>
      </c>
      <c r="D78" s="7">
        <f t="shared" si="11"/>
        <v>4.2662083090443816E-2</v>
      </c>
      <c r="E78" s="7">
        <f t="shared" si="12"/>
        <v>1.7749819541979028E-2</v>
      </c>
      <c r="F78" s="6">
        <f t="shared" si="13"/>
        <v>0.73828955899785853</v>
      </c>
      <c r="G78" s="6">
        <f t="shared" si="13"/>
        <v>0.42437653469006231</v>
      </c>
      <c r="H78" s="6">
        <v>0.78632342251424736</v>
      </c>
      <c r="I78" s="6">
        <v>0.28023531713866445</v>
      </c>
      <c r="J78" s="3"/>
    </row>
    <row r="79" spans="1:10" ht="25">
      <c r="A79" s="8">
        <f t="shared" si="14"/>
        <v>7.4999999999999893</v>
      </c>
      <c r="B79" s="7">
        <f t="shared" si="9"/>
        <v>4.2437653469006235E-2</v>
      </c>
      <c r="C79" s="7">
        <f t="shared" si="10"/>
        <v>1.7683513406412898E-2</v>
      </c>
      <c r="D79" s="7">
        <f t="shared" si="11"/>
        <v>4.4206004809647523E-2</v>
      </c>
      <c r="E79" s="7">
        <f t="shared" si="12"/>
        <v>1.3086077791384022E-2</v>
      </c>
      <c r="F79" s="6">
        <f t="shared" si="13"/>
        <v>0.78161138813718545</v>
      </c>
      <c r="G79" s="6">
        <f t="shared" si="13"/>
        <v>0.43976133028896075</v>
      </c>
      <c r="H79" s="6">
        <v>0.81560526473630945</v>
      </c>
      <c r="I79" s="6">
        <v>0.2928184222206211</v>
      </c>
      <c r="J79" s="3"/>
    </row>
    <row r="80" spans="1:10" ht="25">
      <c r="A80" s="8">
        <f t="shared" si="14"/>
        <v>7.599999999999989</v>
      </c>
      <c r="B80" s="7">
        <f t="shared" si="9"/>
        <v>4.3976133028896081E-2</v>
      </c>
      <c r="C80" s="7">
        <f t="shared" si="10"/>
        <v>1.304363458050224E-2</v>
      </c>
      <c r="D80" s="7">
        <f t="shared" si="11"/>
        <v>4.5280496486946299E-2</v>
      </c>
      <c r="E80" s="7">
        <f t="shared" si="12"/>
        <v>8.3851485860025887E-3</v>
      </c>
      <c r="F80" s="6">
        <f t="shared" si="13"/>
        <v>0.82623970289510662</v>
      </c>
      <c r="G80" s="6">
        <f t="shared" si="13"/>
        <v>0.45047572187221319</v>
      </c>
      <c r="H80" s="6">
        <v>0.84582447791562887</v>
      </c>
      <c r="I80" s="6">
        <v>0.30219213179319432</v>
      </c>
      <c r="J80" s="3"/>
    </row>
    <row r="81" spans="1:10" ht="25">
      <c r="A81" s="8">
        <f t="shared" si="14"/>
        <v>7.6999999999999886</v>
      </c>
      <c r="B81" s="7">
        <f t="shared" si="9"/>
        <v>4.5047572187221323E-2</v>
      </c>
      <c r="C81" s="7">
        <f t="shared" si="10"/>
        <v>8.3665152730450724E-3</v>
      </c>
      <c r="D81" s="7">
        <f t="shared" si="11"/>
        <v>4.5884223714525829E-2</v>
      </c>
      <c r="E81" s="7">
        <f t="shared" si="12"/>
        <v>3.6944277488620393E-3</v>
      </c>
      <c r="F81" s="6">
        <f t="shared" si="13"/>
        <v>0.87170560084598026</v>
      </c>
      <c r="G81" s="6">
        <f t="shared" si="13"/>
        <v>0.45650619338316673</v>
      </c>
      <c r="H81" s="6">
        <v>0.87666036956627269</v>
      </c>
      <c r="I81" s="6">
        <v>0.30835891650643832</v>
      </c>
      <c r="J81" s="3"/>
    </row>
    <row r="82" spans="1:10" ht="25">
      <c r="A82" s="8">
        <f t="shared" si="14"/>
        <v>7.7999999999999883</v>
      </c>
      <c r="B82" s="7">
        <f t="shared" si="9"/>
        <v>4.5650619338316677E-2</v>
      </c>
      <c r="C82" s="7">
        <f t="shared" si="10"/>
        <v>3.6993160477386436E-3</v>
      </c>
      <c r="D82" s="7">
        <f t="shared" si="11"/>
        <v>4.6020550943090544E-2</v>
      </c>
      <c r="E82" s="7">
        <f t="shared" si="12"/>
        <v>-9.3973220704780542E-4</v>
      </c>
      <c r="F82" s="6">
        <f t="shared" si="13"/>
        <v>0.91754118598668388</v>
      </c>
      <c r="G82" s="6">
        <f t="shared" si="13"/>
        <v>0.45788598530351216</v>
      </c>
      <c r="H82" s="6">
        <v>0.90779560059052622</v>
      </c>
      <c r="I82" s="6">
        <v>0.31135231024253501</v>
      </c>
      <c r="J82" s="3"/>
    </row>
    <row r="83" spans="1:10" ht="25">
      <c r="A83" s="8">
        <f t="shared" si="14"/>
        <v>7.8999999999999879</v>
      </c>
      <c r="B83" s="7">
        <f t="shared" si="9"/>
        <v>4.5788598530351221E-2</v>
      </c>
      <c r="C83" s="7">
        <f t="shared" si="10"/>
        <v>-9.1183830473863254E-4</v>
      </c>
      <c r="D83" s="7">
        <f t="shared" si="11"/>
        <v>4.5697414699877356E-2</v>
      </c>
      <c r="E83" s="7">
        <f t="shared" si="12"/>
        <v>-5.4724613916789849E-3</v>
      </c>
      <c r="F83" s="6">
        <f t="shared" si="13"/>
        <v>0.96328419260179821</v>
      </c>
      <c r="G83" s="6">
        <f t="shared" si="13"/>
        <v>0.45469383545530334</v>
      </c>
      <c r="H83" s="6">
        <v>0.93891916856950508</v>
      </c>
      <c r="I83" s="6">
        <v>0.31123567978978872</v>
      </c>
      <c r="J83" s="3"/>
    </row>
    <row r="84" spans="1:10" ht="25">
      <c r="A84" s="8">
        <f t="shared" si="14"/>
        <v>7.9999999999999876</v>
      </c>
      <c r="B84" s="7">
        <f t="shared" si="9"/>
        <v>4.5469383545530338E-2</v>
      </c>
      <c r="C84" s="7">
        <f t="shared" si="10"/>
        <v>-5.4222959692858848E-3</v>
      </c>
      <c r="D84" s="7">
        <f t="shared" si="11"/>
        <v>4.492715394860175E-2</v>
      </c>
      <c r="E84" s="7">
        <f t="shared" si="12"/>
        <v>-9.8607884044532024E-3</v>
      </c>
      <c r="F84" s="6">
        <f t="shared" si="13"/>
        <v>1.0084824613488643</v>
      </c>
      <c r="G84" s="6">
        <f t="shared" si="13"/>
        <v>0.44705229326843382</v>
      </c>
      <c r="H84" s="6">
        <v>0.96972924264065441</v>
      </c>
      <c r="I84" s="6">
        <v>0.30810074071149335</v>
      </c>
      <c r="J84" s="3"/>
    </row>
    <row r="85" spans="1:10" ht="25">
      <c r="A85" s="8"/>
      <c r="B85" s="6"/>
      <c r="C85" s="6"/>
      <c r="D85" s="6"/>
      <c r="E85" s="6"/>
      <c r="F85" s="6"/>
      <c r="G85" s="6"/>
      <c r="H85" s="6">
        <v>0.99993582676176396</v>
      </c>
      <c r="I85" s="6">
        <v>0.30206584121109509</v>
      </c>
      <c r="J85" s="3"/>
    </row>
    <row r="86" spans="1:10" ht="25">
      <c r="A86" s="8"/>
      <c r="B86" s="6"/>
      <c r="C86" s="6"/>
      <c r="D86" s="6"/>
      <c r="E86" s="6"/>
      <c r="F86" s="6"/>
      <c r="G86" s="6"/>
      <c r="H86" s="6">
        <v>1.0292632305030183</v>
      </c>
      <c r="I86" s="6">
        <v>0.29327403741254243</v>
      </c>
      <c r="J86" s="3"/>
    </row>
  </sheetData>
  <mergeCells count="4">
    <mergeCell ref="B2:C2"/>
    <mergeCell ref="D2:E2"/>
    <mergeCell ref="F2:G2"/>
    <mergeCell ref="H2:I2"/>
  </mergeCells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Eckhart</dc:creator>
  <cp:lastModifiedBy>Zhen Luo</cp:lastModifiedBy>
  <dcterms:created xsi:type="dcterms:W3CDTF">2015-06-05T18:17:20Z</dcterms:created>
  <dcterms:modified xsi:type="dcterms:W3CDTF">2020-05-13T01:45:33Z</dcterms:modified>
</cp:coreProperties>
</file>